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3f7b2771d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29cd49463b25474a"/>
    <x:sheet xmlns:r="http://schemas.openxmlformats.org/officeDocument/2006/relationships" name="Mobile Readiness" sheetId="2" r:id="R1d31e04cdaaa4c02"/>
    <x:sheet xmlns:r="http://schemas.openxmlformats.org/officeDocument/2006/relationships" name="Accordion" sheetId="3" r:id="R2f96ed2ba0524115"/>
    <x:sheet xmlns:r="http://schemas.openxmlformats.org/officeDocument/2006/relationships" name="AlertDialog" sheetId="4" r:id="R9ee5c5ca73114adc"/>
    <x:sheet xmlns:r="http://schemas.openxmlformats.org/officeDocument/2006/relationships" name="AppBar" sheetId="5" r:id="R6f35ace3354a4cba"/>
    <x:sheet xmlns:r="http://schemas.openxmlformats.org/officeDocument/2006/relationships" name="AspectRatio" sheetId="6" r:id="R4e79145166844b42"/>
    <x:sheet xmlns:r="http://schemas.openxmlformats.org/officeDocument/2006/relationships" name="Avatar" sheetId="7" r:id="Rb132716a8bb147f6"/>
    <x:sheet xmlns:r="http://schemas.openxmlformats.org/officeDocument/2006/relationships" name="Badge" sheetId="8" r:id="Rb74d0266ea7a4169"/>
    <x:sheet xmlns:r="http://schemas.openxmlformats.org/officeDocument/2006/relationships" name="BottomNavigation" sheetId="9" r:id="R602c35bf18604129"/>
    <x:sheet xmlns:r="http://schemas.openxmlformats.org/officeDocument/2006/relationships" name="Breadcrumb" sheetId="10" r:id="R178a0f5f08084bb5"/>
    <x:sheet xmlns:r="http://schemas.openxmlformats.org/officeDocument/2006/relationships" name="Button" sheetId="11" r:id="R4afda62bf8ae49b3"/>
    <x:sheet xmlns:r="http://schemas.openxmlformats.org/officeDocument/2006/relationships" name="Carousel" sheetId="12" r:id="Rcec76a4ad6144b4a"/>
    <x:sheet xmlns:r="http://schemas.openxmlformats.org/officeDocument/2006/relationships" name="Checkbox" sheetId="13" r:id="Ref1e2556675443b3"/>
    <x:sheet xmlns:r="http://schemas.openxmlformats.org/officeDocument/2006/relationships" name="CheckboxGroup" sheetId="14" r:id="R8e7708df956149dd"/>
    <x:sheet xmlns:r="http://schemas.openxmlformats.org/officeDocument/2006/relationships" name="Collapsible" sheetId="15" r:id="R10c87040d5354bf9"/>
    <x:sheet xmlns:r="http://schemas.openxmlformats.org/officeDocument/2006/relationships" name="Collection" sheetId="16" r:id="R6b9623d3c4994335"/>
    <x:sheet xmlns:r="http://schemas.openxmlformats.org/officeDocument/2006/relationships" name="Combobox" sheetId="17" r:id="R69ab53f9859646e9"/>
    <x:sheet xmlns:r="http://schemas.openxmlformats.org/officeDocument/2006/relationships" name="ContextMenu" sheetId="18" r:id="Re2d2a23e6c9245ef"/>
    <x:sheet xmlns:r="http://schemas.openxmlformats.org/officeDocument/2006/relationships" name="DataGrid" sheetId="19" r:id="R941a4b99cfe743f6"/>
    <x:sheet xmlns:r="http://schemas.openxmlformats.org/officeDocument/2006/relationships" name="Dialog" sheetId="20" r:id="R45cdb73f8a554c4a"/>
    <x:sheet xmlns:r="http://schemas.openxmlformats.org/officeDocument/2006/relationships" name="Direction" sheetId="21" r:id="R2247bfc6aacf4e15"/>
    <x:sheet xmlns:r="http://schemas.openxmlformats.org/officeDocument/2006/relationships" name="Divider" sheetId="22" r:id="Rb4aa7dd1fe73499d"/>
    <x:sheet xmlns:r="http://schemas.openxmlformats.org/officeDocument/2006/relationships" name="Drawer" sheetId="23" r:id="R8f3b88d0388548d4"/>
    <x:sheet xmlns:r="http://schemas.openxmlformats.org/officeDocument/2006/relationships" name="DropdownMenu" sheetId="24" r:id="R5e594b1acb82484c"/>
    <x:sheet xmlns:r="http://schemas.openxmlformats.org/officeDocument/2006/relationships" name="Feed" sheetId="25" r:id="Rb460acf7d9b54bd7"/>
    <x:sheet xmlns:r="http://schemas.openxmlformats.org/officeDocument/2006/relationships" name="Field" sheetId="26" r:id="Rddd8b1d14e3f4f71"/>
    <x:sheet xmlns:r="http://schemas.openxmlformats.org/officeDocument/2006/relationships" name="Fieldset" sheetId="27" r:id="R093434c516ed49c8"/>
    <x:sheet xmlns:r="http://schemas.openxmlformats.org/officeDocument/2006/relationships" name="FileUpload" sheetId="28" r:id="R5cc1e8f0353a4d9b"/>
    <x:sheet xmlns:r="http://schemas.openxmlformats.org/officeDocument/2006/relationships" name="Form" sheetId="29" r:id="Rc41a6d987b684d9c"/>
    <x:sheet xmlns:r="http://schemas.openxmlformats.org/officeDocument/2006/relationships" name="HoverCard" sheetId="30" r:id="Reb9e36cb45fa48bf"/>
    <x:sheet xmlns:r="http://schemas.openxmlformats.org/officeDocument/2006/relationships" name="Input" sheetId="31" r:id="R8b502c5f50624ec1"/>
    <x:sheet xmlns:r="http://schemas.openxmlformats.org/officeDocument/2006/relationships" name="Label" sheetId="32" r:id="R59e00cb287b64f1e"/>
    <x:sheet xmlns:r="http://schemas.openxmlformats.org/officeDocument/2006/relationships" name="Link" sheetId="33" r:id="R211f537e74ea4d00"/>
    <x:sheet xmlns:r="http://schemas.openxmlformats.org/officeDocument/2006/relationships" name="List" sheetId="34" r:id="R5ca09572abfb453a"/>
    <x:sheet xmlns:r="http://schemas.openxmlformats.org/officeDocument/2006/relationships" name="Listbox" sheetId="35" r:id="R0b13b8acffbe4d43"/>
    <x:sheet xmlns:r="http://schemas.openxmlformats.org/officeDocument/2006/relationships" name="Menu" sheetId="36" r:id="R0453d6ea55f348ec"/>
    <x:sheet xmlns:r="http://schemas.openxmlformats.org/officeDocument/2006/relationships" name="Menubar" sheetId="37" r:id="Rd003243c2e2c4959"/>
    <x:sheet xmlns:r="http://schemas.openxmlformats.org/officeDocument/2006/relationships" name="Modal" sheetId="38" r:id="Rb6c3e3123a4a4af5"/>
    <x:sheet xmlns:r="http://schemas.openxmlformats.org/officeDocument/2006/relationships" name="NavList" sheetId="39" r:id="R18214ed17bbb4305"/>
    <x:sheet xmlns:r="http://schemas.openxmlformats.org/officeDocument/2006/relationships" name="NavigationMenu" sheetId="40" r:id="Rda5fadf5e5404ff2"/>
    <x:sheet xmlns:r="http://schemas.openxmlformats.org/officeDocument/2006/relationships" name="NumberInput" sheetId="41" r:id="R45d65e8f64b94d33"/>
    <x:sheet xmlns:r="http://schemas.openxmlformats.org/officeDocument/2006/relationships" name="OTPField" sheetId="42" r:id="R41f1323aaad74e21"/>
    <x:sheet xmlns:r="http://schemas.openxmlformats.org/officeDocument/2006/relationships" name="Pagination" sheetId="43" r:id="R257cda240c224ada"/>
    <x:sheet xmlns:r="http://schemas.openxmlformats.org/officeDocument/2006/relationships" name="PasswordToggleField" sheetId="44" r:id="R5a2d00e133df4d2e"/>
    <x:sheet xmlns:r="http://schemas.openxmlformats.org/officeDocument/2006/relationships" name="Popover" sheetId="45" r:id="Rf9b82722bb5c4c1a"/>
    <x:sheet xmlns:r="http://schemas.openxmlformats.org/officeDocument/2006/relationships" name="Portal" sheetId="46" r:id="R149567cd55354e44"/>
    <x:sheet xmlns:r="http://schemas.openxmlformats.org/officeDocument/2006/relationships" name="Pressable" sheetId="47" r:id="R3b56a06ca18540ba"/>
    <x:sheet xmlns:r="http://schemas.openxmlformats.org/officeDocument/2006/relationships" name="Progress" sheetId="48" r:id="Rf5d56173959d40de"/>
    <x:sheet xmlns:r="http://schemas.openxmlformats.org/officeDocument/2006/relationships" name="RadioGroup" sheetId="49" r:id="R3f5f730d1e4544f4"/>
    <x:sheet xmlns:r="http://schemas.openxmlformats.org/officeDocument/2006/relationships" name="Rating" sheetId="50" r:id="R69165ec9b3c7442f"/>
    <x:sheet xmlns:r="http://schemas.openxmlformats.org/officeDocument/2006/relationships" name="ScrollArea" sheetId="51" r:id="Rea729e9d6ab648ad"/>
    <x:sheet xmlns:r="http://schemas.openxmlformats.org/officeDocument/2006/relationships" name="Select" sheetId="52" r:id="R645ed6c544d947eb"/>
    <x:sheet xmlns:r="http://schemas.openxmlformats.org/officeDocument/2006/relationships" name="Sidebar" sheetId="53" r:id="R12eaf44d3a4444d8"/>
    <x:sheet xmlns:r="http://schemas.openxmlformats.org/officeDocument/2006/relationships" name="SkipLink" sheetId="54" r:id="R94ee5be487a9485d"/>
    <x:sheet xmlns:r="http://schemas.openxmlformats.org/officeDocument/2006/relationships" name="Slider" sheetId="55" r:id="R6ee26947f10f4678"/>
    <x:sheet xmlns:r="http://schemas.openxmlformats.org/officeDocument/2006/relationships" name="SwipeableItem" sheetId="56" r:id="R58a0cddb2e7e4a81"/>
    <x:sheet xmlns:r="http://schemas.openxmlformats.org/officeDocument/2006/relationships" name="Switch" sheetId="57" r:id="R8202cb1f9fee4a98"/>
    <x:sheet xmlns:r="http://schemas.openxmlformats.org/officeDocument/2006/relationships" name="Table" sheetId="58" r:id="Rd5f110839f964420"/>
    <x:sheet xmlns:r="http://schemas.openxmlformats.org/officeDocument/2006/relationships" name="Tabs" sheetId="59" r:id="R7674485ad7954a70"/>
    <x:sheet xmlns:r="http://schemas.openxmlformats.org/officeDocument/2006/relationships" name="Textarea" sheetId="60" r:id="R01f06f53e9874957"/>
    <x:sheet xmlns:r="http://schemas.openxmlformats.org/officeDocument/2006/relationships" name="Toast" sheetId="61" r:id="R477ec318a3aa4baa"/>
    <x:sheet xmlns:r="http://schemas.openxmlformats.org/officeDocument/2006/relationships" name="Toggle" sheetId="62" r:id="R522098cc0a11439f"/>
    <x:sheet xmlns:r="http://schemas.openxmlformats.org/officeDocument/2006/relationships" name="ToggleGroup" sheetId="63" r:id="R7945e4c3e4da470c"/>
    <x:sheet xmlns:r="http://schemas.openxmlformats.org/officeDocument/2006/relationships" name="Toolbar" sheetId="64" r:id="Rb3fc879144844201"/>
    <x:sheet xmlns:r="http://schemas.openxmlformats.org/officeDocument/2006/relationships" name="Tooltip" sheetId="65" r:id="R8ed579bdb9ac47e5"/>
    <x:sheet xmlns:r="http://schemas.openxmlformats.org/officeDocument/2006/relationships" name="Tree" sheetId="66" r:id="R9ac9e368dac44b14"/>
    <x:sheet xmlns:r="http://schemas.openxmlformats.org/officeDocument/2006/relationships" name="TreeGrid" sheetId="67" r:id="R3b86a24579de4b78"/>
    <x:sheet xmlns:r="http://schemas.openxmlformats.org/officeDocument/2006/relationships" name="Virtualizer" sheetId="68" r:id="R6bd06f152b114fc4"/>
    <x:sheet xmlns:r="http://schemas.openxmlformats.org/officeDocument/2006/relationships" name="VisuallyHidden" sheetId="69" r:id="R823e29d966e94cb9"/>
    <x:sheet xmlns:r="http://schemas.openxmlformats.org/officeDocument/2006/relationships" name="Clipboard" sheetId="70" r:id="R0ed99345ba434342"/>
    <x:sheet xmlns:r="http://schemas.openxmlformats.org/officeDocument/2006/relationships" name="Image" sheetId="71" r:id="R3d4be6831b5e4fba"/>
    <x:sheet xmlns:r="http://schemas.openxmlformats.org/officeDocument/2006/relationships" name="MultiSelect" sheetId="72" r:id="Rc0a79232b30941ae"/>
    <x:sheet xmlns:r="http://schemas.openxmlformats.org/officeDocument/2006/relationships" name="ColorPicker" sheetId="73" r:id="R96b67a90cfcf499e"/>
    <x:sheet xmlns:r="http://schemas.openxmlformats.org/officeDocument/2006/relationships" name="Steps" sheetId="74" r:id="R4322b14ca62a403c"/>
    <x:sheet xmlns:r="http://schemas.openxmlformats.org/officeDocument/2006/relationships" name="Splitter" sheetId="75" r:id="R4438e35ac86d4ea4"/>
    <x:sheet xmlns:r="http://schemas.openxmlformats.org/officeDocument/2006/relationships" name="DownloadTrigger" sheetId="76" r:id="R1c4ef0f525bb4a94"/>
    <x:sheet xmlns:r="http://schemas.openxmlformats.org/officeDocument/2006/relationships" name="Calendar" sheetId="77" r:id="R22a7c06101df4aa2"/>
    <x:sheet xmlns:r="http://schemas.openxmlformats.org/officeDocument/2006/relationships" name="DateInput" sheetId="78" r:id="Re1eb2f4fd3f24ac4"/>
    <x:sheet xmlns:r="http://schemas.openxmlformats.org/officeDocument/2006/relationships" name="DatePicker" sheetId="79" r:id="Rd025f19f048546b7"/>
    <x:sheet xmlns:r="http://schemas.openxmlformats.org/officeDocument/2006/relationships" name="FloatingPanel" sheetId="80" r:id="Rcb0f5712c0a44e67"/>
    <x:sheet xmlns:r="http://schemas.openxmlformats.org/officeDocument/2006/relationships" name="OverlayManager" sheetId="81" r:id="R3ca82c9a65b44dd2"/>
    <x:sheet xmlns:r="http://schemas.openxmlformats.org/officeDocument/2006/relationships" name="Marquee" sheetId="82" r:id="R08d98e330e1a4332"/>
    <x:sheet xmlns:r="http://schemas.openxmlformats.org/officeDocument/2006/relationships" name="TableOfContents" sheetId="83" r:id="R4030bb7214f24323"/>
    <x:sheet xmlns:r="http://schemas.openxmlformats.org/officeDocument/2006/relationships" name="Selection" sheetId="84" r:id="Rb9405965320141e1"/>
    <x:sheet xmlns:r="http://schemas.openxmlformats.org/officeDocument/2006/relationships" name="ActionDelegate" sheetId="85" r:id="R252c16e26f6843b2"/>
    <x:sheet xmlns:r="http://schemas.openxmlformats.org/officeDocument/2006/relationships" name="Checkbox Card" sheetId="86" r:id="Rb5a0e7fafabf4da9"/>
    <x:sheet xmlns:r="http://schemas.openxmlformats.org/officeDocument/2006/relationships" name="Reorder" sheetId="87" r:id="R986860501d2d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\-mm\-dd"/>
    <x:numFmt numFmtId="165" formatCode="yyyy\-mm\-dd\ h:mm:ss"/>
    <x:numFmt numFmtId="166" formatCode="0.0"/>
  </x:numFmts>
  <x:fonts count="26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6"/>
      <x:color rgb="FF1F2937"/>
      <x:name val="Calibri"/>
    </x:font>
    <x:font>
      <x:sz val="11"/>
      <x:color rgb="FF667085"/>
      <x:name val="Calibri"/>
    </x:font>
    <x:font>
      <x:b/>
      <x:sz val="11"/>
      <x:color rgb="FF64748B"/>
      <x:name val="Calibri"/>
    </x:font>
    <x:font>
      <x:b/>
      <x:sz val="11"/>
      <x:color rgb="FF111827"/>
      <x:name val="Calibri"/>
    </x:font>
    <x:font>
      <x:b/>
      <x:sz val="11"/>
      <x:color rgb="FF1F2937"/>
      <x:name val="Calibri"/>
    </x:font>
    <x:font>
      <x:b/>
      <x:sz val="11"/>
      <x:color rgb="FF9C0006"/>
      <x:name val="Calibri"/>
    </x:font>
    <x:font>
      <x:b/>
      <x:sz val="16"/>
      <x:color rgb="FF111827"/>
      <x:name val="Calibri"/>
    </x:font>
    <x:font>
      <x:i/>
      <x:sz val="11"/>
      <x:color rgb="FF475569"/>
      <x:name val="Calibri"/>
    </x:font>
    <x:font>
      <x:i/>
      <x:sz val="11"/>
      <x:color rgb="FF64748B"/>
      <x:name val="Calibri"/>
    </x:font>
    <x:font>
      <x:b/>
      <x:sz val="11"/>
      <x:color rgb="FFFFFFFF"/>
      <x:name val="Calibri"/>
    </x:font>
    <x:font>
      <x:sz val="11"/>
      <x:color rgb="FF1F2937"/>
      <x:name val="Calibri"/>
    </x:font>
    <x:font>
      <x:sz val="10"/>
      <x:color rgb="FF64748B"/>
      <x:name val="Calibri"/>
    </x:font>
    <x:font>
      <x:i/>
      <x:sz val="9"/>
      <x:color rgb="FF64748B"/>
      <x:name val="Calibri"/>
    </x:font>
    <x:font>
      <x:sz val="11"/>
      <x:color rgb="FF006100"/>
      <x:name val="Calibri"/>
    </x:font>
    <x:font>
      <x:sz val="10"/>
      <x:name val="Arial"/>
    </x:font>
    <x:font>
      <x:b/>
      <x:sz val="17"/>
      <x:color rgb="FFFFFFFF"/>
      <x:name val="Calibri"/>
    </x:font>
    <x:font>
      <x:sz val="11"/>
      <x:color rgb="FF475569"/>
      <x:name val="Calibri"/>
    </x:font>
    <x:font>
      <x:b/>
      <x:sz val="11"/>
      <x:color rgb="FF172033"/>
      <x:name val="Calibri"/>
    </x:font>
    <x:font>
      <x:sz val="11"/>
      <x:color rgb="FF172033"/>
      <x:name val="Calibri"/>
    </x:font>
    <x:font>
      <x:sz val="11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DDE5EF"/>
      </x:patternFill>
    </x:fill>
    <x:fill>
      <x:patternFill patternType="solid">
        <x:fgColor rgb="FFFCE4D6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E2F0D9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172033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172033"/>
      </x:patternFill>
    </x:fill>
    <x:fill>
      <x:patternFill patternType="solid">
        <x:fgColor rgb="FFE2E8F0"/>
      </x:patternFill>
    </x:fill>
  </x:fills>
  <x:borders count="6">
    <x:border/>
    <x:border>
      <x:bottom style="thin">
        <x:color rgb="FFD6DEE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medium">
        <x:color rgb="FFCBD5E1"/>
      </x:top>
      <x:bottom style="medium">
        <x:color rgb="FFCBD5E1"/>
      </x:bottom>
    </x:border>
    <x:border>
      <x:bottom style="thin">
        <x:color rgb="FFE5E7EB"/>
      </x:bottom>
    </x:border>
    <x:border/>
  </x:borders>
  <x:cellStyleXfs count="25">
    <x:xf numFmtId="0" fontId="20" fillId="0" borderId="5" applyAlignment="1">
      <x:alignment horizontal="general" vertical="bottom"/>
    </x:xf>
    <x:xf numFmtId="43" fontId="20" fillId="0" borderId="5"/>
    <x:xf numFmtId="41" fontId="20" fillId="0" borderId="5"/>
    <x:xf numFmtId="44" fontId="20" fillId="0" borderId="5"/>
    <x:xf numFmtId="42" fontId="20" fillId="0" borderId="5"/>
    <x:xf numFmtId="9" fontId="20" fillId="0" borderId="5"/>
    <x:xf/>
    <x:xf/>
    <x:xf/>
    <x:xf/>
    <x:xf/>
    <x:xf/>
    <x:xf/>
    <x:xf/>
    <x:xf/>
    <x:xf/>
    <x:xf/>
    <x:xf/>
    <x:xf/>
    <x:xf/>
    <x:xf/>
    <x:xf/>
    <x:xf/>
    <x:xf/>
    <x:xf/>
  </x:cellStyleXfs>
  <x:cellXfs count="140">
    <x:xf numFmtId="0" fontId="0" fillId="0" borderId="0" xfId="0" applyAlignment="1">
      <x:alignment horizontal="general" vertical="bottom"/>
    </x:xf>
    <x:xf numFmtId="0" fontId="5" fillId="0" borderId="0" xfId="24" applyAlignment="1">
      <x:alignment horizontal="general" vertical="bottom"/>
    </x:xf>
    <x:xf numFmtId="0" fontId="6" fillId="0" borderId="1" xfId="24" applyAlignment="1">
      <x:alignment horizontal="general" vertical="center"/>
    </x:xf>
    <x:xf numFmtId="0" fontId="7" fillId="0" borderId="1" xfId="24" applyAlignment="1">
      <x:alignment horizontal="general" vertical="center"/>
    </x:xf>
    <x:xf numFmtId="0" fontId="5" fillId="0" borderId="1" xfId="24" applyAlignment="1">
      <x:alignment horizontal="general" vertical="center"/>
    </x:xf>
    <x:xf numFmtId="0" fontId="8" fillId="2" borderId="1" xfId="24" applyAlignment="1">
      <x:alignment horizontal="general" vertical="center"/>
    </x:xf>
    <x:xf numFmtId="0" fontId="9" fillId="2" borderId="1" xfId="24" applyAlignment="1">
      <x:alignment horizontal="general" vertical="center"/>
    </x:xf>
    <x:xf numFmtId="9" fontId="9" fillId="2" borderId="1" xfId="24" applyAlignment="1">
      <x:alignment horizontal="general" vertical="center"/>
    </x:xf>
    <x:xf numFmtId="9" fontId="8" fillId="2" borderId="1" xfId="24" applyAlignment="1">
      <x:alignment horizontal="general" vertical="center"/>
    </x:xf>
    <x:xf numFmtId="1" fontId="9" fillId="2" borderId="1" xfId="24" applyAlignment="1">
      <x:alignment horizontal="general" vertical="center"/>
    </x:xf>
    <x:xf numFmtId="0" fontId="10" fillId="3" borderId="1" xfId="24" applyAlignment="1">
      <x:alignment horizontal="center" vertical="center"/>
    </x:xf>
    <x:xf numFmtId="0" fontId="11" fillId="4" borderId="1" xfId="24" applyAlignment="1">
      <x:alignment horizontal="left" vertical="center"/>
    </x:xf>
    <x:xf numFmtId="0" fontId="11" fillId="4" borderId="1" xfId="24" applyAlignment="1">
      <x:alignment horizontal="center" vertical="center"/>
    </x:xf>
    <x:xf numFmtId="9" fontId="11" fillId="4" borderId="2" xfId="24" applyAlignment="1">
      <x:alignment horizontal="center" vertical="center"/>
    </x:xf>
    <x:xf numFmtId="0" fontId="11" fillId="4" borderId="2" xfId="24" applyAlignment="1">
      <x:alignment horizontal="center" vertical="center"/>
    </x:xf>
    <x:xf numFmtId="164" fontId="5" fillId="0" borderId="0" xfId="24" applyAlignment="1">
      <x:alignment horizontal="general" vertical="bottom"/>
    </x:xf>
    <x:xf numFmtId="0" fontId="12" fillId="0" borderId="0" xfId="24" applyAlignment="1">
      <x:alignment horizontal="general" vertical="center"/>
    </x:xf>
    <x:xf numFmtId="0" fontId="13" fillId="0" borderId="0" xfId="24" applyAlignment="1">
      <x:alignment horizontal="general" vertical="center" wrapText="1"/>
    </x:xf>
    <x:xf numFmtId="0" fontId="10" fillId="2" borderId="3" xfId="24" applyAlignment="1">
      <x:alignment horizontal="center" vertical="center"/>
    </x:xf>
    <x:xf numFmtId="0" fontId="14" fillId="0" borderId="0" xfId="24" applyAlignment="1">
      <x:alignment horizontal="general" vertical="center" wrapText="1"/>
    </x:xf>
    <x:xf numFmtId="0" fontId="15" fillId="5" borderId="3" xfId="24" applyAlignment="1">
      <x:alignment horizontal="center" vertical="center" wrapText="1"/>
    </x:xf>
    <x:xf numFmtId="0" fontId="16" fillId="0" borderId="4" xfId="24" applyAlignment="1">
      <x:alignment horizontal="center" vertical="top" wrapText="1"/>
    </x:xf>
    <x:xf numFmtId="0" fontId="16" fillId="0" borderId="4" xfId="24" applyAlignment="1">
      <x:alignment horizontal="left" vertical="top" wrapText="1"/>
    </x:xf>
    <x:xf numFmtId="0" fontId="16" fillId="2" borderId="4" xfId="24" applyAlignment="1">
      <x:alignment horizontal="left" vertical="top" wrapText="1"/>
    </x:xf>
    <x:xf numFmtId="0" fontId="16" fillId="2" borderId="4" xfId="24" applyAlignment="1">
      <x:alignment horizontal="center" vertical="top" wrapText="1"/>
    </x:xf>
    <x:xf numFmtId="164" fontId="16" fillId="0" borderId="4" xfId="24" applyAlignment="1">
      <x:alignment horizontal="center" vertical="top" wrapText="1"/>
    </x:xf>
    <x:xf numFmtId="165" fontId="16" fillId="0" borderId="4" xfId="24" applyAlignment="1">
      <x:alignment horizontal="center" vertical="top" wrapText="1"/>
    </x:xf>
    <x:xf numFmtId="0" fontId="16" fillId="0" borderId="0" xfId="24" applyAlignment="1">
      <x:alignment horizontal="center" vertical="top" wrapText="1"/>
    </x:xf>
    <x:xf numFmtId="0" fontId="17" fillId="0" borderId="0" xfId="24" applyAlignment="1">
      <x:alignment horizontal="general" vertical="center" wrapText="1"/>
    </x:xf>
    <x:xf numFmtId="9" fontId="9" fillId="2" borderId="3" xfId="24" applyAlignment="1">
      <x:alignment horizontal="center" vertical="center"/>
    </x:xf>
    <x:xf numFmtId="1" fontId="9" fillId="2" borderId="3" xfId="24" applyAlignment="1">
      <x:alignment horizontal="center" vertical="center"/>
    </x:xf>
    <x:xf numFmtId="0" fontId="18" fillId="0" borderId="0" xfId="24" applyAlignment="1">
      <x:alignment horizontal="general" vertical="center" wrapText="1"/>
    </x:xf>
    <x:xf numFmtId="0" fontId="16" fillId="0" borderId="4" xfId="24" applyAlignment="1">
      <x:alignment horizontal="general" vertical="top" wrapText="1"/>
    </x:xf>
    <x:xf numFmtId="0" fontId="16" fillId="6" borderId="4" xfId="24" applyAlignment="1">
      <x:alignment horizontal="center" vertical="top" wrapText="1"/>
    </x:xf>
    <x:xf numFmtId="0" fontId="16" fillId="7" borderId="4" xfId="24" applyAlignment="1">
      <x:alignment horizontal="center" vertical="top" wrapText="1"/>
    </x:xf>
    <x:xf numFmtId="166" fontId="16" fillId="0" borderId="4" xfId="24" applyAlignment="1">
      <x:alignment horizontal="center" vertical="top" wrapText="1"/>
    </x:xf>
    <x:xf numFmtId="0" fontId="16" fillId="8" borderId="4" xfId="24" applyAlignment="1">
      <x:alignment horizontal="center" vertical="top" wrapText="1"/>
    </x:xf>
    <x:xf numFmtId="0" fontId="19" fillId="9" borderId="2" xfId="24" applyAlignment="1">
      <x:alignment horizontal="center" vertical="top" wrapText="1"/>
    </x:xf>
    <x:xf numFmtId="0" fontId="19" fillId="9" borderId="2" xfId="24" applyAlignment="1">
      <x:alignment horizontal="general" vertical="top" wrapText="1"/>
    </x:xf>
    <x:xf numFmtId="166" fontId="19" fillId="9" borderId="2" xfId="24" applyAlignment="1">
      <x:alignment horizontal="center" vertical="top" wrapText="1"/>
    </x:xf>
    <x:xf numFmtId="0" fontId="16" fillId="10" borderId="4" xfId="24" applyAlignment="1">
      <x:alignment horizontal="center" vertical="top" wrapText="1"/>
    </x:xf>
    <x:xf numFmtId="0" fontId="19" fillId="9" borderId="4" xfId="24" applyAlignment="1">
      <x:alignment horizontal="center" vertical="top" wrapText="1"/>
    </x:xf>
    <x:xf numFmtId="0" fontId="19" fillId="9" borderId="4" xfId="24" applyAlignment="1">
      <x:alignment horizontal="general" vertical="top" wrapText="1"/>
    </x:xf>
    <x:xf numFmtId="166" fontId="19" fillId="9" borderId="4" xfId="24" applyAlignment="1">
      <x:alignment horizontal="center" vertical="top" wrapText="1"/>
    </x:xf>
    <x:xf numFmtId="0" fontId="16" fillId="9" borderId="4" xfId="24" applyAlignment="1">
      <x:alignment horizontal="center" vertical="top" wrapText="1"/>
    </x:xf>
    <x:xf numFmtId="0" fontId="16" fillId="9" borderId="4" xfId="24" applyAlignment="1">
      <x:alignment horizontal="general" vertical="top" wrapText="1"/>
    </x:xf>
    <x:xf numFmtId="166" fontId="16" fillId="9" borderId="4" xfId="24" applyAlignment="1">
      <x:alignment horizontal="center" vertical="top" wrapText="1"/>
    </x:xf>
    <x:xf numFmtId="0" fontId="5" fillId="0" borderId="0" xfId="24" applyAlignment="1">
      <x:alignment horizontal="general" vertical="bottom"/>
    </x:xf>
    <x:xf numFmtId="0" fontId="5" fillId="0" borderId="0" xfId="24" applyAlignment="1">
      <x:alignment horizontal="general" vertical="center"/>
    </x:xf>
    <x:xf numFmtId="0" fontId="5" fillId="0" borderId="0" xfId="24" applyAlignment="1">
      <x:alignment horizontal="general" vertical="center" wrapText="1"/>
    </x:xf>
    <x:xf numFmtId="0" fontId="5" fillId="0" borderId="0" xfId="24" applyAlignment="1">
      <x:alignment horizontal="general" vertical="bottom"/>
    </x:xf>
    <x:xf numFmtId="0" fontId="0" fillId="0" borderId="0" xfId="0"/>
    <x:xf numFmtId="0" fontId="6" fillId="0" borderId="1" xfId="24" applyAlignment="1">
      <x:alignment horizontal="general" vertical="center"/>
    </x:xf>
    <x:xf numFmtId="0" fontId="0" fillId="0" borderId="1" xfId="0"/>
    <x:xf numFmtId="0" fontId="7" fillId="0" borderId="1" xfId="24" applyAlignment="1">
      <x:alignment horizontal="general" vertical="center"/>
    </x:xf>
    <x:xf numFmtId="0" fontId="5" fillId="0" borderId="1" xfId="24" applyAlignment="1">
      <x:alignment horizontal="general" vertical="center"/>
    </x:xf>
    <x:xf numFmtId="0" fontId="8" fillId="2" borderId="1" xfId="24" applyAlignment="1">
      <x:alignment horizontal="general" vertical="center"/>
    </x:xf>
    <x:xf numFmtId="0" fontId="9" fillId="2" borderId="1" xfId="24" applyAlignment="1">
      <x:alignment horizontal="general" vertical="center"/>
    </x:xf>
    <x:xf numFmtId="9" fontId="9" fillId="2" borderId="1" xfId="24" applyAlignment="1">
      <x:alignment horizontal="general" vertical="center"/>
    </x:xf>
    <x:xf numFmtId="9" fontId="8" fillId="2" borderId="1" xfId="24" applyAlignment="1">
      <x:alignment horizontal="general" vertical="center"/>
    </x:xf>
    <x:xf numFmtId="1" fontId="9" fillId="2" borderId="1" xfId="24" applyAlignment="1">
      <x:alignment horizontal="general" vertical="center"/>
    </x:xf>
    <x:xf numFmtId="0" fontId="10" fillId="3" borderId="1" xfId="24" applyAlignment="1">
      <x:alignment horizontal="center" vertical="center"/>
    </x:xf>
    <x:xf numFmtId="0" fontId="11" fillId="4" borderId="1" xfId="24" applyAlignment="1">
      <x:alignment horizontal="left" vertical="center"/>
    </x:xf>
    <x:xf numFmtId="0" fontId="11" fillId="4" borderId="1" xfId="24" applyAlignment="1">
      <x:alignment horizontal="center" vertical="center"/>
    </x:xf>
    <x:xf numFmtId="9" fontId="11" fillId="4" borderId="2" xfId="24" applyAlignment="1">
      <x:alignment horizontal="center" vertical="center"/>
    </x:xf>
    <x:xf numFmtId="0" fontId="11" fillId="4" borderId="2" xfId="24" applyAlignment="1">
      <x:alignment horizontal="center" vertical="center"/>
    </x:xf>
    <x:xf numFmtId="0" fontId="20" fillId="0" borderId="5" xfId="0" applyAlignment="1">
      <x:alignment horizontal="general" vertical="bottom"/>
    </x:xf>
    <x:xf numFmtId="164" fontId="5" fillId="0" borderId="0" xfId="24" applyAlignment="1">
      <x:alignment horizontal="general" vertical="bottom"/>
    </x:xf>
    <x:xf numFmtId="0" fontId="12" fillId="0" borderId="0" xfId="24" applyAlignment="1">
      <x:alignment horizontal="general" vertical="center"/>
    </x:xf>
    <x:xf numFmtId="0" fontId="13" fillId="0" borderId="0" xfId="24" applyAlignment="1">
      <x:alignment horizontal="general" vertical="center" wrapText="1"/>
    </x:xf>
    <x:xf numFmtId="0" fontId="10" fillId="2" borderId="3" xfId="24" applyAlignment="1">
      <x:alignment horizontal="center" vertical="center"/>
    </x:xf>
    <x:xf numFmtId="0" fontId="14" fillId="0" borderId="0" xfId="24" applyAlignment="1">
      <x:alignment horizontal="general" vertical="center" wrapText="1"/>
    </x:xf>
    <x:xf numFmtId="0" fontId="15" fillId="5" borderId="3" xfId="24" applyAlignment="1">
      <x:alignment horizontal="center" vertical="center" wrapText="1"/>
    </x:xf>
    <x:xf numFmtId="0" fontId="16" fillId="0" borderId="4" xfId="24" applyAlignment="1">
      <x:alignment horizontal="center" vertical="top" wrapText="1"/>
    </x:xf>
    <x:xf numFmtId="0" fontId="16" fillId="0" borderId="4" xfId="24" applyAlignment="1">
      <x:alignment horizontal="left" vertical="top" wrapText="1"/>
    </x:xf>
    <x:xf numFmtId="0" fontId="16" fillId="2" borderId="4" xfId="24" applyAlignment="1">
      <x:alignment horizontal="left" vertical="top" wrapText="1"/>
    </x:xf>
    <x:xf numFmtId="0" fontId="16" fillId="2" borderId="4" xfId="24" applyAlignment="1">
      <x:alignment horizontal="center" vertical="top" wrapText="1"/>
    </x:xf>
    <x:xf numFmtId="164" fontId="16" fillId="0" borderId="4" xfId="24" applyAlignment="1">
      <x:alignment horizontal="center" vertical="top" wrapText="1"/>
    </x:xf>
    <x:xf numFmtId="165" fontId="16" fillId="0" borderId="4" xfId="24" applyAlignment="1">
      <x:alignment horizontal="center" vertical="top" wrapText="1"/>
    </x:xf>
    <x:xf numFmtId="0" fontId="16" fillId="0" borderId="0" xfId="24" applyAlignment="1">
      <x:alignment horizontal="center" vertical="top" wrapText="1"/>
    </x:xf>
    <x:xf numFmtId="0" fontId="17" fillId="0" borderId="0" xfId="24" applyAlignment="1">
      <x:alignment horizontal="general" vertical="center" wrapText="1"/>
    </x:xf>
    <x:xf numFmtId="9" fontId="9" fillId="2" borderId="3" xfId="24" applyAlignment="1">
      <x:alignment horizontal="center" vertical="center"/>
    </x:xf>
    <x:xf numFmtId="1" fontId="9" fillId="2" borderId="3" xfId="24" applyAlignment="1">
      <x:alignment horizontal="center" vertical="center"/>
    </x:xf>
    <x:xf numFmtId="0" fontId="18" fillId="0" borderId="0" xfId="24" applyAlignment="1">
      <x:alignment horizontal="general" vertical="center" wrapText="1"/>
    </x:xf>
    <x:xf numFmtId="0" fontId="16" fillId="0" borderId="4" xfId="24" applyAlignment="1">
      <x:alignment horizontal="general" vertical="top" wrapText="1"/>
    </x:xf>
    <x:xf numFmtId="0" fontId="16" fillId="6" borderId="4" xfId="24" applyAlignment="1">
      <x:alignment horizontal="center" vertical="top" wrapText="1"/>
    </x:xf>
    <x:xf numFmtId="0" fontId="16" fillId="7" borderId="4" xfId="24" applyAlignment="1">
      <x:alignment horizontal="center" vertical="top" wrapText="1"/>
    </x:xf>
    <x:xf numFmtId="166" fontId="16" fillId="0" borderId="4" xfId="24" applyAlignment="1">
      <x:alignment horizontal="center" vertical="top" wrapText="1"/>
    </x:xf>
    <x:xf numFmtId="0" fontId="16" fillId="8" borderId="4" xfId="24" applyAlignment="1">
      <x:alignment horizontal="center" vertical="top" wrapText="1"/>
    </x:xf>
    <x:xf numFmtId="0" fontId="19" fillId="9" borderId="2" xfId="24" applyAlignment="1">
      <x:alignment horizontal="center" vertical="top" wrapText="1"/>
    </x:xf>
    <x:xf numFmtId="0" fontId="19" fillId="9" borderId="2" xfId="24" applyAlignment="1">
      <x:alignment horizontal="general" vertical="top" wrapText="1"/>
    </x:xf>
    <x:xf numFmtId="166" fontId="19" fillId="9" borderId="2" xfId="24" applyAlignment="1">
      <x:alignment horizontal="center" vertical="top" wrapText="1"/>
    </x:xf>
    <x:xf numFmtId="0" fontId="16" fillId="10" borderId="4" xfId="24" applyAlignment="1">
      <x:alignment horizontal="center" vertical="top" wrapText="1"/>
    </x:xf>
    <x:xf numFmtId="0" fontId="19" fillId="9" borderId="4" xfId="24" applyAlignment="1">
      <x:alignment horizontal="center" vertical="top" wrapText="1"/>
    </x:xf>
    <x:xf numFmtId="0" fontId="19" fillId="9" borderId="4" xfId="24" applyAlignment="1">
      <x:alignment horizontal="general" vertical="top" wrapText="1"/>
    </x:xf>
    <x:xf numFmtId="166" fontId="19" fillId="9" borderId="4" xfId="24" applyAlignment="1">
      <x:alignment horizontal="center" vertical="top" wrapText="1"/>
    </x:xf>
    <x:xf numFmtId="0" fontId="16" fillId="9" borderId="4" xfId="24" applyAlignment="1">
      <x:alignment horizontal="center" vertical="top" wrapText="1"/>
    </x:xf>
    <x:xf numFmtId="0" fontId="16" fillId="9" borderId="4" xfId="24" applyAlignment="1">
      <x:alignment horizontal="general" vertical="top" wrapText="1"/>
    </x:xf>
    <x:xf numFmtId="166" fontId="16" fillId="9" borderId="4" xfId="24" applyAlignment="1">
      <x:alignment horizontal="center" vertical="top" wrapText="1"/>
    </x:xf>
    <x:xf numFmtId="0" fontId="5" fillId="0" borderId="0" xfId="24" applyAlignment="1">
      <x:alignment horizontal="general" vertical="center"/>
    </x:xf>
    <x:xf numFmtId="0" fontId="5" fillId="0" borderId="0" xfId="24" applyAlignment="1">
      <x:alignment horizontal="general" vertical="center" wrapText="1"/>
    </x:xf>
    <x:xf numFmtId="0" fontId="20" fillId="0" borderId="5" xfId="0" applyAlignment="1">
      <x:alignment horizontal="general" vertical="bottom" wrapText="1"/>
    </x:xf>
    <x:xf numFmtId="0" fontId="0" fillId="0" borderId="0" xfId="0" applyAlignment="1">
      <x:alignment horizontal="general" vertical="bottom" wrapText="1"/>
    </x:xf>
    <x:xf numFmtId="0" fontId="12" fillId="0" borderId="5" xfId="24" applyAlignment="1">
      <x:alignment horizontal="general" vertical="center"/>
    </x:xf>
    <x:xf numFmtId="0" fontId="0" fillId="0" borderId="5" xfId="0"/>
    <x:xf numFmtId="0" fontId="13" fillId="0" borderId="5" xfId="24" applyAlignment="1">
      <x:alignment horizontal="general" vertical="center" wrapText="1"/>
    </x:xf>
    <x:xf numFmtId="0" fontId="14" fillId="0" borderId="5" xfId="24" applyAlignment="1">
      <x:alignment horizontal="general" vertical="center" wrapText="1"/>
    </x:xf>
    <x:xf numFmtId="0" fontId="17" fillId="0" borderId="5" xfId="24" applyAlignment="1">
      <x:alignment horizontal="general" vertical="center" wrapText="1"/>
    </x:xf>
    <x:xf numFmtId="0" fontId="18" fillId="0" borderId="5" xfId="24" applyAlignment="1">
      <x:alignment horizontal="general" vertical="center" wrapText="1"/>
    </x:xf>
    <x:xf numFmtId="0" fontId="0" fillId="0" borderId="5" xfId="0" applyAlignment="1">
      <x:alignment horizontal="general" vertical="bottom" wrapText="1"/>
    </x:xf>
    <x:xf numFmtId="0" fontId="0" fillId="11" borderId="0" xfId="0" applyAlignment="1">
      <x:alignment horizontal="general" vertical="bottom"/>
    </x:xf>
    <x:xf numFmtId="0" fontId="0" fillId="12" borderId="0" xfId="0" applyAlignment="1">
      <x:alignment horizontal="general" vertical="bottom"/>
    </x:xf>
    <x:xf numFmtId="0" fontId="0" fillId="13" borderId="0" xfId="0" applyAlignment="1">
      <x:alignment horizontal="general" vertical="bottom"/>
    </x:xf>
    <x:xf numFmtId="0" fontId="21" fillId="13" borderId="0" xfId="0" applyAlignment="1">
      <x:alignment horizontal="general" vertical="bottom"/>
    </x:xf>
    <x:xf numFmtId="0" fontId="22" fillId="0" borderId="0" xfId="0" applyAlignment="1">
      <x:alignment horizontal="general" vertical="bottom"/>
    </x:xf>
    <x:xf numFmtId="0" fontId="0" fillId="14" borderId="0" xfId="0" applyAlignment="1">
      <x:alignment horizontal="general" vertical="bottom"/>
    </x:xf>
    <x:xf numFmtId="0" fontId="23" fillId="14" borderId="0" xfId="0" applyAlignment="1">
      <x:alignment horizontal="general" vertical="bottom"/>
    </x:xf>
    <x:xf numFmtId="0" fontId="24" fillId="11" borderId="0" xfId="0" applyAlignment="1">
      <x:alignment horizontal="general" vertical="bottom"/>
    </x:xf>
    <x:xf numFmtId="0" fontId="24" fillId="12" borderId="0" xfId="0" applyAlignment="1">
      <x:alignment horizontal="general" vertical="bottom"/>
    </x:xf>
    <x:xf numFmtId="0" fontId="21" fillId="13" borderId="0" xfId="0" applyAlignment="1">
      <x:alignment horizontal="general" vertical="bottom" wrapText="1"/>
    </x:xf>
    <x:xf numFmtId="0" fontId="22" fillId="0" borderId="0" xfId="0" applyAlignment="1">
      <x:alignment horizontal="general" vertical="bottom" wrapText="1"/>
    </x:xf>
    <x:xf numFmtId="0" fontId="0" fillId="0" borderId="0" xfId="0" applyAlignment="1">
      <x:alignment horizontal="general" vertical="bottom" wrapText="1"/>
    </x:xf>
    <x:xf numFmtId="0" fontId="23" fillId="14" borderId="0" xfId="0" applyAlignment="1">
      <x:alignment horizontal="general" vertical="bottom" wrapText="1"/>
    </x:xf>
    <x:xf numFmtId="0" fontId="24" fillId="11" borderId="0" xfId="0" applyAlignment="1">
      <x:alignment horizontal="general" vertical="bottom" wrapText="1"/>
    </x:xf>
    <x:xf numFmtId="0" fontId="24" fillId="12" borderId="0" xfId="0" applyAlignment="1">
      <x:alignment horizontal="general" vertical="bottom" wrapText="1"/>
    </x:xf>
    <x:xf numFmtId="9" fontId="0" fillId="0" borderId="0" xfId="0" applyAlignment="1">
      <x:alignment horizontal="general" vertical="bottom" wrapText="1"/>
    </x:xf>
    <x:xf numFmtId="0" fontId="24" fillId="15" borderId="0" xfId="0" applyAlignment="1">
      <x:alignment horizontal="general" vertical="bottom" wrapText="1"/>
    </x:xf>
    <x:xf numFmtId="0" fontId="24" fillId="16" borderId="0" xfId="0" applyAlignment="1">
      <x:alignment horizontal="general" vertical="bottom" wrapText="1"/>
    </x:xf>
    <x:xf numFmtId="0" fontId="21" fillId="17" borderId="0" xfId="0" applyAlignment="1">
      <x:alignment horizontal="general" vertical="bottom" wrapText="1"/>
    </x:xf>
    <x:xf numFmtId="0" fontId="23" fillId="18" borderId="0" xfId="0" applyAlignment="1">
      <x:alignment horizontal="general" vertical="bottom" wrapText="1"/>
    </x:xf>
    <x:xf numFmtId="9" fontId="0" fillId="0" borderId="0" xfId="0" applyAlignment="1">
      <x:alignment horizontal="general" vertical="bottom"/>
    </x:xf>
    <x:xf numFmtId="0" fontId="0" fillId="0" borderId="0" xfId="0" applyAlignment="1">
      <x:alignment horizontal="general" vertical="center" wrapText="1"/>
    </x:xf>
    <x:xf numFmtId="0" fontId="21" fillId="17" borderId="5" xfId="0" applyAlignment="1">
      <x:alignment horizontal="general" vertical="bottom" wrapText="1"/>
    </x:xf>
    <x:xf numFmtId="0" fontId="22" fillId="0" borderId="5" xfId="0" applyAlignment="1">
      <x:alignment horizontal="general" vertical="bottom" wrapText="1"/>
    </x:xf>
    <x:xf numFmtId="9" fontId="0" fillId="0" borderId="0" xfId="0" applyAlignment="1">
      <x:alignment horizontal="general" vertical="bottom" wrapText="1"/>
    </x:xf>
    <x:xf numFmtId="9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 wrapText="1"/>
    </x:xf>
    <x:xf numFmtId="0" fontId="0" fillId="0" borderId="0" xfId="0" applyAlignment="1">
      <x:alignment horizontal="general" vertical="bottom" wrapText="1"/>
    </x:xf>
    <x:xf numFmtId="0" fontId="25" fillId="0" borderId="0" xfId="0" applyAlignment="1">
      <x:alignment horizontal="general" vertical="bottom"/>
    </x:xf>
    <x:xf numFmtId="0" fontId="25" fillId="0" borderId="0" xfId="0" applyAlignment="1">
      <x:alignment horizontal="general" vertical="bottom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18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5E7EB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C0006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475569"/>
      </x:font>
      <x:fill>
        <x:patternFill>
          <x:bgColor rgb="FFF1F5F9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ill>
        <x:patternFill>
          <x:bgColor rgb="FF111827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2937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8FAFC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BEAF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D9EAD3"/>
      <x:rgbColor rgb="FFFF00FF"/>
      <x:rgbColor rgb="FF00FFFF"/>
      <x:rgbColor rgb="FF9C0006"/>
      <x:rgbColor rgb="FF006100"/>
      <x:rgbColor rgb="FF000080"/>
      <x:rgbColor rgb="FF808000"/>
      <x:rgbColor rgb="FF800080"/>
      <x:rgbColor rgb="FF166534"/>
      <x:rgbColor rgb="FFD6DEE8"/>
      <x:rgbColor rgb="FF64748B"/>
      <x:rgbColor rgb="FFDBEAFE"/>
      <x:rgbColor rgb="FF993366"/>
      <x:rgbColor rgb="FFFEF3C7"/>
      <x:rgbColor rgb="FFDCFCE7"/>
      <x:rgbColor rgb="FF660066"/>
      <x:rgbColor rgb="FFF8FAFC"/>
      <x:rgbColor rgb="FF075985"/>
      <x:rgbColor rgb="FFCBD5E1"/>
      <x:rgbColor rgb="FF000080"/>
      <x:rgbColor rgb="FFFF00FF"/>
      <x:rgbColor rgb="FFF1F5F9"/>
      <x:rgbColor rgb="FF00FFFF"/>
      <x:rgbColor rgb="FF800080"/>
      <x:rgbColor rgb="FF800000"/>
      <x:rgbColor rgb="FF008080"/>
      <x:rgbColor rgb="FF0000FF"/>
      <x:rgbColor rgb="FF00CCFF"/>
      <x:rgbColor rgb="FFE0F2FE"/>
      <x:rgbColor rgb="FFE2F0D9"/>
      <x:rgbColor rgb="FFFFF2CC"/>
      <x:rgbColor rgb="FFD9E2F3"/>
      <x:rgbColor rgb="FFFEE2E2"/>
      <x:rgbColor rgb="FFDDE5EF"/>
      <x:rgbColor rgb="FFF4CCCC"/>
      <x:rgbColor rgb="FF3366FF"/>
      <x:rgbColor rgb="FF33CCCC"/>
      <x:rgbColor rgb="FF99CC00"/>
      <x:rgbColor rgb="FFFCE4D6"/>
      <x:rgbColor rgb="FFFF9900"/>
      <x:rgbColor rgb="FFFF6600"/>
      <x:rgbColor rgb="FF667085"/>
      <x:rgbColor rgb="FFE5E7EB"/>
      <x:rgbColor rgb="FF003366"/>
      <x:rgbColor rgb="FF339966"/>
      <x:rgbColor rgb="FF111827"/>
      <x:rgbColor rgb="FF333300"/>
      <x:rgbColor rgb="FF92400E"/>
      <x:rgbColor rgb="FF993366"/>
      <x:rgbColor rgb="FF475569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0748ebaef4c2f" /><Relationship Type="http://schemas.openxmlformats.org/officeDocument/2006/relationships/theme" Target="/xl/theme/theme1.xml" Id="R60379bc39e1d4f58" /><Relationship Type="http://schemas.openxmlformats.org/officeDocument/2006/relationships/sharedStrings" Target="/xl/sharedStrings.xml" Id="R5ada2181407e4509" /><Relationship Type="http://schemas.openxmlformats.org/officeDocument/2006/relationships/worksheet" Target="/xl/worksheets/sheet1.xml" Id="R29cd49463b25474a" /><Relationship Type="http://schemas.openxmlformats.org/officeDocument/2006/relationships/worksheet" Target="/xl/worksheets/sheet2.xml" Id="R1d31e04cdaaa4c02" /><Relationship Type="http://schemas.openxmlformats.org/officeDocument/2006/relationships/worksheet" Target="/xl/worksheets/sheet3.xml" Id="R2f96ed2ba0524115" /><Relationship Type="http://schemas.openxmlformats.org/officeDocument/2006/relationships/worksheet" Target="/xl/worksheets/sheet4.xml" Id="R9ee5c5ca73114adc" /><Relationship Type="http://schemas.openxmlformats.org/officeDocument/2006/relationships/worksheet" Target="/xl/worksheets/sheet5.xml" Id="R6f35ace3354a4cba" /><Relationship Type="http://schemas.openxmlformats.org/officeDocument/2006/relationships/worksheet" Target="/xl/worksheets/sheet6.xml" Id="R4e79145166844b42" /><Relationship Type="http://schemas.openxmlformats.org/officeDocument/2006/relationships/worksheet" Target="/xl/worksheets/sheet7.xml" Id="Rb132716a8bb147f6" /><Relationship Type="http://schemas.openxmlformats.org/officeDocument/2006/relationships/worksheet" Target="/xl/worksheets/sheet8.xml" Id="Rb74d0266ea7a4169" /><Relationship Type="http://schemas.openxmlformats.org/officeDocument/2006/relationships/worksheet" Target="/xl/worksheets/sheet9.xml" Id="R602c35bf18604129" /><Relationship Type="http://schemas.openxmlformats.org/officeDocument/2006/relationships/worksheet" Target="/xl/worksheets/sheet10.xml" Id="R178a0f5f08084bb5" /><Relationship Type="http://schemas.openxmlformats.org/officeDocument/2006/relationships/worksheet" Target="/xl/worksheets/sheet11.xml" Id="R4afda62bf8ae49b3" /><Relationship Type="http://schemas.openxmlformats.org/officeDocument/2006/relationships/worksheet" Target="/xl/worksheets/sheet12.xml" Id="Rcec76a4ad6144b4a" /><Relationship Type="http://schemas.openxmlformats.org/officeDocument/2006/relationships/worksheet" Target="/xl/worksheets/sheet13.xml" Id="Ref1e2556675443b3" /><Relationship Type="http://schemas.openxmlformats.org/officeDocument/2006/relationships/worksheet" Target="/xl/worksheets/sheet14.xml" Id="R8e7708df956149dd" /><Relationship Type="http://schemas.openxmlformats.org/officeDocument/2006/relationships/worksheet" Target="/xl/worksheets/sheet15.xml" Id="R10c87040d5354bf9" /><Relationship Type="http://schemas.openxmlformats.org/officeDocument/2006/relationships/worksheet" Target="/xl/worksheets/sheet16.xml" Id="R6b9623d3c4994335" /><Relationship Type="http://schemas.openxmlformats.org/officeDocument/2006/relationships/worksheet" Target="/xl/worksheets/sheet17.xml" Id="R69ab53f9859646e9" /><Relationship Type="http://schemas.openxmlformats.org/officeDocument/2006/relationships/worksheet" Target="/xl/worksheets/sheet18.xml" Id="Re2d2a23e6c9245ef" /><Relationship Type="http://schemas.openxmlformats.org/officeDocument/2006/relationships/worksheet" Target="/xl/worksheets/sheet19.xml" Id="R941a4b99cfe743f6" /><Relationship Type="http://schemas.openxmlformats.org/officeDocument/2006/relationships/worksheet" Target="/xl/worksheets/sheet20.xml" Id="R45cdb73f8a554c4a" /><Relationship Type="http://schemas.openxmlformats.org/officeDocument/2006/relationships/worksheet" Target="/xl/worksheets/sheet21.xml" Id="R2247bfc6aacf4e15" /><Relationship Type="http://schemas.openxmlformats.org/officeDocument/2006/relationships/worksheet" Target="/xl/worksheets/sheet22.xml" Id="Rb4aa7dd1fe73499d" /><Relationship Type="http://schemas.openxmlformats.org/officeDocument/2006/relationships/worksheet" Target="/xl/worksheets/sheet23.xml" Id="R8f3b88d0388548d4" /><Relationship Type="http://schemas.openxmlformats.org/officeDocument/2006/relationships/worksheet" Target="/xl/worksheets/sheet24.xml" Id="R5e594b1acb82484c" /><Relationship Type="http://schemas.openxmlformats.org/officeDocument/2006/relationships/worksheet" Target="/xl/worksheets/sheet25.xml" Id="Rb460acf7d9b54bd7" /><Relationship Type="http://schemas.openxmlformats.org/officeDocument/2006/relationships/worksheet" Target="/xl/worksheets/sheet26.xml" Id="Rddd8b1d14e3f4f71" /><Relationship Type="http://schemas.openxmlformats.org/officeDocument/2006/relationships/worksheet" Target="/xl/worksheets/sheet27.xml" Id="R093434c516ed49c8" /><Relationship Type="http://schemas.openxmlformats.org/officeDocument/2006/relationships/worksheet" Target="/xl/worksheets/sheet28.xml" Id="R5cc1e8f0353a4d9b" /><Relationship Type="http://schemas.openxmlformats.org/officeDocument/2006/relationships/worksheet" Target="/xl/worksheets/sheet29.xml" Id="Rc41a6d987b684d9c" /><Relationship Type="http://schemas.openxmlformats.org/officeDocument/2006/relationships/worksheet" Target="/xl/worksheets/sheet30.xml" Id="Reb9e36cb45fa48bf" /><Relationship Type="http://schemas.openxmlformats.org/officeDocument/2006/relationships/worksheet" Target="/xl/worksheets/sheet31.xml" Id="R8b502c5f50624ec1" /><Relationship Type="http://schemas.openxmlformats.org/officeDocument/2006/relationships/worksheet" Target="/xl/worksheets/sheet32.xml" Id="R59e00cb287b64f1e" /><Relationship Type="http://schemas.openxmlformats.org/officeDocument/2006/relationships/worksheet" Target="/xl/worksheets/sheet33.xml" Id="R211f537e74ea4d00" /><Relationship Type="http://schemas.openxmlformats.org/officeDocument/2006/relationships/worksheet" Target="/xl/worksheets/sheet34.xml" Id="R5ca09572abfb453a" /><Relationship Type="http://schemas.openxmlformats.org/officeDocument/2006/relationships/worksheet" Target="/xl/worksheets/sheet35.xml" Id="R0b13b8acffbe4d43" /><Relationship Type="http://schemas.openxmlformats.org/officeDocument/2006/relationships/worksheet" Target="/xl/worksheets/sheet36.xml" Id="R0453d6ea55f348ec" /><Relationship Type="http://schemas.openxmlformats.org/officeDocument/2006/relationships/worksheet" Target="/xl/worksheets/sheet37.xml" Id="Rd003243c2e2c4959" /><Relationship Type="http://schemas.openxmlformats.org/officeDocument/2006/relationships/worksheet" Target="/xl/worksheets/sheet38.xml" Id="Rb6c3e3123a4a4af5" /><Relationship Type="http://schemas.openxmlformats.org/officeDocument/2006/relationships/worksheet" Target="/xl/worksheets/sheet39.xml" Id="R18214ed17bbb4305" /><Relationship Type="http://schemas.openxmlformats.org/officeDocument/2006/relationships/worksheet" Target="/xl/worksheets/sheet40.xml" Id="Rda5fadf5e5404ff2" /><Relationship Type="http://schemas.openxmlformats.org/officeDocument/2006/relationships/worksheet" Target="/xl/worksheets/sheet41.xml" Id="R45d65e8f64b94d33" /><Relationship Type="http://schemas.openxmlformats.org/officeDocument/2006/relationships/worksheet" Target="/xl/worksheets/sheet42.xml" Id="R41f1323aaad74e21" /><Relationship Type="http://schemas.openxmlformats.org/officeDocument/2006/relationships/worksheet" Target="/xl/worksheets/sheet43.xml" Id="R257cda240c224ada" /><Relationship Type="http://schemas.openxmlformats.org/officeDocument/2006/relationships/worksheet" Target="/xl/worksheets/sheet44.xml" Id="R5a2d00e133df4d2e" /><Relationship Type="http://schemas.openxmlformats.org/officeDocument/2006/relationships/worksheet" Target="/xl/worksheets/sheet45.xml" Id="Rf9b82722bb5c4c1a" /><Relationship Type="http://schemas.openxmlformats.org/officeDocument/2006/relationships/worksheet" Target="/xl/worksheets/sheet46.xml" Id="R149567cd55354e44" /><Relationship Type="http://schemas.openxmlformats.org/officeDocument/2006/relationships/worksheet" Target="/xl/worksheets/sheet47.xml" Id="R3b56a06ca18540ba" /><Relationship Type="http://schemas.openxmlformats.org/officeDocument/2006/relationships/worksheet" Target="/xl/worksheets/sheet48.xml" Id="Rf5d56173959d40de" /><Relationship Type="http://schemas.openxmlformats.org/officeDocument/2006/relationships/worksheet" Target="/xl/worksheets/sheet49.xml" Id="R3f5f730d1e4544f4" /><Relationship Type="http://schemas.openxmlformats.org/officeDocument/2006/relationships/worksheet" Target="/xl/worksheets/sheet50.xml" Id="R69165ec9b3c7442f" /><Relationship Type="http://schemas.openxmlformats.org/officeDocument/2006/relationships/worksheet" Target="/xl/worksheets/sheet51.xml" Id="Rea729e9d6ab648ad" /><Relationship Type="http://schemas.openxmlformats.org/officeDocument/2006/relationships/worksheet" Target="/xl/worksheets/sheet52.xml" Id="R645ed6c544d947eb" /><Relationship Type="http://schemas.openxmlformats.org/officeDocument/2006/relationships/worksheet" Target="/xl/worksheets/sheet53.xml" Id="R12eaf44d3a4444d8" /><Relationship Type="http://schemas.openxmlformats.org/officeDocument/2006/relationships/worksheet" Target="/xl/worksheets/sheet54.xml" Id="R94ee5be487a9485d" /><Relationship Type="http://schemas.openxmlformats.org/officeDocument/2006/relationships/worksheet" Target="/xl/worksheets/sheet55.xml" Id="R6ee26947f10f4678" /><Relationship Type="http://schemas.openxmlformats.org/officeDocument/2006/relationships/worksheet" Target="/xl/worksheets/sheet56.xml" Id="R58a0cddb2e7e4a81" /><Relationship Type="http://schemas.openxmlformats.org/officeDocument/2006/relationships/worksheet" Target="/xl/worksheets/sheet57.xml" Id="R8202cb1f9fee4a98" /><Relationship Type="http://schemas.openxmlformats.org/officeDocument/2006/relationships/worksheet" Target="/xl/worksheets/sheet58.xml" Id="Rd5f110839f964420" /><Relationship Type="http://schemas.openxmlformats.org/officeDocument/2006/relationships/worksheet" Target="/xl/worksheets/sheet59.xml" Id="R7674485ad7954a70" /><Relationship Type="http://schemas.openxmlformats.org/officeDocument/2006/relationships/worksheet" Target="/xl/worksheets/sheet60.xml" Id="R01f06f53e9874957" /><Relationship Type="http://schemas.openxmlformats.org/officeDocument/2006/relationships/worksheet" Target="/xl/worksheets/sheet61.xml" Id="R477ec318a3aa4baa" /><Relationship Type="http://schemas.openxmlformats.org/officeDocument/2006/relationships/worksheet" Target="/xl/worksheets/sheet62.xml" Id="R522098cc0a11439f" /><Relationship Type="http://schemas.openxmlformats.org/officeDocument/2006/relationships/worksheet" Target="/xl/worksheets/sheet63.xml" Id="R7945e4c3e4da470c" /><Relationship Type="http://schemas.openxmlformats.org/officeDocument/2006/relationships/worksheet" Target="/xl/worksheets/sheet64.xml" Id="Rb3fc879144844201" /><Relationship Type="http://schemas.openxmlformats.org/officeDocument/2006/relationships/worksheet" Target="/xl/worksheets/sheet65.xml" Id="R8ed579bdb9ac47e5" /><Relationship Type="http://schemas.openxmlformats.org/officeDocument/2006/relationships/worksheet" Target="/xl/worksheets/sheet66.xml" Id="R9ac9e368dac44b14" /><Relationship Type="http://schemas.openxmlformats.org/officeDocument/2006/relationships/worksheet" Target="/xl/worksheets/sheet67.xml" Id="R3b86a24579de4b78" /><Relationship Type="http://schemas.openxmlformats.org/officeDocument/2006/relationships/worksheet" Target="/xl/worksheets/sheet68.xml" Id="R6bd06f152b114fc4" /><Relationship Type="http://schemas.openxmlformats.org/officeDocument/2006/relationships/worksheet" Target="/xl/worksheets/sheet69.xml" Id="R823e29d966e94cb9" /><Relationship Type="http://schemas.openxmlformats.org/officeDocument/2006/relationships/worksheet" Target="/xl/worksheets/sheet70.xml" Id="R0ed99345ba434342" /><Relationship Type="http://schemas.openxmlformats.org/officeDocument/2006/relationships/worksheet" Target="/xl/worksheets/sheet71.xml" Id="R3d4be6831b5e4fba" /><Relationship Type="http://schemas.openxmlformats.org/officeDocument/2006/relationships/worksheet" Target="/xl/worksheets/sheet72.xml" Id="Rc0a79232b30941ae" /><Relationship Type="http://schemas.openxmlformats.org/officeDocument/2006/relationships/worksheet" Target="/xl/worksheets/sheet73.xml" Id="R96b67a90cfcf499e" /><Relationship Type="http://schemas.openxmlformats.org/officeDocument/2006/relationships/worksheet" Target="/xl/worksheets/sheet74.xml" Id="R4322b14ca62a403c" /><Relationship Type="http://schemas.openxmlformats.org/officeDocument/2006/relationships/worksheet" Target="/xl/worksheets/sheet75.xml" Id="R4438e35ac86d4ea4" /><Relationship Type="http://schemas.openxmlformats.org/officeDocument/2006/relationships/worksheet" Target="/xl/worksheets/sheet76.xml" Id="R1c4ef0f525bb4a94" /><Relationship Type="http://schemas.openxmlformats.org/officeDocument/2006/relationships/worksheet" Target="/xl/worksheets/sheet77.xml" Id="R22a7c06101df4aa2" /><Relationship Type="http://schemas.openxmlformats.org/officeDocument/2006/relationships/worksheet" Target="/xl/worksheets/sheet78.xml" Id="Re1eb2f4fd3f24ac4" /><Relationship Type="http://schemas.openxmlformats.org/officeDocument/2006/relationships/worksheet" Target="/xl/worksheets/sheet79.xml" Id="Rd025f19f048546b7" /><Relationship Type="http://schemas.openxmlformats.org/officeDocument/2006/relationships/worksheet" Target="/xl/worksheets/sheet80.xml" Id="Rcb0f5712c0a44e67" /><Relationship Type="http://schemas.openxmlformats.org/officeDocument/2006/relationships/worksheet" Target="/xl/worksheets/sheet81.xml" Id="R3ca82c9a65b44dd2" /><Relationship Type="http://schemas.openxmlformats.org/officeDocument/2006/relationships/worksheet" Target="/xl/worksheets/sheet82.xml" Id="R08d98e330e1a4332" /><Relationship Type="http://schemas.openxmlformats.org/officeDocument/2006/relationships/worksheet" Target="/xl/worksheets/sheet83.xml" Id="R4030bb7214f24323" /><Relationship Type="http://schemas.openxmlformats.org/officeDocument/2006/relationships/worksheet" Target="/xl/worksheets/sheet84.xml" Id="Rb9405965320141e1" /><Relationship Type="http://schemas.openxmlformats.org/officeDocument/2006/relationships/worksheet" Target="/xl/worksheets/sheet85.xml" Id="R252c16e26f6843b2" /><Relationship Type="http://schemas.openxmlformats.org/officeDocument/2006/relationships/worksheet" Target="/xl/worksheets/sheet86.xml" Id="Rb5a0e7fafabf4da9" /><Relationship Type="http://schemas.openxmlformats.org/officeDocument/2006/relationships/worksheet" Target="/xl/worksheets/sheet87.xml" Id="R986860501d2d4fdb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24" style="50" customWidth="1"/>
    <x:col min="2" max="2" width="12" style="50" customWidth="1"/>
    <x:col min="3" max="6" width="10" style="50" customWidth="1"/>
    <x:col min="7" max="7" width="12" style="50" customWidth="1"/>
    <x:col min="8" max="8" width="14" style="50" customWidth="1"/>
    <x:col min="9" max="9" width="10" style="50" customWidth="1"/>
  </x:cols>
  <x:sheetData>
    <x:row r="1" s="51" customFormat="1" ht="22.5" customHeight="1">
      <x:c r="A1" s="52" t="inlineStr">
        <x:is>
          <x:t xml:space="preserve">Atom Playground Coverage Index</x:t>
        </x:is>
      </x:c>
      <x:c r="B1" s="53" t="n"/>
      <x:c r="C1" s="53" t="n"/>
      <x:c r="D1" s="53" t="n"/>
      <x:c r="E1" s="53" t="n"/>
      <x:c r="F1" s="53" t="n"/>
      <x:c r="G1" s="53" t="n"/>
      <x:c r="H1" s="53" t="n"/>
      <x:c r="I1" s="53" t="n"/>
    </x:row>
    <x:row r="2" s="51" customFormat="1" ht="13.5" customHeight="1">
      <x:c r="A2" s="54" t="inlineStr">
        <x:is>
          <x:t xml:space="preserve">Formula-driven summary of component playground coverage. Component tabs are alphabetical; completion updates when each component table changes.</x:t>
        </x:is>
      </x:c>
      <x:c r="B2" s="53" t="n"/>
      <x:c r="C2" s="53" t="n"/>
      <x:c r="D2" s="53" t="n"/>
      <x:c r="E2" s="53" t="n"/>
      <x:c r="F2" s="53" t="n"/>
      <x:c r="G2" s="53" t="n"/>
      <x:c r="H2" s="53" t="n"/>
      <x:c r="I2" s="53" t="n"/>
    </x:row>
    <x:row r="3" s="51" customFormat="1" ht="13.5" customHeight="1">
      <x:c r="A3" s="55" t="n"/>
      <x:c r="B3" s="55" t="n"/>
      <x:c r="C3" s="55" t="n"/>
      <x:c r="D3" s="55" t="n"/>
      <x:c r="E3" s="55" t="n"/>
      <x:c r="F3" s="55" t="n"/>
      <x:c r="G3" s="55" t="n"/>
      <x:c r="H3" s="55" t="n"/>
      <x:c r="I3" s="55" t="n"/>
    </x:row>
    <x:row r="4" s="51" customFormat="1" ht="15" customHeight="1">
      <x:c r="A4" s="56" t="inlineStr">
        <x:is>
          <x:t xml:space="preserve">Components</x:t>
        </x:is>
      </x:c>
      <x:c r="B4" s="57" t="n">
        <x:f>COUNTA(A7:A500)</x:f>
        <x:v>85</x:v>
      </x:c>
      <x:c r="C4" s="56" t="inlineStr">
        <x:is>
          <x:t xml:space="preserve">Overall</x:t>
        </x:is>
      </x:c>
      <x:c r="D4" s="58" t="n">
        <x:f>IFERROR(SUMPRODUCT(B7:B500,G7:G500)/SUM(B7:B500),0)</x:f>
        <x:v>0.9123896698267407</x:v>
      </x:c>
      <x:c r="E4" s="56" t="inlineStr">
        <x:is>
          <x:t xml:space="preserve">Done</x:t>
        </x:is>
      </x:c>
      <x:c r="F4" s="57" t="n">
        <x:f>COUNTIF(H7:H500,"Done")</x:f>
        <x:v>37</x:v>
      </x:c>
      <x:c r="G4" s="59" t="inlineStr">
        <x:is>
          <x:t xml:space="preserve">Open</x:t>
        </x:is>
      </x:c>
      <x:c r="H4" s="60" t="n">
        <x:f>MAX(0,B4-F4)</x:f>
        <x:v>48</x:v>
      </x:c>
      <x:c r="I4" s="55" t="n"/>
    </x:row>
    <x:row r="5" s="51" customFormat="1" ht="13.5" customHeight="1">
      <x:c r="A5" s="55" t="n"/>
      <x:c r="B5" s="55" t="n"/>
      <x:c r="C5" s="55" t="n"/>
      <x:c r="D5" s="55" t="n"/>
      <x:c r="E5" s="55" t="n"/>
      <x:c r="F5" s="55" t="n"/>
      <x:c r="G5" s="55" t="n"/>
      <x:c r="H5" s="55" t="n"/>
      <x:c r="I5" s="55" t="n"/>
    </x:row>
    <x:row r="6" s="51" customFormat="1" ht="15" customHeight="1">
      <x:c r="A6" s="61" t="inlineStr">
        <x:is>
          <x:t xml:space="preserve">Component</x:t>
        </x:is>
      </x:c>
      <x:c r="B6" s="61" t="inlineStr">
        <x:is>
          <x:t xml:space="preserve">Total Tests</x:t>
        </x:is>
      </x:c>
      <x:c r="C6" s="61" t="inlineStr">
        <x:is>
          <x:t xml:space="preserve">Covered</x:t>
        </x:is>
      </x:c>
      <x:c r="D6" s="61" t="inlineStr">
        <x:is>
          <x:t xml:space="preserve">Partial</x:t>
        </x:is>
      </x:c>
      <x:c r="E6" s="61" t="inlineStr">
        <x:is>
          <x:t xml:space="preserve">Missing</x:t>
        </x:is>
      </x:c>
      <x:c r="F6" s="61" t="inlineStr">
        <x:is>
          <x:t xml:space="preserve">Untested</x:t>
        </x:is>
      </x:c>
      <x:c r="G6" s="61" t="inlineStr">
        <x:is>
          <x:t xml:space="preserve">Completion</x:t>
        </x:is>
      </x:c>
      <x:c r="H6" s="61" t="inlineStr">
        <x:is>
          <x:t xml:space="preserve">Status</x:t>
        </x:is>
      </x:c>
      <x:c r="I6" s="61" t="inlineStr">
        <x:is>
          <x:t xml:space="preserve">Open</x:t>
        </x:is>
      </x:c>
    </x:row>
    <x:row r="7" s="51" customFormat="1" ht="15" customHeight="1">
      <x:c r="A7" s="62" t="inlineStr">
        <x:is>
          <x:t xml:space="preserve">Accordion</x:t>
        </x:is>
      </x:c>
      <x:c r="B7" s="63" t="n">
        <x:f>COUNT(Accordion!A9:A500)</x:f>
        <x:v>100</x:v>
      </x:c>
      <x:c r="C7" s="63" t="n">
        <x:f>COUNTIF(Accordion!H9:H500,"covered")</x:f>
        <x:v>100</x:v>
      </x:c>
      <x:c r="D7" s="63" t="n">
        <x:f>COUNTIF(Accordion!H9:H500,"partial")</x:f>
        <x:v>0</x:v>
      </x:c>
      <x:c r="E7" s="63" t="n">
        <x:f>COUNTIF(Accordion!H9:H500,"missing")</x:f>
        <x:v>0</x:v>
      </x:c>
      <x:c r="F7" s="63" t="n">
        <x:f>COUNTIF(Accordion!H9:H500,"untested")</x:f>
        <x:v>0</x:v>
      </x:c>
      <x:c r="G7" s="64" t="n">
        <x:f>IFERROR(C7/B7,0)</x:f>
        <x:v>1</x:v>
      </x:c>
      <x:c r="H7" s="65" t="str">
        <x:f>IF(AND(B7&gt;0,I7=0,G7=1),"Done","Open")</x:f>
        <x:v>Done</x:v>
      </x:c>
      <x:c r="I7" s="65" t="n">
        <x:f>MAX(0,B7-C7)</x:f>
        <x:v>0</x:v>
      </x:c>
    </x:row>
    <x:row r="8" s="51" customFormat="1" ht="15" customHeight="1">
      <x:c r="A8" s="62" t="inlineStr">
        <x:is>
          <x:t xml:space="preserve">AlertDialog</x:t>
        </x:is>
      </x:c>
      <x:c r="B8" s="63" t="n">
        <x:f>COUNT(AlertDialog!A9:A500)</x:f>
        <x:v>134</x:v>
      </x:c>
      <x:c r="C8" s="63" t="n">
        <x:f>COUNTIF(AlertDialog!H9:H500,"covered")</x:f>
        <x:v>134</x:v>
      </x:c>
      <x:c r="D8" s="63" t="n">
        <x:f>COUNTIF(AlertDialog!H9:H500,"partial")</x:f>
        <x:v>0</x:v>
      </x:c>
      <x:c r="E8" s="63" t="n">
        <x:f>COUNTIF(AlertDialog!H9:H500,"missing")</x:f>
        <x:v>0</x:v>
      </x:c>
      <x:c r="F8" s="63" t="n">
        <x:f>COUNTIF(AlertDialog!H9:H500,"untested")</x:f>
        <x:v>0</x:v>
      </x:c>
      <x:c r="G8" s="64" t="n">
        <x:f>IFERROR(C8/B8,0)</x:f>
        <x:v>1</x:v>
      </x:c>
      <x:c r="H8" s="65" t="str">
        <x:f>IF(AND(B8&gt;0,I8=0,G8=1),"Done","Open")</x:f>
        <x:v>Done</x:v>
      </x:c>
      <x:c r="I8" s="65" t="n">
        <x:f>MAX(0,B8-C8)</x:f>
        <x:v>0</x:v>
      </x:c>
    </x:row>
    <x:row r="9" s="51" customFormat="1" ht="15" customHeight="1">
      <x:c r="A9" s="62" t="inlineStr">
        <x:is>
          <x:t xml:space="preserve">AppBar</x:t>
        </x:is>
      </x:c>
      <x:c r="B9" s="63" t="n">
        <x:f>COUNT(AppBar!A9:A500)</x:f>
        <x:v>68</x:v>
      </x:c>
      <x:c r="C9" s="63" t="n">
        <x:f>COUNTIF(AppBar!H9:H500,"covered")</x:f>
        <x:v>68</x:v>
      </x:c>
      <x:c r="D9" s="63" t="n">
        <x:f>COUNTIF(AppBar!H9:H500,"partial")</x:f>
        <x:v>0</x:v>
      </x:c>
      <x:c r="E9" s="63" t="n">
        <x:f>COUNTIF(AppBar!H9:H500,"missing")</x:f>
        <x:v>0</x:v>
      </x:c>
      <x:c r="F9" s="63" t="n">
        <x:f>COUNTIF(AppBar!H9:H500,"untested")</x:f>
        <x:v>0</x:v>
      </x:c>
      <x:c r="G9" s="64" t="n">
        <x:f>IFERROR(C9/B9,0)</x:f>
        <x:v>1</x:v>
      </x:c>
      <x:c r="H9" s="65" t="str">
        <x:f>IF(AND(B9&gt;0,I9=0,G9=1),"Done","Open")</x:f>
        <x:v>Done</x:v>
      </x:c>
      <x:c r="I9" s="65" t="n">
        <x:f>MAX(0,B9-C9)</x:f>
        <x:v>0</x:v>
      </x:c>
    </x:row>
    <x:row r="10" s="51" customFormat="1" ht="15" customHeight="1">
      <x:c r="A10" s="62" t="inlineStr">
        <x:is>
          <x:t xml:space="preserve">AspectRatio</x:t>
        </x:is>
      </x:c>
      <x:c r="B10" s="63" t="n">
        <x:f>COUNT(AspectRatio!A9:A500)</x:f>
        <x:v>28</x:v>
      </x:c>
      <x:c r="C10" s="63" t="n">
        <x:f>COUNTIF(AspectRatio!H9:H500,"covered")</x:f>
        <x:v>28</x:v>
      </x:c>
      <x:c r="D10" s="63" t="n">
        <x:f>COUNTIF(AspectRatio!H9:H500,"partial")</x:f>
        <x:v>0</x:v>
      </x:c>
      <x:c r="E10" s="63" t="n">
        <x:f>COUNTIF(AspectRatio!H9:H500,"missing")</x:f>
        <x:v>0</x:v>
      </x:c>
      <x:c r="F10" s="63" t="n">
        <x:f>COUNTIF(AspectRatio!H9:H500,"untested")</x:f>
        <x:v>0</x:v>
      </x:c>
      <x:c r="G10" s="64" t="n">
        <x:f>IFERROR(C10/B10,0)</x:f>
        <x:v>1</x:v>
      </x:c>
      <x:c r="H10" s="65" t="str">
        <x:f>IF(AND(B10&gt;0,I10=0,G10=1),"Done","Open")</x:f>
        <x:v>Done</x:v>
      </x:c>
      <x:c r="I10" s="65" t="n">
        <x:f>MAX(0,B10-C10)</x:f>
        <x:v>0</x:v>
      </x:c>
    </x:row>
    <x:row r="11" s="51" customFormat="1" ht="15" customHeight="1">
      <x:c r="A11" s="62" t="inlineStr">
        <x:is>
          <x:t xml:space="preserve">Avatar</x:t>
        </x:is>
      </x:c>
      <x:c r="B11" s="63" t="n">
        <x:f>COUNT(Avatar!A9:A500)</x:f>
        <x:v>58</x:v>
      </x:c>
      <x:c r="C11" s="63" t="n">
        <x:f>COUNTIF(Avatar!H9:H500,"covered")</x:f>
        <x:v>58</x:v>
      </x:c>
      <x:c r="D11" s="63" t="n">
        <x:f>COUNTIF(Avatar!H9:H500,"partial")</x:f>
        <x:v>0</x:v>
      </x:c>
      <x:c r="E11" s="63" t="n">
        <x:f>COUNTIF(Avatar!H9:H500,"missing")</x:f>
        <x:v>0</x:v>
      </x:c>
      <x:c r="F11" s="63" t="n">
        <x:f>COUNTIF(Avatar!H9:H500,"untested")</x:f>
        <x:v>0</x:v>
      </x:c>
      <x:c r="G11" s="64" t="n">
        <x:f>IFERROR(C11/B11,0)</x:f>
        <x:v>1</x:v>
      </x:c>
      <x:c r="H11" s="65" t="str">
        <x:f>IF(AND(B11&gt;0,I11=0,G11=1),"Done","Open")</x:f>
        <x:v>Done</x:v>
      </x:c>
      <x:c r="I11" s="65" t="n">
        <x:f>MAX(0,B11-C11)</x:f>
        <x:v>0</x:v>
      </x:c>
    </x:row>
    <x:row r="12" s="51" customFormat="1" ht="15" customHeight="1">
      <x:c r="A12" s="62" t="inlineStr">
        <x:is>
          <x:t xml:space="preserve">Badge</x:t>
        </x:is>
      </x:c>
      <x:c r="B12" s="63" t="n">
        <x:f>COUNT(Badge!A9:A500)</x:f>
        <x:v>25</x:v>
      </x:c>
      <x:c r="C12" s="63" t="n">
        <x:f>COUNTIF(Badge!H9:H500,"covered")</x:f>
        <x:v>25</x:v>
      </x:c>
      <x:c r="D12" s="63" t="n">
        <x:f>COUNTIF(Badge!H9:H500,"partial")</x:f>
        <x:v>0</x:v>
      </x:c>
      <x:c r="E12" s="63" t="n">
        <x:f>COUNTIF(Badge!H9:H500,"missing")</x:f>
        <x:v>0</x:v>
      </x:c>
      <x:c r="F12" s="63" t="n">
        <x:f>COUNTIF(Badge!H9:H500,"untested")</x:f>
        <x:v>0</x:v>
      </x:c>
      <x:c r="G12" s="64" t="n">
        <x:f>IFERROR(C12/B12,0)</x:f>
        <x:v>1</x:v>
      </x:c>
      <x:c r="H12" s="65" t="str">
        <x:f>IF(AND(B12&gt;0,I12=0,G12=1),"Done","Open")</x:f>
        <x:v>Done</x:v>
      </x:c>
      <x:c r="I12" s="65" t="n">
        <x:f>MAX(0,B12-C12)</x:f>
        <x:v>0</x:v>
      </x:c>
    </x:row>
    <x:row r="13" s="51" customFormat="1" ht="15" customHeight="1">
      <x:c r="A13" s="62" t="inlineStr">
        <x:is>
          <x:t xml:space="preserve">BottomNavigation</x:t>
        </x:is>
      </x:c>
      <x:c r="B13" s="63" t="n">
        <x:f>COUNT(BottomNavigation!A9:A500)</x:f>
        <x:v>68</x:v>
      </x:c>
      <x:c r="C13" s="63" t="n">
        <x:f>COUNTIF(BottomNavigation!H9:H500,"covered")</x:f>
        <x:v>61</x:v>
      </x:c>
      <x:c r="D13" s="63" t="n">
        <x:f>COUNTIF(BottomNavigation!H9:H500,"partial")</x:f>
        <x:v>0</x:v>
      </x:c>
      <x:c r="E13" s="63" t="n">
        <x:f>COUNTIF(BottomNavigation!H9:H500,"missing")</x:f>
        <x:v>0</x:v>
      </x:c>
      <x:c r="F13" s="63" t="n">
        <x:f>COUNTIF(BottomNavigation!H9:H500,"untested")</x:f>
        <x:v>7</x:v>
      </x:c>
      <x:c r="G13" s="64" t="n">
        <x:f>IFERROR(C13/B13,0)</x:f>
        <x:v>0.8970588235294118</x:v>
      </x:c>
      <x:c r="H13" s="65" t="str">
        <x:f>IF(AND(B13&gt;0,I13=0,G13=1),"Done","Open")</x:f>
        <x:v>Open</x:v>
      </x:c>
      <x:c r="I13" s="65" t="n">
        <x:f>MAX(0,B13-C13)</x:f>
        <x:v>7</x:v>
      </x:c>
    </x:row>
    <x:row r="14" s="51" customFormat="1" ht="15" customHeight="1">
      <x:c r="A14" s="62" t="inlineStr">
        <x:is>
          <x:t xml:space="preserve">Breadcrumb</x:t>
        </x:is>
      </x:c>
      <x:c r="B14" s="63" t="n">
        <x:f>COUNT(Breadcrumb!A9:A500)</x:f>
        <x:v>83</x:v>
      </x:c>
      <x:c r="C14" s="63" t="n">
        <x:f>COUNTIF(Breadcrumb!H9:H500,"covered")</x:f>
        <x:v>83</x:v>
      </x:c>
      <x:c r="D14" s="63" t="n">
        <x:f>COUNTIF(Breadcrumb!H9:H500,"partial")</x:f>
        <x:v>0</x:v>
      </x:c>
      <x:c r="E14" s="63" t="n">
        <x:f>COUNTIF(Breadcrumb!H9:H500,"missing")</x:f>
        <x:v>0</x:v>
      </x:c>
      <x:c r="F14" s="63" t="n">
        <x:f>COUNTIF(Breadcrumb!H9:H500,"untested")</x:f>
        <x:v>0</x:v>
      </x:c>
      <x:c r="G14" s="64" t="n">
        <x:f>IFERROR(C14/B14,0)</x:f>
        <x:v>1</x:v>
      </x:c>
      <x:c r="H14" s="65" t="str">
        <x:f>IF(AND(B14&gt;0,I14=0,G14=1),"Done","Open")</x:f>
        <x:v>Done</x:v>
      </x:c>
      <x:c r="I14" s="65" t="n">
        <x:f>MAX(0,B14-C14)</x:f>
        <x:v>0</x:v>
      </x:c>
    </x:row>
    <x:row r="15" s="51" customFormat="1" ht="15" customHeight="1">
      <x:c r="A15" s="62" t="inlineStr">
        <x:is>
          <x:t xml:space="preserve">Button</x:t>
        </x:is>
      </x:c>
      <x:c r="B15" s="63" t="n">
        <x:f>COUNT(Button!A9:A500)</x:f>
        <x:v>46</x:v>
      </x:c>
      <x:c r="C15" s="63" t="n">
        <x:f>COUNTIF(Button!H9:H500,"covered")</x:f>
        <x:v>46</x:v>
      </x:c>
      <x:c r="D15" s="63" t="n">
        <x:f>COUNTIF(Button!H9:H500,"partial")</x:f>
        <x:v>0</x:v>
      </x:c>
      <x:c r="E15" s="63" t="n">
        <x:f>COUNTIF(Button!H9:H500,"missing")</x:f>
        <x:v>0</x:v>
      </x:c>
      <x:c r="F15" s="63" t="n">
        <x:f>COUNTIF(Button!H9:H500,"untested")</x:f>
        <x:v>0</x:v>
      </x:c>
      <x:c r="G15" s="64" t="n">
        <x:f>IFERROR(C15/B15,0)</x:f>
        <x:v>1</x:v>
      </x:c>
      <x:c r="H15" s="65" t="str">
        <x:f>IF(AND(B15&gt;0,I15=0,G15=1),"Done","Open")</x:f>
        <x:v>Done</x:v>
      </x:c>
      <x:c r="I15" s="65" t="n">
        <x:f>MAX(0,B15-C15)</x:f>
        <x:v>0</x:v>
      </x:c>
    </x:row>
    <x:row r="16" s="51" customFormat="1" ht="15" customHeight="1">
      <x:c r="A16" s="62" t="inlineStr">
        <x:is>
          <x:t xml:space="preserve">Carousel</x:t>
        </x:is>
      </x:c>
      <x:c r="B16" s="63" t="n">
        <x:f>COUNT(Carousel!A9:A500)</x:f>
        <x:v>32</x:v>
      </x:c>
      <x:c r="C16" s="63" t="n">
        <x:f>COUNTIF(Carousel!H9:H500,"covered")</x:f>
        <x:v>0</x:v>
      </x:c>
      <x:c r="D16" s="63" t="n">
        <x:f>COUNTIF(Carousel!H9:H500,"partial")</x:f>
        <x:v>0</x:v>
      </x:c>
      <x:c r="E16" s="63" t="n">
        <x:f>COUNTIF(Carousel!H9:H500,"missing")</x:f>
        <x:v>3</x:v>
      </x:c>
      <x:c r="F16" s="63" t="n">
        <x:f>COUNTIF(Carousel!H9:H500,"untested")</x:f>
        <x:v>29</x:v>
      </x:c>
      <x:c r="G16" s="64" t="n">
        <x:f>IFERROR(C16/B16,0)</x:f>
        <x:v>0</x:v>
      </x:c>
      <x:c r="H16" s="65" t="str">
        <x:f>IF(AND(B16&gt;0,I16=0,G16=1),"Done","Open")</x:f>
        <x:v>Open</x:v>
      </x:c>
      <x:c r="I16" s="65" t="n">
        <x:f>MAX(0,B16-C16)</x:f>
        <x:v>32</x:v>
      </x:c>
    </x:row>
    <x:row r="17" s="51" customFormat="1" ht="15" customHeight="1">
      <x:c r="A17" s="62" t="inlineStr">
        <x:is>
          <x:t xml:space="preserve">Checkbox</x:t>
        </x:is>
      </x:c>
      <x:c r="B17" s="63" t="n">
        <x:f>COUNT(Checkbox!A9:A500)</x:f>
        <x:v>76</x:v>
      </x:c>
      <x:c r="C17" s="63" t="n">
        <x:f>COUNTIF(Checkbox!H9:H500,"covered")</x:f>
        <x:v>73</x:v>
      </x:c>
      <x:c r="D17" s="63" t="n">
        <x:f>COUNTIF(Checkbox!H9:H500,"partial")</x:f>
        <x:v>0</x:v>
      </x:c>
      <x:c r="E17" s="63" t="n">
        <x:f>COUNTIF(Checkbox!H9:H500,"missing")</x:f>
        <x:v>0</x:v>
      </x:c>
      <x:c r="F17" s="63" t="n">
        <x:f>COUNTIF(Checkbox!H9:H500,"untested")</x:f>
        <x:v>3</x:v>
      </x:c>
      <x:c r="G17" s="64" t="n">
        <x:f>IFERROR(C17/B17,0)</x:f>
        <x:v>0.9605263157894737</x:v>
      </x:c>
      <x:c r="H17" s="65" t="str">
        <x:f>IF(AND(B17&gt;0,I17=0,G17=1),"Done","Open")</x:f>
        <x:v>Open</x:v>
      </x:c>
      <x:c r="I17" s="65" t="n">
        <x:f>MAX(0,B17-C17)</x:f>
        <x:v>3</x:v>
      </x:c>
    </x:row>
    <x:row r="18" s="51" customFormat="1" ht="15" customHeight="1">
      <x:c r="A18" s="62" t="inlineStr">
        <x:is>
          <x:t xml:space="preserve">CheckboxGroup</x:t>
        </x:is>
      </x:c>
      <x:c r="B18" s="63" t="n">
        <x:f>COUNT(CheckboxGroup!A9:A500)</x:f>
        <x:v>100</x:v>
      </x:c>
      <x:c r="C18" s="63" t="n">
        <x:f>COUNTIF(CheckboxGroup!H9:H500,"covered")</x:f>
        <x:v>96</x:v>
      </x:c>
      <x:c r="D18" s="63" t="n">
        <x:f>COUNTIF(CheckboxGroup!H9:H500,"partial")</x:f>
        <x:v>0</x:v>
      </x:c>
      <x:c r="E18" s="63" t="n">
        <x:f>COUNTIF(CheckboxGroup!H9:H500,"missing")</x:f>
        <x:v>0</x:v>
      </x:c>
      <x:c r="F18" s="63" t="n">
        <x:f>COUNTIF(CheckboxGroup!H9:H500,"untested")</x:f>
        <x:v>4</x:v>
      </x:c>
      <x:c r="G18" s="64" t="n">
        <x:f>IFERROR(C18/B18,0)</x:f>
        <x:v>0.96</x:v>
      </x:c>
      <x:c r="H18" s="65" t="str">
        <x:f>IF(AND(B18&gt;0,I18=0,G18=1),"Done","Open")</x:f>
        <x:v>Open</x:v>
      </x:c>
      <x:c r="I18" s="65" t="n">
        <x:f>MAX(0,B18-C18)</x:f>
        <x:v>4</x:v>
      </x:c>
    </x:row>
    <x:row r="19" s="51" customFormat="1" ht="15" customHeight="1">
      <x:c r="A19" s="62" t="inlineStr">
        <x:is>
          <x:t xml:space="preserve">Clipboard</x:t>
        </x:is>
      </x:c>
      <x:c r="B19" s="63" t="n">
        <x:f>COUNT(Clipboard!A9:A500)</x:f>
        <x:v>25</x:v>
      </x:c>
      <x:c r="C19" s="63" t="n">
        <x:f>COUNTIF(Clipboard!H9:H500,"covered")</x:f>
        <x:v>0</x:v>
      </x:c>
      <x:c r="D19" s="63" t="n">
        <x:f>COUNTIF(Clipboard!H9:H500,"partial")</x:f>
        <x:v>0</x:v>
      </x:c>
      <x:c r="E19" s="63" t="n">
        <x:f>COUNTIF(Clipboard!H9:H500,"missing")</x:f>
        <x:v>0</x:v>
      </x:c>
      <x:c r="F19" s="63" t="n">
        <x:f>COUNTIF(Clipboard!H9:H500,"untested")</x:f>
        <x:v>25</x:v>
      </x:c>
      <x:c r="G19" s="64" t="n">
        <x:f>IFERROR(C19/B19,0)</x:f>
        <x:v>0</x:v>
      </x:c>
      <x:c r="H19" s="65" t="str">
        <x:f>IF(AND(B19&gt;0,I19=0,G19=1),"Done","Open")</x:f>
        <x:v>Open</x:v>
      </x:c>
      <x:c r="I19" s="65" t="n">
        <x:f>MAX(0,B19-C19)</x:f>
        <x:v>25</x:v>
      </x:c>
    </x:row>
    <x:row r="20" s="51" customFormat="1" ht="15" customHeight="1">
      <x:c r="A20" s="62" t="inlineStr">
        <x:is>
          <x:t xml:space="preserve">Collapsible</x:t>
        </x:is>
      </x:c>
      <x:c r="B20" s="63" t="n">
        <x:f>COUNT(Collapsible!A9:A500)</x:f>
        <x:v>74</x:v>
      </x:c>
      <x:c r="C20" s="63" t="n">
        <x:f>COUNTIF(Collapsible!H9:H500,"covered")</x:f>
        <x:v>67</x:v>
      </x:c>
      <x:c r="D20" s="63" t="n">
        <x:f>COUNTIF(Collapsible!H9:H500,"partial")</x:f>
        <x:v>7</x:v>
      </x:c>
      <x:c r="E20" s="63" t="n">
        <x:f>COUNTIF(Collapsible!H9:H500,"missing")</x:f>
        <x:v>0</x:v>
      </x:c>
      <x:c r="F20" s="63" t="n">
        <x:f>COUNTIF(Collapsible!H9:H500,"untested")</x:f>
        <x:v>0</x:v>
      </x:c>
      <x:c r="G20" s="64" t="n">
        <x:f>IFERROR(C20/B20,0)</x:f>
        <x:v>0.9054054054054054</x:v>
      </x:c>
      <x:c r="H20" s="65" t="str">
        <x:f>IF(AND(B20&gt;0,I20=0,G20=1),"Done","Open")</x:f>
        <x:v>Open</x:v>
      </x:c>
      <x:c r="I20" s="65" t="n">
        <x:f>MAX(0,B20-C20)</x:f>
        <x:v>7</x:v>
      </x:c>
    </x:row>
    <x:row r="21" s="51" customFormat="1" ht="15" customHeight="1">
      <x:c r="A21" s="62" t="inlineStr">
        <x:is>
          <x:t xml:space="preserve">Collection</x:t>
        </x:is>
      </x:c>
      <x:c r="B21" s="63" t="n">
        <x:f>COUNT(Collection!A9:A500)</x:f>
        <x:v>23</x:v>
      </x:c>
      <x:c r="C21" s="63" t="n">
        <x:f>COUNTIF(Collection!H9:H500,"covered")</x:f>
        <x:v>23</x:v>
      </x:c>
      <x:c r="D21" s="63" t="n">
        <x:f>COUNTIF(Collection!H9:H500,"partial")</x:f>
        <x:v>0</x:v>
      </x:c>
      <x:c r="E21" s="63" t="n">
        <x:f>COUNTIF(Collection!H9:H500,"missing")</x:f>
        <x:v>0</x:v>
      </x:c>
      <x:c r="F21" s="63" t="n">
        <x:f>COUNTIF(Collection!H9:H500,"untested")</x:f>
        <x:v>0</x:v>
      </x:c>
      <x:c r="G21" s="64" t="n">
        <x:f>IFERROR(C21/B21,0)</x:f>
        <x:v>1</x:v>
      </x:c>
      <x:c r="H21" s="65" t="str">
        <x:f>IF(AND(B21&gt;0,I21=0,G21=1),"Done","Open")</x:f>
        <x:v>Done</x:v>
      </x:c>
      <x:c r="I21" s="65" t="n">
        <x:f>MAX(0,B21-C21)</x:f>
        <x:v>0</x:v>
      </x:c>
    </x:row>
    <x:row r="22" s="51" customFormat="1" ht="15" customHeight="1">
      <x:c r="A22" s="62" t="inlineStr">
        <x:is>
          <x:t xml:space="preserve">ColorPicker</x:t>
        </x:is>
      </x:c>
      <x:c r="B22" s="63" t="n">
        <x:f>COUNT(ColorPicker!A9:A500)</x:f>
        <x:v>58</x:v>
      </x:c>
      <x:c r="C22" s="63" t="n">
        <x:f>COUNTIF(ColorPicker!H9:H500,"covered")</x:f>
        <x:v>57</x:v>
      </x:c>
      <x:c r="D22" s="63" t="n">
        <x:f>COUNTIF(ColorPicker!H9:H500,"partial")</x:f>
        <x:v>1</x:v>
      </x:c>
      <x:c r="E22" s="63" t="n">
        <x:f>COUNTIF(ColorPicker!H9:H500,"missing")</x:f>
        <x:v>0</x:v>
      </x:c>
      <x:c r="F22" s="63" t="n">
        <x:f>COUNTIF(ColorPicker!H9:H500,"untested")</x:f>
        <x:v>0</x:v>
      </x:c>
      <x:c r="G22" s="64" t="n">
        <x:f>IFERROR(C22/B22,0)</x:f>
        <x:v>0.9827586206896551</x:v>
      </x:c>
      <x:c r="H22" s="65" t="str">
        <x:f>IF(AND(B22&gt;0,I22=0,G22=1),"Done","Open")</x:f>
        <x:v>Open</x:v>
      </x:c>
      <x:c r="I22" s="65" t="n">
        <x:f>MAX(0,B22-C22)</x:f>
        <x:v>1</x:v>
      </x:c>
    </x:row>
    <x:row r="23" s="51" customFormat="1" ht="15" customHeight="1">
      <x:c r="A23" s="62" t="inlineStr">
        <x:is>
          <x:t xml:space="preserve">Combobox</x:t>
        </x:is>
      </x:c>
      <x:c r="B23" s="63" t="n">
        <x:f>COUNT(Combobox!A9:A500)</x:f>
        <x:v>180</x:v>
      </x:c>
      <x:c r="C23" s="63" t="n">
        <x:f>COUNTIF(Combobox!H9:H500,"covered")</x:f>
        <x:v>178</x:v>
      </x:c>
      <x:c r="D23" s="63" t="n">
        <x:f>COUNTIF(Combobox!H9:H500,"partial")</x:f>
        <x:v>0</x:v>
      </x:c>
      <x:c r="E23" s="63" t="n">
        <x:f>COUNTIF(Combobox!H9:H500,"missing")</x:f>
        <x:v>0</x:v>
      </x:c>
      <x:c r="F23" s="63" t="n">
        <x:f>COUNTIF(Combobox!H9:H500,"untested")</x:f>
        <x:v>2</x:v>
      </x:c>
      <x:c r="G23" s="64" t="n">
        <x:f>IFERROR(C23/B23,0)</x:f>
        <x:v>0.9888888888888889</x:v>
      </x:c>
      <x:c r="H23" s="65" t="str">
        <x:f>IF(AND(B23&gt;0,I23=0,G23=1),"Done","Open")</x:f>
        <x:v>Open</x:v>
      </x:c>
      <x:c r="I23" s="65" t="n">
        <x:f>MAX(0,B23-C23)</x:f>
        <x:v>2</x:v>
      </x:c>
    </x:row>
    <x:row r="24" s="51" customFormat="1" ht="15" customHeight="1">
      <x:c r="A24" s="62" t="inlineStr">
        <x:is>
          <x:t xml:space="preserve">ContextMenu</x:t>
        </x:is>
      </x:c>
      <x:c r="B24" s="63" t="n">
        <x:f>COUNT(ContextMenu!A9:A500)</x:f>
        <x:v>210</x:v>
      </x:c>
      <x:c r="C24" s="63" t="n">
        <x:f>COUNTIF(ContextMenu!H9:H500,"covered")</x:f>
        <x:v>176</x:v>
      </x:c>
      <x:c r="D24" s="63" t="n">
        <x:f>COUNTIF(ContextMenu!H9:H500,"partial")</x:f>
        <x:v>10</x:v>
      </x:c>
      <x:c r="E24" s="63" t="n">
        <x:f>COUNTIF(ContextMenu!H9:H500,"missing")</x:f>
        <x:v>0</x:v>
      </x:c>
      <x:c r="F24" s="63" t="n">
        <x:f>COUNTIF(ContextMenu!H9:H500,"untested")</x:f>
        <x:v>24</x:v>
      </x:c>
      <x:c r="G24" s="64" t="n">
        <x:f>IFERROR(C24/B24,0)</x:f>
        <x:v>0.8380952380952381</x:v>
      </x:c>
      <x:c r="H24" s="65" t="str">
        <x:f>IF(AND(B24&gt;0,I24=0,G24=1),"Done","Open")</x:f>
        <x:v>Open</x:v>
      </x:c>
      <x:c r="I24" s="65" t="n">
        <x:f>MAX(0,B24-C24)</x:f>
        <x:v>34</x:v>
      </x:c>
    </x:row>
    <x:row r="25" s="51" customFormat="1" ht="15" customHeight="1">
      <x:c r="A25" s="62" t="inlineStr">
        <x:is>
          <x:t xml:space="preserve">DataGrid</x:t>
        </x:is>
      </x:c>
      <x:c r="B25" s="63" t="n">
        <x:f>COUNT(DataGrid!A9:A500)</x:f>
        <x:v>134</x:v>
      </x:c>
      <x:c r="C25" s="63" t="n">
        <x:f>COUNTIF(DataGrid!H9:H500,"covered")</x:f>
        <x:v>134</x:v>
      </x:c>
      <x:c r="D25" s="63" t="n">
        <x:f>COUNTIF(DataGrid!H9:H500,"partial")</x:f>
        <x:v>0</x:v>
      </x:c>
      <x:c r="E25" s="63" t="n">
        <x:f>COUNTIF(DataGrid!H9:H500,"missing")</x:f>
        <x:v>0</x:v>
      </x:c>
      <x:c r="F25" s="63" t="n">
        <x:f>COUNTIF(DataGrid!H9:H500,"untested")</x:f>
        <x:v>0</x:v>
      </x:c>
      <x:c r="G25" s="64" t="n">
        <x:f>IFERROR(C25/B25,0)</x:f>
        <x:v>1</x:v>
      </x:c>
      <x:c r="H25" s="65" t="str">
        <x:f>IF(AND(B25&gt;0,I25=0,G25=1),"Done","Open")</x:f>
        <x:v>Done</x:v>
      </x:c>
      <x:c r="I25" s="65" t="n">
        <x:f>MAX(0,B25-C25)</x:f>
        <x:v>0</x:v>
      </x:c>
    </x:row>
    <x:row r="26" s="51" customFormat="1" ht="15" customHeight="1">
      <x:c r="A26" s="62" t="inlineStr">
        <x:is>
          <x:t xml:space="preserve">Dialog</x:t>
        </x:is>
      </x:c>
      <x:c r="B26" s="63" t="n">
        <x:f>COUNT(Dialog!A9:A500)</x:f>
        <x:v>104</x:v>
      </x:c>
      <x:c r="C26" s="63" t="n">
        <x:f>COUNTIF(Dialog!H9:H500,"covered")</x:f>
        <x:v>104</x:v>
      </x:c>
      <x:c r="D26" s="63" t="n">
        <x:f>COUNTIF(Dialog!H9:H500,"partial")</x:f>
        <x:v>0</x:v>
      </x:c>
      <x:c r="E26" s="63" t="n">
        <x:f>COUNTIF(Dialog!H9:H500,"missing")</x:f>
        <x:v>0</x:v>
      </x:c>
      <x:c r="F26" s="63" t="n">
        <x:f>COUNTIF(Dialog!H9:H500,"untested")</x:f>
        <x:v>0</x:v>
      </x:c>
      <x:c r="G26" s="64" t="n">
        <x:f>IFERROR(C26/B26,0)</x:f>
        <x:v>1</x:v>
      </x:c>
      <x:c r="H26" s="65" t="str">
        <x:f>IF(AND(B26&gt;0,I26=0,G26=1),"Done","Open")</x:f>
        <x:v>Done</x:v>
      </x:c>
      <x:c r="I26" s="65" t="n">
        <x:f>MAX(0,B26-C26)</x:f>
        <x:v>0</x:v>
      </x:c>
    </x:row>
    <x:row r="27" s="51" customFormat="1" ht="15" customHeight="1">
      <x:c r="A27" s="62" t="inlineStr">
        <x:is>
          <x:t xml:space="preserve">Direction</x:t>
        </x:is>
      </x:c>
      <x:c r="B27" s="63" t="n">
        <x:f>COUNT(Direction!A9:A500)</x:f>
        <x:v>26</x:v>
      </x:c>
      <x:c r="C27" s="63" t="n">
        <x:f>COUNTIF(Direction!H9:H500,"covered")</x:f>
        <x:v>26</x:v>
      </x:c>
      <x:c r="D27" s="63" t="n">
        <x:f>COUNTIF(Direction!H9:H500,"partial")</x:f>
        <x:v>0</x:v>
      </x:c>
      <x:c r="E27" s="63" t="n">
        <x:f>COUNTIF(Direction!H9:H500,"missing")</x:f>
        <x:v>0</x:v>
      </x:c>
      <x:c r="F27" s="63" t="n">
        <x:f>COUNTIF(Direction!H9:H500,"untested")</x:f>
        <x:v>0</x:v>
      </x:c>
      <x:c r="G27" s="64" t="n">
        <x:f>IFERROR(C27/B27,0)</x:f>
        <x:v>1</x:v>
      </x:c>
      <x:c r="H27" s="65" t="str">
        <x:f>IF(AND(B27&gt;0,I27=0,G27=1),"Done","Open")</x:f>
        <x:v>Done</x:v>
      </x:c>
      <x:c r="I27" s="65" t="n">
        <x:f>MAX(0,B27-C27)</x:f>
        <x:v>0</x:v>
      </x:c>
    </x:row>
    <x:row r="28" s="51" customFormat="1" ht="15" customHeight="1">
      <x:c r="A28" s="62" t="inlineStr">
        <x:is>
          <x:t xml:space="preserve">Divider</x:t>
        </x:is>
      </x:c>
      <x:c r="B28" s="63" t="n">
        <x:f>COUNT(Divider!A9:A500)</x:f>
        <x:v>27</x:v>
      </x:c>
      <x:c r="C28" s="63" t="n">
        <x:f>COUNTIF(Divider!H9:H500,"covered")</x:f>
        <x:v>27</x:v>
      </x:c>
      <x:c r="D28" s="63" t="n">
        <x:f>COUNTIF(Divider!H9:H500,"partial")</x:f>
        <x:v>0</x:v>
      </x:c>
      <x:c r="E28" s="63" t="n">
        <x:f>COUNTIF(Divider!H9:H500,"missing")</x:f>
        <x:v>0</x:v>
      </x:c>
      <x:c r="F28" s="63" t="n">
        <x:f>COUNTIF(Divider!H9:H500,"untested")</x:f>
        <x:v>0</x:v>
      </x:c>
      <x:c r="G28" s="64" t="n">
        <x:f>IFERROR(C28/B28,0)</x:f>
        <x:v>1</x:v>
      </x:c>
      <x:c r="H28" s="65" t="str">
        <x:f>IF(AND(B28&gt;0,I28=0,G28=1),"Done","Open")</x:f>
        <x:v>Done</x:v>
      </x:c>
      <x:c r="I28" s="65" t="n">
        <x:f>MAX(0,B28-C28)</x:f>
        <x:v>0</x:v>
      </x:c>
    </x:row>
    <x:row r="29" s="51" customFormat="1" ht="15" customHeight="1">
      <x:c r="A29" s="62" t="inlineStr">
        <x:is>
          <x:t xml:space="preserve">Drawer</x:t>
        </x:is>
      </x:c>
      <x:c r="B29" s="63" t="n">
        <x:f>COUNT(Drawer!A9:A500)</x:f>
        <x:v>101</x:v>
      </x:c>
      <x:c r="C29" s="63" t="n">
        <x:f>COUNTIF(Drawer!H9:H500,"covered")</x:f>
        <x:v>101</x:v>
      </x:c>
      <x:c r="D29" s="63" t="n">
        <x:f>COUNTIF(Drawer!H9:H500,"partial")</x:f>
        <x:v>0</x:v>
      </x:c>
      <x:c r="E29" s="63" t="n">
        <x:f>COUNTIF(Drawer!H9:H500,"missing")</x:f>
        <x:v>0</x:v>
      </x:c>
      <x:c r="F29" s="63" t="n">
        <x:f>COUNTIF(Drawer!H9:H500,"untested")</x:f>
        <x:v>0</x:v>
      </x:c>
      <x:c r="G29" s="64" t="n">
        <x:f>IFERROR(C29/B29,0)</x:f>
        <x:v>1</x:v>
      </x:c>
      <x:c r="H29" s="65" t="str">
        <x:f>IF(AND(B29&gt;0,I29=0,G29=1),"Done","Open")</x:f>
        <x:v>Done</x:v>
      </x:c>
      <x:c r="I29" s="65" t="n">
        <x:f>MAX(0,B29-C29)</x:f>
        <x:v>0</x:v>
      </x:c>
    </x:row>
    <x:row r="30" s="51" customFormat="1" ht="15" customHeight="1">
      <x:c r="A30" s="62" t="inlineStr">
        <x:is>
          <x:t xml:space="preserve">DropdownMenu</x:t>
        </x:is>
      </x:c>
      <x:c r="B30" s="63" t="n">
        <x:f>COUNT(DropdownMenu!A9:A500)</x:f>
        <x:v>251</x:v>
      </x:c>
      <x:c r="C30" s="63" t="n">
        <x:f>COUNTIF(DropdownMenu!H9:H500,"covered")</x:f>
        <x:v>214</x:v>
      </x:c>
      <x:c r="D30" s="63" t="n">
        <x:f>COUNTIF(DropdownMenu!H9:H500,"partial")</x:f>
        <x:v>11</x:v>
      </x:c>
      <x:c r="E30" s="63" t="n">
        <x:f>COUNTIF(DropdownMenu!H9:H500,"missing")</x:f>
        <x:v>0</x:v>
      </x:c>
      <x:c r="F30" s="63" t="n">
        <x:f>COUNTIF(DropdownMenu!H9:H500,"untested")</x:f>
        <x:v>26</x:v>
      </x:c>
      <x:c r="G30" s="64" t="n">
        <x:f>IFERROR(C30/B30,0)</x:f>
        <x:v>0.852589641434263</x:v>
      </x:c>
      <x:c r="H30" s="65" t="str">
        <x:f>IF(AND(B30&gt;0,I30=0,G30=1),"Done","Open")</x:f>
        <x:v>Open</x:v>
      </x:c>
      <x:c r="I30" s="65" t="n">
        <x:f>MAX(0,B30-C30)</x:f>
        <x:v>37</x:v>
      </x:c>
    </x:row>
    <x:row r="31" s="51" customFormat="1" ht="15" customHeight="1">
      <x:c r="A31" s="62" t="inlineStr">
        <x:is>
          <x:t xml:space="preserve">Feed</x:t>
        </x:is>
      </x:c>
      <x:c r="B31" s="63" t="n">
        <x:f>COUNT(Feed!A9:A500)</x:f>
        <x:v>53</x:v>
      </x:c>
      <x:c r="C31" s="63" t="n">
        <x:f>COUNTIF(Feed!H9:H500,"covered")</x:f>
        <x:v>53</x:v>
      </x:c>
      <x:c r="D31" s="63" t="n">
        <x:f>COUNTIF(Feed!H9:H500,"partial")</x:f>
        <x:v>0</x:v>
      </x:c>
      <x:c r="E31" s="63" t="n">
        <x:f>COUNTIF(Feed!H9:H500,"missing")</x:f>
        <x:v>0</x:v>
      </x:c>
      <x:c r="F31" s="63" t="n">
        <x:f>COUNTIF(Feed!H9:H500,"untested")</x:f>
        <x:v>0</x:v>
      </x:c>
      <x:c r="G31" s="64" t="n">
        <x:f>IFERROR(C31/B31,0)</x:f>
        <x:v>1</x:v>
      </x:c>
      <x:c r="H31" s="65" t="str">
        <x:f>IF(AND(B31&gt;0,I31=0,G31=1),"Done","Open")</x:f>
        <x:v>Done</x:v>
      </x:c>
      <x:c r="I31" s="65" t="n">
        <x:f>MAX(0,B31-C31)</x:f>
        <x:v>0</x:v>
      </x:c>
    </x:row>
    <x:row r="32" s="51" customFormat="1" ht="15" customHeight="1">
      <x:c r="A32" s="62" t="inlineStr">
        <x:is>
          <x:t xml:space="preserve">Field</x:t>
        </x:is>
      </x:c>
      <x:c r="B32" s="63" t="n">
        <x:f>COUNT(Field!A9:A500)</x:f>
        <x:v>103</x:v>
      </x:c>
      <x:c r="C32" s="63" t="n">
        <x:f>COUNTIF(Field!H9:H500,"covered")</x:f>
        <x:v>100</x:v>
      </x:c>
      <x:c r="D32" s="63" t="n">
        <x:f>COUNTIF(Field!H9:H500,"partial")</x:f>
        <x:v>0</x:v>
      </x:c>
      <x:c r="E32" s="63" t="n">
        <x:f>COUNTIF(Field!H9:H500,"missing")</x:f>
        <x:v>0</x:v>
      </x:c>
      <x:c r="F32" s="63" t="n">
        <x:f>COUNTIF(Field!H9:H500,"untested")</x:f>
        <x:v>3</x:v>
      </x:c>
      <x:c r="G32" s="64" t="n">
        <x:f>IFERROR(C32/B32,0)</x:f>
        <x:v>0.970873786407767</x:v>
      </x:c>
      <x:c r="H32" s="65" t="str">
        <x:f>IF(AND(B32&gt;0,I32=0,G32=1),"Done","Open")</x:f>
        <x:v>Open</x:v>
      </x:c>
      <x:c r="I32" s="65" t="n">
        <x:f>MAX(0,B32-C32)</x:f>
        <x:v>3</x:v>
      </x:c>
    </x:row>
    <x:row r="33" s="51" customFormat="1" ht="15" customHeight="1">
      <x:c r="A33" s="62" t="inlineStr">
        <x:is>
          <x:t xml:space="preserve">Fieldset</x:t>
        </x:is>
      </x:c>
      <x:c r="B33" s="63" t="n">
        <x:f>COUNT(Fieldset!A9:A500)</x:f>
        <x:v>76</x:v>
      </x:c>
      <x:c r="C33" s="63" t="n">
        <x:f>COUNTIF(Fieldset!H9:H500,"covered")</x:f>
        <x:v>73</x:v>
      </x:c>
      <x:c r="D33" s="63" t="n">
        <x:f>COUNTIF(Fieldset!H9:H500,"partial")</x:f>
        <x:v>0</x:v>
      </x:c>
      <x:c r="E33" s="63" t="n">
        <x:f>COUNTIF(Fieldset!H9:H500,"missing")</x:f>
        <x:v>0</x:v>
      </x:c>
      <x:c r="F33" s="63" t="n">
        <x:f>COUNTIF(Fieldset!H9:H500,"untested")</x:f>
        <x:v>3</x:v>
      </x:c>
      <x:c r="G33" s="64" t="n">
        <x:f>IFERROR(C33/B33,0)</x:f>
        <x:v>0.9605263157894737</x:v>
      </x:c>
      <x:c r="H33" s="65" t="str">
        <x:f>IF(AND(B33&gt;0,I33=0,G33=1),"Done","Open")</x:f>
        <x:v>Open</x:v>
      </x:c>
      <x:c r="I33" s="65" t="n">
        <x:f>MAX(0,B33-C33)</x:f>
        <x:v>3</x:v>
      </x:c>
    </x:row>
    <x:row r="34" s="51" customFormat="1" ht="15" customHeight="1">
      <x:c r="A34" s="62" t="inlineStr">
        <x:is>
          <x:t xml:space="preserve">FileUpload</x:t>
        </x:is>
      </x:c>
      <x:c r="B34" s="63" t="n">
        <x:f>COUNT(FileUpload!A9:A500)</x:f>
        <x:v>182</x:v>
      </x:c>
      <x:c r="C34" s="63" t="n">
        <x:f>COUNTIF(FileUpload!H9:H500,"covered")</x:f>
        <x:v>176</x:v>
      </x:c>
      <x:c r="D34" s="63" t="n">
        <x:f>COUNTIF(FileUpload!H9:H500,"partial")</x:f>
        <x:v>0</x:v>
      </x:c>
      <x:c r="E34" s="63" t="n">
        <x:f>COUNTIF(FileUpload!H9:H500,"missing")</x:f>
        <x:v>0</x:v>
      </x:c>
      <x:c r="F34" s="63" t="n">
        <x:f>COUNTIF(FileUpload!H9:H500,"untested")</x:f>
        <x:v>6</x:v>
      </x:c>
      <x:c r="G34" s="64" t="n">
        <x:f>IFERROR(C34/B34,0)</x:f>
        <x:v>0.967032967032967</x:v>
      </x:c>
      <x:c r="H34" s="65" t="str">
        <x:f>IF(AND(B34&gt;0,I34=0,G34=1),"Done","Open")</x:f>
        <x:v>Open</x:v>
      </x:c>
      <x:c r="I34" s="65" t="n">
        <x:f>MAX(0,B34-C34)</x:f>
        <x:v>6</x:v>
      </x:c>
    </x:row>
    <x:row r="35" s="51" customFormat="1" ht="15" customHeight="1">
      <x:c r="A35" s="62" t="inlineStr">
        <x:is>
          <x:t xml:space="preserve">Form</x:t>
        </x:is>
      </x:c>
      <x:c r="B35" s="63" t="n">
        <x:f>COUNT(Form!A9:A500)</x:f>
        <x:v>46</x:v>
      </x:c>
      <x:c r="C35" s="63" t="n">
        <x:f>COUNTIF(Form!H9:H500,"covered")</x:f>
        <x:v>41</x:v>
      </x:c>
      <x:c r="D35" s="63" t="n">
        <x:f>COUNTIF(Form!H9:H500,"partial")</x:f>
        <x:v>0</x:v>
      </x:c>
      <x:c r="E35" s="63" t="n">
        <x:f>COUNTIF(Form!H9:H500,"missing")</x:f>
        <x:v>0</x:v>
      </x:c>
      <x:c r="F35" s="63" t="n">
        <x:f>COUNTIF(Form!H9:H500,"untested")</x:f>
        <x:v>5</x:v>
      </x:c>
      <x:c r="G35" s="64" t="n">
        <x:f>IFERROR(C35/B35,0)</x:f>
        <x:v>0.8913043478260869</x:v>
      </x:c>
      <x:c r="H35" s="65" t="str">
        <x:f>IF(AND(B35&gt;0,I35=0,G35=1),"Done","Open")</x:f>
        <x:v>Open</x:v>
      </x:c>
      <x:c r="I35" s="65" t="n">
        <x:f>MAX(0,B35-C35)</x:f>
        <x:v>5</x:v>
      </x:c>
    </x:row>
    <x:row r="36" s="51" customFormat="1" ht="15" customHeight="1">
      <x:c r="A36" s="62" t="inlineStr">
        <x:is>
          <x:t xml:space="preserve">HoverCard</x:t>
        </x:is>
      </x:c>
      <x:c r="B36" s="63" t="n">
        <x:f>COUNT(HoverCard!A9:A500)</x:f>
        <x:v>51</x:v>
      </x:c>
      <x:c r="C36" s="63" t="n">
        <x:f>COUNTIF(HoverCard!H9:H500,"covered")</x:f>
        <x:v>51</x:v>
      </x:c>
      <x:c r="D36" s="63" t="n">
        <x:f>COUNTIF(HoverCard!H9:H500,"partial")</x:f>
        <x:v>0</x:v>
      </x:c>
      <x:c r="E36" s="63" t="n">
        <x:f>COUNTIF(HoverCard!H9:H500,"missing")</x:f>
        <x:v>0</x:v>
      </x:c>
      <x:c r="F36" s="63" t="n">
        <x:f>COUNTIF(HoverCard!H9:H500,"untested")</x:f>
        <x:v>0</x:v>
      </x:c>
      <x:c r="G36" s="64" t="n">
        <x:f>IFERROR(C36/B36,0)</x:f>
        <x:v>1</x:v>
      </x:c>
      <x:c r="H36" s="65" t="str">
        <x:f>IF(AND(B36&gt;0,I36=0,G36=1),"Done","Open")</x:f>
        <x:v>Done</x:v>
      </x:c>
      <x:c r="I36" s="65" t="n">
        <x:f>MAX(0,B36-C36)</x:f>
        <x:v>0</x:v>
      </x:c>
    </x:row>
    <x:row r="37" s="51" customFormat="1" ht="15" customHeight="1">
      <x:c r="A37" s="62" t="inlineStr">
        <x:is>
          <x:t xml:space="preserve">Image</x:t>
        </x:is>
      </x:c>
      <x:c r="B37" s="63" t="n">
        <x:f>COUNT(Image!A9:A500)</x:f>
        <x:v>20</x:v>
      </x:c>
      <x:c r="C37" s="63" t="n">
        <x:f>COUNTIF(Image!H9:H500,"covered")</x:f>
        <x:v>0</x:v>
      </x:c>
      <x:c r="D37" s="63" t="n">
        <x:f>COUNTIF(Image!H9:H500,"partial")</x:f>
        <x:v>20</x:v>
      </x:c>
      <x:c r="E37" s="63" t="n">
        <x:f>COUNTIF(Image!H9:H500,"missing")</x:f>
        <x:v>0</x:v>
      </x:c>
      <x:c r="F37" s="63" t="n">
        <x:f>COUNTIF(Image!H9:H500,"untested")</x:f>
        <x:v>0</x:v>
      </x:c>
      <x:c r="G37" s="64" t="n">
        <x:f>IFERROR(C37/B37,0)</x:f>
        <x:v>0</x:v>
      </x:c>
      <x:c r="H37" s="65" t="str">
        <x:f>IF(AND(B37&gt;0,I37=0,G37=1),"Done","Open")</x:f>
        <x:v>Open</x:v>
      </x:c>
      <x:c r="I37" s="65" t="n">
        <x:f>MAX(0,B37-C37)</x:f>
        <x:v>20</x:v>
      </x:c>
    </x:row>
    <x:row r="38" s="51" customFormat="1" ht="15" customHeight="1">
      <x:c r="A38" s="62" t="inlineStr">
        <x:is>
          <x:t xml:space="preserve">Input</x:t>
        </x:is>
      </x:c>
      <x:c r="B38" s="63" t="n">
        <x:f>COUNT(Input!A9:A500)</x:f>
        <x:v>69</x:v>
      </x:c>
      <x:c r="C38" s="63" t="n">
        <x:f>COUNTIF(Input!H9:H500,"covered")</x:f>
        <x:v>67</x:v>
      </x:c>
      <x:c r="D38" s="63" t="n">
        <x:f>COUNTIF(Input!H9:H500,"partial")</x:f>
        <x:v>0</x:v>
      </x:c>
      <x:c r="E38" s="63" t="n">
        <x:f>COUNTIF(Input!H9:H500,"missing")</x:f>
        <x:v>0</x:v>
      </x:c>
      <x:c r="F38" s="63" t="n">
        <x:f>COUNTIF(Input!H9:H500,"untested")</x:f>
        <x:v>2</x:v>
      </x:c>
      <x:c r="G38" s="64" t="n">
        <x:f>IFERROR(C38/B38,0)</x:f>
        <x:v>0.9710144927536232</x:v>
      </x:c>
      <x:c r="H38" s="65" t="str">
        <x:f>IF(AND(B38&gt;0,I38=0,G38=1),"Done","Open")</x:f>
        <x:v>Open</x:v>
      </x:c>
      <x:c r="I38" s="65" t="n">
        <x:f>MAX(0,B38-C38)</x:f>
        <x:v>2</x:v>
      </x:c>
    </x:row>
    <x:row r="39" s="51" customFormat="1" ht="15" customHeight="1">
      <x:c r="A39" s="62" t="inlineStr">
        <x:is>
          <x:t xml:space="preserve">Label</x:t>
        </x:is>
      </x:c>
      <x:c r="B39" s="63" t="n">
        <x:f>COUNT(Label!A9:A500)</x:f>
        <x:v>31</x:v>
      </x:c>
      <x:c r="C39" s="63" t="n">
        <x:f>COUNTIF(Label!H9:H500,"covered")</x:f>
        <x:v>31</x:v>
      </x:c>
      <x:c r="D39" s="63" t="n">
        <x:f>COUNTIF(Label!H9:H500,"partial")</x:f>
        <x:v>0</x:v>
      </x:c>
      <x:c r="E39" s="63" t="n">
        <x:f>COUNTIF(Label!H9:H500,"missing")</x:f>
        <x:v>0</x:v>
      </x:c>
      <x:c r="F39" s="63" t="n">
        <x:f>COUNTIF(Label!H9:H500,"untested")</x:f>
        <x:v>0</x:v>
      </x:c>
      <x:c r="G39" s="64" t="n">
        <x:f>IFERROR(C39/B39,0)</x:f>
        <x:v>1</x:v>
      </x:c>
      <x:c r="H39" s="65" t="str">
        <x:f>IF(AND(B39&gt;0,I39=0,G39=1),"Done","Open")</x:f>
        <x:v>Done</x:v>
      </x:c>
      <x:c r="I39" s="65" t="n">
        <x:f>MAX(0,B39-C39)</x:f>
        <x:v>0</x:v>
      </x:c>
    </x:row>
    <x:row r="40" s="51" customFormat="1" ht="15" customHeight="1">
      <x:c r="A40" s="62" t="inlineStr">
        <x:is>
          <x:t xml:space="preserve">Link</x:t>
        </x:is>
      </x:c>
      <x:c r="B40" s="63" t="n">
        <x:f>COUNT(Link!A9:A500)</x:f>
        <x:v>23</x:v>
      </x:c>
      <x:c r="C40" s="63" t="n">
        <x:f>COUNTIF(Link!H9:H500,"covered")</x:f>
        <x:v>0</x:v>
      </x:c>
      <x:c r="D40" s="63" t="n">
        <x:f>COUNTIF(Link!H9:H500,"partial")</x:f>
        <x:v>0</x:v>
      </x:c>
      <x:c r="E40" s="63" t="n">
        <x:f>COUNTIF(Link!H9:H500,"missing")</x:f>
        <x:v>0</x:v>
      </x:c>
      <x:c r="F40" s="63" t="n">
        <x:f>COUNTIF(Link!H9:H500,"untested")</x:f>
        <x:v>23</x:v>
      </x:c>
      <x:c r="G40" s="64" t="n">
        <x:f>IFERROR(C40/B40,0)</x:f>
        <x:v>0</x:v>
      </x:c>
      <x:c r="H40" s="65" t="str">
        <x:f>IF(AND(B40&gt;0,I40=0,G40=1),"Done","Open")</x:f>
        <x:v>Open</x:v>
      </x:c>
      <x:c r="I40" s="65" t="n">
        <x:f>MAX(0,B40-C40)</x:f>
        <x:v>23</x:v>
      </x:c>
    </x:row>
    <x:row r="41" s="51" customFormat="1" ht="15" customHeight="1">
      <x:c r="A41" s="62" t="inlineStr">
        <x:is>
          <x:t xml:space="preserve">List</x:t>
        </x:is>
      </x:c>
      <x:c r="B41" s="63" t="n">
        <x:f>COUNT(List!A9:A500)</x:f>
        <x:v>42</x:v>
      </x:c>
      <x:c r="C41" s="63" t="n">
        <x:f>COUNTIF(List!H9:H500,"covered")</x:f>
        <x:v>42</x:v>
      </x:c>
      <x:c r="D41" s="63" t="n">
        <x:f>COUNTIF(List!H9:H500,"partial")</x:f>
        <x:v>0</x:v>
      </x:c>
      <x:c r="E41" s="63" t="n">
        <x:f>COUNTIF(List!H9:H500,"missing")</x:f>
        <x:v>0</x:v>
      </x:c>
      <x:c r="F41" s="63" t="n">
        <x:f>COUNTIF(List!H9:H500,"untested")</x:f>
        <x:v>0</x:v>
      </x:c>
      <x:c r="G41" s="64" t="n">
        <x:f>IFERROR(C41/B41,0)</x:f>
        <x:v>1</x:v>
      </x:c>
      <x:c r="H41" s="65" t="str">
        <x:f>IF(AND(B41&gt;0,I41=0,G41=1),"Done","Open")</x:f>
        <x:v>Done</x:v>
      </x:c>
      <x:c r="I41" s="65" t="n">
        <x:f>MAX(0,B41-C41)</x:f>
        <x:v>0</x:v>
      </x:c>
    </x:row>
    <x:row r="42" s="51" customFormat="1" ht="15" customHeight="1">
      <x:c r="A42" s="62" t="inlineStr">
        <x:is>
          <x:t xml:space="preserve">Listbox</x:t>
        </x:is>
      </x:c>
      <x:c r="B42" s="63" t="n">
        <x:f>COUNT(Listbox!A9:A500)</x:f>
        <x:v>120</x:v>
      </x:c>
      <x:c r="C42" s="63" t="n">
        <x:f>COUNTIF(Listbox!H9:H500,"covered")</x:f>
        <x:v>120</x:v>
      </x:c>
      <x:c r="D42" s="63" t="n">
        <x:f>COUNTIF(Listbox!H9:H500,"partial")</x:f>
        <x:v>0</x:v>
      </x:c>
      <x:c r="E42" s="63" t="n">
        <x:f>COUNTIF(Listbox!H9:H500,"missing")</x:f>
        <x:v>0</x:v>
      </x:c>
      <x:c r="F42" s="63" t="n">
        <x:f>COUNTIF(Listbox!H9:H500,"untested")</x:f>
        <x:v>0</x:v>
      </x:c>
      <x:c r="G42" s="64" t="n">
        <x:f>IFERROR(C42/B42,0)</x:f>
        <x:v>1</x:v>
      </x:c>
      <x:c r="H42" s="65" t="str">
        <x:f>IF(AND(B42&gt;0,I42=0,G42=1),"Done","Open")</x:f>
        <x:v>Done</x:v>
      </x:c>
      <x:c r="I42" s="65" t="n">
        <x:f>MAX(0,B42-C42)</x:f>
        <x:v>0</x:v>
      </x:c>
    </x:row>
    <x:row r="43" s="51" customFormat="1" ht="15" customHeight="1">
      <x:c r="A43" s="62" t="inlineStr">
        <x:is>
          <x:t xml:space="preserve">Menu</x:t>
        </x:is>
      </x:c>
      <x:c r="B43" s="63" t="n">
        <x:f>COUNT(Menu!A9:A500)</x:f>
        <x:v>197</x:v>
      </x:c>
      <x:c r="C43" s="63" t="n">
        <x:f>COUNTIF(Menu!H9:H500,"covered")</x:f>
        <x:v>156</x:v>
      </x:c>
      <x:c r="D43" s="63" t="n">
        <x:f>COUNTIF(Menu!H9:H500,"partial")</x:f>
        <x:v>9</x:v>
      </x:c>
      <x:c r="E43" s="63" t="n">
        <x:f>COUNTIF(Menu!H9:H500,"missing")</x:f>
        <x:v>0</x:v>
      </x:c>
      <x:c r="F43" s="63" t="n">
        <x:f>COUNTIF(Menu!H9:H500,"untested")</x:f>
        <x:v>32</x:v>
      </x:c>
      <x:c r="G43" s="64" t="n">
        <x:f>IFERROR(C43/B43,0)</x:f>
        <x:v>0.7918781725888325</x:v>
      </x:c>
      <x:c r="H43" s="65" t="str">
        <x:f>IF(AND(B43&gt;0,I43=0,G43=1),"Done","Open")</x:f>
        <x:v>Open</x:v>
      </x:c>
      <x:c r="I43" s="65" t="n">
        <x:f>MAX(0,B43-C43)</x:f>
        <x:v>41</x:v>
      </x:c>
    </x:row>
    <x:row r="44" s="51" customFormat="1" ht="15" customHeight="1">
      <x:c r="A44" s="62" t="inlineStr">
        <x:is>
          <x:t xml:space="preserve">Menubar</x:t>
        </x:is>
      </x:c>
      <x:c r="B44" s="63" t="n">
        <x:f>COUNT(Menubar!A9:A500)</x:f>
        <x:v>79</x:v>
      </x:c>
      <x:c r="C44" s="63" t="n">
        <x:f>COUNTIF(Menubar!H9:H500,"covered")</x:f>
        <x:v>57</x:v>
      </x:c>
      <x:c r="D44" s="63" t="n">
        <x:f>COUNTIF(Menubar!H9:H500,"partial")</x:f>
        <x:v>9</x:v>
      </x:c>
      <x:c r="E44" s="63" t="n">
        <x:f>COUNTIF(Menubar!H9:H500,"missing")</x:f>
        <x:v>0</x:v>
      </x:c>
      <x:c r="F44" s="63" t="n">
        <x:f>COUNTIF(Menubar!H9:H500,"untested")</x:f>
        <x:v>13</x:v>
      </x:c>
      <x:c r="G44" s="64" t="n">
        <x:f>IFERROR(C44/B44,0)</x:f>
        <x:v>0.7215189873417721</x:v>
      </x:c>
      <x:c r="H44" s="65" t="str">
        <x:f>IF(AND(B44&gt;0,I44=0,G44=1),"Done","Open")</x:f>
        <x:v>Open</x:v>
      </x:c>
      <x:c r="I44" s="65" t="n">
        <x:f>MAX(0,B44-C44)</x:f>
        <x:v>22</x:v>
      </x:c>
    </x:row>
    <x:row r="45" s="51" customFormat="1" ht="15" customHeight="1">
      <x:c r="A45" s="62" t="inlineStr">
        <x:is>
          <x:t xml:space="preserve">Modal</x:t>
        </x:is>
      </x:c>
      <x:c r="B45" s="63" t="n">
        <x:f>COUNT(Modal!A9:A500)</x:f>
        <x:v>112</x:v>
      </x:c>
      <x:c r="C45" s="63" t="n">
        <x:f>COUNTIF(Modal!H9:H500,"covered")</x:f>
        <x:v>112</x:v>
      </x:c>
      <x:c r="D45" s="63" t="n">
        <x:f>COUNTIF(Modal!H9:H500,"partial")</x:f>
        <x:v>0</x:v>
      </x:c>
      <x:c r="E45" s="63" t="n">
        <x:f>COUNTIF(Modal!H9:H500,"missing")</x:f>
        <x:v>0</x:v>
      </x:c>
      <x:c r="F45" s="63" t="n">
        <x:f>COUNTIF(Modal!H9:H500,"untested")</x:f>
        <x:v>0</x:v>
      </x:c>
      <x:c r="G45" s="64" t="n">
        <x:f>IFERROR(C45/B45,0)</x:f>
        <x:v>1</x:v>
      </x:c>
      <x:c r="H45" s="65" t="str">
        <x:f>IF(AND(B45&gt;0,I45=0,G45=1),"Done","Open")</x:f>
        <x:v>Done</x:v>
      </x:c>
      <x:c r="I45" s="65" t="n">
        <x:f>MAX(0,B45-C45)</x:f>
        <x:v>0</x:v>
      </x:c>
    </x:row>
    <x:row r="46" s="51" customFormat="1" ht="15" customHeight="1">
      <x:c r="A46" s="62" t="inlineStr">
        <x:is>
          <x:t xml:space="preserve">MultiSelect</x:t>
        </x:is>
      </x:c>
      <x:c r="B46" s="63" t="n">
        <x:f>COUNT(MultiSelect!A9:A500)</x:f>
        <x:v>65</x:v>
      </x:c>
      <x:c r="C46" s="63" t="n">
        <x:f>COUNTIF(MultiSelect!H9:H500,"covered")</x:f>
        <x:v>0</x:v>
      </x:c>
      <x:c r="D46" s="63" t="n">
        <x:f>COUNTIF(MultiSelect!H9:H500,"partial")</x:f>
        <x:v>3</x:v>
      </x:c>
      <x:c r="E46" s="63" t="n">
        <x:f>COUNTIF(MultiSelect!H9:H500,"missing")</x:f>
        <x:v>0</x:v>
      </x:c>
      <x:c r="F46" s="63" t="n">
        <x:f>COUNTIF(MultiSelect!H9:H500,"untested")</x:f>
        <x:v>62</x:v>
      </x:c>
      <x:c r="G46" s="64" t="n">
        <x:f>IFERROR(C46/B46,0)</x:f>
        <x:v>0</x:v>
      </x:c>
      <x:c r="H46" s="65" t="str">
        <x:f>IF(AND(B46&gt;0,I46=0,G46=1),"Done","Open")</x:f>
        <x:v>Open</x:v>
      </x:c>
      <x:c r="I46" s="65" t="n">
        <x:f>MAX(0,B46-C46)</x:f>
        <x:v>65</x:v>
      </x:c>
    </x:row>
    <x:row r="47" s="51" customFormat="1" ht="15" customHeight="1">
      <x:c r="A47" s="62" t="inlineStr">
        <x:is>
          <x:t xml:space="preserve">NavigationMenu</x:t>
        </x:is>
      </x:c>
      <x:c r="B47" s="63" t="n">
        <x:f>COUNT(NavigationMenu!A9:A500)</x:f>
        <x:v>135</x:v>
      </x:c>
      <x:c r="C47" s="63" t="n">
        <x:f>COUNTIF(NavigationMenu!H9:H500,"covered")</x:f>
        <x:v>125</x:v>
      </x:c>
      <x:c r="D47" s="63" t="n">
        <x:f>COUNTIF(NavigationMenu!H9:H500,"partial")</x:f>
        <x:v>7</x:v>
      </x:c>
      <x:c r="E47" s="63" t="n">
        <x:f>COUNTIF(NavigationMenu!H9:H500,"missing")</x:f>
        <x:v>0</x:v>
      </x:c>
      <x:c r="F47" s="63" t="n">
        <x:f>COUNTIF(NavigationMenu!H9:H500,"untested")</x:f>
        <x:v>3</x:v>
      </x:c>
      <x:c r="G47" s="64" t="n">
        <x:f>IFERROR(C47/B47,0)</x:f>
        <x:v>0.9259259259259259</x:v>
      </x:c>
      <x:c r="H47" s="65" t="str">
        <x:f>IF(AND(B47&gt;0,I47=0,G47=1),"Done","Open")</x:f>
        <x:v>Open</x:v>
      </x:c>
      <x:c r="I47" s="65" t="n">
        <x:f>MAX(0,B47-C47)</x:f>
        <x:v>10</x:v>
      </x:c>
    </x:row>
    <x:row r="48" s="51" customFormat="1" ht="15" customHeight="1">
      <x:c r="A48" s="62" t="inlineStr">
        <x:is>
          <x:t xml:space="preserve">NavList</x:t>
        </x:is>
      </x:c>
      <x:c r="B48" s="63" t="n">
        <x:f>COUNT(NavList!A9:A500)</x:f>
        <x:v>88</x:v>
      </x:c>
      <x:c r="C48" s="63" t="n">
        <x:f>COUNTIF(NavList!H9:H500,"covered")</x:f>
        <x:v>88</x:v>
      </x:c>
      <x:c r="D48" s="63" t="n">
        <x:f>COUNTIF(NavList!H9:H500,"partial")</x:f>
        <x:v>0</x:v>
      </x:c>
      <x:c r="E48" s="63" t="n">
        <x:f>COUNTIF(NavList!H9:H500,"missing")</x:f>
        <x:v>0</x:v>
      </x:c>
      <x:c r="F48" s="63" t="n">
        <x:f>COUNTIF(NavList!H9:H500,"untested")</x:f>
        <x:v>0</x:v>
      </x:c>
      <x:c r="G48" s="64" t="n">
        <x:f>IFERROR(C48/B48,0)</x:f>
        <x:v>1</x:v>
      </x:c>
      <x:c r="H48" s="65" t="str">
        <x:f>IF(AND(B48&gt;0,I48=0,G48=1),"Done","Open")</x:f>
        <x:v>Done</x:v>
      </x:c>
      <x:c r="I48" s="65" t="n">
        <x:f>MAX(0,B48-C48)</x:f>
        <x:v>0</x:v>
      </x:c>
    </x:row>
    <x:row r="49" s="51" customFormat="1" ht="15" customHeight="1">
      <x:c r="A49" s="62" t="inlineStr">
        <x:is>
          <x:t xml:space="preserve">NumberInput</x:t>
        </x:is>
      </x:c>
      <x:c r="B49" s="63" t="n">
        <x:f>COUNT(NumberInput!A9:A500)</x:f>
        <x:v>66</x:v>
      </x:c>
      <x:c r="C49" s="63" t="n">
        <x:f>COUNTIF(NumberInput!H9:H500,"covered")</x:f>
        <x:v>62</x:v>
      </x:c>
      <x:c r="D49" s="63" t="n">
        <x:f>COUNTIF(NumberInput!H9:H500,"partial")</x:f>
        <x:v>0</x:v>
      </x:c>
      <x:c r="E49" s="63" t="n">
        <x:f>COUNTIF(NumberInput!H9:H500,"missing")</x:f>
        <x:v>0</x:v>
      </x:c>
      <x:c r="F49" s="63" t="n">
        <x:f>COUNTIF(NumberInput!H9:H500,"untested")</x:f>
        <x:v>4</x:v>
      </x:c>
      <x:c r="G49" s="64" t="n">
        <x:f>IFERROR(C49/B49,0)</x:f>
        <x:v>0.9393939393939394</x:v>
      </x:c>
      <x:c r="H49" s="65" t="str">
        <x:f>IF(AND(B49&gt;0,I49=0,G49=1),"Done","Open")</x:f>
        <x:v>Open</x:v>
      </x:c>
      <x:c r="I49" s="65" t="n">
        <x:f>MAX(0,B49-C49)</x:f>
        <x:v>4</x:v>
      </x:c>
    </x:row>
    <x:row r="50" s="51" customFormat="1" ht="15" customHeight="1">
      <x:c r="A50" s="62" t="inlineStr">
        <x:is>
          <x:t xml:space="preserve">OTPField</x:t>
        </x:is>
      </x:c>
      <x:c r="B50" s="63" t="n">
        <x:f>COUNT(OTPField!A9:A500)</x:f>
        <x:v>93</x:v>
      </x:c>
      <x:c r="C50" s="63" t="n">
        <x:f>COUNTIF(OTPField!H9:H500,"covered")</x:f>
        <x:v>90</x:v>
      </x:c>
      <x:c r="D50" s="63" t="n">
        <x:f>COUNTIF(OTPField!H9:H500,"partial")</x:f>
        <x:v>0</x:v>
      </x:c>
      <x:c r="E50" s="63" t="n">
        <x:f>COUNTIF(OTPField!H9:H500,"missing")</x:f>
        <x:v>0</x:v>
      </x:c>
      <x:c r="F50" s="63" t="n">
        <x:f>COUNTIF(OTPField!H9:H500,"untested")</x:f>
        <x:v>3</x:v>
      </x:c>
      <x:c r="G50" s="64" t="n">
        <x:f>IFERROR(C50/B50,0)</x:f>
        <x:v>0.967741935483871</x:v>
      </x:c>
      <x:c r="H50" s="65" t="str">
        <x:f>IF(AND(B50&gt;0,I50=0,G50=1),"Done","Open")</x:f>
        <x:v>Open</x:v>
      </x:c>
      <x:c r="I50" s="65" t="n">
        <x:f>MAX(0,B50-C50)</x:f>
        <x:v>3</x:v>
      </x:c>
    </x:row>
    <x:row r="51" s="51" customFormat="1" ht="15" customHeight="1">
      <x:c r="A51" s="62" t="inlineStr">
        <x:is>
          <x:t xml:space="preserve">Pagination</x:t>
        </x:is>
      </x:c>
      <x:c r="B51" s="63" t="n">
        <x:f>COUNT(Pagination!A9:A500)</x:f>
        <x:v>116</x:v>
      </x:c>
      <x:c r="C51" s="63" t="n">
        <x:f>COUNTIF(Pagination!H9:H500,"covered")</x:f>
        <x:v>109</x:v>
      </x:c>
      <x:c r="D51" s="63" t="n">
        <x:f>COUNTIF(Pagination!H9:H500,"partial")</x:f>
        <x:v>0</x:v>
      </x:c>
      <x:c r="E51" s="63" t="n">
        <x:f>COUNTIF(Pagination!H9:H500,"missing")</x:f>
        <x:v>0</x:v>
      </x:c>
      <x:c r="F51" s="63" t="n">
        <x:f>COUNTIF(Pagination!H9:H500,"untested")</x:f>
        <x:v>7</x:v>
      </x:c>
      <x:c r="G51" s="64" t="n">
        <x:f>IFERROR(C51/B51,0)</x:f>
        <x:v>0.9396551724137931</x:v>
      </x:c>
      <x:c r="H51" s="65" t="str">
        <x:f>IF(AND(B51&gt;0,I51=0,G51=1),"Done","Open")</x:f>
        <x:v>Open</x:v>
      </x:c>
      <x:c r="I51" s="65" t="n">
        <x:f>MAX(0,B51-C51)</x:f>
        <x:v>7</x:v>
      </x:c>
    </x:row>
    <x:row r="52" s="51" customFormat="1" ht="15" customHeight="1">
      <x:c r="A52" s="62" t="inlineStr">
        <x:is>
          <x:t xml:space="preserve">PasswordToggleField</x:t>
        </x:is>
      </x:c>
      <x:c r="B52" s="63" t="n">
        <x:f>COUNT(PasswordToggleField!A9:A500)</x:f>
        <x:v>81</x:v>
      </x:c>
      <x:c r="C52" s="63" t="n">
        <x:f>COUNTIF(PasswordToggleField!H9:H500,"covered")</x:f>
        <x:v>80</x:v>
      </x:c>
      <x:c r="D52" s="63" t="n">
        <x:f>COUNTIF(PasswordToggleField!H9:H500,"partial")</x:f>
        <x:v>0</x:v>
      </x:c>
      <x:c r="E52" s="63" t="n">
        <x:f>COUNTIF(PasswordToggleField!H9:H500,"missing")</x:f>
        <x:v>0</x:v>
      </x:c>
      <x:c r="F52" s="63" t="n">
        <x:f>COUNTIF(PasswordToggleField!H9:H500,"untested")</x:f>
        <x:v>1</x:v>
      </x:c>
      <x:c r="G52" s="64" t="n">
        <x:f>IFERROR(C52/B52,0)</x:f>
        <x:v>0.9876543209876543</x:v>
      </x:c>
      <x:c r="H52" s="65" t="str">
        <x:f>IF(AND(B52&gt;0,I52=0,G52=1),"Done","Open")</x:f>
        <x:v>Open</x:v>
      </x:c>
      <x:c r="I52" s="65" t="n">
        <x:f>MAX(0,B52-C52)</x:f>
        <x:v>1</x:v>
      </x:c>
    </x:row>
    <x:row r="53" s="51" customFormat="1" ht="15" customHeight="1">
      <x:c r="A53" s="62" t="inlineStr">
        <x:is>
          <x:t xml:space="preserve">Popover</x:t>
        </x:is>
      </x:c>
      <x:c r="B53" s="63" t="n">
        <x:f>COUNT(Popover!A9:A500)</x:f>
        <x:v>145</x:v>
      </x:c>
      <x:c r="C53" s="63" t="n">
        <x:f>COUNTIF(Popover!H9:H500,"covered")</x:f>
        <x:v>145</x:v>
      </x:c>
      <x:c r="D53" s="63" t="n">
        <x:f>COUNTIF(Popover!H9:H500,"partial")</x:f>
        <x:v>0</x:v>
      </x:c>
      <x:c r="E53" s="63" t="n">
        <x:f>COUNTIF(Popover!H9:H500,"missing")</x:f>
        <x:v>0</x:v>
      </x:c>
      <x:c r="F53" s="63" t="n">
        <x:f>COUNTIF(Popover!H9:H500,"untested")</x:f>
        <x:v>0</x:v>
      </x:c>
      <x:c r="G53" s="64" t="n">
        <x:f>IFERROR(C53/B53,0)</x:f>
        <x:v>1</x:v>
      </x:c>
      <x:c r="H53" s="65" t="str">
        <x:f>IF(AND(B53&gt;0,I53=0,G53=1),"Done","Open")</x:f>
        <x:v>Done</x:v>
      </x:c>
      <x:c r="I53" s="65" t="n">
        <x:f>MAX(0,B53-C53)</x:f>
        <x:v>0</x:v>
      </x:c>
    </x:row>
    <x:row r="54" s="51" customFormat="1" ht="15" customHeight="1">
      <x:c r="A54" s="62" t="inlineStr">
        <x:is>
          <x:t xml:space="preserve">Portal</x:t>
        </x:is>
      </x:c>
      <x:c r="B54" s="63" t="n">
        <x:f>COUNT(Portal!A9:A500)</x:f>
        <x:v>23</x:v>
      </x:c>
      <x:c r="C54" s="63" t="n">
        <x:f>COUNTIF(Portal!H9:H500,"covered")</x:f>
        <x:v>23</x:v>
      </x:c>
      <x:c r="D54" s="63" t="n">
        <x:f>COUNTIF(Portal!H9:H500,"partial")</x:f>
        <x:v>0</x:v>
      </x:c>
      <x:c r="E54" s="63" t="n">
        <x:f>COUNTIF(Portal!H9:H500,"missing")</x:f>
        <x:v>0</x:v>
      </x:c>
      <x:c r="F54" s="63" t="n">
        <x:f>COUNTIF(Portal!H9:H500,"untested")</x:f>
        <x:v>0</x:v>
      </x:c>
      <x:c r="G54" s="64" t="n">
        <x:f>IFERROR(C54/B54,0)</x:f>
        <x:v>1</x:v>
      </x:c>
      <x:c r="H54" s="65" t="str">
        <x:f>IF(AND(B54&gt;0,I54=0,G54=1),"Done","Open")</x:f>
        <x:v>Done</x:v>
      </x:c>
      <x:c r="I54" s="65" t="n">
        <x:f>MAX(0,B54-C54)</x:f>
        <x:v>0</x:v>
      </x:c>
    </x:row>
    <x:row r="55" s="51" customFormat="1" ht="15" customHeight="1">
      <x:c r="A55" s="62" t="inlineStr">
        <x:is>
          <x:t xml:space="preserve">Pressable</x:t>
        </x:is>
      </x:c>
      <x:c r="B55" s="63" t="n">
        <x:f>COUNT(Pressable!A9:A500)</x:f>
        <x:v>42</x:v>
      </x:c>
      <x:c r="C55" s="63" t="n">
        <x:f>COUNTIF(Pressable!H9:H500,"covered")</x:f>
        <x:v>42</x:v>
      </x:c>
      <x:c r="D55" s="63" t="n">
        <x:f>COUNTIF(Pressable!H9:H500,"partial")</x:f>
        <x:v>0</x:v>
      </x:c>
      <x:c r="E55" s="63" t="n">
        <x:f>COUNTIF(Pressable!H9:H500,"missing")</x:f>
        <x:v>0</x:v>
      </x:c>
      <x:c r="F55" s="63" t="n">
        <x:f>COUNTIF(Pressable!H9:H500,"untested")</x:f>
        <x:v>0</x:v>
      </x:c>
      <x:c r="G55" s="64" t="n">
        <x:f>IFERROR(C55/B55,0)</x:f>
        <x:v>1</x:v>
      </x:c>
      <x:c r="H55" s="65" t="str">
        <x:f>IF(AND(B55&gt;0,I55=0,G55=1),"Done","Open")</x:f>
        <x:v>Done</x:v>
      </x:c>
      <x:c r="I55" s="65" t="n">
        <x:f>MAX(0,B55-C55)</x:f>
        <x:v>0</x:v>
      </x:c>
    </x:row>
    <x:row r="56" s="51" customFormat="1" ht="15" customHeight="1">
      <x:c r="A56" s="62" t="inlineStr">
        <x:is>
          <x:t xml:space="preserve">Progress</x:t>
        </x:is>
      </x:c>
      <x:c r="B56" s="63" t="n">
        <x:f>COUNT(Progress!A9:A500)</x:f>
        <x:v>59</x:v>
      </x:c>
      <x:c r="C56" s="63" t="n">
        <x:f>COUNTIF(Progress!H9:H500,"covered")</x:f>
        <x:v>59</x:v>
      </x:c>
      <x:c r="D56" s="63" t="n">
        <x:f>COUNTIF(Progress!H9:H500,"partial")</x:f>
        <x:v>0</x:v>
      </x:c>
      <x:c r="E56" s="63" t="n">
        <x:f>COUNTIF(Progress!H9:H500,"missing")</x:f>
        <x:v>0</x:v>
      </x:c>
      <x:c r="F56" s="63" t="n">
        <x:f>COUNTIF(Progress!H9:H500,"untested")</x:f>
        <x:v>0</x:v>
      </x:c>
      <x:c r="G56" s="64" t="n">
        <x:f>IFERROR(C56/B56,0)</x:f>
        <x:v>1</x:v>
      </x:c>
      <x:c r="H56" s="65" t="str">
        <x:f>IF(AND(B56&gt;0,I56=0,G56=1),"Done","Open")</x:f>
        <x:v>Done</x:v>
      </x:c>
      <x:c r="I56" s="65" t="n">
        <x:f>MAX(0,B56-C56)</x:f>
        <x:v>0</x:v>
      </x:c>
    </x:row>
    <x:row r="57" s="51" customFormat="1" ht="15" customHeight="1">
      <x:c r="A57" s="62" t="inlineStr">
        <x:is>
          <x:t xml:space="preserve">RadioGroup</x:t>
        </x:is>
      </x:c>
      <x:c r="B57" s="63" t="n">
        <x:f>COUNT(RadioGroup!A9:A500)</x:f>
        <x:v>94</x:v>
      </x:c>
      <x:c r="C57" s="63" t="n">
        <x:f>COUNTIF(RadioGroup!H9:H500,"covered")</x:f>
        <x:v>90</x:v>
      </x:c>
      <x:c r="D57" s="63" t="n">
        <x:f>COUNTIF(RadioGroup!H9:H500,"partial")</x:f>
        <x:v>0</x:v>
      </x:c>
      <x:c r="E57" s="63" t="n">
        <x:f>COUNTIF(RadioGroup!H9:H500,"missing")</x:f>
        <x:v>0</x:v>
      </x:c>
      <x:c r="F57" s="63" t="n">
        <x:f>COUNTIF(RadioGroup!H9:H500,"untested")</x:f>
        <x:v>4</x:v>
      </x:c>
      <x:c r="G57" s="64" t="n">
        <x:f>IFERROR(C57/B57,0)</x:f>
        <x:v>0.9574468085106383</x:v>
      </x:c>
      <x:c r="H57" s="65" t="str">
        <x:f>IF(AND(B57&gt;0,I57=0,G57=1),"Done","Open")</x:f>
        <x:v>Open</x:v>
      </x:c>
      <x:c r="I57" s="65" t="n">
        <x:f>MAX(0,B57-C57)</x:f>
        <x:v>4</x:v>
      </x:c>
    </x:row>
    <x:row r="58" s="51" customFormat="1" ht="15" customHeight="1">
      <x:c r="A58" s="62" t="inlineStr">
        <x:is>
          <x:t xml:space="preserve">Rating</x:t>
        </x:is>
      </x:c>
      <x:c r="B58" s="63" t="n">
        <x:f>COUNT(Rating!A9:A500)</x:f>
        <x:v>101</x:v>
      </x:c>
      <x:c r="C58" s="63" t="n">
        <x:f>COUNTIF(Rating!H9:H500,"covered")</x:f>
        <x:v>99</x:v>
      </x:c>
      <x:c r="D58" s="63" t="n">
        <x:f>COUNTIF(Rating!H9:H500,"partial")</x:f>
        <x:v>0</x:v>
      </x:c>
      <x:c r="E58" s="63" t="n">
        <x:f>COUNTIF(Rating!H9:H500,"missing")</x:f>
        <x:v>0</x:v>
      </x:c>
      <x:c r="F58" s="63" t="n">
        <x:f>COUNTIF(Rating!H9:H500,"untested")</x:f>
        <x:v>2</x:v>
      </x:c>
      <x:c r="G58" s="64" t="n">
        <x:f>IFERROR(C58/B58,0)</x:f>
        <x:v>0.9801980198019802</x:v>
      </x:c>
      <x:c r="H58" s="65" t="str">
        <x:f>IF(AND(B58&gt;0,I58=0,G58=1),"Done","Open")</x:f>
        <x:v>Open</x:v>
      </x:c>
      <x:c r="I58" s="65" t="n">
        <x:f>MAX(0,B58-C58)</x:f>
        <x:v>2</x:v>
      </x:c>
    </x:row>
    <x:row r="59" s="51" customFormat="1" ht="15" customHeight="1">
      <x:c r="A59" s="62" t="inlineStr">
        <x:is>
          <x:t xml:space="preserve">ScrollArea</x:t>
        </x:is>
      </x:c>
      <x:c r="B59" s="63" t="n">
        <x:f>COUNT(ScrollArea!A9:A500)</x:f>
        <x:v>52</x:v>
      </x:c>
      <x:c r="C59" s="63" t="n">
        <x:f>COUNTIF(ScrollArea!H9:H500,"covered")</x:f>
        <x:v>46</x:v>
      </x:c>
      <x:c r="D59" s="63" t="n">
        <x:f>COUNTIF(ScrollArea!H9:H500,"partial")</x:f>
        <x:v>6</x:v>
      </x:c>
      <x:c r="E59" s="63" t="n">
        <x:f>COUNTIF(ScrollArea!H9:H500,"missing")</x:f>
        <x:v>0</x:v>
      </x:c>
      <x:c r="F59" s="63" t="n">
        <x:f>COUNTIF(ScrollArea!H9:H500,"untested")</x:f>
        <x:v>0</x:v>
      </x:c>
      <x:c r="G59" s="64" t="n">
        <x:f>IFERROR(C59/B59,0)</x:f>
        <x:v>0.8846153846153846</x:v>
      </x:c>
      <x:c r="H59" s="65" t="str">
        <x:f>IF(AND(B59&gt;0,I59=0,G59=1),"Done","Open")</x:f>
        <x:v>Open</x:v>
      </x:c>
      <x:c r="I59" s="65" t="n">
        <x:f>MAX(0,B59-C59)</x:f>
        <x:v>6</x:v>
      </x:c>
    </x:row>
    <x:row r="60" s="51" customFormat="1" ht="15" customHeight="1">
      <x:c r="A60" s="62" t="inlineStr">
        <x:is>
          <x:t xml:space="preserve">Select</x:t>
        </x:is>
      </x:c>
      <x:c r="B60" s="63" t="n">
        <x:f>COUNT(Select!A9:A500)</x:f>
        <x:v>172</x:v>
      </x:c>
      <x:c r="C60" s="63" t="n">
        <x:f>COUNTIF(Select!H9:H500,"covered")</x:f>
        <x:v>163</x:v>
      </x:c>
      <x:c r="D60" s="63" t="n">
        <x:f>COUNTIF(Select!H9:H500,"partial")</x:f>
        <x:v>3</x:v>
      </x:c>
      <x:c r="E60" s="63" t="n">
        <x:f>COUNTIF(Select!H9:H500,"missing")</x:f>
        <x:v>0</x:v>
      </x:c>
      <x:c r="F60" s="63" t="n">
        <x:f>COUNTIF(Select!H9:H500,"untested")</x:f>
        <x:v>6</x:v>
      </x:c>
      <x:c r="G60" s="64" t="n">
        <x:f>IFERROR(C60/B60,0)</x:f>
        <x:v>0.9476744186046512</x:v>
      </x:c>
      <x:c r="H60" s="65" t="str">
        <x:f>IF(AND(B60&gt;0,I60=0,G60=1),"Done","Open")</x:f>
        <x:v>Open</x:v>
      </x:c>
      <x:c r="I60" s="65" t="n">
        <x:f>MAX(0,B60-C60)</x:f>
        <x:v>9</x:v>
      </x:c>
    </x:row>
    <x:row r="61" s="51" customFormat="1" ht="15" customHeight="1">
      <x:c r="A61" s="62" t="inlineStr">
        <x:is>
          <x:t xml:space="preserve">Sidebar</x:t>
        </x:is>
      </x:c>
      <x:c r="B61" s="63" t="n">
        <x:f>COUNT(Sidebar!A9:A500)</x:f>
        <x:v>84</x:v>
      </x:c>
      <x:c r="C61" s="63" t="n">
        <x:f>COUNTIF(Sidebar!H9:H500,"covered")</x:f>
        <x:v>84</x:v>
      </x:c>
      <x:c r="D61" s="63" t="n">
        <x:f>COUNTIF(Sidebar!H9:H500,"partial")</x:f>
        <x:v>0</x:v>
      </x:c>
      <x:c r="E61" s="63" t="n">
        <x:f>COUNTIF(Sidebar!H9:H500,"missing")</x:f>
        <x:v>0</x:v>
      </x:c>
      <x:c r="F61" s="63" t="n">
        <x:f>COUNTIF(Sidebar!H9:H500,"untested")</x:f>
        <x:v>0</x:v>
      </x:c>
      <x:c r="G61" s="64" t="n">
        <x:f>IFERROR(C61/B61,0)</x:f>
        <x:v>1</x:v>
      </x:c>
      <x:c r="H61" s="65" t="str">
        <x:f>IF(AND(B61&gt;0,I61=0,G61=1),"Done","Open")</x:f>
        <x:v>Done</x:v>
      </x:c>
      <x:c r="I61" s="65" t="n">
        <x:f>MAX(0,B61-C61)</x:f>
        <x:v>0</x:v>
      </x:c>
    </x:row>
    <x:row r="62" s="51" customFormat="1" ht="15" customHeight="1">
      <x:c r="A62" s="62" t="inlineStr">
        <x:is>
          <x:t xml:space="preserve">SkipLink</x:t>
        </x:is>
      </x:c>
      <x:c r="B62" s="63" t="n">
        <x:f>COUNT(SkipLink!A9:A500)</x:f>
        <x:v>42</x:v>
      </x:c>
      <x:c r="C62" s="63" t="n">
        <x:f>COUNTIF(SkipLink!H9:H500,"covered")</x:f>
        <x:v>42</x:v>
      </x:c>
      <x:c r="D62" s="63" t="n">
        <x:f>COUNTIF(SkipLink!H9:H500,"partial")</x:f>
        <x:v>0</x:v>
      </x:c>
      <x:c r="E62" s="63" t="n">
        <x:f>COUNTIF(SkipLink!H9:H500,"missing")</x:f>
        <x:v>0</x:v>
      </x:c>
      <x:c r="F62" s="63" t="n">
        <x:f>COUNTIF(SkipLink!H9:H500,"untested")</x:f>
        <x:v>0</x:v>
      </x:c>
      <x:c r="G62" s="64" t="n">
        <x:f>IFERROR(C62/B62,0)</x:f>
        <x:v>1</x:v>
      </x:c>
      <x:c r="H62" s="65" t="str">
        <x:f>IF(AND(B62&gt;0,I62=0,G62=1),"Done","Open")</x:f>
        <x:v>Done</x:v>
      </x:c>
      <x:c r="I62" s="65" t="n">
        <x:f>MAX(0,B62-C62)</x:f>
        <x:v>0</x:v>
      </x:c>
    </x:row>
    <x:row r="63" s="51" customFormat="1" ht="15" customHeight="1">
      <x:c r="A63" s="62" t="inlineStr">
        <x:is>
          <x:t xml:space="preserve">Slider</x:t>
        </x:is>
      </x:c>
      <x:c r="B63" s="63" t="n">
        <x:f>COUNT(Slider!A9:A500)</x:f>
        <x:v>105</x:v>
      </x:c>
      <x:c r="C63" s="63" t="n">
        <x:f>COUNTIF(Slider!H9:H500,"covered")</x:f>
        <x:v>103</x:v>
      </x:c>
      <x:c r="D63" s="63" t="n">
        <x:f>COUNTIF(Slider!H9:H500,"partial")</x:f>
        <x:v>0</x:v>
      </x:c>
      <x:c r="E63" s="63" t="n">
        <x:f>COUNTIF(Slider!H9:H500,"missing")</x:f>
        <x:v>0</x:v>
      </x:c>
      <x:c r="F63" s="63" t="n">
        <x:f>COUNTIF(Slider!H9:H500,"untested")</x:f>
        <x:v>2</x:v>
      </x:c>
      <x:c r="G63" s="64" t="n">
        <x:f>IFERROR(C63/B63,0)</x:f>
        <x:v>0.9809523809523809</x:v>
      </x:c>
      <x:c r="H63" s="65" t="str">
        <x:f>IF(AND(B63&gt;0,I63=0,G63=1),"Done","Open")</x:f>
        <x:v>Open</x:v>
      </x:c>
      <x:c r="I63" s="65" t="n">
        <x:f>MAX(0,B63-C63)</x:f>
        <x:v>2</x:v>
      </x:c>
    </x:row>
    <x:row r="64" s="51" customFormat="1" ht="15" customHeight="1">
      <x:c r="A64" s="62" t="inlineStr">
        <x:is>
          <x:t xml:space="preserve">SwipeableItem</x:t>
        </x:is>
      </x:c>
      <x:c r="B64" s="63" t="n">
        <x:f>COUNT(SwipeableItem!A9:A500)</x:f>
        <x:v>90</x:v>
      </x:c>
      <x:c r="C64" s="63" t="n">
        <x:f>COUNTIF(SwipeableItem!H9:H500,"covered")</x:f>
        <x:v>90</x:v>
      </x:c>
      <x:c r="D64" s="63" t="n">
        <x:f>COUNTIF(SwipeableItem!H9:H500,"partial")</x:f>
        <x:v>0</x:v>
      </x:c>
      <x:c r="E64" s="63" t="n">
        <x:f>COUNTIF(SwipeableItem!H9:H500,"missing")</x:f>
        <x:v>0</x:v>
      </x:c>
      <x:c r="F64" s="63" t="n">
        <x:f>COUNTIF(SwipeableItem!H9:H500,"untested")</x:f>
        <x:v>0</x:v>
      </x:c>
      <x:c r="G64" s="64" t="n">
        <x:f>IFERROR(C64/B64,0)</x:f>
        <x:v>1</x:v>
      </x:c>
      <x:c r="H64" s="65" t="str">
        <x:f>IF(AND(B64&gt;0,I64=0,G64=1),"Done","Open")</x:f>
        <x:v>Done</x:v>
      </x:c>
      <x:c r="I64" s="65" t="n">
        <x:f>MAX(0,B64-C64)</x:f>
        <x:v>0</x:v>
      </x:c>
    </x:row>
    <x:row r="65" s="51" customFormat="1" ht="15" customHeight="1">
      <x:c r="A65" s="62" t="inlineStr">
        <x:is>
          <x:t xml:space="preserve">Switch</x:t>
        </x:is>
      </x:c>
      <x:c r="B65" s="63" t="n">
        <x:f>COUNT(Switch!A9:A500)</x:f>
        <x:v>79</x:v>
      </x:c>
      <x:c r="C65" s="63" t="n">
        <x:f>COUNTIF(Switch!H9:H500,"covered")</x:f>
        <x:v>76</x:v>
      </x:c>
      <x:c r="D65" s="63" t="n">
        <x:f>COUNTIF(Switch!H9:H500,"partial")</x:f>
        <x:v>0</x:v>
      </x:c>
      <x:c r="E65" s="63" t="n">
        <x:f>COUNTIF(Switch!H9:H500,"missing")</x:f>
        <x:v>0</x:v>
      </x:c>
      <x:c r="F65" s="63" t="n">
        <x:f>COUNTIF(Switch!H9:H500,"untested")</x:f>
        <x:v>3</x:v>
      </x:c>
      <x:c r="G65" s="64" t="n">
        <x:f>IFERROR(C65/B65,0)</x:f>
        <x:v>0.9620253164556962</x:v>
      </x:c>
      <x:c r="H65" s="65" t="str">
        <x:f>IF(AND(B65&gt;0,I65=0,G65=1),"Done","Open")</x:f>
        <x:v>Open</x:v>
      </x:c>
      <x:c r="I65" s="65" t="n">
        <x:f>MAX(0,B65-C65)</x:f>
        <x:v>3</x:v>
      </x:c>
    </x:row>
    <x:row r="66" s="51" customFormat="1" ht="15" customHeight="1">
      <x:c r="A66" s="62" t="inlineStr">
        <x:is>
          <x:t xml:space="preserve">Table</x:t>
        </x:is>
      </x:c>
      <x:c r="B66" s="63" t="n">
        <x:f>COUNT(Table!A9:A500)</x:f>
        <x:v>88</x:v>
      </x:c>
      <x:c r="C66" s="63" t="n">
        <x:f>COUNTIF(Table!H9:H500,"covered")</x:f>
        <x:v>88</x:v>
      </x:c>
      <x:c r="D66" s="63" t="n">
        <x:f>COUNTIF(Table!H9:H500,"partial")</x:f>
        <x:v>0</x:v>
      </x:c>
      <x:c r="E66" s="63" t="n">
        <x:f>COUNTIF(Table!H9:H500,"missing")</x:f>
        <x:v>0</x:v>
      </x:c>
      <x:c r="F66" s="63" t="n">
        <x:f>COUNTIF(Table!H9:H500,"untested")</x:f>
        <x:v>0</x:v>
      </x:c>
      <x:c r="G66" s="64" t="n">
        <x:f>IFERROR(C66/B66,0)</x:f>
        <x:v>1</x:v>
      </x:c>
      <x:c r="H66" s="65" t="str">
        <x:f>IF(AND(B66&gt;0,I66=0,G66=1),"Done","Open")</x:f>
        <x:v>Done</x:v>
      </x:c>
      <x:c r="I66" s="65" t="n">
        <x:f>MAX(0,B66-C66)</x:f>
        <x:v>0</x:v>
      </x:c>
    </x:row>
    <x:row r="67" s="51" customFormat="1" ht="15" customHeight="1">
      <x:c r="A67" s="62" t="inlineStr">
        <x:is>
          <x:t xml:space="preserve">Tabs</x:t>
        </x:is>
      </x:c>
      <x:c r="B67" s="63" t="n">
        <x:f>COUNT(Tabs!A9:A500)</x:f>
        <x:v>104</x:v>
      </x:c>
      <x:c r="C67" s="63" t="n">
        <x:f>COUNTIF(Tabs!H9:H500,"covered")</x:f>
        <x:v>98</x:v>
      </x:c>
      <x:c r="D67" s="63" t="n">
        <x:f>COUNTIF(Tabs!H9:H500,"partial")</x:f>
        <x:v>6</x:v>
      </x:c>
      <x:c r="E67" s="63" t="n">
        <x:f>COUNTIF(Tabs!H9:H500,"missing")</x:f>
        <x:v>0</x:v>
      </x:c>
      <x:c r="F67" s="63" t="n">
        <x:f>COUNTIF(Tabs!H9:H500,"untested")</x:f>
        <x:v>0</x:v>
      </x:c>
      <x:c r="G67" s="64" t="n">
        <x:f>IFERROR(C67/B67,0)</x:f>
        <x:v>0.9423076923076923</x:v>
      </x:c>
      <x:c r="H67" s="65" t="str">
        <x:f>IF(AND(B67&gt;0,I67=0,G67=1),"Done","Open")</x:f>
        <x:v>Open</x:v>
      </x:c>
      <x:c r="I67" s="65" t="n">
        <x:f>MAX(0,B67-C67)</x:f>
        <x:v>6</x:v>
      </x:c>
    </x:row>
    <x:row r="68" s="51" customFormat="1" ht="15" customHeight="1">
      <x:c r="A68" s="62" t="inlineStr">
        <x:is>
          <x:t xml:space="preserve">Textarea</x:t>
        </x:is>
      </x:c>
      <x:c r="B68" s="63" t="n">
        <x:f>COUNT(Textarea!A9:A500)</x:f>
        <x:v>73</x:v>
      </x:c>
      <x:c r="C68" s="63" t="n">
        <x:f>COUNTIF(Textarea!H9:H500,"covered")</x:f>
        <x:v>71</x:v>
      </x:c>
      <x:c r="D68" s="63" t="n">
        <x:f>COUNTIF(Textarea!H9:H500,"partial")</x:f>
        <x:v>0</x:v>
      </x:c>
      <x:c r="E68" s="63" t="n">
        <x:f>COUNTIF(Textarea!H9:H500,"missing")</x:f>
        <x:v>0</x:v>
      </x:c>
      <x:c r="F68" s="63" t="n">
        <x:f>COUNTIF(Textarea!H9:H500,"untested")</x:f>
        <x:v>2</x:v>
      </x:c>
      <x:c r="G68" s="64" t="n">
        <x:f>IFERROR(C68/B68,0)</x:f>
        <x:v>0.9726027397260274</x:v>
      </x:c>
      <x:c r="H68" s="65" t="str">
        <x:f>IF(AND(B68&gt;0,I68=0,G68=1),"Done","Open")</x:f>
        <x:v>Open</x:v>
      </x:c>
      <x:c r="I68" s="65" t="n">
        <x:f>MAX(0,B68-C68)</x:f>
        <x:v>2</x:v>
      </x:c>
    </x:row>
    <x:row r="69" s="51" customFormat="1" ht="15" customHeight="1">
      <x:c r="A69" s="62" t="inlineStr">
        <x:is>
          <x:t xml:space="preserve">Toast</x:t>
        </x:is>
      </x:c>
      <x:c r="B69" s="63" t="n">
        <x:f>COUNT(Toast!A9:A500)</x:f>
        <x:v>121</x:v>
      </x:c>
      <x:c r="C69" s="63" t="n">
        <x:f>COUNTIF(Toast!H9:H500,"covered")</x:f>
        <x:v>121</x:v>
      </x:c>
      <x:c r="D69" s="63" t="n">
        <x:f>COUNTIF(Toast!H9:H500,"partial")</x:f>
        <x:v>0</x:v>
      </x:c>
      <x:c r="E69" s="63" t="n">
        <x:f>COUNTIF(Toast!H9:H500,"missing")</x:f>
        <x:v>0</x:v>
      </x:c>
      <x:c r="F69" s="63" t="n">
        <x:f>COUNTIF(Toast!H9:H500,"untested")</x:f>
        <x:v>0</x:v>
      </x:c>
      <x:c r="G69" s="64" t="n">
        <x:f>IFERROR(C69/B69,0)</x:f>
        <x:v>1</x:v>
      </x:c>
      <x:c r="H69" s="65" t="str">
        <x:f>IF(AND(B69&gt;0,I69=0,G69=1),"Done","Open")</x:f>
        <x:v>Done</x:v>
      </x:c>
      <x:c r="I69" s="65" t="n">
        <x:f>MAX(0,B69-C69)</x:f>
        <x:v>0</x:v>
      </x:c>
    </x:row>
    <x:row r="70" s="51" customFormat="1" ht="15" customHeight="1">
      <x:c r="A70" s="62" t="inlineStr">
        <x:is>
          <x:t xml:space="preserve">Toggle</x:t>
        </x:is>
      </x:c>
      <x:c r="B70" s="63" t="n">
        <x:f>COUNT(Toggle!A9:A500)</x:f>
        <x:v>37</x:v>
      </x:c>
      <x:c r="C70" s="63" t="n">
        <x:f>COUNTIF(Toggle!H9:H500,"covered")</x:f>
        <x:v>37</x:v>
      </x:c>
      <x:c r="D70" s="63" t="n">
        <x:f>COUNTIF(Toggle!H9:H500,"partial")</x:f>
        <x:v>0</x:v>
      </x:c>
      <x:c r="E70" s="63" t="n">
        <x:f>COUNTIF(Toggle!H9:H500,"missing")</x:f>
        <x:v>0</x:v>
      </x:c>
      <x:c r="F70" s="63" t="n">
        <x:f>COUNTIF(Toggle!H9:H500,"untested")</x:f>
        <x:v>0</x:v>
      </x:c>
      <x:c r="G70" s="64" t="n">
        <x:f>IFERROR(C70/B70,0)</x:f>
        <x:v>1</x:v>
      </x:c>
      <x:c r="H70" s="65" t="str">
        <x:f>IF(AND(B70&gt;0,I70=0,G70=1),"Done","Open")</x:f>
        <x:v>Done</x:v>
      </x:c>
      <x:c r="I70" s="65" t="n">
        <x:f>MAX(0,B70-C70)</x:f>
        <x:v>0</x:v>
      </x:c>
    </x:row>
    <x:row r="71" s="51" customFormat="1" ht="15" customHeight="1">
      <x:c r="A71" s="62" t="inlineStr">
        <x:is>
          <x:t xml:space="preserve">ToggleGroup</x:t>
        </x:is>
      </x:c>
      <x:c r="B71" s="63" t="n">
        <x:f>COUNT(ToggleGroup!A9:A500)</x:f>
        <x:v>54</x:v>
      </x:c>
      <x:c r="C71" s="63" t="n">
        <x:f>COUNTIF(ToggleGroup!H9:H500,"covered")</x:f>
        <x:v>54</x:v>
      </x:c>
      <x:c r="D71" s="63" t="n">
        <x:f>COUNTIF(ToggleGroup!H9:H500,"partial")</x:f>
        <x:v>0</x:v>
      </x:c>
      <x:c r="E71" s="63" t="n">
        <x:f>COUNTIF(ToggleGroup!H9:H500,"missing")</x:f>
        <x:v>0</x:v>
      </x:c>
      <x:c r="F71" s="63" t="n">
        <x:f>COUNTIF(ToggleGroup!H9:H500,"untested")</x:f>
        <x:v>0</x:v>
      </x:c>
      <x:c r="G71" s="64" t="n">
        <x:f>IFERROR(C71/B71,0)</x:f>
        <x:v>1</x:v>
      </x:c>
      <x:c r="H71" s="65" t="str">
        <x:f>IF(AND(B71&gt;0,I71=0,G71=1),"Done","Open")</x:f>
        <x:v>Done</x:v>
      </x:c>
      <x:c r="I71" s="65" t="n">
        <x:f>MAX(0,B71-C71)</x:f>
        <x:v>0</x:v>
      </x:c>
    </x:row>
    <x:row r="72" s="51" customFormat="1" ht="13.5" customHeight="1">
      <x:c r="A72" s="62" t="inlineStr">
        <x:is>
          <x:t xml:space="preserve">Toolbar</x:t>
        </x:is>
      </x:c>
      <x:c r="B72" s="63" t="n">
        <x:f>COUNT(Toolbar!A9:A500)</x:f>
        <x:v>110</x:v>
      </x:c>
      <x:c r="C72" s="63" t="n">
        <x:f>COUNTIF(Toolbar!H9:H500,"covered")</x:f>
        <x:v>109</x:v>
      </x:c>
      <x:c r="D72" s="63" t="n">
        <x:f>COUNTIF(Toolbar!H9:H500,"partial")</x:f>
        <x:v>0</x:v>
      </x:c>
      <x:c r="E72" s="63" t="n">
        <x:f>COUNTIF(Toolbar!H9:H500,"missing")</x:f>
        <x:v>0</x:v>
      </x:c>
      <x:c r="F72" s="63" t="n">
        <x:f>COUNTIF(Toolbar!H9:H500,"untested")</x:f>
        <x:v>1</x:v>
      </x:c>
      <x:c r="G72" s="64" t="n">
        <x:f>IFERROR(C72/B72,0)</x:f>
        <x:v>0.990909090909091</x:v>
      </x:c>
      <x:c r="H72" s="65" t="str">
        <x:f>IF(AND(B72&gt;0,I72=0,G72=1),"Done","Open")</x:f>
        <x:v>Open</x:v>
      </x:c>
      <x:c r="I72" s="65" t="n">
        <x:f>MAX(0,B72-C72)</x:f>
        <x:v>1</x:v>
      </x:c>
    </x:row>
    <x:row r="73" s="51" customFormat="1" ht="13.5" customHeight="1">
      <x:c r="A73" s="62" t="inlineStr">
        <x:is>
          <x:t xml:space="preserve">Tooltip</x:t>
        </x:is>
      </x:c>
      <x:c r="B73" s="63" t="n">
        <x:f>COUNT(Tooltip!A9:A500)</x:f>
        <x:v>90</x:v>
      </x:c>
      <x:c r="C73" s="63" t="n">
        <x:f>COUNTIF(Tooltip!H9:H500,"covered")</x:f>
        <x:v>90</x:v>
      </x:c>
      <x:c r="D73" s="63" t="n">
        <x:f>COUNTIF(Tooltip!H9:H500,"partial")</x:f>
        <x:v>0</x:v>
      </x:c>
      <x:c r="E73" s="63" t="n">
        <x:f>COUNTIF(Tooltip!H9:H500,"missing")</x:f>
        <x:v>0</x:v>
      </x:c>
      <x:c r="F73" s="63" t="n">
        <x:f>COUNTIF(Tooltip!H9:H500,"untested")</x:f>
        <x:v>0</x:v>
      </x:c>
      <x:c r="G73" s="64" t="n">
        <x:f>IFERROR(C73/B73,0)</x:f>
        <x:v>1</x:v>
      </x:c>
      <x:c r="H73" s="65" t="str">
        <x:f>IF(AND(B73&gt;0,I73=0,G73=1),"Done","Open")</x:f>
        <x:v>Done</x:v>
      </x:c>
      <x:c r="I73" s="65" t="n">
        <x:f>MAX(0,B73-C73)</x:f>
        <x:v>0</x:v>
      </x:c>
    </x:row>
    <x:row r="74" s="51" customFormat="1" ht="13.5" customHeight="1">
      <x:c r="A74" s="62" t="inlineStr">
        <x:is>
          <x:t xml:space="preserve">Tree</x:t>
        </x:is>
      </x:c>
      <x:c r="B74" s="63" t="n">
        <x:f>COUNT(Tree!A9:A500)</x:f>
        <x:v>102</x:v>
      </x:c>
      <x:c r="C74" s="63" t="n">
        <x:f>COUNTIF(Tree!H9:H500,"covered")</x:f>
        <x:v>102</x:v>
      </x:c>
      <x:c r="D74" s="63" t="n">
        <x:f>COUNTIF(Tree!H9:H500,"partial")</x:f>
        <x:v>0</x:v>
      </x:c>
      <x:c r="E74" s="63" t="n">
        <x:f>COUNTIF(Tree!H9:H500,"missing")</x:f>
        <x:v>0</x:v>
      </x:c>
      <x:c r="F74" s="63" t="n">
        <x:f>COUNTIF(Tree!H9:H500,"untested")</x:f>
        <x:v>0</x:v>
      </x:c>
      <x:c r="G74" s="64" t="n">
        <x:f>IFERROR(C74/B74,0)</x:f>
        <x:v>1</x:v>
      </x:c>
      <x:c r="H74" s="65" t="str">
        <x:f>IF(AND(B74&gt;0,I74=0,G74=1),"Done","Open")</x:f>
        <x:v>Done</x:v>
      </x:c>
      <x:c r="I74" s="65" t="n">
        <x:f>MAX(0,B74-C74)</x:f>
        <x:v>0</x:v>
      </x:c>
    </x:row>
    <x:row r="75" s="51" customFormat="1" ht="13.5" customHeight="1">
      <x:c r="A75" s="62" t="inlineStr">
        <x:is>
          <x:t xml:space="preserve">TreeGrid</x:t>
        </x:is>
      </x:c>
      <x:c r="B75" s="63" t="n">
        <x:f>COUNT(TreeGrid!A9:A500)</x:f>
        <x:v>186</x:v>
      </x:c>
      <x:c r="C75" s="63" t="n">
        <x:f>COUNTIF(TreeGrid!H9:H500,"covered")</x:f>
        <x:v>186</x:v>
      </x:c>
      <x:c r="D75" s="63" t="n">
        <x:f>COUNTIF(TreeGrid!H9:H500,"partial")</x:f>
        <x:v>0</x:v>
      </x:c>
      <x:c r="E75" s="63" t="n">
        <x:f>COUNTIF(TreeGrid!H9:H500,"missing")</x:f>
        <x:v>0</x:v>
      </x:c>
      <x:c r="F75" s="63" t="n">
        <x:f>COUNTIF(TreeGrid!H9:H500,"untested")</x:f>
        <x:v>0</x:v>
      </x:c>
      <x:c r="G75" s="64" t="n">
        <x:f>IFERROR(C75/B75,0)</x:f>
        <x:v>1</x:v>
      </x:c>
      <x:c r="H75" s="65" t="str">
        <x:f>IF(AND(B75&gt;0,I75=0,G75=1),"Done","Open")</x:f>
        <x:v>Done</x:v>
      </x:c>
      <x:c r="I75" s="65" t="n">
        <x:f>MAX(0,B75-C75)</x:f>
        <x:v>0</x:v>
      </x:c>
    </x:row>
    <x:row r="76" s="51" customFormat="1" ht="13.5" customHeight="1">
      <x:c r="A76" s="62" t="inlineStr">
        <x:is>
          <x:t xml:space="preserve">Virtualizer</x:t>
        </x:is>
      </x:c>
      <x:c r="B76" s="63" t="n">
        <x:f>COUNT(Virtualizer!A9:A500)</x:f>
        <x:v>25</x:v>
      </x:c>
      <x:c r="C76" s="63" t="n">
        <x:f>COUNTIF(Virtualizer!H9:H500,"covered")</x:f>
        <x:v>25</x:v>
      </x:c>
      <x:c r="D76" s="63" t="n">
        <x:f>COUNTIF(Virtualizer!H9:H500,"partial")</x:f>
        <x:v>0</x:v>
      </x:c>
      <x:c r="E76" s="63" t="n">
        <x:f>COUNTIF(Virtualizer!H9:H500,"missing")</x:f>
        <x:v>0</x:v>
      </x:c>
      <x:c r="F76" s="63" t="n">
        <x:f>COUNTIF(Virtualizer!H9:H500,"untested")</x:f>
        <x:v>0</x:v>
      </x:c>
      <x:c r="G76" s="64" t="n">
        <x:f>IFERROR(C76/B76,0)</x:f>
        <x:v>1</x:v>
      </x:c>
      <x:c r="H76" s="65" t="str">
        <x:f>IF(AND(B76&gt;0,I76=0,G76=1),"Done","Open")</x:f>
        <x:v>Done</x:v>
      </x:c>
      <x:c r="I76" s="65" t="n">
        <x:f>MAX(0,B76-C76)</x:f>
        <x:v>0</x:v>
      </x:c>
    </x:row>
    <x:row r="77" s="51" customFormat="1" ht="13.5" customHeight="1">
      <x:c r="A77" s="50" t="inlineStr">
        <x:is>
          <x:t xml:space="preserve">VisuallyHidden</x:t>
        </x:is>
      </x:c>
      <x:c r="B77" s="50" t="n">
        <x:f>COUNT(VisuallyHidden!A9:A500)</x:f>
        <x:v>27</x:v>
      </x:c>
      <x:c r="C77" s="50" t="n">
        <x:f>COUNTIF(VisuallyHidden!H9:H500,"covered")</x:f>
        <x:v>27</x:v>
      </x:c>
      <x:c r="D77" s="50" t="n">
        <x:f>COUNTIF(VisuallyHidden!H9:H500,"partial")</x:f>
        <x:v>0</x:v>
      </x:c>
      <x:c r="E77" s="50" t="n">
        <x:f>COUNTIF(VisuallyHidden!H9:H500,"missing")</x:f>
        <x:v>0</x:v>
      </x:c>
      <x:c r="F77" s="50" t="n">
        <x:f>COUNTIF(VisuallyHidden!H9:H500,"untested")</x:f>
        <x:v>0</x:v>
      </x:c>
      <x:c r="G77" s="50" t="n">
        <x:f>IFERROR(C77/B77,0)</x:f>
        <x:v>1</x:v>
      </x:c>
      <x:c r="H77" s="50" t="str">
        <x:f>IF(AND(B77&gt;0,I77=0,G77=1),"Done","Open")</x:f>
        <x:v>Done</x:v>
      </x:c>
      <x:c r="I77" s="50" t="n">
        <x:f>MAX(0,B77-C77)</x:f>
        <x:v>0</x:v>
      </x:c>
    </x:row>
    <x:row r="78" s="51" customFormat="1" ht="13.5" customHeight="1">
      <x:c r="A78" s="50" t="inlineStr">
        <x:is>
          <x:t xml:space="preserve">Steps</x:t>
        </x:is>
      </x:c>
      <x:c r="B78" s="50" t="n">
        <x:f>COUNT(Steps!A9:A500)</x:f>
        <x:v>8</x:v>
      </x:c>
      <x:c r="C78" s="50" t="n">
        <x:f>COUNTIF(Steps!H9:H500,"covered")</x:f>
        <x:v>0</x:v>
      </x:c>
      <x:c r="D78" s="50" t="n">
        <x:f>COUNTIF(Steps!H9:H500,"partial")</x:f>
        <x:v>8</x:v>
      </x:c>
      <x:c r="E78" s="50" t="n">
        <x:f>COUNTIF(Steps!H9:H500,"missing")</x:f>
        <x:v>0</x:v>
      </x:c>
      <x:c r="F78" s="50" t="n">
        <x:f>COUNTIF(Steps!H9:H500,"untested")</x:f>
        <x:v>0</x:v>
      </x:c>
      <x:c r="G78" s="50" t="n">
        <x:f>IFERROR(C78/B78,0)</x:f>
        <x:v>0</x:v>
      </x:c>
      <x:c r="H78" s="50" t="str">
        <x:f>IF(AND(B78&gt;0,I78=0,G78=1),"Done","Open")</x:f>
        <x:v>Open</x:v>
      </x:c>
      <x:c r="I78" s="50" t="n">
        <x:f>MAX(0,B78-C78)</x:f>
        <x:v>8</x:v>
      </x:c>
    </x:row>
    <x:row r="79">
      <x:c r="A79" s="66" t="inlineStr">
        <x:is>
          <x:t xml:space="preserve">Splitter</x:t>
        </x:is>
      </x:c>
      <x:c r="B79" s="66" t="n">
        <x:f>COUNT(Splitter!A9:A500)</x:f>
        <x:v>8</x:v>
      </x:c>
      <x:c r="C79" s="66" t="n">
        <x:f>COUNTIF(Splitter!H9:H500,"covered")</x:f>
        <x:v>0</x:v>
      </x:c>
      <x:c r="D79" s="66" t="n">
        <x:f>COUNTIF(Splitter!H9:H500,"partial")</x:f>
        <x:v>8</x:v>
      </x:c>
      <x:c r="E79" s="66" t="n">
        <x:f>COUNTIF(Splitter!H9:H500,"missing")</x:f>
        <x:v>0</x:v>
      </x:c>
      <x:c r="F79" s="66" t="n">
        <x:f>COUNTIF(Splitter!H9:H500,"untested")</x:f>
        <x:v>0</x:v>
      </x:c>
      <x:c r="G79" s="66" t="n">
        <x:f>IFERROR(C79/B79,0)</x:f>
        <x:v>0</x:v>
      </x:c>
      <x:c r="H79" s="66" t="str">
        <x:f>IF(AND(B79&gt;0,I79=0,G79=1),"Done","Open")</x:f>
        <x:v>Open</x:v>
      </x:c>
      <x:c r="I79" s="66" t="n">
        <x:f>MAX(0,B79-C79)</x:f>
        <x:v>8</x:v>
      </x:c>
    </x:row>
    <x:row r="80">
      <x:c r="A80" s="66" t="inlineStr">
        <x:is>
          <x:t xml:space="preserve">DownloadTrigger</x:t>
        </x:is>
      </x:c>
      <x:c r="B80" s="66" t="n">
        <x:f>COUNT('DownloadTrigger'!A9:A500)</x:f>
        <x:v>8</x:v>
      </x:c>
      <x:c r="C80" s="66" t="n">
        <x:f>COUNTIF('DownloadTrigger'!H9:H500,"covered")</x:f>
        <x:v>0</x:v>
      </x:c>
      <x:c r="D80" s="66" t="n">
        <x:f>COUNTIF('DownloadTrigger'!H9:H500,"partial")</x:f>
        <x:v>8</x:v>
      </x:c>
      <x:c r="E80" s="66" t="n">
        <x:f>COUNTIF('DownloadTrigger'!H9:H500,"missing")</x:f>
        <x:v>0</x:v>
      </x:c>
      <x:c r="F80" s="66" t="n">
        <x:f>COUNTIF('DownloadTrigger'!H9:H500,"untested")</x:f>
        <x:v>0</x:v>
      </x:c>
      <x:c r="G80" s="66" t="n">
        <x:f>IFERROR(C80/B80,0)</x:f>
        <x:v>0</x:v>
      </x:c>
      <x:c r="H80" s="66" t="str">
        <x:f>IF(AND(B80&gt;0,I80=0,G80=1),"Done","Open")</x:f>
        <x:v>Open</x:v>
      </x:c>
      <x:c r="I80" s="66" t="n">
        <x:f>MAX(0,B80-C80)</x:f>
        <x:v>8</x:v>
      </x:c>
    </x:row>
    <x:row r="81">
      <x:c r="A81" t="inlineStr">
        <x:is>
          <x:t xml:space="preserve">Calendar</x:t>
        </x:is>
      </x:c>
      <x:c r="B81" t="n">
        <x:f>COUNT('Calendar'!A9:A500)</x:f>
        <x:v>8</x:v>
      </x:c>
      <x:c r="C81" t="n">
        <x:f>COUNTIF('Calendar'!H9:H500,"covered")</x:f>
        <x:v>0</x:v>
      </x:c>
      <x:c r="D81" t="n">
        <x:f>COUNTIF('Calendar'!H9:H500,"partial")</x:f>
        <x:v>8</x:v>
      </x:c>
      <x:c r="E81" t="n">
        <x:f>COUNTIF('Calendar'!H9:H500,"missing")</x:f>
        <x:v>0</x:v>
      </x:c>
      <x:c r="F81" t="n">
        <x:f>COUNTIF('Calendar'!H9:H500,"untested")</x:f>
        <x:v>0</x:v>
      </x:c>
      <x:c r="G81" t="n">
        <x:f>IFERROR(C81/B81,0)</x:f>
        <x:v>0</x:v>
      </x:c>
      <x:c r="H81" t="str">
        <x:f>IF(AND(B81&gt;0,I81=0,G81=1),"Done","Open")</x:f>
        <x:v>Open</x:v>
      </x:c>
      <x:c r="I81" t="n">
        <x:f>MAX(0,B81-C81)</x:f>
        <x:v>8</x:v>
      </x:c>
    </x:row>
    <x:row r="82">
      <x:c r="A82" t="inlineStr">
        <x:is>
          <x:t xml:space="preserve">DateInput</x:t>
        </x:is>
      </x:c>
      <x:c r="B82" t="n">
        <x:f>COUNT('DateInput'!A9:A500)</x:f>
        <x:v>8</x:v>
      </x:c>
      <x:c r="C82" t="n">
        <x:f>COUNTIF('DateInput'!H9:H500,"covered")</x:f>
        <x:v>0</x:v>
      </x:c>
      <x:c r="D82" t="n">
        <x:f>COUNTIF('DateInput'!H9:H500,"partial")</x:f>
        <x:v>8</x:v>
      </x:c>
      <x:c r="E82" t="n">
        <x:f>COUNTIF('DateInput'!H9:H500,"missing")</x:f>
        <x:v>0</x:v>
      </x:c>
      <x:c r="F82" t="n">
        <x:f>COUNTIF('DateInput'!H9:H500,"untested")</x:f>
        <x:v>0</x:v>
      </x:c>
      <x:c r="G82" t="n">
        <x:f>IFERROR(C82/B82,0)</x:f>
        <x:v>0</x:v>
      </x:c>
      <x:c r="H82" t="str">
        <x:f>IF(AND(B82&gt;0,I82=0,G82=1),"Done","Open")</x:f>
        <x:v>Open</x:v>
      </x:c>
      <x:c r="I82" t="n">
        <x:f>MAX(0,B82-C82)</x:f>
        <x:v>8</x:v>
      </x:c>
    </x:row>
    <x:row r="83">
      <x:c r="A83" t="inlineStr">
        <x:is>
          <x:t xml:space="preserve">DatePicker</x:t>
        </x:is>
      </x:c>
      <x:c r="B83" t="n">
        <x:f>COUNT('DatePicker'!A9:A500)</x:f>
        <x:v>8</x:v>
      </x:c>
      <x:c r="C83" t="n">
        <x:f>COUNTIF('DatePicker'!H9:H500,"covered")</x:f>
        <x:v>0</x:v>
      </x:c>
      <x:c r="D83" t="n">
        <x:f>COUNTIF('DatePicker'!H9:H500,"partial")</x:f>
        <x:v>8</x:v>
      </x:c>
      <x:c r="E83" t="n">
        <x:f>COUNTIF('DatePicker'!H9:H500,"missing")</x:f>
        <x:v>0</x:v>
      </x:c>
      <x:c r="F83" t="n">
        <x:f>COUNTIF('DatePicker'!H9:H500,"untested")</x:f>
        <x:v>0</x:v>
      </x:c>
      <x:c r="G83" t="n">
        <x:f>IFERROR(C83/B83,0)</x:f>
        <x:v>0</x:v>
      </x:c>
      <x:c r="H83" t="str">
        <x:f>IF(AND(B83&gt;0,I83=0,G83=1),"Done","Open")</x:f>
        <x:v>Open</x:v>
      </x:c>
      <x:c r="I83" t="n">
        <x:f>MAX(0,B83-C83)</x:f>
        <x:v>8</x:v>
      </x:c>
    </x:row>
    <x:row r="84">
      <x:c r="A84" t="inlineStr">
        <x:is>
          <x:t xml:space="preserve">FloatingPanel</x:t>
        </x:is>
      </x:c>
      <x:c r="B84" t="n">
        <x:f>COUNT('FloatingPanel'!A9:A1000)</x:f>
        <x:v>27</x:v>
      </x:c>
      <x:c r="C84" t="n">
        <x:f>COUNTIF('FloatingPanel'!H9:H1000,"covered")</x:f>
        <x:v>0</x:v>
      </x:c>
      <x:c r="D84" t="n">
        <x:f>COUNTIF('FloatingPanel'!H9:H1000,"partial")</x:f>
        <x:v>27</x:v>
      </x:c>
      <x:c r="E84" t="n">
        <x:f>COUNTIF('FloatingPanel'!H9:H1000,"missing")</x:f>
        <x:v>0</x:v>
      </x:c>
      <x:c r="F84" t="n">
        <x:f>COUNTIF('FloatingPanel'!H9:H1000,"untested")</x:f>
        <x:v>0</x:v>
      </x:c>
      <x:c r="G84" t="n">
        <x:f>IFERROR(C84/B84,0)</x:f>
        <x:v>0</x:v>
      </x:c>
      <x:c r="H84" t="str">
        <x:f>IF(AND(B84&gt;0,I84=0,G84=1),"Done","Open")</x:f>
        <x:v>Open</x:v>
      </x:c>
      <x:c r="I84" t="n">
        <x:f>MAX(0,B84-C84)</x:f>
        <x:v>27</x:v>
      </x:c>
    </x:row>
    <x:row r="85">
      <x:c r="A85" t="inlineStr">
        <x:is>
          <x:t xml:space="preserve">OverlayManager</x:t>
        </x:is>
      </x:c>
      <x:c r="B85" t="n">
        <x:f>COUNT('OverlayManager'!A9:A1000)</x:f>
        <x:v>9</x:v>
      </x:c>
      <x:c r="C85" t="n">
        <x:f>COUNTIF('OverlayManager'!H9:H1000,"covered")</x:f>
        <x:v>0</x:v>
      </x:c>
      <x:c r="D85" t="n">
        <x:f>COUNTIF('OverlayManager'!H9:H1000,"partial")</x:f>
        <x:v>9</x:v>
      </x:c>
      <x:c r="E85" t="n">
        <x:f>COUNTIF('OverlayManager'!H9:H1000,"missing")</x:f>
        <x:v>0</x:v>
      </x:c>
      <x:c r="F85" t="n">
        <x:f>COUNTIF('OverlayManager'!H9:H1000,"untested")</x:f>
        <x:v>0</x:v>
      </x:c>
      <x:c r="G85" t="n">
        <x:f>IFERROR(C85/B85,0)</x:f>
        <x:v>0</x:v>
      </x:c>
      <x:c r="H85" t="str">
        <x:f>IF(AND(B85&gt;0,I85=0,G85=1),"Done","Open")</x:f>
        <x:v>Open</x:v>
      </x:c>
      <x:c r="I85" t="n">
        <x:f>MAX(0,B85-C85)</x:f>
        <x:v>9</x:v>
      </x:c>
    </x:row>
    <x:row r="86">
      <x:c r="A86" t="inlineStr">
        <x:is>
          <x:t xml:space="preserve">Marquee</x:t>
        </x:is>
      </x:c>
      <x:c r="B86" t="n">
        <x:f>COUNT('Marquee'!A9:A1000)</x:f>
        <x:v>17</x:v>
      </x:c>
      <x:c r="C86" t="n">
        <x:f>COUNTIF('Marquee'!H9:H1000,"covered")</x:f>
        <x:v>0</x:v>
      </x:c>
      <x:c r="D86" t="n">
        <x:f>COUNTIF('Marquee'!H9:H1000,"partial")</x:f>
        <x:v>0</x:v>
      </x:c>
      <x:c r="E86" t="n">
        <x:f>COUNTIF('Marquee'!H9:H1000,"missing")</x:f>
        <x:v>0</x:v>
      </x:c>
      <x:c r="F86" t="n">
        <x:f>COUNTIF('Marquee'!H9:H1000,"untested")</x:f>
        <x:v>17</x:v>
      </x:c>
      <x:c r="G86" t="n">
        <x:f>IFERROR(C86/B86,0)</x:f>
        <x:v>0</x:v>
      </x:c>
      <x:c r="H86" t="str">
        <x:f>IF(AND(B86&gt;0,I86=0,G86=1),"Done","Open")</x:f>
        <x:v>Open</x:v>
      </x:c>
      <x:c r="I86" t="n">
        <x:f>MAX(0,B86-C86)</x:f>
        <x:v>17</x:v>
      </x:c>
    </x:row>
    <x:row r="87">
      <x:c r="A87" t="inlineStr">
        <x:is>
          <x:t xml:space="preserve">TableOfContents</x:t>
        </x:is>
      </x:c>
      <x:c r="B87" t="n">
        <x:f>COUNT('TableOfContents'!A9:A1000)</x:f>
        <x:v>10</x:v>
      </x:c>
      <x:c r="C87" t="n">
        <x:f>COUNTIF('TableOfContents'!H9:H1000,"covered")</x:f>
        <x:v>0</x:v>
      </x:c>
      <x:c r="D87" t="n">
        <x:f>COUNTIF('TableOfContents'!H9:H1000,"partial")</x:f>
        <x:v>0</x:v>
      </x:c>
      <x:c r="E87" t="n">
        <x:f>COUNTIF('TableOfContents'!H9:H1000,"missing")</x:f>
        <x:v>0</x:v>
      </x:c>
      <x:c r="F87" t="n">
        <x:f>COUNTIF('TableOfContents'!H9:H1000,"untested")</x:f>
        <x:v>10</x:v>
      </x:c>
      <x:c r="G87" t="n">
        <x:f>IFERROR(C87/B87,0)</x:f>
        <x:v>0</x:v>
      </x:c>
      <x:c r="H87" t="str">
        <x:f>IF(AND(B87&gt;0,I87=0,G87=1),"Done","Open")</x:f>
        <x:v>Open</x:v>
      </x:c>
      <x:c r="I87" t="n">
        <x:f>MAX(0,B87-C87)</x:f>
        <x:v>10</x:v>
      </x:c>
    </x:row>
    <x:row r="88">
      <x:c r="A88" t="inlineStr">
        <x:is>
          <x:t xml:space="preserve">Selection</x:t>
        </x:is>
      </x:c>
      <x:c r="B88" t="n">
        <x:f>COUNT('Selection'!A9:A13)</x:f>
        <x:v>5</x:v>
      </x:c>
      <x:c r="C88" t="n">
        <x:f>COUNTIF('Selection'!H9:H13,"covered")</x:f>
        <x:v>0</x:v>
      </x:c>
      <x:c r="D88" t="n">
        <x:f>COUNTIF('Selection'!H9:H13,"partial")</x:f>
        <x:v>0</x:v>
      </x:c>
      <x:c r="E88" t="n">
        <x:f>COUNTIF('Selection'!H9:H13,"missing")</x:f>
        <x:v>0</x:v>
      </x:c>
      <x:c r="F88" t="n">
        <x:f>COUNTIF('Selection'!H9:H13,"untested")</x:f>
        <x:v>5</x:v>
      </x:c>
      <x:c r="G88" t="n">
        <x:f>IFERROR(C88/B88,0)</x:f>
        <x:v>0</x:v>
      </x:c>
      <x:c r="H88" t="str">
        <x:f>IF(AND(B88&gt;0,I88=0,G88=1),"Done","Open")</x:f>
        <x:v>Open</x:v>
      </x:c>
      <x:c r="I88" t="n">
        <x:f>MAX(0,B88-C88)</x:f>
        <x:v>5</x:v>
      </x:c>
    </x:row>
    <x:row r="89">
      <x:c r="A89" t="inlineStr">
        <x:is>
          <x:t xml:space="preserve">ActionDelegate</x:t>
        </x:is>
      </x:c>
      <x:c r="B89" t="n">
        <x:f>COUNT('ActionDelegate'!A9:A13)</x:f>
        <x:v>5</x:v>
      </x:c>
      <x:c r="C89" t="n">
        <x:f>COUNTIF('ActionDelegate'!H9:H13,"covered")</x:f>
        <x:v>0</x:v>
      </x:c>
      <x:c r="D89" t="n">
        <x:f>COUNTIF('ActionDelegate'!H9:H13,"partial")</x:f>
        <x:v>0</x:v>
      </x:c>
      <x:c r="E89" t="n">
        <x:f>COUNTIF('ActionDelegate'!H9:H13,"missing")</x:f>
        <x:v>0</x:v>
      </x:c>
      <x:c r="F89" t="n">
        <x:f>COUNTIF('ActionDelegate'!H9:H13,"untested")</x:f>
        <x:v>5</x:v>
      </x:c>
      <x:c r="G89" t="n">
        <x:f>IFERROR(C89/B89,0)</x:f>
        <x:v>0</x:v>
      </x:c>
      <x:c r="H89" t="str">
        <x:f>IF(AND(B89&gt;0,I89=0,G89=1),"Done","Open")</x:f>
        <x:v>Open</x:v>
      </x:c>
      <x:c r="I89" t="n">
        <x:f>MAX(0,B89-C89)</x:f>
        <x:v>5</x:v>
      </x:c>
    </x:row>
    <x:row r="90" s="51" customFormat="1" ht="32" customHeight="1">
      <x:c r="A90" t="inlineStr">
        <x:is>
          <x:t xml:space="preserve">Checkbox Card</x:t>
        </x:is>
      </x:c>
      <x:c r="B90" t="n">
        <x:f>COUNT('Checkbox Card'!A9:A14)</x:f>
        <x:v>6</x:v>
      </x:c>
      <x:c r="C90" t="n">
        <x:f>COUNTIF('Checkbox Card'!H9:H14,"covered")</x:f>
        <x:v>0</x:v>
      </x:c>
      <x:c r="D90" t="n">
        <x:f>COUNTIF('Checkbox Card'!H9:H14,"partial")</x:f>
        <x:v>0</x:v>
      </x:c>
      <x:c r="E90" t="n">
        <x:f>COUNTIF('Checkbox Card'!H9:H14,"missing")</x:f>
        <x:v>6</x:v>
      </x:c>
      <x:c r="F90" t="n">
        <x:f>COUNTIF('Checkbox Card'!H9:H14,"untested")</x:f>
        <x:v>0</x:v>
      </x:c>
      <x:c r="G90" t="n">
        <x:f>IFERROR(C90/B90,0)</x:f>
        <x:v>0</x:v>
      </x:c>
      <x:c r="H90" t="inlineStr">
        <x:is>
          <x:t xml:space="preserve">Open</x:t>
        </x:is>
      </x:c>
      <x:c r="I90" t="n">
        <x:f>B90-C90</x:f>
        <x:v>6</x:v>
      </x:c>
    </x:row>
    <x:row r="91">
      <x:c r="A91" t="inlineStr">
        <x:is>
          <x:t xml:space="preserve">Reorder</x:t>
        </x:is>
      </x:c>
      <x:c r="B91" t="n">
        <x:f>COUNT(Reorder!A9:A500)</x:f>
        <x:v>7</x:v>
      </x:c>
      <x:c r="C91" t="n">
        <x:f>COUNTIF(Reorder!H9:H500,"covered")</x:f>
        <x:v>0</x:v>
      </x:c>
      <x:c r="D91" t="n">
        <x:f>COUNTIF(Reorder!H9:H500,"partial")</x:f>
        <x:v>7</x:v>
      </x:c>
      <x:c r="E91" t="n">
        <x:f>COUNTIF(Reorder!H9:H500,"missing")</x:f>
        <x:v>0</x:v>
      </x:c>
      <x:c r="F91" t="n">
        <x:f>COUNTIF(Reorder!H9:H500,"untested")</x:f>
        <x:v>0</x:v>
      </x:c>
      <x:c r="G91" t="n">
        <x:f>IFERROR(C91/B91,0)</x:f>
        <x:v>0</x:v>
      </x:c>
      <x:c r="H91" t="str">
        <x:f>IF(AND(B91&gt;0,I91=0,G91=1),"Done","Open")</x:f>
        <x:v>Open</x:v>
      </x:c>
      <x:c r="I91" t="n">
        <x:f>MAX(0,B91-C91)</x:f>
        <x:v>7</x:v>
      </x:c>
    </x:row>
  </x:sheetData>
  <x:mergeCells>
    <x:mergeCell ref="A1:I1"/>
    <x:mergeCell ref="A2:I2"/>
  </x:mergeCells>
  <x:conditionalFormatting sqref="A7:I71">
    <x:cfRule type="expression" dxfId="0" priority="2" aboveAverage="0" percent="0" bottom="0" rank="0" equalAverage="0">
      <x:formula>$H7="Done"</x:formula>
    </x:cfRule>
    <x:cfRule type="expression" dxfId="1" priority="3" aboveAverage="0" percent="0" bottom="0" rank="0" equalAverage="0">
      <x:formula>$H7="Open"</x:formula>
    </x:cfRule>
  </x:conditionalFormatting>
  <x:conditionalFormatting sqref="H7:H71">
    <x:cfRule type="expression" dxfId="2" priority="4" aboveAverage="0" percent="0" bottom="0" rank="0" equalAverage="0">
      <x:formula>$H7="Done"</x:formula>
    </x:cfRule>
    <x:cfRule type="expression" dxfId="3" priority="5" aboveAverage="0" percent="0" bottom="0" rank="0" equalAverage="0">
      <x:formula>$H7="Needs work"</x:formula>
    </x:cfRule>
    <x:cfRule type="expression" dxfId="4" priority="6" aboveAverage="0" percent="0" bottom="0" rank="0" equalAverage="0">
      <x:formula>$H7="In progress"</x:formula>
    </x:cfRule>
    <x:cfRule type="expression" dxfId="5" priority="7" aboveAverage="0" percent="0" bottom="0" rank="0" equalAverage="0">
      <x:formula>$H7="No tests"</x:formula>
    </x:cfRule>
  </x:conditionalFormatting>
  <x:conditionalFormatting sqref="I7:I71">
    <x:cfRule type="cellIs" dxfId="2" priority="8" aboveAverage="0" percent="0" bottom="0" operator="equal" rank="0" equalAverage="0">
      <x:formula>0</x:formula>
    </x:cfRule>
    <x:cfRule type="cellIs" dxfId="3" priority="9" aboveAverage="0" percent="0" bottom="0" operator="greaterThan" rank="0" equalAverage="0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8046875" defaultRowHeight="15"/>
  <x:cols>
    <x:col min="1" max="1" width="22" style="50" customWidth="1"/>
    <x:col min="2" max="2" width="12" style="50" customWidth="1"/>
    <x:col min="3" max="3" width="10" style="50" customWidth="1"/>
    <x:col min="4" max="4" width="18" style="50" customWidth="1"/>
    <x:col min="5" max="5" width="48" style="50" customWidth="1"/>
    <x:col min="6" max="6" width="42" style="50" customWidth="1"/>
    <x:col min="7" max="7" width="28" style="50" customWidth="1"/>
    <x:col min="8" max="8" width="38" style="50" customWidth="1"/>
    <x:col min="9" max="9" width="40" style="50" customWidth="1"/>
    <x:col min="10" max="10" width="18" style="50" customWidth="1"/>
    <x:col min="11" max="11" width="16" style="50" customWidth="1"/>
    <x:col min="12" max="12" width="18" style="50" customWidth="1"/>
    <x:col min="13" max="13" width="20" style="50" customWidth="1"/>
    <x:col min="14" max="16" width="22" style="50" customWidth="1"/>
    <x:col min="17" max="18" width="54" style="50" customWidth="1"/>
    <x:col min="19" max="19" width="44" style="50" customWidth="1"/>
    <x:col min="20" max="20" width="32" style="50" customWidth="1"/>
    <x:col min="21" max="21" width="16" style="50" customWidth="1"/>
    <x:col min="22" max="22" width="14" style="67" customWidth="1"/>
    <x:col min="23" max="23" width="32" style="50" customWidth="1"/>
    <x:col min="24" max="24" width="52" style="50" customWidth="1"/>
    <x:col min="25" max="25" width="24" style="50" customWidth="1"/>
    <x:col min="27" max="37" width="13" style="50" hidden="1" customWidth="1"/>
  </x:cols>
  <x:sheetData>
    <x:row r="1" s="51" customFormat="1" ht="30" customHeight="1">
      <x:c r="A1" s="103" t="inlineStr">
        <x:is>
          <x:t xml:space="preserve">Atom Mobile Readiness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  <x:c r="L1" s="104" t="n"/>
      <x:c r="M1" s="104" t="n"/>
      <x:c r="N1" s="104" t="n"/>
      <x:c r="O1" s="104" t="n"/>
      <x:c r="P1" s="104" t="n"/>
      <x:c r="Q1" s="104" t="n"/>
      <x:c r="R1" s="104" t="n"/>
      <x:c r="S1" s="104" t="n"/>
      <x:c r="T1" s="104" t="n"/>
      <x:c r="U1" s="104" t="n"/>
      <x:c r="V1" s="104" t="n"/>
      <x:c r="W1" s="104" t="n"/>
      <x:c r="X1" s="104" t="n"/>
      <x:c r="Y1" s="104" t="n"/>
      <x:c r="AA1" s="50" t="inlineStr">
        <x:is>
          <x:t xml:space="preserve">Validation: AA</x:t>
        </x:is>
      </x:c>
      <x:c r="AB1" s="50" t="inlineStr">
        <x:is>
          <x:t xml:space="preserve">Validation: AB</x:t>
        </x:is>
      </x:c>
      <x:c r="AC1" s="50" t="inlineStr">
        <x:is>
          <x:t xml:space="preserve">Validation: AC</x:t>
        </x:is>
      </x:c>
      <x:c r="AD1" s="50" t="inlineStr">
        <x:is>
          <x:t xml:space="preserve">Validation: AD</x:t>
        </x:is>
      </x:c>
      <x:c r="AE1" s="50" t="inlineStr">
        <x:is>
          <x:t xml:space="preserve">Validation: AE</x:t>
        </x:is>
      </x:c>
      <x:c r="AF1" s="50" t="inlineStr">
        <x:is>
          <x:t xml:space="preserve">Validation: AF</x:t>
        </x:is>
      </x:c>
      <x:c r="AG1" s="50" t="inlineStr">
        <x:is>
          <x:t xml:space="preserve">Validation: AG</x:t>
        </x:is>
      </x:c>
      <x:c r="AH1" s="50" t="inlineStr">
        <x:is>
          <x:t xml:space="preserve">Validation: AH</x:t>
        </x:is>
      </x:c>
      <x:c r="AI1" s="50" t="inlineStr">
        <x:is>
          <x:t xml:space="preserve">Validation: AI</x:t>
        </x:is>
      </x:c>
      <x:c r="AJ1" s="50" t="inlineStr">
        <x:is>
          <x:t xml:space="preserve">Validation: AJ</x:t>
        </x:is>
      </x:c>
      <x:c r="AK1" s="50" t="inlineStr">
        <x:is>
          <x:t xml:space="preserve">Validation: AK</x:t>
        </x:is>
      </x:c>
    </x:row>
    <x:row r="2" s="51" customFormat="1" ht="30" customHeight="1">
      <x:c r="A2" s="105" t="inlineStr">
        <x:is>
          <x:t xml:space="preserve">Additional mobile/device qualification over the existing completed component baseline. Responsive mode and touch emulation are not real iOS Safari or Android Chrome evidence.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  <x:c r="L2" s="104" t="n"/>
      <x:c r="M2" s="104" t="n"/>
      <x:c r="N2" s="104" t="n"/>
      <x:c r="O2" s="104" t="n"/>
      <x:c r="P2" s="104" t="n"/>
      <x:c r="Q2" s="104" t="n"/>
      <x:c r="R2" s="104" t="n"/>
      <x:c r="S2" s="104" t="n"/>
      <x:c r="T2" s="104" t="n"/>
      <x:c r="U2" s="104" t="n"/>
      <x:c r="V2" s="104" t="n"/>
      <x:c r="W2" s="104" t="n"/>
      <x:c r="X2" s="104" t="n"/>
      <x:c r="Y2" s="104" t="n"/>
      <x:c r="AA2" s="50" t="inlineStr">
        <x:is>
          <x:t xml:space="preserve">MR-01</x:t>
        </x:is>
      </x:c>
      <x:c r="AB2" s="50" t="inlineStr">
        <x:is>
          <x:t xml:space="preserve">MR-P0</x:t>
        </x:is>
      </x:c>
      <x:c r="AC2" s="50" t="inlineStr">
        <x:is>
          <x:t xml:space="preserve">preserve verified baseline</x:t>
        </x:is>
      </x:c>
      <x:c r="AD2" s="50" t="inlineStr">
        <x:is>
          <x:t xml:space="preserve">confirmed Atom implementation gap</x:t>
        </x:is>
      </x:c>
      <x:c r="AE2" s="50" t="inlineStr">
        <x:is>
          <x:t xml:space="preserve">source / contract review</x:t>
        </x:is>
      </x:c>
      <x:c r="AF2" s="50" t="inlineStr">
        <x:is>
          <x:t xml:space="preserve">desktop</x:t>
        </x:is>
      </x:c>
      <x:c r="AG2" s="50" t="inlineStr">
        <x:is>
          <x:t xml:space="preserve">keyboard</x:t>
        </x:is>
      </x:c>
      <x:c r="AH2" s="50" t="inlineStr">
        <x:is>
          <x:t xml:space="preserve">none</x:t>
        </x:is>
      </x:c>
      <x:c r="AI2" s="50" t="inlineStr">
        <x:is>
          <x:t xml:space="preserve">not run</x:t>
        </x:is>
      </x:c>
      <x:c r="AJ2" s="50" t="inlineStr">
        <x:is>
          <x:t xml:space="preserve">Safari</x:t>
        </x:is>
      </x:c>
      <x:c r="AK2" s="50" t="inlineStr">
        <x:is>
          <x:t xml:space="preserve">Accordion</x:t>
        </x:is>
      </x:c>
    </x:row>
    <x:row r="3" s="51" customFormat="1" ht="15" customHeight="1">
      <x:c r="AA3" s="50" t="inlineStr">
        <x:is>
          <x:t xml:space="preserve">MR-02</x:t>
        </x:is>
      </x:c>
      <x:c r="AB3" s="50" t="inlineStr">
        <x:is>
          <x:t xml:space="preserve">MR-P1</x:t>
        </x:is>
      </x:c>
      <x:c r="AC3" s="50" t="inlineStr">
        <x:is>
          <x:t xml:space="preserve">narrow unsupported claim</x:t>
        </x:is>
      </x:c>
      <x:c r="AD3" s="50" t="inlineStr">
        <x:is>
          <x:t xml:space="preserve">Atom API/design decision required</x:t>
        </x:is>
      </x:c>
      <x:c r="AE3" s="50" t="inlineStr">
        <x:is>
          <x:t xml:space="preserve">package automated test</x:t>
        </x:is>
      </x:c>
      <x:c r="AF3" s="50" t="inlineStr">
        <x:is>
          <x:t xml:space="preserve">desktop emulating iOS</x:t>
        </x:is>
      </x:c>
      <x:c r="AG3" s="50" t="inlineStr">
        <x:is>
          <x:t xml:space="preserve">mouse</x:t>
        </x:is>
      </x:c>
      <x:c r="AH3" s="50" t="inlineStr">
        <x:is>
          <x:t xml:space="preserve">VoiceOver</x:t>
        </x:is>
      </x:c>
      <x:c r="AI3" s="50" t="inlineStr">
        <x:is>
          <x:t xml:space="preserve">passed</x:t>
        </x:is>
      </x:c>
      <x:c r="AJ3" s="50" t="inlineStr">
        <x:is>
          <x:t xml:space="preserve">Chrome</x:t>
        </x:is>
      </x:c>
      <x:c r="AK3" s="50" t="inlineStr">
        <x:is>
          <x:t xml:space="preserve">AlertDialog</x:t>
        </x:is>
      </x:c>
    </x:row>
    <x:row r="4" s="51" customFormat="1" ht="24" customHeight="1">
      <x:c r="A4" s="70" t="inlineStr">
        <x:is>
          <x:t xml:space="preserve">Records</x:t>
        </x:is>
      </x:c>
      <x:c r="B4" s="70" t="n">
        <x:f>COUNTA($A$9:$A$200)</x:f>
        <x:v>78</x:v>
      </x:c>
      <x:c r="C4" s="70" t="inlineStr">
        <x:is>
          <x:t xml:space="preserve">Passed</x:t>
        </x:is>
      </x:c>
      <x:c r="D4" s="70" t="n">
        <x:f>COUNTIF($U$9:$U$200,"passed")</x:f>
        <x:v>9</x:v>
      </x:c>
      <x:c r="E4" s="70" t="inlineStr">
        <x:is>
          <x:t xml:space="preserve">Failed</x:t>
        </x:is>
      </x:c>
      <x:c r="F4" s="70" t="n">
        <x:f>COUNTIF($U$9:$U$200,"failed")</x:f>
        <x:v>0</x:v>
      </x:c>
      <x:c r="G4" s="70" t="inlineStr">
        <x:is>
          <x:t xml:space="preserve">Blocked</x:t>
        </x:is>
      </x:c>
      <x:c r="H4" s="70" t="n">
        <x:f>COUNTIF($U$9:$U$200,"blocked")</x:f>
        <x:v>0</x:v>
      </x:c>
      <x:c r="I4" s="70" t="inlineStr">
        <x:is>
          <x:t xml:space="preserve">Not run</x:t>
        </x:is>
      </x:c>
      <x:c r="J4" s="70" t="n">
        <x:f>COUNTIF($U$9:$U$200,"not run")</x:f>
        <x:v>69</x:v>
      </x:c>
      <x:c r="K4" s="70" t="inlineStr">
        <x:is>
          <x:t xml:space="preserve">Not applicable</x:t>
        </x:is>
      </x:c>
      <x:c r="L4" s="70" t="n">
        <x:f>COUNTIF($U$9:$U$200,"not applicable")</x:f>
        <x:v>0</x:v>
      </x:c>
      <x:c r="M4" s="70" t="inlineStr">
        <x:is>
          <x:t xml:space="preserve">Record issues</x:t>
        </x:is>
      </x:c>
      <x:c r="N4" s="70" t="n">
        <x:f>COUNTIFS($A$9:$A$200,"&lt;&gt;",$Y$9:$Y$200,"&lt;&gt;ready")</x:f>
        <x:v>0</x:v>
      </x:c>
      <x:c r="AA4" s="50" t="inlineStr">
        <x:is>
          <x:t xml:space="preserve">MR-03</x:t>
        </x:is>
      </x:c>
      <x:c r="AB4" s="50" t="inlineStr">
        <x:is>
          <x:t xml:space="preserve">MR-P2</x:t>
        </x:is>
      </x:c>
      <x:c r="AC4" s="50" t="inlineStr">
        <x:is>
          <x:t xml:space="preserve">reopen only when approved</x:t>
        </x:is>
      </x:c>
      <x:c r="AD4" s="50" t="inlineStr">
        <x:is>
          <x:t xml:space="preserve">documentation/test gap</x:t>
        </x:is>
      </x:c>
      <x:c r="AE4" s="50" t="inlineStr">
        <x:is>
          <x:t xml:space="preserve">previous baseline — desktop manual</x:t>
        </x:is>
      </x:c>
      <x:c r="AF4" s="50" t="inlineStr">
        <x:is>
          <x:t xml:space="preserve">desktop emulating Android</x:t>
        </x:is>
      </x:c>
      <x:c r="AG4" s="50" t="inlineStr">
        <x:is>
          <x:t xml:space="preserve">touch</x:t>
        </x:is>
      </x:c>
      <x:c r="AH4" s="50" t="inlineStr">
        <x:is>
          <x:t xml:space="preserve">TalkBack</x:t>
        </x:is>
      </x:c>
      <x:c r="AI4" s="50" t="inlineStr">
        <x:is>
          <x:t xml:space="preserve">failed</x:t>
        </x:is>
      </x:c>
      <x:c r="AJ4" s="50" t="inlineStr">
        <x:is>
          <x:t xml:space="preserve">Firefox</x:t>
        </x:is>
      </x:c>
      <x:c r="AK4" s="50" t="inlineStr">
        <x:is>
          <x:t xml:space="preserve">AppBar</x:t>
        </x:is>
      </x:c>
    </x:row>
    <x:row r="5" s="51" customFormat="1" ht="15" customHeight="1">
      <x:c r="AA5" s="50" t="inlineStr">
        <x:is>
          <x:t xml:space="preserve">MR-04</x:t>
        </x:is>
      </x:c>
      <x:c r="AB5" s="50" t="inlineStr">
        <x:is>
          <x:t xml:space="preserve">MR-P3</x:t>
        </x:is>
      </x:c>
      <x:c r="AC5" s="50" t="inlineStr">
        <x:is>
          <x:t xml:space="preserve">new mobile qualification</x:t>
        </x:is>
      </x:c>
      <x:c r="AD5" s="50" t="inlineStr">
        <x:is>
          <x:t xml:space="preserve">consumer styling/application responsibility</x:t>
        </x:is>
      </x:c>
      <x:c r="AE5" s="50" t="inlineStr">
        <x:is>
          <x:t xml:space="preserve">browser emulation — manual</x:t>
        </x:is>
      </x:c>
      <x:c r="AF5" s="50" t="inlineStr">
        <x:is>
          <x:t xml:space="preserve">iOS</x:t>
        </x:is>
      </x:c>
      <x:c r="AG5" s="50" t="inlineStr">
        <x:is>
          <x:t xml:space="preserve">virtual keyboard</x:t>
        </x:is>
      </x:c>
      <x:c r="AH5" s="50" t="inlineStr">
        <x:is>
          <x:t xml:space="preserve">other</x:t>
        </x:is>
      </x:c>
      <x:c r="AI5" s="50" t="inlineStr">
        <x:is>
          <x:t xml:space="preserve">blocked</x:t>
        </x:is>
      </x:c>
      <x:c r="AJ5" s="50" t="inlineStr">
        <x:is>
          <x:t xml:space="preserve">WebKit</x:t>
        </x:is>
      </x:c>
      <x:c r="AK5" s="50" t="inlineStr">
        <x:is>
          <x:t xml:space="preserve">AspectRatio</x:t>
        </x:is>
      </x:c>
    </x:row>
    <x:row r="6" s="51" customFormat="1" ht="24" customHeight="1">
      <x:c r="A6" s="106" t="inlineStr">
        <x:is>
          <x:t xml:space="preserve">Status records evidence runs only: not run, passed, failed, blocked, or not applicable. Lifecycle and authorization remain governed by docs/mobile-readiness.md.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  <x:c r="L6" s="104" t="n"/>
      <x:c r="M6" s="104" t="n"/>
      <x:c r="N6" s="104" t="n"/>
      <x:c r="O6" s="104" t="n"/>
      <x:c r="P6" s="104" t="n"/>
      <x:c r="Q6" s="104" t="n"/>
      <x:c r="R6" s="104" t="n"/>
      <x:c r="S6" s="104" t="n"/>
      <x:c r="T6" s="104" t="n"/>
      <x:c r="U6" s="104" t="n"/>
      <x:c r="V6" s="104" t="n"/>
      <x:c r="W6" s="104" t="n"/>
      <x:c r="X6" s="104" t="n"/>
      <x:c r="Y6" s="104" t="n"/>
      <x:c r="AA6" s="50" t="inlineStr">
        <x:is>
          <x:t xml:space="preserve">MR-05</x:t>
        </x:is>
      </x:c>
      <x:c r="AB6" s="50" t="inlineStr">
        <x:is>
          <x:t xml:space="preserve">MR-P4</x:t>
        </x:is>
      </x:c>
      <x:c r="AC6" s="50" t="inlineStr">
        <x:is>
          <x:t xml:space="preserve">not applicable</x:t>
        </x:is>
      </x:c>
      <x:c r="AD6" s="50" t="inlineStr">
        <x:is>
          <x:t xml:space="preserve">already adequately supported</x:t>
        </x:is>
      </x:c>
      <x:c r="AE6" s="50" t="inlineStr">
        <x:is>
          <x:t xml:space="preserve">browser automation — desktop</x:t>
        </x:is>
      </x:c>
      <x:c r="AF6" s="50" t="inlineStr">
        <x:is>
          <x:t xml:space="preserve">Android</x:t>
        </x:is>
      </x:c>
      <x:c r="AG6" s="50" t="inlineStr">
        <x:is>
          <x:t xml:space="preserve">visual viewport</x:t>
        </x:is>
      </x:c>
      <x:c r="AH6" s="50" t="inlineStr">
        <x:is>
          <x:t xml:space="preserve">not applicable</x:t>
        </x:is>
      </x:c>
      <x:c r="AI6" s="50" t="inlineStr">
        <x:is>
          <x:t xml:space="preserve">not applicable</x:t>
        </x:is>
      </x:c>
      <x:c r="AJ6" s="50" t="inlineStr">
        <x:is>
          <x:t xml:space="preserve">Chromium</x:t>
        </x:is>
      </x:c>
      <x:c r="AK6" s="50" t="inlineStr">
        <x:is>
          <x:t xml:space="preserve">Avatar</x:t>
        </x:is>
      </x:c>
    </x:row>
    <x:row r="7" s="51" customFormat="1" ht="15" customHeight="1">
      <x:c r="AA7" s="50" t="inlineStr">
        <x:is>
          <x:t xml:space="preserve">MR-06</x:t>
        </x:is>
      </x:c>
      <x:c r="AB7" s="50" t="inlineStr">
        <x:is>
          <x:t xml:space="preserve">MR-P5</x:t>
        </x:is>
      </x:c>
      <x:c r="AD7" s="50" t="inlineStr">
        <x:is>
          <x:t xml:space="preserve">requires browser validation before concluding</x:t>
        </x:is>
      </x:c>
      <x:c r="AE7" s="50" t="inlineStr">
        <x:is>
          <x:t xml:space="preserve">browser automation — mobile emulation</x:t>
        </x:is>
      </x:c>
      <x:c r="AF7" s="50" t="inlineStr">
        <x:is>
          <x:t xml:space="preserve">not applicable</x:t>
        </x:is>
      </x:c>
      <x:c r="AG7" s="50" t="inlineStr">
        <x:is>
          <x:t xml:space="preserve">screen-reader touch exploration</x:t>
        </x:is>
      </x:c>
      <x:c r="AJ7" s="50" t="inlineStr">
        <x:is>
          <x:t xml:space="preserve">other</x:t>
        </x:is>
      </x:c>
      <x:c r="AK7" s="50" t="inlineStr">
        <x:is>
          <x:t xml:space="preserve">Badge</x:t>
        </x:is>
      </x:c>
    </x:row>
    <x:row r="8" s="51" customFormat="1" ht="36" customHeight="1">
      <x:c r="A8" s="72" t="inlineStr">
        <x:is>
          <x:t xml:space="preserve">Evidence ID</x:t>
        </x:is>
      </x:c>
      <x:c r="B8" s="72" t="inlineStr">
        <x:is>
          <x:t xml:space="preserve">Finding ID</x:t>
        </x:is>
      </x:c>
      <x:c r="C8" s="72" t="inlineStr">
        <x:is>
          <x:t xml:space="preserve">Phase ID</x:t>
        </x:is>
      </x:c>
      <x:c r="D8" s="72" t="inlineStr">
        <x:is>
          <x:t xml:space="preserve">Component</x:t>
        </x:is>
      </x:c>
      <x:c r="E8" s="72" t="inlineStr">
        <x:is>
          <x:t xml:space="preserve">Scenario / behavior</x:t>
        </x:is>
      </x:c>
      <x:c r="F8" s="72" t="inlineStr">
        <x:is>
          <x:t xml:space="preserve">Baseline reference</x:t>
        </x:is>
      </x:c>
      <x:c r="G8" s="72" t="inlineStr">
        <x:is>
          <x:t xml:space="preserve">Baseline disposition</x:t>
        </x:is>
      </x:c>
      <x:c r="H8" s="72" t="inlineStr">
        <x:is>
          <x:t xml:space="preserve">Classification</x:t>
        </x:is>
      </x:c>
      <x:c r="I8" s="72" t="inlineStr">
        <x:is>
          <x:t xml:space="preserve">Evidence category</x:t>
        </x:is>
      </x:c>
      <x:c r="J8" s="72" t="inlineStr">
        <x:is>
          <x:t xml:space="preserve">Platform</x:t>
        </x:is>
      </x:c>
      <x:c r="K8" s="72" t="inlineStr">
        <x:is>
          <x:t xml:space="preserve">OS version</x:t>
        </x:is>
      </x:c>
      <x:c r="L8" s="72" t="inlineStr">
        <x:is>
          <x:t xml:space="preserve">Browser / engine</x:t>
        </x:is>
      </x:c>
      <x:c r="M8" s="72" t="inlineStr">
        <x:is>
          <x:t xml:space="preserve">Browser version / build</x:t>
        </x:is>
      </x:c>
      <x:c r="N8" s="72" t="inlineStr">
        <x:is>
          <x:t xml:space="preserve">Device / model</x:t>
        </x:is>
      </x:c>
      <x:c r="O8" s="72" t="inlineStr">
        <x:is>
          <x:t xml:space="preserve">Interaction mode</x:t>
        </x:is>
      </x:c>
      <x:c r="P8" s="72" t="inlineStr">
        <x:is>
          <x:t xml:space="preserve">Assistive technology</x:t>
        </x:is>
      </x:c>
      <x:c r="Q8" s="72" t="inlineStr">
        <x:is>
          <x:t xml:space="preserve">Required evidence</x:t>
        </x:is>
      </x:c>
      <x:c r="R8" s="72" t="inlineStr">
        <x:is>
          <x:t xml:space="preserve">Expected result</x:t>
        </x:is>
      </x:c>
      <x:c r="S8" s="72" t="inlineStr">
        <x:is>
          <x:t xml:space="preserve">Reviewed protocol reference</x:t>
        </x:is>
      </x:c>
      <x:c r="T8" s="72" t="inlineStr">
        <x:is>
          <x:t xml:space="preserve">Automation reference</x:t>
        </x:is>
      </x:c>
      <x:c r="U8" s="72" t="inlineStr">
        <x:is>
          <x:t xml:space="preserve">Status</x:t>
        </x:is>
      </x:c>
      <x:c r="V8" s="72" t="inlineStr">
        <x:is>
          <x:t xml:space="preserve">Result date</x:t>
        </x:is>
      </x:c>
      <x:c r="W8" s="72" t="inlineStr">
        <x:is>
          <x:t xml:space="preserve">Issue / decision / commit</x:t>
        </x:is>
      </x:c>
      <x:c r="X8" s="72" t="inlineStr">
        <x:is>
          <x:t xml:space="preserve">Notes</x:t>
        </x:is>
      </x:c>
      <x:c r="Y8" s="72" t="inlineStr">
        <x:is>
          <x:t xml:space="preserve">Record check</x:t>
        </x:is>
      </x:c>
      <x:c r="AA8" s="50" t="inlineStr">
        <x:is>
          <x:t xml:space="preserve">MR-07</x:t>
        </x:is>
      </x:c>
      <x:c r="AB8" s="50" t="inlineStr">
        <x:is>
          <x:t xml:space="preserve">MR-P6</x:t>
        </x:is>
      </x:c>
      <x:c r="AE8" s="50" t="inlineStr">
        <x:is>
          <x:t xml:space="preserve">real device — iOS Safari</x:t>
        </x:is>
      </x:c>
      <x:c r="AG8" s="50" t="inlineStr">
        <x:is>
          <x:t xml:space="preserve">not applicable</x:t>
        </x:is>
      </x:c>
      <x:c r="AJ8" s="50" t="inlineStr">
        <x:is>
          <x:t xml:space="preserve">not applicable</x:t>
        </x:is>
      </x:c>
      <x:c r="AK8" s="50" t="inlineStr">
        <x:is>
          <x:t xml:space="preserve">BottomNavigation</x:t>
        </x:is>
      </x:c>
    </x:row>
    <x:row r="9" s="51" customFormat="1" ht="48" customHeight="1">
      <x:c r="A9" s="73" t="inlineStr">
        <x:is>
          <x:t xml:space="preserve">MRE-04-DIALOG-001</x:t>
        </x:is>
      </x:c>
      <x:c r="B9" s="73" t="inlineStr">
        <x:is>
          <x:t xml:space="preserve">MR-04</x:t>
        </x:is>
      </x:c>
      <x:c r="C9" s="73" t="inlineStr">
        <x:is>
          <x:t xml:space="preserve">MR-P4</x:t>
        </x:is>
      </x:c>
      <x:c r="D9" s="74" t="inlineStr">
        <x:is>
          <x:t xml:space="preserve">Dialog</x:t>
        </x:is>
      </x:c>
      <x:c r="E9" s="74" t="inlineStr">
        <x:is>
          <x:t xml:space="preserve">pointer/click trigger activation opens Dialog in the existing desktop manual scenario</x:t>
        </x:is>
      </x:c>
      <x:c r="F9" s="74" t="inlineStr">
        <x:is>
          <x:t xml:space="preserve">Dialog!ID-92 — tap trigger</x:t>
        </x:is>
      </x:c>
      <x:c r="G9" s="75" t="inlineStr">
        <x:is>
          <x:t xml:space="preserve">narrow unsupported claim</x:t>
        </x:is>
      </x:c>
      <x:c r="H9" s="74" t="inlineStr">
        <x:is>
          <x:t xml:space="preserve">already adequately supported</x:t>
        </x:is>
      </x:c>
      <x:c r="I9" s="75" t="inlineStr">
        <x:is>
          <x:t xml:space="preserve">real device — iOS Safari</x:t>
        </x:is>
      </x:c>
      <x:c r="J9" s="73" t="inlineStr">
        <x:is>
          <x:t xml:space="preserve">iOS</x:t>
        </x:is>
      </x:c>
      <x:c r="K9" s="73" t="inlineStr">
        <x:is>
          <x:t xml:space="preserve">26.5.2</x:t>
        </x:is>
      </x:c>
      <x:c r="L9" s="73" t="inlineStr">
        <x:is>
          <x:t xml:space="preserve">Safari</x:t>
        </x:is>
      </x:c>
      <x:c r="M9" s="73" t="inlineStr">
        <x:is>
          <x:t xml:space="preserve">26.5.2 system Safari</x:t>
        </x:is>
      </x:c>
      <x:c r="N9" s="73" t="inlineStr">
        <x:is>
          <x:t xml:space="preserve">iPhone 16 Pro Max</x:t>
        </x:is>
      </x:c>
      <x:c r="O9" s="73" t="inlineStr">
        <x:is>
          <x:t xml:space="preserve">touch</x:t>
        </x:is>
      </x:c>
      <x:c r="P9" s="73" t="inlineStr">
        <x:is>
          <x:t xml:space="preserve">none</x:t>
        </x:is>
      </x:c>
      <x:c r="Q9" s="74" t="inlineStr">
        <x:is>
          <x:t xml:space="preserve">On a named iOS device, exercise pointer/click trigger activation opens Dialog in the existing desktop manual scenario and record OS, browser version, device, date, and reproduction notes.</x:t>
        </x:is>
      </x:c>
      <x:c r="R9" s="74" t="inlineStr">
        <x:is>
          <x:t xml:space="preserve">Trigger activation opens the Dialog once without duplicate state changes.</x:t>
        </x:is>
      </x:c>
      <x:c r="S9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9" s="74" t="inlineStr">
        <x:is>
          <x:t xml:space="preserve">test/browser/modal-containment.spec.ts; test/browser/modal-containment.mobile.spec.ts</x:t>
        </x:is>
      </x:c>
      <x:c r="U9" s="76" t="inlineStr">
        <x:is>
          <x:t xml:space="preserve">passed</x:t>
        </x:is>
      </x:c>
      <x:c r="V9" s="77" t="n">
        <x:v>46220</x:v>
      </x:c>
      <x:c r="W9" s="74" t="inlineStr">
        <x:is>
          <x:t xml:space="preserve">Modal foundation commits bbd4656 and 69be97d</x:t>
        </x:is>
      </x:c>
      <x:c r="X9" s="74" t="inlineStr">
        <x:is>
          <x:t xml:space="preserve">Passed on physical iPhone: touch focus and keyboard behavior, allowed-region scrolling, background lock, rotation, nested cleanup, and VoiceOver isolation were qualified as applicable to this evidence record. Automated Chromium/WebKit evidence passed 2026-07-30; this physical-device record remains governed by its separately recorded device status.</x:t>
        </x:is>
      </x:c>
      <x:c r="Y9" s="76" t="str">
        <x:f>IF(A9="","",IF(COUNTBLANK(A9:E9)+COUNTBLANK(G9:J9)+COUNTBLANK(Q9:R9)+COUNTBLANK(U9)&gt;0,"needs core fields",IF(AND(OR(I9="previous baseline — desktop manual",I9="browser emulation — manual",LEFT(I9,11)="real device"),S9=""),"needs protocol ref",IF(AND(LEFT(I9,18)="browser automation",T9=""),"needs automation ref",IF(AND(LEFT(I9,11)="real device",OR(U9="passed",U9="failed",U9="blocked"),OR(K9="",L9="",M9="",N9="",P9="")),"needs device details",IF(AND(OR(U9="passed",U9="failed",U9="blocked"),V9=""),"needs result date","ready"))))))</x:f>
        <x:v>ready</x:v>
      </x:c>
      <x:c r="AA9" s="50" t="inlineStr">
        <x:is>
          <x:t xml:space="preserve">MR-08</x:t>
        </x:is>
      </x:c>
      <x:c r="AB9" s="50" t="inlineStr">
        <x:is>
          <x:t xml:space="preserve">MR-P7</x:t>
        </x:is>
      </x:c>
      <x:c r="AE9" s="50" t="inlineStr">
        <x:is>
          <x:t xml:space="preserve">real device — Android Chrome</x:t>
        </x:is>
      </x:c>
      <x:c r="AK9" s="50" t="inlineStr">
        <x:is>
          <x:t xml:space="preserve">Breadcrumb</x:t>
        </x:is>
      </x:c>
    </x:row>
    <x:row r="10" s="51" customFormat="1" ht="48" customHeight="1">
      <x:c r="A10" s="73" t="inlineStr">
        <x:is>
          <x:t xml:space="preserve">MRE-04-DIALOG-002</x:t>
        </x:is>
      </x:c>
      <x:c r="B10" s="73" t="inlineStr">
        <x:is>
          <x:t xml:space="preserve">MR-04</x:t>
        </x:is>
      </x:c>
      <x:c r="C10" s="73" t="inlineStr">
        <x:is>
          <x:t xml:space="preserve">MR-P4</x:t>
        </x:is>
      </x:c>
      <x:c r="D10" s="74" t="inlineStr">
        <x:is>
          <x:t xml:space="preserve">Dialog</x:t>
        </x:is>
      </x:c>
      <x:c r="E10" s="74" t="inlineStr">
        <x:is>
          <x:t xml:space="preserve">pointer/click trigger activation opens Dialog in the existing desktop manual scenario</x:t>
        </x:is>
      </x:c>
      <x:c r="F10" s="74" t="inlineStr">
        <x:is>
          <x:t xml:space="preserve">Dialog!ID-92 — tap trigger</x:t>
        </x:is>
      </x:c>
      <x:c r="G10" s="75" t="inlineStr">
        <x:is>
          <x:t xml:space="preserve">narrow unsupported claim</x:t>
        </x:is>
      </x:c>
      <x:c r="H10" s="74" t="inlineStr">
        <x:is>
          <x:t xml:space="preserve">already adequately supported</x:t>
        </x:is>
      </x:c>
      <x:c r="I10" s="75" t="inlineStr">
        <x:is>
          <x:t xml:space="preserve">real device — Android Chrome</x:t>
        </x:is>
      </x:c>
      <x:c r="J10" s="73" t="inlineStr">
        <x:is>
          <x:t xml:space="preserve">Android</x:t>
        </x:is>
      </x:c>
      <x:c r="K10" s="73" t="n"/>
      <x:c r="L10" s="73" t="inlineStr">
        <x:is>
          <x:t xml:space="preserve">Chrome</x:t>
        </x:is>
      </x:c>
      <x:c r="M10" s="73" t="n"/>
      <x:c r="N10" s="73" t="n"/>
      <x:c r="O10" s="73" t="inlineStr">
        <x:is>
          <x:t xml:space="preserve">touch</x:t>
        </x:is>
      </x:c>
      <x:c r="P10" s="73" t="inlineStr">
        <x:is>
          <x:t xml:space="preserve">none</x:t>
        </x:is>
      </x:c>
      <x:c r="Q10" s="74" t="inlineStr">
        <x:is>
          <x:t xml:space="preserve">On a named Android device, exercise pointer/click trigger activation opens Dialog in the existing desktop manual scenario and record OS, browser version, device, date, and reproduction notes.</x:t>
        </x:is>
      </x:c>
      <x:c r="R10" s="74" t="inlineStr">
        <x:is>
          <x:t xml:space="preserve">Trigger activation opens the Dialog once without duplicate state changes.</x:t>
        </x:is>
      </x:c>
      <x:c r="S10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10" s="74" t="inlineStr">
        <x:is>
          <x:t xml:space="preserve">test/browser/modal-containment.spec.ts; test/browser/modal-containment.mobile.spec.ts</x:t>
        </x:is>
      </x:c>
      <x:c r="U10" s="76" t="inlineStr">
        <x:is>
          <x:t xml:space="preserve">not run</x:t>
        </x:is>
      </x:c>
      <x:c r="V10" s="73" t="n"/>
      <x:c r="W10" s="74" t="n"/>
      <x:c r="X10" s="74" t="inlineStr">
        <x:is>
          <x:t xml:space="preserve">Deferred by maintainer because no Android device is available; remains not run and is not represented as a pass or failure. Automated Chromium/WebKit evidence passed 2026-07-30; this physical-device record remains governed by its separately recorded device status.</x:t>
        </x:is>
      </x:c>
      <x:c r="Y10" s="76" t="str">
        <x:f>IF(A10="","",IF(COUNTBLANK(A10:E10)+COUNTBLANK(G10:J10)+COUNTBLANK(Q10:R10)+COUNTBLANK(U10)&gt;0,"needs core fields",IF(AND(OR(I10="previous baseline — desktop manual",I10="browser emulation — manual",LEFT(I10,11)="real device"),S10=""),"needs protocol ref",IF(AND(LEFT(I10,18)="browser automation",T10=""),"needs automation ref",IF(AND(LEFT(I10,11)="real device",OR(U10="passed",U10="failed",U10="blocked"),OR(K10="",L10="",M10="",N10="",P10="")),"needs device details",IF(AND(OR(U10="passed",U10="failed",U10="blocked"),V10=""),"needs result date","ready"))))))</x:f>
        <x:v>ready</x:v>
      </x:c>
      <x:c r="AA10" s="50" t="inlineStr">
        <x:is>
          <x:t xml:space="preserve">MR-09</x:t>
        </x:is>
      </x:c>
      <x:c r="AB10" s="50" t="inlineStr">
        <x:is>
          <x:t xml:space="preserve">MR-P8</x:t>
        </x:is>
      </x:c>
      <x:c r="AE10" s="50" t="inlineStr">
        <x:is>
          <x:t xml:space="preserve">real device + AT — iOS Safari + VoiceOver</x:t>
        </x:is>
      </x:c>
      <x:c r="AK10" s="50" t="inlineStr">
        <x:is>
          <x:t xml:space="preserve">Button</x:t>
        </x:is>
      </x:c>
    </x:row>
    <x:row r="11" s="51" customFormat="1" ht="48" customHeight="1">
      <x:c r="A11" s="73" t="inlineStr">
        <x:is>
          <x:t xml:space="preserve">MRE-04-DIALOG-003</x:t>
        </x:is>
      </x:c>
      <x:c r="B11" s="73" t="inlineStr">
        <x:is>
          <x:t xml:space="preserve">MR-04</x:t>
        </x:is>
      </x:c>
      <x:c r="C11" s="73" t="inlineStr">
        <x:is>
          <x:t xml:space="preserve">MR-P4</x:t>
        </x:is>
      </x:c>
      <x:c r="D11" s="74" t="inlineStr">
        <x:is>
          <x:t xml:space="preserve">Dialog</x:t>
        </x:is>
      </x:c>
      <x:c r="E11" s="74" t="inlineStr">
        <x:is>
          <x:t xml:space="preserve">pointer/click backdrop activation dismisses Dialog in the existing desktop manual scenario</x:t>
        </x:is>
      </x:c>
      <x:c r="F11" s="74" t="inlineStr">
        <x:is>
          <x:t xml:space="preserve">Dialog!ID-93 — tap backdrop</x:t>
        </x:is>
      </x:c>
      <x:c r="G11" s="75" t="inlineStr">
        <x:is>
          <x:t xml:space="preserve">narrow unsupported claim</x:t>
        </x:is>
      </x:c>
      <x:c r="H11" s="74" t="inlineStr">
        <x:is>
          <x:t xml:space="preserve">already adequately supported</x:t>
        </x:is>
      </x:c>
      <x:c r="I11" s="75" t="inlineStr">
        <x:is>
          <x:t xml:space="preserve">real device — iOS Safari</x:t>
        </x:is>
      </x:c>
      <x:c r="J11" s="73" t="inlineStr">
        <x:is>
          <x:t xml:space="preserve">iOS</x:t>
        </x:is>
      </x:c>
      <x:c r="K11" s="73" t="inlineStr">
        <x:is>
          <x:t xml:space="preserve">26.5.2</x:t>
        </x:is>
      </x:c>
      <x:c r="L11" s="73" t="inlineStr">
        <x:is>
          <x:t xml:space="preserve">Safari</x:t>
        </x:is>
      </x:c>
      <x:c r="M11" s="73" t="inlineStr">
        <x:is>
          <x:t xml:space="preserve">26.5.2 system Safari</x:t>
        </x:is>
      </x:c>
      <x:c r="N11" s="73" t="inlineStr">
        <x:is>
          <x:t xml:space="preserve">iPhone 16 Pro Max</x:t>
        </x:is>
      </x:c>
      <x:c r="O11" s="73" t="inlineStr">
        <x:is>
          <x:t xml:space="preserve">touch</x:t>
        </x:is>
      </x:c>
      <x:c r="P11" s="73" t="inlineStr">
        <x:is>
          <x:t xml:space="preserve">none</x:t>
        </x:is>
      </x:c>
      <x:c r="Q11" s="74" t="inlineStr">
        <x:is>
          <x:t xml:space="preserve">On a named iOS device, exercise pointer/click backdrop activation dismisses Dialog in the existing desktop manual scenario and record OS, browser version, device, date, and reproduction notes.</x:t>
        </x:is>
      </x:c>
      <x:c r="R11" s="74" t="inlineStr">
        <x:is>
          <x:t xml:space="preserve">Backdrop activation dismisses according to the configured contract and leaves focus usable.</x:t>
        </x:is>
      </x:c>
      <x:c r="S11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11" s="74" t="inlineStr">
        <x:is>
          <x:t xml:space="preserve">test/browser/modal-containment.spec.ts; test/browser/modal-containment.mobile.spec.ts</x:t>
        </x:is>
      </x:c>
      <x:c r="U11" s="76" t="inlineStr">
        <x:is>
          <x:t xml:space="preserve">passed</x:t>
        </x:is>
      </x:c>
      <x:c r="V11" s="77" t="n">
        <x:v>46220</x:v>
      </x:c>
      <x:c r="W11" s="74" t="inlineStr">
        <x:is>
          <x:t xml:space="preserve">Modal foundation commits bbd4656 and 69be97d</x:t>
        </x:is>
      </x:c>
      <x:c r="X11" s="74" t="inlineStr">
        <x:is>
          <x:t xml:space="preserve">Passed on physical iPhone: touch focus and keyboard behavior, allowed-region scrolling, background lock, rotation, nested cleanup, and VoiceOver isolation were qualified as applicable to this evidence record. Automated Chromium/WebKit evidence passed 2026-07-30; this physical-device record remains governed by its separately recorded device status.</x:t>
        </x:is>
      </x:c>
      <x:c r="Y11" s="76" t="str">
        <x:f>IF(A11="","",IF(COUNTBLANK(A11:E11)+COUNTBLANK(G11:J11)+COUNTBLANK(Q11:R11)+COUNTBLANK(U11)&gt;0,"needs core fields",IF(AND(OR(I11="previous baseline — desktop manual",I11="browser emulation — manual",LEFT(I11,11)="real device"),S11=""),"needs protocol ref",IF(AND(LEFT(I11,18)="browser automation",T11=""),"needs automation ref",IF(AND(LEFT(I11,11)="real device",OR(U11="passed",U11="failed",U11="blocked"),OR(K11="",L11="",M11="",N11="",P11="")),"needs device details",IF(AND(OR(U11="passed",U11="failed",U11="blocked"),V11=""),"needs result date","ready"))))))</x:f>
        <x:v>ready</x:v>
      </x:c>
      <x:c r="AA11" s="50" t="inlineStr">
        <x:is>
          <x:t xml:space="preserve">MR-10</x:t>
        </x:is>
      </x:c>
      <x:c r="AE11" s="50" t="inlineStr">
        <x:is>
          <x:t xml:space="preserve">real device + AT — Android Chrome + TalkBack</x:t>
        </x:is>
      </x:c>
      <x:c r="AK11" s="50" t="inlineStr">
        <x:is>
          <x:t xml:space="preserve">Checkbox</x:t>
        </x:is>
      </x:c>
    </x:row>
    <x:row r="12" s="51" customFormat="1" ht="48" customHeight="1">
      <x:c r="A12" s="73" t="inlineStr">
        <x:is>
          <x:t xml:space="preserve">MRE-04-DIALOG-004</x:t>
        </x:is>
      </x:c>
      <x:c r="B12" s="73" t="inlineStr">
        <x:is>
          <x:t xml:space="preserve">MR-04</x:t>
        </x:is>
      </x:c>
      <x:c r="C12" s="73" t="inlineStr">
        <x:is>
          <x:t xml:space="preserve">MR-P4</x:t>
        </x:is>
      </x:c>
      <x:c r="D12" s="74" t="inlineStr">
        <x:is>
          <x:t xml:space="preserve">Dialog</x:t>
        </x:is>
      </x:c>
      <x:c r="E12" s="74" t="inlineStr">
        <x:is>
          <x:t xml:space="preserve">pointer/click backdrop activation dismisses Dialog in the existing desktop manual scenario</x:t>
        </x:is>
      </x:c>
      <x:c r="F12" s="74" t="inlineStr">
        <x:is>
          <x:t xml:space="preserve">Dialog!ID-93 — tap backdrop</x:t>
        </x:is>
      </x:c>
      <x:c r="G12" s="75" t="inlineStr">
        <x:is>
          <x:t xml:space="preserve">narrow unsupported claim</x:t>
        </x:is>
      </x:c>
      <x:c r="H12" s="74" t="inlineStr">
        <x:is>
          <x:t xml:space="preserve">already adequately supported</x:t>
        </x:is>
      </x:c>
      <x:c r="I12" s="75" t="inlineStr">
        <x:is>
          <x:t xml:space="preserve">real device — Android Chrome</x:t>
        </x:is>
      </x:c>
      <x:c r="J12" s="73" t="inlineStr">
        <x:is>
          <x:t xml:space="preserve">Android</x:t>
        </x:is>
      </x:c>
      <x:c r="K12" s="73" t="n"/>
      <x:c r="L12" s="73" t="inlineStr">
        <x:is>
          <x:t xml:space="preserve">Chrome</x:t>
        </x:is>
      </x:c>
      <x:c r="M12" s="73" t="n"/>
      <x:c r="N12" s="73" t="n"/>
      <x:c r="O12" s="73" t="inlineStr">
        <x:is>
          <x:t xml:space="preserve">touch</x:t>
        </x:is>
      </x:c>
      <x:c r="P12" s="73" t="inlineStr">
        <x:is>
          <x:t xml:space="preserve">none</x:t>
        </x:is>
      </x:c>
      <x:c r="Q12" s="74" t="inlineStr">
        <x:is>
          <x:t xml:space="preserve">On a named Android device, exercise pointer/click backdrop activation dismisses Dialog in the existing desktop manual scenario and record OS, browser version, device, date, and reproduction notes.</x:t>
        </x:is>
      </x:c>
      <x:c r="R12" s="74" t="inlineStr">
        <x:is>
          <x:t xml:space="preserve">Backdrop activation dismisses according to the configured contract and leaves focus usable.</x:t>
        </x:is>
      </x:c>
      <x:c r="S12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12" s="74" t="inlineStr">
        <x:is>
          <x:t xml:space="preserve">test/browser/modal-containment.spec.ts; test/browser/modal-containment.mobile.spec.ts</x:t>
        </x:is>
      </x:c>
      <x:c r="U12" s="76" t="inlineStr">
        <x:is>
          <x:t xml:space="preserve">not run</x:t>
        </x:is>
      </x:c>
      <x:c r="V12" s="73" t="n"/>
      <x:c r="W12" s="74" t="n"/>
      <x:c r="X12" s="74" t="inlineStr">
        <x:is>
          <x:t xml:space="preserve">Deferred by maintainer because no Android device is available; remains not run and is not represented as a pass or failure. Automated Chromium/WebKit evidence passed 2026-07-30; this physical-device record remains governed by its separately recorded device status.</x:t>
        </x:is>
      </x:c>
      <x:c r="Y12" s="76" t="str">
        <x:f>IF(A12="","",IF(COUNTBLANK(A12:E12)+COUNTBLANK(G12:J12)+COUNTBLANK(Q12:R12)+COUNTBLANK(U12)&gt;0,"needs core fields",IF(AND(OR(I12="previous baseline — desktop manual",I12="browser emulation — manual",LEFT(I12,11)="real device"),S12=""),"needs protocol ref",IF(AND(LEFT(I12,18)="browser automation",T12=""),"needs automation ref",IF(AND(LEFT(I12,11)="real device",OR(U12="passed",U12="failed",U12="blocked"),OR(K12="",L12="",M12="",N12="",P12="")),"needs device details",IF(AND(OR(U12="passed",U12="failed",U12="blocked"),V12=""),"needs result date","ready"))))))</x:f>
        <x:v>ready</x:v>
      </x:c>
      <x:c r="AA12" s="50" t="inlineStr">
        <x:is>
          <x:t xml:space="preserve">MR-11</x:t>
        </x:is>
      </x:c>
      <x:c r="AE12" s="50" t="inlineStr">
        <x:is>
          <x:t xml:space="preserve">approved decision / documentation</x:t>
        </x:is>
      </x:c>
      <x:c r="AK12" s="50" t="inlineStr">
        <x:is>
          <x:t xml:space="preserve">CheckboxGroup</x:t>
        </x:is>
      </x:c>
    </x:row>
    <x:row r="13" s="51" customFormat="1" ht="48" customHeight="1">
      <x:c r="A13" s="73" t="inlineStr">
        <x:is>
          <x:t xml:space="preserve">MRE-02-DIALOG-001</x:t>
        </x:is>
      </x:c>
      <x:c r="B13" s="73" t="inlineStr">
        <x:is>
          <x:t xml:space="preserve">MR-02</x:t>
        </x:is>
      </x:c>
      <x:c r="C13" s="73" t="inlineStr">
        <x:is>
          <x:t xml:space="preserve">MR-P5</x:t>
        </x:is>
      </x:c>
      <x:c r="D13" s="74" t="inlineStr">
        <x:is>
          <x:t xml:space="preserve">Dialog</x:t>
        </x:is>
      </x:c>
      <x:c r="E13" s="74" t="inlineStr">
        <x:is>
          <x:t xml:space="preserve">Dialog fits the manually tested desktop layout viewport; mobile safe-area, visual-viewport, and virtual-keyboard behavior is not qualified</x:t>
        </x:is>
      </x:c>
      <x:c r="F13" s="74" t="inlineStr">
        <x:is>
          <x:t xml:space="preserve">Dialog!ID-94 — viewport fit</x:t>
        </x:is>
      </x:c>
      <x:c r="G13" s="75" t="inlineStr">
        <x:is>
          <x:t xml:space="preserve">narrow unsupported claim</x:t>
        </x:is>
      </x:c>
      <x:c r="H13" s="74" t="inlineStr">
        <x:is>
          <x:t xml:space="preserve">consumer styling/application responsibility</x:t>
        </x:is>
      </x:c>
      <x:c r="I13" s="75" t="inlineStr">
        <x:is>
          <x:t xml:space="preserve">real device — iOS Safari</x:t>
        </x:is>
      </x:c>
      <x:c r="J13" s="73" t="inlineStr">
        <x:is>
          <x:t xml:space="preserve">iOS</x:t>
        </x:is>
      </x:c>
      <x:c r="K13" s="73" t="inlineStr">
        <x:is>
          <x:t xml:space="preserve">26.5.2</x:t>
        </x:is>
      </x:c>
      <x:c r="L13" s="73" t="inlineStr">
        <x:is>
          <x:t xml:space="preserve">Safari</x:t>
        </x:is>
      </x:c>
      <x:c r="M13" s="73" t="inlineStr">
        <x:is>
          <x:t xml:space="preserve">26.5.2 system Safari</x:t>
        </x:is>
      </x:c>
      <x:c r="N13" s="73" t="inlineStr">
        <x:is>
          <x:t xml:space="preserve">iPhone 16 Pro Max</x:t>
        </x:is>
      </x:c>
      <x:c r="O13" s="73" t="inlineStr">
        <x:is>
          <x:t xml:space="preserve">visual viewport</x:t>
        </x:is>
      </x:c>
      <x:c r="P13" s="73" t="inlineStr">
        <x:is>
          <x:t xml:space="preserve">none</x:t>
        </x:is>
      </x:c>
      <x:c r="Q13" s="74" t="inlineStr">
        <x:is>
          <x:t xml:space="preserve">On a named iOS device, exercise Dialog fits the manually tested desktop layout viewport; mobile safe-area, visual-viewport, and virtual-keyboard behavior is not qualified and record OS, browser version, device, date, and reproduction notes.</x:t>
        </x:is>
      </x:c>
      <x:c r="R13" s="74" t="inlineStr">
        <x:is>
          <x:t xml:space="preserve">The consumer-styled Dialog remains reachable without clipping or keyboard obstruction in the named device scenario.</x:t>
        </x:is>
      </x:c>
      <x:c r="S13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13" s="74" t="n"/>
      <x:c r="U13" s="76" t="inlineStr">
        <x:is>
          <x:t xml:space="preserve">passed</x:t>
        </x:is>
      </x:c>
      <x:c r="V13" s="77" t="n">
        <x:v>46220</x:v>
      </x:c>
      <x:c r="W13" s="74" t="inlineStr">
        <x:is>
          <x:t xml:space="preserve">Modal foundation commits bbd4656 and 69be97d</x:t>
        </x:is>
      </x:c>
      <x:c r="X13" s="74" t="inlineStr">
        <x:is>
          <x:t xml:space="preserve">Passed on physical iPhone: touch focus and keyboard behavior, allowed-region scrolling, background lock, rotation, nested cleanup, and VoiceOver isolation were qualified as applicable to this evidence record.</x:t>
        </x:is>
      </x:c>
      <x:c r="Y13" s="76" t="str">
        <x:f>IF(A13="","",IF(COUNTBLANK(A13:E13)+COUNTBLANK(G13:J13)+COUNTBLANK(Q13:R13)+COUNTBLANK(U13)&gt;0,"needs core fields",IF(AND(OR(I13="previous baseline — desktop manual",I13="browser emulation — manual",LEFT(I13,11)="real device"),S13=""),"needs protocol ref",IF(AND(LEFT(I13,18)="browser automation",T13=""),"needs automation ref",IF(AND(LEFT(I13,11)="real device",OR(U13="passed",U13="failed",U13="blocked"),OR(K13="",L13="",M13="",N13="",P13="")),"needs device details",IF(AND(OR(U13="passed",U13="failed",U13="blocked"),V13=""),"needs result date","ready"))))))</x:f>
        <x:v>ready</x:v>
      </x:c>
      <x:c r="AA13" s="50" t="inlineStr">
        <x:is>
          <x:t xml:space="preserve">MR-12</x:t>
        </x:is>
      </x:c>
      <x:c r="AK13" s="50" t="inlineStr">
        <x:is>
          <x:t xml:space="preserve">Collapsible</x:t>
        </x:is>
      </x:c>
    </x:row>
    <x:row r="14" s="51" customFormat="1" ht="48" customHeight="1">
      <x:c r="A14" s="73" t="inlineStr">
        <x:is>
          <x:t xml:space="preserve">MRE-02-DIALOG-002</x:t>
        </x:is>
      </x:c>
      <x:c r="B14" s="73" t="inlineStr">
        <x:is>
          <x:t xml:space="preserve">MR-02</x:t>
        </x:is>
      </x:c>
      <x:c r="C14" s="73" t="inlineStr">
        <x:is>
          <x:t xml:space="preserve">MR-P5</x:t>
        </x:is>
      </x:c>
      <x:c r="D14" s="74" t="inlineStr">
        <x:is>
          <x:t xml:space="preserve">Dialog</x:t>
        </x:is>
      </x:c>
      <x:c r="E14" s="74" t="inlineStr">
        <x:is>
          <x:t xml:space="preserve">Dialog fits the manually tested desktop layout viewport; mobile safe-area, visual-viewport, and virtual-keyboard behavior is not qualified</x:t>
        </x:is>
      </x:c>
      <x:c r="F14" s="74" t="inlineStr">
        <x:is>
          <x:t xml:space="preserve">Dialog!ID-94 — viewport fit</x:t>
        </x:is>
      </x:c>
      <x:c r="G14" s="75" t="inlineStr">
        <x:is>
          <x:t xml:space="preserve">narrow unsupported claim</x:t>
        </x:is>
      </x:c>
      <x:c r="H14" s="74" t="inlineStr">
        <x:is>
          <x:t xml:space="preserve">consumer styling/application responsibility</x:t>
        </x:is>
      </x:c>
      <x:c r="I14" s="75" t="inlineStr">
        <x:is>
          <x:t xml:space="preserve">real device — Android Chrome</x:t>
        </x:is>
      </x:c>
      <x:c r="J14" s="73" t="inlineStr">
        <x:is>
          <x:t xml:space="preserve">Android</x:t>
        </x:is>
      </x:c>
      <x:c r="K14" s="73" t="n"/>
      <x:c r="L14" s="73" t="inlineStr">
        <x:is>
          <x:t xml:space="preserve">Chrome</x:t>
        </x:is>
      </x:c>
      <x:c r="M14" s="73" t="n"/>
      <x:c r="N14" s="73" t="n"/>
      <x:c r="O14" s="73" t="inlineStr">
        <x:is>
          <x:t xml:space="preserve">visual viewport</x:t>
        </x:is>
      </x:c>
      <x:c r="P14" s="73" t="inlineStr">
        <x:is>
          <x:t xml:space="preserve">none</x:t>
        </x:is>
      </x:c>
      <x:c r="Q14" s="74" t="inlineStr">
        <x:is>
          <x:t xml:space="preserve">On a named Android device, exercise Dialog fits the manually tested desktop layout viewport; mobile safe-area, visual-viewport, and virtual-keyboard behavior is not qualified and record OS, browser version, device, date, and reproduction notes.</x:t>
        </x:is>
      </x:c>
      <x:c r="R14" s="74" t="inlineStr">
        <x:is>
          <x:t xml:space="preserve">The consumer-styled Dialog remains reachable without clipping or keyboard obstruction in the named device scenario.</x:t>
        </x:is>
      </x:c>
      <x:c r="S14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14" s="74" t="n"/>
      <x:c r="U14" s="76" t="inlineStr">
        <x:is>
          <x:t xml:space="preserve">not run</x:t>
        </x:is>
      </x:c>
      <x:c r="V14" s="73" t="n"/>
      <x:c r="W14" s="74" t="n"/>
      <x:c r="X14" s="74" t="inlineStr">
        <x:is>
          <x:t xml:space="preserve">Deferred by maintainer because no Android device is available; remains not run and is not represented as a pass or failure.</x:t>
        </x:is>
      </x:c>
      <x:c r="Y14" s="76" t="str">
        <x:f>IF(A14="","",IF(COUNTBLANK(A14:E14)+COUNTBLANK(G14:J14)+COUNTBLANK(Q14:R14)+COUNTBLANK(U14)&gt;0,"needs core fields",IF(AND(OR(I14="previous baseline — desktop manual",I14="browser emulation — manual",LEFT(I14,11)="real device"),S14=""),"needs protocol ref",IF(AND(LEFT(I14,18)="browser automation",T14=""),"needs automation ref",IF(AND(LEFT(I14,11)="real device",OR(U14="passed",U14="failed",U14="blocked"),OR(K14="",L14="",M14="",N14="",P14="")),"needs device details",IF(AND(OR(U14="passed",U14="failed",U14="blocked"),V14=""),"needs result date","ready"))))))</x:f>
        <x:v>ready</x:v>
      </x:c>
      <x:c r="AA14" s="50" t="inlineStr">
        <x:is>
          <x:t xml:space="preserve">MR-13</x:t>
        </x:is>
      </x:c>
      <x:c r="AK14" s="50" t="inlineStr">
        <x:is>
          <x:t xml:space="preserve">Collection</x:t>
        </x:is>
      </x:c>
    </x:row>
    <x:row r="15" s="51" customFormat="1" ht="48" customHeight="1">
      <x:c r="A15" s="73" t="inlineStr">
        <x:is>
          <x:t xml:space="preserve">MRE-04-DIALOG-005</x:t>
        </x:is>
      </x:c>
      <x:c r="B15" s="73" t="inlineStr">
        <x:is>
          <x:t xml:space="preserve">MR-04</x:t>
        </x:is>
      </x:c>
      <x:c r="C15" s="73" t="inlineStr">
        <x:is>
          <x:t xml:space="preserve">MR-P4</x:t>
        </x:is>
      </x:c>
      <x:c r="D15" s="74" t="inlineStr">
        <x:is>
          <x:t xml:space="preserve">Dialog</x:t>
        </x:is>
      </x:c>
      <x:c r="E15" s="74" t="inlineStr">
        <x:is>
          <x:t xml:space="preserve">desktop focus entry, trap, and restoration expectations; mobile screen-reader touch exploration is not qualified</x:t>
        </x:is>
      </x:c>
      <x:c r="F15" s="74" t="inlineStr">
        <x:is>
          <x:t xml:space="preserve">Dialog!ID-95 — mobile focus expectations</x:t>
        </x:is>
      </x:c>
      <x:c r="G15" s="75" t="inlineStr">
        <x:is>
          <x:t xml:space="preserve">narrow unsupported claim</x:t>
        </x:is>
      </x:c>
      <x:c r="H15" s="74" t="inlineStr">
        <x:is>
          <x:t xml:space="preserve">already adequately supported</x:t>
        </x:is>
      </x:c>
      <x:c r="I15" s="75" t="inlineStr">
        <x:is>
          <x:t xml:space="preserve">real device — iOS Safari</x:t>
        </x:is>
      </x:c>
      <x:c r="J15" s="73" t="inlineStr">
        <x:is>
          <x:t xml:space="preserve">iOS</x:t>
        </x:is>
      </x:c>
      <x:c r="K15" s="73" t="inlineStr">
        <x:is>
          <x:t xml:space="preserve">26.5.2</x:t>
        </x:is>
      </x:c>
      <x:c r="L15" s="73" t="inlineStr">
        <x:is>
          <x:t xml:space="preserve">Safari</x:t>
        </x:is>
      </x:c>
      <x:c r="M15" s="73" t="inlineStr">
        <x:is>
          <x:t xml:space="preserve">26.5.2 system Safari</x:t>
        </x:is>
      </x:c>
      <x:c r="N15" s="73" t="inlineStr">
        <x:is>
          <x:t xml:space="preserve">iPhone 16 Pro Max</x:t>
        </x:is>
      </x:c>
      <x:c r="O15" s="73" t="inlineStr">
        <x:is>
          <x:t xml:space="preserve">touch</x:t>
        </x:is>
      </x:c>
      <x:c r="P15" s="73" t="inlineStr">
        <x:is>
          <x:t xml:space="preserve">none</x:t>
        </x:is>
      </x:c>
      <x:c r="Q15" s="74" t="inlineStr">
        <x:is>
          <x:t xml:space="preserve">On a named iOS device, exercise desktop focus entry, trap, and restoration expectations; mobile screen-reader touch exploration is not qualified and record OS, browser version, device, date, and reproduction notes.</x:t>
        </x:is>
      </x:c>
      <x:c r="R15" s="74" t="inlineStr">
        <x:is>
          <x:t xml:space="preserve">Focus enters, remains within, and returns from the Dialog according to the modal contract.</x:t>
        </x:is>
      </x:c>
      <x:c r="S15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15" s="74" t="inlineStr">
        <x:is>
          <x:t xml:space="preserve">test/browser/modal-containment.spec.ts; test/browser/modal-containment.mobile.spec.ts</x:t>
        </x:is>
      </x:c>
      <x:c r="U15" s="76" t="inlineStr">
        <x:is>
          <x:t xml:space="preserve">passed</x:t>
        </x:is>
      </x:c>
      <x:c r="V15" s="77" t="n">
        <x:v>46220</x:v>
      </x:c>
      <x:c r="W15" s="74" t="inlineStr">
        <x:is>
          <x:t xml:space="preserve">Modal foundation commits bbd4656 and 69be97d</x:t>
        </x:is>
      </x:c>
      <x:c r="X15" s="74" t="inlineStr">
        <x:is>
          <x:t xml:space="preserve">Passed on physical iPhone: touch focus and keyboard behavior, allowed-region scrolling, background lock, rotation, nested cleanup, and VoiceOver isolation were qualified as applicable to this evidence record. Automated Chromium/WebKit evidence passed 2026-07-30; this physical-device record remains governed by its separately recorded device status.</x:t>
        </x:is>
      </x:c>
      <x:c r="Y15" s="76" t="str">
        <x:f>IF(A15="","",IF(COUNTBLANK(A15:E15)+COUNTBLANK(G15:J15)+COUNTBLANK(Q15:R15)+COUNTBLANK(U15)&gt;0,"needs core fields",IF(AND(OR(I15="previous baseline — desktop manual",I15="browser emulation — manual",LEFT(I15,11)="real device"),S15=""),"needs protocol ref",IF(AND(LEFT(I15,18)="browser automation",T15=""),"needs automation ref",IF(AND(LEFT(I15,11)="real device",OR(U15="passed",U15="failed",U15="blocked"),OR(K15="",L15="",M15="",N15="",P15="")),"needs device details",IF(AND(OR(U15="passed",U15="failed",U15="blocked"),V15=""),"needs result date","ready"))))))</x:f>
        <x:v>ready</x:v>
      </x:c>
      <x:c r="AA15" s="50" t="inlineStr">
        <x:is>
          <x:t xml:space="preserve">MR-14</x:t>
        </x:is>
      </x:c>
      <x:c r="AK15" s="50" t="inlineStr">
        <x:is>
          <x:t xml:space="preserve">Combobox</x:t>
        </x:is>
      </x:c>
    </x:row>
    <x:row r="16" s="51" customFormat="1" ht="48" customHeight="1">
      <x:c r="A16" s="73" t="inlineStr">
        <x:is>
          <x:t xml:space="preserve">MRE-04-DIALOG-006</x:t>
        </x:is>
      </x:c>
      <x:c r="B16" s="73" t="inlineStr">
        <x:is>
          <x:t xml:space="preserve">MR-04</x:t>
        </x:is>
      </x:c>
      <x:c r="C16" s="73" t="inlineStr">
        <x:is>
          <x:t xml:space="preserve">MR-P4</x:t>
        </x:is>
      </x:c>
      <x:c r="D16" s="74" t="inlineStr">
        <x:is>
          <x:t xml:space="preserve">Dialog</x:t>
        </x:is>
      </x:c>
      <x:c r="E16" s="74" t="inlineStr">
        <x:is>
          <x:t xml:space="preserve">desktop focus entry, trap, and restoration expectations; mobile screen-reader touch exploration is not qualified</x:t>
        </x:is>
      </x:c>
      <x:c r="F16" s="74" t="inlineStr">
        <x:is>
          <x:t xml:space="preserve">Dialog!ID-95 — mobile focus expectations</x:t>
        </x:is>
      </x:c>
      <x:c r="G16" s="75" t="inlineStr">
        <x:is>
          <x:t xml:space="preserve">narrow unsupported claim</x:t>
        </x:is>
      </x:c>
      <x:c r="H16" s="74" t="inlineStr">
        <x:is>
          <x:t xml:space="preserve">already adequately supported</x:t>
        </x:is>
      </x:c>
      <x:c r="I16" s="75" t="inlineStr">
        <x:is>
          <x:t xml:space="preserve">real device — Android Chrome</x:t>
        </x:is>
      </x:c>
      <x:c r="J16" s="73" t="inlineStr">
        <x:is>
          <x:t xml:space="preserve">Android</x:t>
        </x:is>
      </x:c>
      <x:c r="K16" s="73" t="n"/>
      <x:c r="L16" s="73" t="inlineStr">
        <x:is>
          <x:t xml:space="preserve">Chrome</x:t>
        </x:is>
      </x:c>
      <x:c r="M16" s="73" t="n"/>
      <x:c r="N16" s="73" t="n"/>
      <x:c r="O16" s="73" t="inlineStr">
        <x:is>
          <x:t xml:space="preserve">touch</x:t>
        </x:is>
      </x:c>
      <x:c r="P16" s="73" t="inlineStr">
        <x:is>
          <x:t xml:space="preserve">none</x:t>
        </x:is>
      </x:c>
      <x:c r="Q16" s="74" t="inlineStr">
        <x:is>
          <x:t xml:space="preserve">On a named Android device, exercise desktop focus entry, trap, and restoration expectations; mobile screen-reader touch exploration is not qualified and record OS, browser version, device, date, and reproduction notes.</x:t>
        </x:is>
      </x:c>
      <x:c r="R16" s="74" t="inlineStr">
        <x:is>
          <x:t xml:space="preserve">Focus enters, remains within, and returns from the Dialog according to the modal contract.</x:t>
        </x:is>
      </x:c>
      <x:c r="S16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16" s="74" t="inlineStr">
        <x:is>
          <x:t xml:space="preserve">test/browser/modal-containment.spec.ts; test/browser/modal-containment.mobile.spec.ts</x:t>
        </x:is>
      </x:c>
      <x:c r="U16" s="76" t="inlineStr">
        <x:is>
          <x:t xml:space="preserve">not run</x:t>
        </x:is>
      </x:c>
      <x:c r="V16" s="73" t="n"/>
      <x:c r="W16" s="74" t="n"/>
      <x:c r="X16" s="74" t="inlineStr">
        <x:is>
          <x:t xml:space="preserve">Deferred by maintainer because no Android device is available; remains not run and is not represented as a pass or failure. Automated Chromium/WebKit evidence passed 2026-07-30; this physical-device record remains governed by its separately recorded device status.</x:t>
        </x:is>
      </x:c>
      <x:c r="Y16" s="76" t="str">
        <x:f>IF(A16="","",IF(COUNTBLANK(A16:E16)+COUNTBLANK(G16:J16)+COUNTBLANK(Q16:R16)+COUNTBLANK(U16)&gt;0,"needs core fields",IF(AND(OR(I16="previous baseline — desktop manual",I16="browser emulation — manual",LEFT(I16,11)="real device"),S16=""),"needs protocol ref",IF(AND(LEFT(I16,18)="browser automation",T16=""),"needs automation ref",IF(AND(LEFT(I16,11)="real device",OR(U16="passed",U16="failed",U16="blocked"),OR(K16="",L16="",M16="",N16="",P16="")),"needs device details",IF(AND(OR(U16="passed",U16="failed",U16="blocked"),V16=""),"needs result date","ready"))))))</x:f>
        <x:v>ready</x:v>
      </x:c>
      <x:c r="AA16" s="50" t="inlineStr">
        <x:is>
          <x:t xml:space="preserve">MR-15</x:t>
        </x:is>
      </x:c>
      <x:c r="AK16" s="50" t="inlineStr">
        <x:is>
          <x:t xml:space="preserve">ContextMenu</x:t>
        </x:is>
      </x:c>
    </x:row>
    <x:row r="17" s="51" customFormat="1" ht="48" customHeight="1">
      <x:c r="A17" s="73" t="inlineStr">
        <x:is>
          <x:t xml:space="preserve">MRE-04-MODAL-001</x:t>
        </x:is>
      </x:c>
      <x:c r="B17" s="73" t="inlineStr">
        <x:is>
          <x:t xml:space="preserve">MR-04</x:t>
        </x:is>
      </x:c>
      <x:c r="C17" s="73" t="inlineStr">
        <x:is>
          <x:t xml:space="preserve">MR-P4</x:t>
        </x:is>
      </x:c>
      <x:c r="D17" s="74" t="inlineStr">
        <x:is>
          <x:t xml:space="preserve">Modal</x:t>
        </x:is>
      </x:c>
      <x:c r="E17" s="74" t="inlineStr">
        <x:is>
          <x:t xml:space="preserve">desktop browser responsive smoke covers pointer, keyboard, focus, and layout-viewport behavior only</x:t>
        </x:is>
      </x:c>
      <x:c r="F17" s="74" t="inlineStr">
        <x:is>
          <x:t xml:space="preserve">Modal!ID-102 — mobile viewport/touch behavior</x:t>
        </x:is>
      </x:c>
      <x:c r="G17" s="75" t="inlineStr">
        <x:is>
          <x:t xml:space="preserve">narrow unsupported claim</x:t>
        </x:is>
      </x:c>
      <x:c r="H17" s="74" t="inlineStr">
        <x:is>
          <x:t xml:space="preserve">already adequately supported</x:t>
        </x:is>
      </x:c>
      <x:c r="I17" s="75" t="inlineStr">
        <x:is>
          <x:t xml:space="preserve">real device — iOS Safari</x:t>
        </x:is>
      </x:c>
      <x:c r="J17" s="73" t="inlineStr">
        <x:is>
          <x:t xml:space="preserve">iOS</x:t>
        </x:is>
      </x:c>
      <x:c r="K17" s="73" t="inlineStr">
        <x:is>
          <x:t xml:space="preserve">26.5.2</x:t>
        </x:is>
      </x:c>
      <x:c r="L17" s="73" t="inlineStr">
        <x:is>
          <x:t xml:space="preserve">Safari</x:t>
        </x:is>
      </x:c>
      <x:c r="M17" s="73" t="inlineStr">
        <x:is>
          <x:t xml:space="preserve">26.5.2 system Safari</x:t>
        </x:is>
      </x:c>
      <x:c r="N17" s="73" t="inlineStr">
        <x:is>
          <x:t xml:space="preserve">iPhone 16 Pro Max</x:t>
        </x:is>
      </x:c>
      <x:c r="O17" s="73" t="inlineStr">
        <x:is>
          <x:t xml:space="preserve">touch</x:t>
        </x:is>
      </x:c>
      <x:c r="P17" s="73" t="inlineStr">
        <x:is>
          <x:t xml:space="preserve">none</x:t>
        </x:is>
      </x:c>
      <x:c r="Q17" s="74" t="inlineStr">
        <x:is>
          <x:t xml:space="preserve">On a named iOS device, exercise desktop browser responsive smoke covers pointer, keyboard, focus, and layout-viewport behavior only and record OS, browser version, device, date, and reproduction notes.</x:t>
        </x:is>
      </x:c>
      <x:c r="R17" s="74" t="inlineStr">
        <x:is>
          <x:t xml:space="preserve">The modal interaction remains operable and focus remains contained on the named device.</x:t>
        </x:is>
      </x:c>
      <x:c r="S17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17" s="74" t="inlineStr">
        <x:is>
          <x:t xml:space="preserve">test/browser/modal-containment.spec.ts; test/browser/modal-containment.mobile.spec.ts</x:t>
        </x:is>
      </x:c>
      <x:c r="U17" s="76" t="inlineStr">
        <x:is>
          <x:t xml:space="preserve">passed</x:t>
        </x:is>
      </x:c>
      <x:c r="V17" s="77" t="n">
        <x:v>46220</x:v>
      </x:c>
      <x:c r="W17" s="74" t="inlineStr">
        <x:is>
          <x:t xml:space="preserve">Modal foundation commits bbd4656 and 69be97d</x:t>
        </x:is>
      </x:c>
      <x:c r="X17" s="74" t="inlineStr">
        <x:is>
          <x:t xml:space="preserve">Passed on physical iPhone: touch focus and keyboard behavior, allowed-region scrolling, background lock, rotation, nested cleanup, and VoiceOver isolation were qualified as applicable to this evidence record. Automated Chromium/WebKit evidence passed 2026-07-30; this physical-device record remains governed by its separately recorded device status.</x:t>
        </x:is>
      </x:c>
      <x:c r="Y17" s="76" t="str">
        <x:f>IF(A17="","",IF(COUNTBLANK(A17:E17)+COUNTBLANK(G17:J17)+COUNTBLANK(Q17:R17)+COUNTBLANK(U17)&gt;0,"needs core fields",IF(AND(OR(I17="previous baseline — desktop manual",I17="browser emulation — manual",LEFT(I17,11)="real device"),S17=""),"needs protocol ref",IF(AND(LEFT(I17,18)="browser automation",T17=""),"needs automation ref",IF(AND(LEFT(I17,11)="real device",OR(U17="passed",U17="failed",U17="blocked"),OR(K17="",L17="",M17="",N17="",P17="")),"needs device details",IF(AND(OR(U17="passed",U17="failed",U17="blocked"),V17=""),"needs result date","ready"))))))</x:f>
        <x:v>ready</x:v>
      </x:c>
      <x:c r="AA17" s="50" t="inlineStr">
        <x:is>
          <x:t xml:space="preserve">MR-16</x:t>
        </x:is>
      </x:c>
      <x:c r="AK17" s="50" t="inlineStr">
        <x:is>
          <x:t xml:space="preserve">DataGrid</x:t>
        </x:is>
      </x:c>
    </x:row>
    <x:row r="18" s="51" customFormat="1" ht="48" customHeight="1">
      <x:c r="A18" s="73" t="inlineStr">
        <x:is>
          <x:t xml:space="preserve">MRE-04-MODAL-002</x:t>
        </x:is>
      </x:c>
      <x:c r="B18" s="73" t="inlineStr">
        <x:is>
          <x:t xml:space="preserve">MR-04</x:t>
        </x:is>
      </x:c>
      <x:c r="C18" s="73" t="inlineStr">
        <x:is>
          <x:t xml:space="preserve">MR-P4</x:t>
        </x:is>
      </x:c>
      <x:c r="D18" s="74" t="inlineStr">
        <x:is>
          <x:t xml:space="preserve">Modal</x:t>
        </x:is>
      </x:c>
      <x:c r="E18" s="74" t="inlineStr">
        <x:is>
          <x:t xml:space="preserve">desktop browser responsive smoke covers pointer, keyboard, focus, and layout-viewport behavior only</x:t>
        </x:is>
      </x:c>
      <x:c r="F18" s="74" t="inlineStr">
        <x:is>
          <x:t xml:space="preserve">Modal!ID-102 — mobile viewport/touch behavior</x:t>
        </x:is>
      </x:c>
      <x:c r="G18" s="75" t="inlineStr">
        <x:is>
          <x:t xml:space="preserve">narrow unsupported claim</x:t>
        </x:is>
      </x:c>
      <x:c r="H18" s="74" t="inlineStr">
        <x:is>
          <x:t xml:space="preserve">already adequately supported</x:t>
        </x:is>
      </x:c>
      <x:c r="I18" s="75" t="inlineStr">
        <x:is>
          <x:t xml:space="preserve">real device — Android Chrome</x:t>
        </x:is>
      </x:c>
      <x:c r="J18" s="73" t="inlineStr">
        <x:is>
          <x:t xml:space="preserve">Android</x:t>
        </x:is>
      </x:c>
      <x:c r="K18" s="73" t="n"/>
      <x:c r="L18" s="73" t="inlineStr">
        <x:is>
          <x:t xml:space="preserve">Chrome</x:t>
        </x:is>
      </x:c>
      <x:c r="M18" s="73" t="n"/>
      <x:c r="N18" s="73" t="n"/>
      <x:c r="O18" s="73" t="inlineStr">
        <x:is>
          <x:t xml:space="preserve">touch</x:t>
        </x:is>
      </x:c>
      <x:c r="P18" s="73" t="inlineStr">
        <x:is>
          <x:t xml:space="preserve">none</x:t>
        </x:is>
      </x:c>
      <x:c r="Q18" s="74" t="inlineStr">
        <x:is>
          <x:t xml:space="preserve">On a named Android device, exercise desktop browser responsive smoke covers pointer, keyboard, focus, and layout-viewport behavior only and record OS, browser version, device, date, and reproduction notes.</x:t>
        </x:is>
      </x:c>
      <x:c r="R18" s="74" t="inlineStr">
        <x:is>
          <x:t xml:space="preserve">The modal interaction remains operable and focus remains contained on the named device.</x:t>
        </x:is>
      </x:c>
      <x:c r="S18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18" s="74" t="inlineStr">
        <x:is>
          <x:t xml:space="preserve">test/browser/modal-containment.spec.ts; test/browser/modal-containment.mobile.spec.ts</x:t>
        </x:is>
      </x:c>
      <x:c r="U18" s="76" t="inlineStr">
        <x:is>
          <x:t xml:space="preserve">not run</x:t>
        </x:is>
      </x:c>
      <x:c r="V18" s="73" t="n"/>
      <x:c r="W18" s="74" t="n"/>
      <x:c r="X18" s="74" t="inlineStr">
        <x:is>
          <x:t xml:space="preserve">Deferred by maintainer because no Android device is available; remains not run and is not represented as a pass or failure. Automated Chromium/WebKit evidence passed 2026-07-30; this physical-device record remains governed by its separately recorded device status.</x:t>
        </x:is>
      </x:c>
      <x:c r="Y18" s="76" t="str">
        <x:f>IF(A18="","",IF(COUNTBLANK(A18:E18)+COUNTBLANK(G18:J18)+COUNTBLANK(Q18:R18)+COUNTBLANK(U18)&gt;0,"needs core fields",IF(AND(OR(I18="previous baseline — desktop manual",I18="browser emulation — manual",LEFT(I18,11)="real device"),S18=""),"needs protocol ref",IF(AND(LEFT(I18,18)="browser automation",T18=""),"needs automation ref",IF(AND(LEFT(I18,11)="real device",OR(U18="passed",U18="failed",U18="blocked"),OR(K18="",L18="",M18="",N18="",P18="")),"needs device details",IF(AND(OR(U18="passed",U18="failed",U18="blocked"),V18=""),"needs result date","ready"))))))</x:f>
        <x:v>ready</x:v>
      </x:c>
      <x:c r="AA18" s="50" t="inlineStr">
        <x:is>
          <x:t xml:space="preserve">MR-17</x:t>
        </x:is>
      </x:c>
      <x:c r="AK18" s="50" t="inlineStr">
        <x:is>
          <x:t xml:space="preserve">Dialog</x:t>
        </x:is>
      </x:c>
    </x:row>
    <x:row r="19" s="51" customFormat="1" ht="48" customHeight="1">
      <x:c r="A19" s="73" t="inlineStr">
        <x:is>
          <x:t xml:space="preserve">MRE-14-TOOLTIP-001</x:t>
        </x:is>
      </x:c>
      <x:c r="B19" s="73" t="inlineStr">
        <x:is>
          <x:t xml:space="preserve">MR-14</x:t>
        </x:is>
      </x:c>
      <x:c r="C19" s="73" t="inlineStr">
        <x:is>
          <x:t xml:space="preserve">MR-P1</x:t>
        </x:is>
      </x:c>
      <x:c r="D19" s="74" t="inlineStr">
        <x:is>
          <x:t xml:space="preserve">Tooltip</x:t>
        </x:is>
      </x:c>
      <x:c r="E19" s="74" t="inlineStr">
        <x:is>
          <x:t xml:space="preserve">stationary long press, quick-tap compatibility suppression, cancellation, and release dismissal</x:t>
        </x:is>
      </x:c>
      <x:c r="F19" s="74" t="inlineStr">
        <x:is>
          <x:t xml:space="preserve">Tooltip!ID-85 through ID-90 — physical touch contract</x:t>
        </x:is>
      </x:c>
      <x:c r="G19" s="75" t="inlineStr">
        <x:is>
          <x:t xml:space="preserve">narrow unsupported claim</x:t>
        </x:is>
      </x:c>
      <x:c r="H19" s="74" t="inlineStr">
        <x:is>
          <x:t xml:space="preserve">confirmed Atom implementation gap</x:t>
        </x:is>
      </x:c>
      <x:c r="I19" s="75" t="inlineStr">
        <x:is>
          <x:t xml:space="preserve">real device — iOS Safari</x:t>
        </x:is>
      </x:c>
      <x:c r="J19" s="73" t="inlineStr">
        <x:is>
          <x:t xml:space="preserve">iOS</x:t>
        </x:is>
      </x:c>
      <x:c r="K19" s="73" t="inlineStr">
        <x:is>
          <x:t xml:space="preserve">26.5.2</x:t>
        </x:is>
      </x:c>
      <x:c r="L19" s="73" t="inlineStr">
        <x:is>
          <x:t xml:space="preserve">Safari</x:t>
        </x:is>
      </x:c>
      <x:c r="M19" s="73" t="inlineStr">
        <x:is>
          <x:t xml:space="preserve">26.5.2 system Safari</x:t>
        </x:is>
      </x:c>
      <x:c r="N19" s="73" t="inlineStr">
        <x:is>
          <x:t xml:space="preserve">iPhone 16 Pro Max</x:t>
        </x:is>
      </x:c>
      <x:c r="O19" s="73" t="inlineStr">
        <x:is>
          <x:t xml:space="preserve">touch</x:t>
        </x:is>
      </x:c>
      <x:c r="P19" s="73" t="inlineStr">
        <x:is>
          <x:t xml:space="preserve">none</x:t>
        </x:is>
      </x:c>
      <x:c r="Q19" s="74" t="inlineStr">
        <x:is>
          <x:t xml:space="preserve">On a named iOS device, verify quick tap does not open, stationary 700 ms long press opens once, abandoned gestures cancel, selection/callout does not replace the hold, and release dismissal is deterministic.</x:t>
        </x:is>
      </x:c>
      <x:c r="R19" s="74" t="inlineStr">
        <x:is>
          <x:t xml:space="preserve">Quick tap stays closed; long press opens once; plain/rich dismiss 1500/3000 ms after release; cancellation never produces delayed opening.</x:t>
        </x:is>
      </x:c>
      <x:c r="S19" s="74" t="inlineStr">
        <x:is>
          <x:t xml:space="preserve">playground/manual-tests/tooltip.md — Steps 11–12, 2026-07-19; playground/manual-tests/mobile-readiness.md — final physical-device and AT lane</x:t>
        </x:is>
      </x:c>
      <x:c r="T19" s="74" t="inlineStr">
        <x:is>
          <x:t xml:space="preserve">test/browser/mobile-gesture-consolidation.mobile.spec.ts</x:t>
        </x:is>
      </x:c>
      <x:c r="U19" s="76" t="inlineStr">
        <x:is>
          <x:t xml:space="preserve">passed</x:t>
        </x:is>
      </x:c>
      <x:c r="V19" s="78" t="n">
        <x:v>46222</x:v>
      </x:c>
      <x:c r="W19" s="74" t="inlineStr">
        <x:is>
          <x:t xml:space="preserve">Atom 0.3.5 Tooltip touch candidate</x:t>
        </x:is>
      </x:c>
      <x:c r="X19" s="74" t="inlineStr">
        <x:is>
          <x:t xml:space="preserve">Passed on physical iPhone Safari after correcting touch-generated compatibility opening and touch selection/callout interference. Maintainer confirmed the complete focused phone protocol looks good. Automated Chromium/WebKit evidence passed 2026-07-30; this physical-device record remains governed by its separately recorded device status.</x:t>
        </x:is>
      </x:c>
      <x:c r="Y19" s="76" t="str">
        <x:f>IF(A19="","",IF(COUNTBLANK(A19:E19)+COUNTBLANK(G19:J19)+COUNTBLANK(Q19:R19)+COUNTBLANK(U19)&gt;0,"needs core fields",IF(AND(OR(I19="previous baseline — desktop manual",I19="browser emulation — manual",LEFT(I19,11)="real device"),S19=""),"needs protocol ref",IF(AND(LEFT(I19,18)="browser automation",T19=""),"needs automation ref",IF(AND(LEFT(I19,11)="real device",OR(U19="passed",U19="failed",U19="blocked"),OR(K19="",L19="",M19="",N19="",P19="")),"needs device details",IF(AND(OR(U19="passed",U19="failed",U19="blocked"),V19=""),"needs result date","ready"))))))</x:f>
        <x:v>ready</x:v>
      </x:c>
      <x:c r="AA19" s="50" t="inlineStr">
        <x:is>
          <x:t xml:space="preserve">MR-18</x:t>
        </x:is>
      </x:c>
      <x:c r="AK19" s="50" t="inlineStr">
        <x:is>
          <x:t xml:space="preserve">Direction</x:t>
        </x:is>
      </x:c>
    </x:row>
    <x:row r="20" s="51" customFormat="1" ht="48" customHeight="1">
      <x:c r="A20" s="73" t="inlineStr">
        <x:is>
          <x:t xml:space="preserve">MRE-14-TOOLTIP-002</x:t>
        </x:is>
      </x:c>
      <x:c r="B20" s="73" t="inlineStr">
        <x:is>
          <x:t xml:space="preserve">MR-14</x:t>
        </x:is>
      </x:c>
      <x:c r="C20" s="73" t="inlineStr">
        <x:is>
          <x:t xml:space="preserve">MR-P1</x:t>
        </x:is>
      </x:c>
      <x:c r="D20" s="74" t="inlineStr">
        <x:is>
          <x:t xml:space="preserve">Tooltip</x:t>
        </x:is>
      </x:c>
      <x:c r="E20" s="74" t="inlineStr">
        <x:is>
          <x:t xml:space="preserve">opens on pointer hover and keyboard focus-visible</x:t>
        </x:is>
      </x:c>
      <x:c r="F20" s="74" t="inlineStr">
        <x:is>
          <x:t xml:space="preserve">Tooltip!ID-9 — Opens on pointer hover, keyboard focus-visible, and touch long press</x:t>
        </x:is>
      </x:c>
      <x:c r="G20" s="75" t="inlineStr">
        <x:is>
          <x:t xml:space="preserve">narrow unsupported claim</x:t>
        </x:is>
      </x:c>
      <x:c r="H20" s="74" t="inlineStr">
        <x:is>
          <x:t xml:space="preserve">confirmed Atom implementation gap</x:t>
        </x:is>
      </x:c>
      <x:c r="I20" s="75" t="inlineStr">
        <x:is>
          <x:t xml:space="preserve">real device — Android Chrome</x:t>
        </x:is>
      </x:c>
      <x:c r="J20" s="73" t="inlineStr">
        <x:is>
          <x:t xml:space="preserve">Android</x:t>
        </x:is>
      </x:c>
      <x:c r="K20" s="73" t="n"/>
      <x:c r="L20" s="73" t="inlineStr">
        <x:is>
          <x:t xml:space="preserve">Chrome</x:t>
        </x:is>
      </x:c>
      <x:c r="M20" s="73" t="n"/>
      <x:c r="N20" s="73" t="n"/>
      <x:c r="O20" s="73" t="inlineStr">
        <x:is>
          <x:t xml:space="preserve">touch</x:t>
        </x:is>
      </x:c>
      <x:c r="P20" s="73" t="inlineStr">
        <x:is>
          <x:t xml:space="preserve">none</x:t>
        </x:is>
      </x:c>
      <x:c r="Q20" s="74" t="inlineStr">
        <x:is>
          <x:t xml:space="preserve">On a named Android device, exercise opens on pointer hover and keyboard focus-visible and record OS, browser version, device, date, and reproduction notes.</x:t>
        </x:is>
      </x:c>
      <x:c r="R20" s="74" t="inlineStr">
        <x:is>
          <x:t xml:space="preserve">A completed long press opens the Tooltip; movement, cancellation, and unmount prevent delayed opening.</x:t>
        </x:is>
      </x:c>
      <x:c r="S20" s="74" t="inlineStr">
        <x:is>
          <x:t xml:space="preserve">playground/manual-tests/mobile-readiness.md — final physical-device and AT lane</x:t>
        </x:is>
      </x:c>
      <x:c r="T20" s="74" t="inlineStr">
        <x:is>
          <x:t xml:space="preserve">test/browser/mobile-gesture-consolidation.mobile.spec.ts</x:t>
        </x:is>
      </x:c>
      <x:c r="U20" s="76" t="inlineStr">
        <x:is>
          <x:t xml:space="preserve">not run</x:t>
        </x:is>
      </x:c>
      <x:c r="V20" s="73" t="n"/>
      <x:c r="W20" s="74" t="n"/>
      <x:c r="X20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20" s="76" t="str">
        <x:f>IF(A20="","",IF(COUNTBLANK(A20:E20)+COUNTBLANK(G20:J20)+COUNTBLANK(Q20:R20)+COUNTBLANK(U20)&gt;0,"needs core fields",IF(AND(OR(I20="previous baseline — desktop manual",I20="browser emulation — manual",LEFT(I20,11)="real device"),S20=""),"needs protocol ref",IF(AND(LEFT(I20,18)="browser automation",T20=""),"needs automation ref",IF(AND(LEFT(I20,11)="real device",OR(U20="passed",U20="failed",U20="blocked"),OR(K20="",L20="",M20="",N20="",P20="")),"needs device details",IF(AND(OR(U20="passed",U20="failed",U20="blocked"),V20=""),"needs result date","ready"))))))</x:f>
        <x:v>ready</x:v>
      </x:c>
      <x:c r="AA20" s="50" t="inlineStr">
        <x:is>
          <x:t xml:space="preserve">MR-19</x:t>
        </x:is>
      </x:c>
      <x:c r="AK20" s="50" t="inlineStr">
        <x:is>
          <x:t xml:space="preserve">Divider</x:t>
        </x:is>
      </x:c>
    </x:row>
    <x:row r="21" s="51" customFormat="1" ht="48" customHeight="1">
      <x:c r="A21" s="73" t="inlineStr">
        <x:is>
          <x:t xml:space="preserve">MRE-14-TOOLTIP-003</x:t>
        </x:is>
      </x:c>
      <x:c r="B21" s="73" t="inlineStr">
        <x:is>
          <x:t xml:space="preserve">MR-14</x:t>
        </x:is>
      </x:c>
      <x:c r="C21" s="73" t="inlineStr">
        <x:is>
          <x:t xml:space="preserve">MR-P1</x:t>
        </x:is>
      </x:c>
      <x:c r="D21" s="74" t="inlineStr">
        <x:is>
          <x:t xml:space="preserve">Tooltip</x:t>
        </x:is>
      </x:c>
      <x:c r="E21" s="74" t="inlineStr">
        <x:is>
          <x:t xml:space="preserve">native scrolling cancels pending or opened touch Tooltip without delayed reopening</x:t>
        </x:is>
      </x:c>
      <x:c r="F21" s="74" t="inlineStr">
        <x:is>
          <x:t xml:space="preserve">Tooltip!ID-88 through ID-90 — touch cancellation and native behavior</x:t>
        </x:is>
      </x:c>
      <x:c r="G21" s="75" t="inlineStr">
        <x:is>
          <x:t xml:space="preserve">narrow unsupported claim</x:t>
        </x:is>
      </x:c>
      <x:c r="H21" s="74" t="inlineStr">
        <x:is>
          <x:t xml:space="preserve">confirmed Atom implementation gap</x:t>
        </x:is>
      </x:c>
      <x:c r="I21" s="75" t="inlineStr">
        <x:is>
          <x:t xml:space="preserve">real device — iOS Safari</x:t>
        </x:is>
      </x:c>
      <x:c r="J21" s="73" t="inlineStr">
        <x:is>
          <x:t xml:space="preserve">iOS</x:t>
        </x:is>
      </x:c>
      <x:c r="K21" s="73" t="inlineStr">
        <x:is>
          <x:t xml:space="preserve">26.5.2</x:t>
        </x:is>
      </x:c>
      <x:c r="L21" s="73" t="inlineStr">
        <x:is>
          <x:t xml:space="preserve">Safari</x:t>
        </x:is>
      </x:c>
      <x:c r="M21" s="73" t="inlineStr">
        <x:is>
          <x:t xml:space="preserve">26.5.2 system Safari</x:t>
        </x:is>
      </x:c>
      <x:c r="N21" s="73" t="inlineStr">
        <x:is>
          <x:t xml:space="preserve">iPhone 16 Pro Max</x:t>
        </x:is>
      </x:c>
      <x:c r="O21" s="73" t="inlineStr">
        <x:is>
          <x:t xml:space="preserve">touch</x:t>
        </x:is>
      </x:c>
      <x:c r="P21" s="73" t="inlineStr">
        <x:is>
          <x:t xml:space="preserve">none</x:t>
        </x:is>
      </x:c>
      <x:c r="Q21" s="74" t="inlineStr">
        <x:is>
          <x:t xml:space="preserve">On a named iOS device, drag vertically before and after opening, then repeat a valid long press while confirming ordinary page scrolling remains native.</x:t>
        </x:is>
      </x:c>
      <x:c r="R21" s="74" t="inlineStr">
        <x:is>
          <x:t xml:space="preserve">Scrolling remains native, cancels the touch session, and leaves later long presses usable without stale callbacks.</x:t>
        </x:is>
      </x:c>
      <x:c r="S21" s="74" t="inlineStr">
        <x:is>
          <x:t xml:space="preserve">playground/manual-tests/tooltip.md — Steps 11–12, 2026-07-19; playground/manual-tests/mobile-readiness.md — final physical-device and AT lane</x:t>
        </x:is>
      </x:c>
      <x:c r="T21" s="74" t="inlineStr">
        <x:is>
          <x:t xml:space="preserve">test/browser/mobile-gesture-consolidation.mobile.spec.ts</x:t>
        </x:is>
      </x:c>
      <x:c r="U21" s="76" t="inlineStr">
        <x:is>
          <x:t xml:space="preserve">passed</x:t>
        </x:is>
      </x:c>
      <x:c r="V21" s="78" t="n">
        <x:v>46222</x:v>
      </x:c>
      <x:c r="W21" s="74" t="inlineStr">
        <x:is>
          <x:t xml:space="preserve">Atom 0.3.5 Tooltip touch candidate</x:t>
        </x:is>
      </x:c>
      <x:c r="X21" s="74" t="inlineStr">
        <x:is>
          <x:t xml:space="preserve">Passed on physical iPhone Safari after correcting touch-generated compatibility opening and touch selection/callout interference. Maintainer confirmed the complete focused phone protocol looks good. Automated Chromium/WebKit evidence passed 2026-07-30; this physical-device record remains governed by its separately recorded device status.</x:t>
        </x:is>
      </x:c>
      <x:c r="Y21" s="76" t="str">
        <x:f>IF(A21="","",IF(COUNTBLANK(A21:E21)+COUNTBLANK(G21:J21)+COUNTBLANK(Q21:R21)+COUNTBLANK(U21)&gt;0,"needs core fields",IF(AND(OR(I21="previous baseline — desktop manual",I21="browser emulation — manual",LEFT(I21,11)="real device"),S21=""),"needs protocol ref",IF(AND(LEFT(I21,18)="browser automation",T21=""),"needs automation ref",IF(AND(LEFT(I21,11)="real device",OR(U21="passed",U21="failed",U21="blocked"),OR(K21="",L21="",M21="",N21="",P21="")),"needs device details",IF(AND(OR(U21="passed",U21="failed",U21="blocked"),V21=""),"needs result date","ready"))))))</x:f>
        <x:v>ready</x:v>
      </x:c>
      <x:c r="AA21" s="50" t="inlineStr">
        <x:is>
          <x:t xml:space="preserve">MR-20</x:t>
        </x:is>
      </x:c>
      <x:c r="AK21" s="50" t="inlineStr">
        <x:is>
          <x:t xml:space="preserve">Drawer</x:t>
        </x:is>
      </x:c>
    </x:row>
    <x:row r="22" s="51" customFormat="1" ht="48" customHeight="1">
      <x:c r="A22" s="73" t="inlineStr">
        <x:is>
          <x:t xml:space="preserve">MRE-14-TOOLTIP-004</x:t>
        </x:is>
      </x:c>
      <x:c r="B22" s="73" t="inlineStr">
        <x:is>
          <x:t xml:space="preserve">MR-14</x:t>
        </x:is>
      </x:c>
      <x:c r="C22" s="73" t="inlineStr">
        <x:is>
          <x:t xml:space="preserve">MR-P1</x:t>
        </x:is>
      </x:c>
      <x:c r="D22" s="74" t="inlineStr">
        <x:is>
          <x:t xml:space="preserve">Tooltip</x:t>
        </x:is>
      </x:c>
      <x:c r="E22" s="74" t="inlineStr">
        <x:is>
          <x:t xml:space="preserve">desktop responsive smoke only; mobile touch and viewport behavior is not qualified</x:t>
        </x:is>
      </x:c>
      <x:c r="F22" s="74" t="inlineStr">
        <x:is>
          <x:t xml:space="preserve">Tooltip!ID-78 — mobile viewport/touch behavior</x:t>
        </x:is>
      </x:c>
      <x:c r="G22" s="75" t="inlineStr">
        <x:is>
          <x:t xml:space="preserve">narrow unsupported claim</x:t>
        </x:is>
      </x:c>
      <x:c r="H22" s="74" t="inlineStr">
        <x:is>
          <x:t xml:space="preserve">confirmed Atom implementation gap</x:t>
        </x:is>
      </x:c>
      <x:c r="I22" s="75" t="inlineStr">
        <x:is>
          <x:t xml:space="preserve">real device — Android Chrome</x:t>
        </x:is>
      </x:c>
      <x:c r="J22" s="73" t="inlineStr">
        <x:is>
          <x:t xml:space="preserve">Android</x:t>
        </x:is>
      </x:c>
      <x:c r="K22" s="73" t="n"/>
      <x:c r="L22" s="73" t="inlineStr">
        <x:is>
          <x:t xml:space="preserve">Chrome</x:t>
        </x:is>
      </x:c>
      <x:c r="M22" s="73" t="n"/>
      <x:c r="N22" s="73" t="n"/>
      <x:c r="O22" s="73" t="inlineStr">
        <x:is>
          <x:t xml:space="preserve">touch</x:t>
        </x:is>
      </x:c>
      <x:c r="P22" s="73" t="inlineStr">
        <x:is>
          <x:t xml:space="preserve">none</x:t>
        </x:is>
      </x:c>
      <x:c r="Q22" s="74" t="inlineStr">
        <x:is>
          <x:t xml:space="preserve">On a named Android device, exercise desktop responsive smoke only; mobile touch and viewport behavior is not qualified and record OS, browser version, device, date, and reproduction notes.</x:t>
        </x:is>
      </x:c>
      <x:c r="R22" s="74" t="inlineStr">
        <x:is>
          <x:t xml:space="preserve">Tooltip touch activation and cancellation follow the documented contract without affecting scrolling.</x:t>
        </x:is>
      </x:c>
      <x:c r="S22" s="74" t="inlineStr">
        <x:is>
          <x:t xml:space="preserve">playground/manual-tests/mobile-readiness.md — final physical-device and AT lane</x:t>
        </x:is>
      </x:c>
      <x:c r="T22" s="74" t="inlineStr">
        <x:is>
          <x:t xml:space="preserve">test/browser/mobile-gesture-consolidation.mobile.spec.ts</x:t>
        </x:is>
      </x:c>
      <x:c r="U22" s="76" t="inlineStr">
        <x:is>
          <x:t xml:space="preserve">not run</x:t>
        </x:is>
      </x:c>
      <x:c r="V22" s="73" t="n"/>
      <x:c r="W22" s="74" t="n"/>
      <x:c r="X22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22" s="76" t="str">
        <x:f>IF(A22="","",IF(COUNTBLANK(A22:E22)+COUNTBLANK(G22:J22)+COUNTBLANK(Q22:R22)+COUNTBLANK(U22)&gt;0,"needs core fields",IF(AND(OR(I22="previous baseline — desktop manual",I22="browser emulation — manual",LEFT(I22,11)="real device"),S22=""),"needs protocol ref",IF(AND(LEFT(I22,18)="browser automation",T22=""),"needs automation ref",IF(AND(LEFT(I22,11)="real device",OR(U22="passed",U22="failed",U22="blocked"),OR(K22="",L22="",M22="",N22="",P22="")),"needs device details",IF(AND(OR(U22="passed",U22="failed",U22="blocked"),V22=""),"needs result date","ready"))))))</x:f>
        <x:v>ready</x:v>
      </x:c>
      <x:c r="AA22" s="50" t="inlineStr">
        <x:is>
          <x:t xml:space="preserve">MR-21</x:t>
        </x:is>
      </x:c>
      <x:c r="AK22" s="50" t="inlineStr">
        <x:is>
          <x:t xml:space="preserve">DropdownMenu</x:t>
        </x:is>
      </x:c>
    </x:row>
    <x:row r="23" s="51" customFormat="1" ht="48" customHeight="1">
      <x:c r="A23" s="73" t="inlineStr">
        <x:is>
          <x:t xml:space="preserve">MRE-01-TOOLTIP-001</x:t>
        </x:is>
      </x:c>
      <x:c r="B23" s="73" t="inlineStr">
        <x:is>
          <x:t xml:space="preserve">MR-01</x:t>
        </x:is>
      </x:c>
      <x:c r="C23" s="73" t="inlineStr">
        <x:is>
          <x:t xml:space="preserve">MR-P5</x:t>
        </x:is>
      </x:c>
      <x:c r="D23" s="74" t="inlineStr">
        <x:is>
          <x:t xml:space="preserve">Tooltip</x:t>
        </x:is>
      </x:c>
      <x:c r="E23" s="74" t="inlineStr">
        <x:is>
          <x:t xml:space="preserve">collision, flip, and shift stay within the manually tested desktop layout viewport</x:t>
        </x:is>
      </x:c>
      <x:c r="F23" s="74" t="inlineStr">
        <x:is>
          <x:t xml:space="preserve">Tooltip!ID-83 — collision/flip/shift behavior stays in viewport</x:t>
        </x:is>
      </x:c>
      <x:c r="G23" s="75" t="inlineStr">
        <x:is>
          <x:t xml:space="preserve">narrow unsupported claim</x:t>
        </x:is>
      </x:c>
      <x:c r="H23" s="74" t="inlineStr">
        <x:is>
          <x:t xml:space="preserve">requires browser validation before concluding</x:t>
        </x:is>
      </x:c>
      <x:c r="I23" s="75" t="inlineStr">
        <x:is>
          <x:t xml:space="preserve">real device — iOS Safari</x:t>
        </x:is>
      </x:c>
      <x:c r="J23" s="73" t="inlineStr">
        <x:is>
          <x:t xml:space="preserve">iOS</x:t>
        </x:is>
      </x:c>
      <x:c r="K23" s="73" t="n"/>
      <x:c r="L23" s="73" t="inlineStr">
        <x:is>
          <x:t xml:space="preserve">Safari</x:t>
        </x:is>
      </x:c>
      <x:c r="M23" s="73" t="n"/>
      <x:c r="N23" s="73" t="n"/>
      <x:c r="O23" s="73" t="inlineStr">
        <x:is>
          <x:t xml:space="preserve">visual viewport</x:t>
        </x:is>
      </x:c>
      <x:c r="P23" s="73" t="inlineStr">
        <x:is>
          <x:t xml:space="preserve">none</x:t>
        </x:is>
      </x:c>
      <x:c r="Q23" s="74" t="inlineStr">
        <x:is>
          <x:t xml:space="preserve">On a named iOS device, exercise collision, flip, and shift stay within the manually tested desktop layout viewport and record OS, browser version, device, date, and reproduction notes.</x:t>
        </x:is>
      </x:c>
      <x:c r="R23" s="74" t="inlineStr">
        <x:is>
          <x:t xml:space="preserve">The Tooltip remains visible and correctly anchored during named mobile viewport changes.</x:t>
        </x:is>
      </x:c>
      <x:c r="S23" s="74" t="inlineStr">
        <x:is>
          <x:t xml:space="preserve">playground/manual-tests/mobile-readiness.md — final physical-device and AT lane</x:t>
        </x:is>
      </x:c>
      <x:c r="T23" s="74" t="n"/>
      <x:c r="U23" s="76" t="inlineStr">
        <x:is>
          <x:t xml:space="preserve">not run</x:t>
        </x:is>
      </x:c>
      <x:c r="V23" s="73" t="n"/>
      <x:c r="W23" s="74" t="n"/>
      <x:c r="X23" s="74" t="inlineStr">
        <x:is>
          <x:t xml:space="preserve">Existing component coverage remains the verified desktop/manual baseline; this record is an additional device qualification.</x:t>
        </x:is>
      </x:c>
      <x:c r="Y23" s="76" t="str">
        <x:f>IF(A23="","",IF(COUNTBLANK(A23:E23)+COUNTBLANK(G23:J23)+COUNTBLANK(Q23:R23)+COUNTBLANK(U23)&gt;0,"needs core fields",IF(AND(OR(I23="previous baseline — desktop manual",I23="browser emulation — manual",LEFT(I23,11)="real device"),S23=""),"needs protocol ref",IF(AND(LEFT(I23,18)="browser automation",T23=""),"needs automation ref",IF(AND(LEFT(I23,11)="real device",OR(U23="passed",U23="failed",U23="blocked"),OR(K23="",L23="",M23="",N23="",P23="")),"needs device details",IF(AND(OR(U23="passed",U23="failed",U23="blocked"),V23=""),"needs result date","ready"))))))</x:f>
        <x:v>ready</x:v>
      </x:c>
      <x:c r="AA23" s="50" t="inlineStr">
        <x:is>
          <x:t xml:space="preserve">MR-22</x:t>
        </x:is>
      </x:c>
      <x:c r="AK23" s="50" t="inlineStr">
        <x:is>
          <x:t xml:space="preserve">Feed</x:t>
        </x:is>
      </x:c>
    </x:row>
    <x:row r="24" s="51" customFormat="1" ht="48" customHeight="1">
      <x:c r="A24" s="73" t="inlineStr">
        <x:is>
          <x:t xml:space="preserve">MRE-01-TOOLTIP-002</x:t>
        </x:is>
      </x:c>
      <x:c r="B24" s="73" t="inlineStr">
        <x:is>
          <x:t xml:space="preserve">MR-01</x:t>
        </x:is>
      </x:c>
      <x:c r="C24" s="73" t="inlineStr">
        <x:is>
          <x:t xml:space="preserve">MR-P5</x:t>
        </x:is>
      </x:c>
      <x:c r="D24" s="74" t="inlineStr">
        <x:is>
          <x:t xml:space="preserve">Tooltip</x:t>
        </x:is>
      </x:c>
      <x:c r="E24" s="74" t="inlineStr">
        <x:is>
          <x:t xml:space="preserve">collision, flip, and shift stay within the manually tested desktop layout viewport</x:t>
        </x:is>
      </x:c>
      <x:c r="F24" s="74" t="inlineStr">
        <x:is>
          <x:t xml:space="preserve">Tooltip!ID-83 — collision/flip/shift behavior stays in viewport</x:t>
        </x:is>
      </x:c>
      <x:c r="G24" s="75" t="inlineStr">
        <x:is>
          <x:t xml:space="preserve">narrow unsupported claim</x:t>
        </x:is>
      </x:c>
      <x:c r="H24" s="74" t="inlineStr">
        <x:is>
          <x:t xml:space="preserve">requires browser validation before concluding</x:t>
        </x:is>
      </x:c>
      <x:c r="I24" s="75" t="inlineStr">
        <x:is>
          <x:t xml:space="preserve">real device — Android Chrome</x:t>
        </x:is>
      </x:c>
      <x:c r="J24" s="73" t="inlineStr">
        <x:is>
          <x:t xml:space="preserve">Android</x:t>
        </x:is>
      </x:c>
      <x:c r="K24" s="73" t="n"/>
      <x:c r="L24" s="73" t="inlineStr">
        <x:is>
          <x:t xml:space="preserve">Chrome</x:t>
        </x:is>
      </x:c>
      <x:c r="M24" s="73" t="n"/>
      <x:c r="N24" s="73" t="n"/>
      <x:c r="O24" s="73" t="inlineStr">
        <x:is>
          <x:t xml:space="preserve">visual viewport</x:t>
        </x:is>
      </x:c>
      <x:c r="P24" s="73" t="inlineStr">
        <x:is>
          <x:t xml:space="preserve">none</x:t>
        </x:is>
      </x:c>
      <x:c r="Q24" s="74" t="inlineStr">
        <x:is>
          <x:t xml:space="preserve">On a named Android device, exercise collision, flip, and shift stay within the manually tested desktop layout viewport and record OS, browser version, device, date, and reproduction notes.</x:t>
        </x:is>
      </x:c>
      <x:c r="R24" s="74" t="inlineStr">
        <x:is>
          <x:t xml:space="preserve">The Tooltip remains visible and correctly anchored during named mobile viewport changes.</x:t>
        </x:is>
      </x:c>
      <x:c r="S24" s="74" t="inlineStr">
        <x:is>
          <x:t xml:space="preserve">playground/manual-tests/mobile-readiness.md — final physical-device and AT lane</x:t>
        </x:is>
      </x:c>
      <x:c r="T24" s="74" t="n"/>
      <x:c r="U24" s="76" t="inlineStr">
        <x:is>
          <x:t xml:space="preserve">not run</x:t>
        </x:is>
      </x:c>
      <x:c r="V24" s="73" t="n"/>
      <x:c r="W24" s="74" t="n"/>
      <x:c r="X24" s="74" t="inlineStr">
        <x:is>
          <x:t xml:space="preserve">Existing component coverage remains the verified desktop/manual baseline; this record is an additional device qualification.</x:t>
        </x:is>
      </x:c>
      <x:c r="Y24" s="76" t="str">
        <x:f>IF(A24="","",IF(COUNTBLANK(A24:E24)+COUNTBLANK(G24:J24)+COUNTBLANK(Q24:R24)+COUNTBLANK(U24)&gt;0,"needs core fields",IF(AND(OR(I24="previous baseline — desktop manual",I24="browser emulation — manual",LEFT(I24,11)="real device"),S24=""),"needs protocol ref",IF(AND(LEFT(I24,18)="browser automation",T24=""),"needs automation ref",IF(AND(LEFT(I24,11)="real device",OR(U24="passed",U24="failed",U24="blocked"),OR(K24="",L24="",M24="",N24="",P24="")),"needs device details",IF(AND(OR(U24="passed",U24="failed",U24="blocked"),V24=""),"needs result date","ready"))))))</x:f>
        <x:v>ready</x:v>
      </x:c>
      <x:c r="AK24" s="50" t="inlineStr">
        <x:is>
          <x:t xml:space="preserve">Field</x:t>
        </x:is>
      </x:c>
    </x:row>
    <x:row r="25" s="51" customFormat="1" ht="48" customHeight="1">
      <x:c r="A25" s="73" t="inlineStr">
        <x:is>
          <x:t xml:space="preserve">MRE-03-POPOVER-001</x:t>
        </x:is>
      </x:c>
      <x:c r="B25" s="73" t="inlineStr">
        <x:is>
          <x:t xml:space="preserve">MR-03</x:t>
        </x:is>
      </x:c>
      <x:c r="C25" s="73" t="inlineStr">
        <x:is>
          <x:t xml:space="preserve">MR-P2</x:t>
        </x:is>
      </x:c>
      <x:c r="D25" s="74" t="inlineStr">
        <x:is>
          <x:t xml:space="preserve">Popover</x:t>
        </x:is>
      </x:c>
      <x:c r="E25" s="74" t="inlineStr">
        <x:is>
          <x:t xml:space="preserve">desktop browser manual workflow covers pointer and keyboard; responsive mode is smoke only and is not mobile-device evidence</x:t>
        </x:is>
      </x:c>
      <x:c r="F25" s="74" t="inlineStr">
        <x:is>
          <x:t xml:space="preserve">Popover!ID-125 — desktop browser manual workflow covers pointer and keyboard behavior; mobile touch remains responsive smoke only</x:t>
        </x:is>
      </x:c>
      <x:c r="G25" s="75" t="inlineStr">
        <x:is>
          <x:t xml:space="preserve">narrow unsupported claim</x:t>
        </x:is>
      </x:c>
      <x:c r="H25" s="74" t="inlineStr">
        <x:is>
          <x:t xml:space="preserve">confirmed Atom implementation gap</x:t>
        </x:is>
      </x:c>
      <x:c r="I25" s="75" t="inlineStr">
        <x:is>
          <x:t xml:space="preserve">real device — iOS Safari</x:t>
        </x:is>
      </x:c>
      <x:c r="J25" s="73" t="inlineStr">
        <x:is>
          <x:t xml:space="preserve">iOS</x:t>
        </x:is>
      </x:c>
      <x:c r="K25" s="73" t="n"/>
      <x:c r="L25" s="73" t="inlineStr">
        <x:is>
          <x:t xml:space="preserve">Safari</x:t>
        </x:is>
      </x:c>
      <x:c r="M25" s="73" t="n"/>
      <x:c r="N25" s="73" t="n"/>
      <x:c r="O25" s="73" t="inlineStr">
        <x:is>
          <x:t xml:space="preserve">touch</x:t>
        </x:is>
      </x:c>
      <x:c r="P25" s="73" t="inlineStr">
        <x:is>
          <x:t xml:space="preserve">none</x:t>
        </x:is>
      </x:c>
      <x:c r="Q25" s="74" t="inlineStr">
        <x:is>
          <x:t xml:space="preserve">On a named iOS device, exercise desktop browser manual workflow covers pointer and keyboard; responsive mode is smoke only and is not mobile-device evidence and record OS, browser version, device, date, and reproduction notes.</x:t>
        </x:is>
      </x:c>
      <x:c r="R25" s="74" t="inlineStr">
        <x:is>
          <x:t xml:space="preserve">Long modal Popover content scrolls while background containment remains correct on the named device.</x:t>
        </x:is>
      </x:c>
      <x:c r="S25" s="74" t="inlineStr">
        <x:is>
          <x:t xml:space="preserve">playground/manual-tests/mobile-readiness.md — final physical-device and AT lane</x:t>
        </x:is>
      </x:c>
      <x:c r="T25" s="74" t="n"/>
      <x:c r="U25" s="76" t="inlineStr">
        <x:is>
          <x:t xml:space="preserve">not run</x:t>
        </x:is>
      </x:c>
      <x:c r="V25" s="73" t="n"/>
      <x:c r="W25" s="74" t="n"/>
      <x:c r="X25" s="74" t="inlineStr">
        <x:is>
          <x:t xml:space="preserve">Existing component coverage remains the verified desktop/manual baseline; this record is an additional device qualification.</x:t>
        </x:is>
      </x:c>
      <x:c r="Y25" s="76" t="str">
        <x:f>IF(A25="","",IF(COUNTBLANK(A25:E25)+COUNTBLANK(G25:J25)+COUNTBLANK(Q25:R25)+COUNTBLANK(U25)&gt;0,"needs core fields",IF(AND(OR(I25="previous baseline — desktop manual",I25="browser emulation — manual",LEFT(I25,11)="real device"),S25=""),"needs protocol ref",IF(AND(LEFT(I25,18)="browser automation",T25=""),"needs automation ref",IF(AND(LEFT(I25,11)="real device",OR(U25="passed",U25="failed",U25="blocked"),OR(K25="",L25="",M25="",N25="",P25="")),"needs device details",IF(AND(OR(U25="passed",U25="failed",U25="blocked"),V25=""),"needs result date","ready"))))))</x:f>
        <x:v>ready</x:v>
      </x:c>
      <x:c r="AK25" s="50" t="inlineStr">
        <x:is>
          <x:t xml:space="preserve">Fieldset</x:t>
        </x:is>
      </x:c>
    </x:row>
    <x:row r="26" s="51" customFormat="1" ht="48" customHeight="1">
      <x:c r="A26" s="73" t="inlineStr">
        <x:is>
          <x:t xml:space="preserve">MRE-03-POPOVER-002</x:t>
        </x:is>
      </x:c>
      <x:c r="B26" s="73" t="inlineStr">
        <x:is>
          <x:t xml:space="preserve">MR-03</x:t>
        </x:is>
      </x:c>
      <x:c r="C26" s="73" t="inlineStr">
        <x:is>
          <x:t xml:space="preserve">MR-P2</x:t>
        </x:is>
      </x:c>
      <x:c r="D26" s="74" t="inlineStr">
        <x:is>
          <x:t xml:space="preserve">Popover</x:t>
        </x:is>
      </x:c>
      <x:c r="E26" s="74" t="inlineStr">
        <x:is>
          <x:t xml:space="preserve">desktop browser manual workflow covers pointer and keyboard; responsive mode is smoke only and is not mobile-device evidence</x:t>
        </x:is>
      </x:c>
      <x:c r="F26" s="74" t="inlineStr">
        <x:is>
          <x:t xml:space="preserve">Popover!ID-125 — desktop browser manual workflow covers pointer and keyboard behavior; mobile touch remains responsive smoke only</x:t>
        </x:is>
      </x:c>
      <x:c r="G26" s="75" t="inlineStr">
        <x:is>
          <x:t xml:space="preserve">narrow unsupported claim</x:t>
        </x:is>
      </x:c>
      <x:c r="H26" s="74" t="inlineStr">
        <x:is>
          <x:t xml:space="preserve">confirmed Atom implementation gap</x:t>
        </x:is>
      </x:c>
      <x:c r="I26" s="75" t="inlineStr">
        <x:is>
          <x:t xml:space="preserve">real device — Android Chrome</x:t>
        </x:is>
      </x:c>
      <x:c r="J26" s="73" t="inlineStr">
        <x:is>
          <x:t xml:space="preserve">Android</x:t>
        </x:is>
      </x:c>
      <x:c r="K26" s="73" t="n"/>
      <x:c r="L26" s="73" t="inlineStr">
        <x:is>
          <x:t xml:space="preserve">Chrome</x:t>
        </x:is>
      </x:c>
      <x:c r="M26" s="73" t="n"/>
      <x:c r="N26" s="73" t="n"/>
      <x:c r="O26" s="73" t="inlineStr">
        <x:is>
          <x:t xml:space="preserve">touch</x:t>
        </x:is>
      </x:c>
      <x:c r="P26" s="73" t="inlineStr">
        <x:is>
          <x:t xml:space="preserve">none</x:t>
        </x:is>
      </x:c>
      <x:c r="Q26" s="74" t="inlineStr">
        <x:is>
          <x:t xml:space="preserve">On a named Android device, exercise desktop browser manual workflow covers pointer and keyboard; responsive mode is smoke only and is not mobile-device evidence and record OS, browser version, device, date, and reproduction notes.</x:t>
        </x:is>
      </x:c>
      <x:c r="R26" s="74" t="inlineStr">
        <x:is>
          <x:t xml:space="preserve">Long modal Popover content scrolls while background containment remains correct on the named device.</x:t>
        </x:is>
      </x:c>
      <x:c r="S26" s="74" t="inlineStr">
        <x:is>
          <x:t xml:space="preserve">playground/manual-tests/mobile-readiness.md — final physical-device and AT lane</x:t>
        </x:is>
      </x:c>
      <x:c r="T26" s="74" t="n"/>
      <x:c r="U26" s="76" t="inlineStr">
        <x:is>
          <x:t xml:space="preserve">not run</x:t>
        </x:is>
      </x:c>
      <x:c r="V26" s="73" t="n"/>
      <x:c r="W26" s="74" t="n"/>
      <x:c r="X26" s="74" t="inlineStr">
        <x:is>
          <x:t xml:space="preserve">Existing component coverage remains the verified desktop/manual baseline; this record is an additional device qualification.</x:t>
        </x:is>
      </x:c>
      <x:c r="Y26" s="76" t="str">
        <x:f>IF(A26="","",IF(COUNTBLANK(A26:E26)+COUNTBLANK(G26:J26)+COUNTBLANK(Q26:R26)+COUNTBLANK(U26)&gt;0,"needs core fields",IF(AND(OR(I26="previous baseline — desktop manual",I26="browser emulation — manual",LEFT(I26,11)="real device"),S26=""),"needs protocol ref",IF(AND(LEFT(I26,18)="browser automation",T26=""),"needs automation ref",IF(AND(LEFT(I26,11)="real device",OR(U26="passed",U26="failed",U26="blocked"),OR(K26="",L26="",M26="",N26="",P26="")),"needs device details",IF(AND(OR(U26="passed",U26="failed",U26="blocked"),V26=""),"needs result date","ready"))))))</x:f>
        <x:v>ready</x:v>
      </x:c>
      <x:c r="AK26" s="50" t="inlineStr">
        <x:is>
          <x:t xml:space="preserve">FileUpload</x:t>
        </x:is>
      </x:c>
    </x:row>
    <x:row r="27" s="51" customFormat="1" ht="48" customHeight="1">
      <x:c r="A27" s="73" t="inlineStr">
        <x:is>
          <x:t xml:space="preserve">MRE-01-POPOVER-001</x:t>
        </x:is>
      </x:c>
      <x:c r="B27" s="73" t="inlineStr">
        <x:is>
          <x:t xml:space="preserve">MR-01</x:t>
        </x:is>
      </x:c>
      <x:c r="C27" s="73" t="inlineStr">
        <x:is>
          <x:t xml:space="preserve">MR-P5</x:t>
        </x:is>
      </x:c>
      <x:c r="D27" s="74" t="inlineStr">
        <x:is>
          <x:t xml:space="preserve">Popover</x:t>
        </x:is>
      </x:c>
      <x:c r="E27" s="74" t="inlineStr">
        <x:is>
          <x:t xml:space="preserve">collision, flip, and shift stay within the manually tested desktop layout viewport</x:t>
        </x:is>
      </x:c>
      <x:c r="F27" s="74" t="inlineStr">
        <x:is>
          <x:t xml:space="preserve">Popover!ID-130 — collision/flip/shift behavior stays in viewport</x:t>
        </x:is>
      </x:c>
      <x:c r="G27" s="75" t="inlineStr">
        <x:is>
          <x:t xml:space="preserve">narrow unsupported claim</x:t>
        </x:is>
      </x:c>
      <x:c r="H27" s="74" t="inlineStr">
        <x:is>
          <x:t xml:space="preserve">requires browser validation before concluding</x:t>
        </x:is>
      </x:c>
      <x:c r="I27" s="75" t="inlineStr">
        <x:is>
          <x:t xml:space="preserve">real device — iOS Safari</x:t>
        </x:is>
      </x:c>
      <x:c r="J27" s="73" t="inlineStr">
        <x:is>
          <x:t xml:space="preserve">iOS</x:t>
        </x:is>
      </x:c>
      <x:c r="K27" s="73" t="n"/>
      <x:c r="L27" s="73" t="inlineStr">
        <x:is>
          <x:t xml:space="preserve">Safari</x:t>
        </x:is>
      </x:c>
      <x:c r="M27" s="73" t="n"/>
      <x:c r="N27" s="73" t="n"/>
      <x:c r="O27" s="73" t="inlineStr">
        <x:is>
          <x:t xml:space="preserve">visual viewport</x:t>
        </x:is>
      </x:c>
      <x:c r="P27" s="73" t="inlineStr">
        <x:is>
          <x:t xml:space="preserve">none</x:t>
        </x:is>
      </x:c>
      <x:c r="Q27" s="74" t="inlineStr">
        <x:is>
          <x:t xml:space="preserve">On a named iOS device, exercise collision, flip, and shift stay within the manually tested desktop layout viewport and record OS, browser version, device, date, and reproduction notes.</x:t>
        </x:is>
      </x:c>
      <x:c r="R27" s="74" t="inlineStr">
        <x:is>
          <x:t xml:space="preserve">Popover content remains reachable and correctly anchored during named mobile viewport changes.</x:t>
        </x:is>
      </x:c>
      <x:c r="S27" s="74" t="inlineStr">
        <x:is>
          <x:t xml:space="preserve">playground/manual-tests/mobile-readiness.md — final physical-device and AT lane</x:t>
        </x:is>
      </x:c>
      <x:c r="T27" s="74" t="n"/>
      <x:c r="U27" s="76" t="inlineStr">
        <x:is>
          <x:t xml:space="preserve">not run</x:t>
        </x:is>
      </x:c>
      <x:c r="V27" s="73" t="n"/>
      <x:c r="W27" s="74" t="n"/>
      <x:c r="X27" s="74" t="inlineStr">
        <x:is>
          <x:t xml:space="preserve">Existing component coverage remains the verified desktop/manual baseline; this record is an additional device qualification.</x:t>
        </x:is>
      </x:c>
      <x:c r="Y27" s="76" t="str">
        <x:f>IF(A27="","",IF(COUNTBLANK(A27:E27)+COUNTBLANK(G27:J27)+COUNTBLANK(Q27:R27)+COUNTBLANK(U27)&gt;0,"needs core fields",IF(AND(OR(I27="previous baseline — desktop manual",I27="browser emulation — manual",LEFT(I27,11)="real device"),S27=""),"needs protocol ref",IF(AND(LEFT(I27,18)="browser automation",T27=""),"needs automation ref",IF(AND(LEFT(I27,11)="real device",OR(U27="passed",U27="failed",U27="blocked"),OR(K27="",L27="",M27="",N27="",P27="")),"needs device details",IF(AND(OR(U27="passed",U27="failed",U27="blocked"),V27=""),"needs result date","ready"))))))</x:f>
        <x:v>ready</x:v>
      </x:c>
      <x:c r="AK27" s="50" t="inlineStr">
        <x:is>
          <x:t xml:space="preserve">Form</x:t>
        </x:is>
      </x:c>
    </x:row>
    <x:row r="28" s="51" customFormat="1" ht="48" customHeight="1">
      <x:c r="A28" s="73" t="inlineStr">
        <x:is>
          <x:t xml:space="preserve">MRE-01-POPOVER-002</x:t>
        </x:is>
      </x:c>
      <x:c r="B28" s="73" t="inlineStr">
        <x:is>
          <x:t xml:space="preserve">MR-01</x:t>
        </x:is>
      </x:c>
      <x:c r="C28" s="73" t="inlineStr">
        <x:is>
          <x:t xml:space="preserve">MR-P5</x:t>
        </x:is>
      </x:c>
      <x:c r="D28" s="74" t="inlineStr">
        <x:is>
          <x:t xml:space="preserve">Popover</x:t>
        </x:is>
      </x:c>
      <x:c r="E28" s="74" t="inlineStr">
        <x:is>
          <x:t xml:space="preserve">collision, flip, and shift stay within the manually tested desktop layout viewport</x:t>
        </x:is>
      </x:c>
      <x:c r="F28" s="74" t="inlineStr">
        <x:is>
          <x:t xml:space="preserve">Popover!ID-130 — collision/flip/shift behavior stays in viewport</x:t>
        </x:is>
      </x:c>
      <x:c r="G28" s="75" t="inlineStr">
        <x:is>
          <x:t xml:space="preserve">narrow unsupported claim</x:t>
        </x:is>
      </x:c>
      <x:c r="H28" s="74" t="inlineStr">
        <x:is>
          <x:t xml:space="preserve">requires browser validation before concluding</x:t>
        </x:is>
      </x:c>
      <x:c r="I28" s="75" t="inlineStr">
        <x:is>
          <x:t xml:space="preserve">real device — Android Chrome</x:t>
        </x:is>
      </x:c>
      <x:c r="J28" s="73" t="inlineStr">
        <x:is>
          <x:t xml:space="preserve">Android</x:t>
        </x:is>
      </x:c>
      <x:c r="K28" s="73" t="n"/>
      <x:c r="L28" s="73" t="inlineStr">
        <x:is>
          <x:t xml:space="preserve">Chrome</x:t>
        </x:is>
      </x:c>
      <x:c r="M28" s="73" t="n"/>
      <x:c r="N28" s="73" t="n"/>
      <x:c r="O28" s="73" t="inlineStr">
        <x:is>
          <x:t xml:space="preserve">visual viewport</x:t>
        </x:is>
      </x:c>
      <x:c r="P28" s="73" t="inlineStr">
        <x:is>
          <x:t xml:space="preserve">none</x:t>
        </x:is>
      </x:c>
      <x:c r="Q28" s="74" t="inlineStr">
        <x:is>
          <x:t xml:space="preserve">On a named Android device, exercise collision, flip, and shift stay within the manually tested desktop layout viewport and record OS, browser version, device, date, and reproduction notes.</x:t>
        </x:is>
      </x:c>
      <x:c r="R28" s="74" t="inlineStr">
        <x:is>
          <x:t xml:space="preserve">Popover content remains reachable and correctly anchored during named mobile viewport changes.</x:t>
        </x:is>
      </x:c>
      <x:c r="S28" s="74" t="inlineStr">
        <x:is>
          <x:t xml:space="preserve">playground/manual-tests/mobile-readiness.md — final physical-device and AT lane</x:t>
        </x:is>
      </x:c>
      <x:c r="T28" s="74" t="n"/>
      <x:c r="U28" s="76" t="inlineStr">
        <x:is>
          <x:t xml:space="preserve">not run</x:t>
        </x:is>
      </x:c>
      <x:c r="V28" s="73" t="n"/>
      <x:c r="W28" s="74" t="n"/>
      <x:c r="X28" s="74" t="inlineStr">
        <x:is>
          <x:t xml:space="preserve">Existing component coverage remains the verified desktop/manual baseline; this record is an additional device qualification.</x:t>
        </x:is>
      </x:c>
      <x:c r="Y28" s="76" t="str">
        <x:f>IF(A28="","",IF(COUNTBLANK(A28:E28)+COUNTBLANK(G28:J28)+COUNTBLANK(Q28:R28)+COUNTBLANK(U28)&gt;0,"needs core fields",IF(AND(OR(I28="previous baseline — desktop manual",I28="browser emulation — manual",LEFT(I28,11)="real device"),S28=""),"needs protocol ref",IF(AND(LEFT(I28,18)="browser automation",T28=""),"needs automation ref",IF(AND(LEFT(I28,11)="real device",OR(U28="passed",U28="failed",U28="blocked"),OR(K28="",L28="",M28="",N28="",P28="")),"needs device details",IF(AND(OR(U28="passed",U28="failed",U28="blocked"),V28=""),"needs result date","ready"))))))</x:f>
        <x:v>ready</x:v>
      </x:c>
      <x:c r="AK28" s="50" t="inlineStr">
        <x:is>
          <x:t xml:space="preserve">HoverCard</x:t>
        </x:is>
      </x:c>
    </x:row>
    <x:row r="29" s="51" customFormat="1" ht="48" customHeight="1">
      <x:c r="A29" s="73" t="inlineStr">
        <x:is>
          <x:t xml:space="preserve">MRE-01-SELECT-001</x:t>
        </x:is>
      </x:c>
      <x:c r="B29" s="73" t="inlineStr">
        <x:is>
          <x:t xml:space="preserve">MR-01</x:t>
        </x:is>
      </x:c>
      <x:c r="C29" s="73" t="inlineStr">
        <x:is>
          <x:t xml:space="preserve">MR-P5</x:t>
        </x:is>
      </x:c>
      <x:c r="D29" s="74" t="inlineStr">
        <x:is>
          <x:t xml:space="preserve">Select</x:t>
        </x:is>
      </x:c>
      <x:c r="E29" s="74" t="inlineStr">
        <x:is>
          <x:t xml:space="preserve">flips and shifts near the edge of the manually tested desktop layout viewport</x:t>
        </x:is>
      </x:c>
      <x:c r="F29" s="74" t="inlineStr">
        <x:is>
          <x:t xml:space="preserve">Select!ID-82 — flips/shifts near viewport edge</x:t>
        </x:is>
      </x:c>
      <x:c r="G29" s="75" t="inlineStr">
        <x:is>
          <x:t xml:space="preserve">narrow unsupported claim</x:t>
        </x:is>
      </x:c>
      <x:c r="H29" s="74" t="inlineStr">
        <x:is>
          <x:t xml:space="preserve">requires browser validation before concluding</x:t>
        </x:is>
      </x:c>
      <x:c r="I29" s="75" t="inlineStr">
        <x:is>
          <x:t xml:space="preserve">real device — iOS Safari</x:t>
        </x:is>
      </x:c>
      <x:c r="J29" s="73" t="inlineStr">
        <x:is>
          <x:t xml:space="preserve">iOS</x:t>
        </x:is>
      </x:c>
      <x:c r="K29" s="73" t="n"/>
      <x:c r="L29" s="73" t="inlineStr">
        <x:is>
          <x:t xml:space="preserve">Safari</x:t>
        </x:is>
      </x:c>
      <x:c r="M29" s="73" t="n"/>
      <x:c r="N29" s="73" t="n"/>
      <x:c r="O29" s="73" t="inlineStr">
        <x:is>
          <x:t xml:space="preserve">visual viewport</x:t>
        </x:is>
      </x:c>
      <x:c r="P29" s="73" t="inlineStr">
        <x:is>
          <x:t xml:space="preserve">none</x:t>
        </x:is>
      </x:c>
      <x:c r="Q29" s="74" t="inlineStr">
        <x:is>
          <x:t xml:space="preserve">On a named iOS device, exercise flips and shifts near the edge of the manually tested desktop layout viewport and record OS, browser version, device, date, and reproduction notes.</x:t>
        </x:is>
      </x:c>
      <x:c r="R29" s="74" t="inlineStr">
        <x:is>
          <x:t xml:space="preserve">Select content stays reachable and correctly positioned at device viewport edges.</x:t>
        </x:is>
      </x:c>
      <x:c r="S29" s="74" t="inlineStr">
        <x:is>
          <x:t xml:space="preserve">playground/manual-tests/mobile-readiness.md — final physical-device and AT lane</x:t>
        </x:is>
      </x:c>
      <x:c r="T29" s="74" t="n"/>
      <x:c r="U29" s="76" t="inlineStr">
        <x:is>
          <x:t xml:space="preserve">not run</x:t>
        </x:is>
      </x:c>
      <x:c r="V29" s="73" t="n"/>
      <x:c r="W29" s="74" t="n"/>
      <x:c r="X29" s="74" t="inlineStr">
        <x:is>
          <x:t xml:space="preserve">Existing component coverage remains the verified desktop/manual baseline; this record is an additional device qualification.</x:t>
        </x:is>
      </x:c>
      <x:c r="Y29" s="76" t="str">
        <x:f>IF(A29="","",IF(COUNTBLANK(A29:E29)+COUNTBLANK(G29:J29)+COUNTBLANK(Q29:R29)+COUNTBLANK(U29)&gt;0,"needs core fields",IF(AND(OR(I29="previous baseline — desktop manual",I29="browser emulation — manual",LEFT(I29,11)="real device"),S29=""),"needs protocol ref",IF(AND(LEFT(I29,18)="browser automation",T29=""),"needs automation ref",IF(AND(LEFT(I29,11)="real device",OR(U29="passed",U29="failed",U29="blocked"),OR(K29="",L29="",M29="",N29="",P29="")),"needs device details",IF(AND(OR(U29="passed",U29="failed",U29="blocked"),V29=""),"needs result date","ready"))))))</x:f>
        <x:v>ready</x:v>
      </x:c>
      <x:c r="AK29" s="50" t="inlineStr">
        <x:is>
          <x:t xml:space="preserve">Input</x:t>
        </x:is>
      </x:c>
    </x:row>
    <x:row r="30" s="51" customFormat="1" ht="48" customHeight="1">
      <x:c r="A30" s="73" t="inlineStr">
        <x:is>
          <x:t xml:space="preserve">MRE-01-SELECT-002</x:t>
        </x:is>
      </x:c>
      <x:c r="B30" s="73" t="inlineStr">
        <x:is>
          <x:t xml:space="preserve">MR-01</x:t>
        </x:is>
      </x:c>
      <x:c r="C30" s="73" t="inlineStr">
        <x:is>
          <x:t xml:space="preserve">MR-P5</x:t>
        </x:is>
      </x:c>
      <x:c r="D30" s="74" t="inlineStr">
        <x:is>
          <x:t xml:space="preserve">Select</x:t>
        </x:is>
      </x:c>
      <x:c r="E30" s="74" t="inlineStr">
        <x:is>
          <x:t xml:space="preserve">flips and shifts near the edge of the manually tested desktop layout viewport</x:t>
        </x:is>
      </x:c>
      <x:c r="F30" s="74" t="inlineStr">
        <x:is>
          <x:t xml:space="preserve">Select!ID-82 — flips/shifts near viewport edge</x:t>
        </x:is>
      </x:c>
      <x:c r="G30" s="75" t="inlineStr">
        <x:is>
          <x:t xml:space="preserve">narrow unsupported claim</x:t>
        </x:is>
      </x:c>
      <x:c r="H30" s="74" t="inlineStr">
        <x:is>
          <x:t xml:space="preserve">requires browser validation before concluding</x:t>
        </x:is>
      </x:c>
      <x:c r="I30" s="75" t="inlineStr">
        <x:is>
          <x:t xml:space="preserve">real device — Android Chrome</x:t>
        </x:is>
      </x:c>
      <x:c r="J30" s="73" t="inlineStr">
        <x:is>
          <x:t xml:space="preserve">Android</x:t>
        </x:is>
      </x:c>
      <x:c r="K30" s="73" t="n"/>
      <x:c r="L30" s="73" t="inlineStr">
        <x:is>
          <x:t xml:space="preserve">Chrome</x:t>
        </x:is>
      </x:c>
      <x:c r="M30" s="73" t="n"/>
      <x:c r="N30" s="73" t="n"/>
      <x:c r="O30" s="73" t="inlineStr">
        <x:is>
          <x:t xml:space="preserve">visual viewport</x:t>
        </x:is>
      </x:c>
      <x:c r="P30" s="73" t="inlineStr">
        <x:is>
          <x:t xml:space="preserve">none</x:t>
        </x:is>
      </x:c>
      <x:c r="Q30" s="74" t="inlineStr">
        <x:is>
          <x:t xml:space="preserve">On a named Android device, exercise flips and shifts near the edge of the manually tested desktop layout viewport and record OS, browser version, device, date, and reproduction notes.</x:t>
        </x:is>
      </x:c>
      <x:c r="R30" s="74" t="inlineStr">
        <x:is>
          <x:t xml:space="preserve">Select content stays reachable and correctly positioned at device viewport edges.</x:t>
        </x:is>
      </x:c>
      <x:c r="S30" s="74" t="inlineStr">
        <x:is>
          <x:t xml:space="preserve">playground/manual-tests/mobile-readiness.md — final physical-device and AT lane</x:t>
        </x:is>
      </x:c>
      <x:c r="T30" s="74" t="n"/>
      <x:c r="U30" s="76" t="inlineStr">
        <x:is>
          <x:t xml:space="preserve">not run</x:t>
        </x:is>
      </x:c>
      <x:c r="V30" s="73" t="n"/>
      <x:c r="W30" s="74" t="n"/>
      <x:c r="X30" s="74" t="inlineStr">
        <x:is>
          <x:t xml:space="preserve">Existing component coverage remains the verified desktop/manual baseline; this record is an additional device qualification.</x:t>
        </x:is>
      </x:c>
      <x:c r="Y30" s="76" t="str">
        <x:f>IF(A30="","",IF(COUNTBLANK(A30:E30)+COUNTBLANK(G30:J30)+COUNTBLANK(Q30:R30)+COUNTBLANK(U30)&gt;0,"needs core fields",IF(AND(OR(I30="previous baseline — desktop manual",I30="browser emulation — manual",LEFT(I30,11)="real device"),S30=""),"needs protocol ref",IF(AND(LEFT(I30,18)="browser automation",T30=""),"needs automation ref",IF(AND(LEFT(I30,11)="real device",OR(U30="passed",U30="failed",U30="blocked"),OR(K30="",L30="",M30="",N30="",P30="")),"needs device details",IF(AND(OR(U30="passed",U30="failed",U30="blocked"),V30=""),"needs result date","ready"))))))</x:f>
        <x:v>ready</x:v>
      </x:c>
      <x:c r="AK30" s="50" t="inlineStr">
        <x:is>
          <x:t xml:space="preserve">Label</x:t>
        </x:is>
      </x:c>
    </x:row>
    <x:row r="31" s="51" customFormat="1" ht="48" customHeight="1">
      <x:c r="A31" s="73" t="inlineStr">
        <x:is>
          <x:t xml:space="preserve">MRE-06-SELECT-001</x:t>
        </x:is>
      </x:c>
      <x:c r="B31" s="73" t="inlineStr">
        <x:is>
          <x:t xml:space="preserve">MR-06</x:t>
        </x:is>
      </x:c>
      <x:c r="C31" s="73" t="inlineStr">
        <x:is>
          <x:t xml:space="preserve">MR-P3</x:t>
        </x:is>
      </x:c>
      <x:c r="D31" s="74" t="inlineStr">
        <x:is>
          <x:t xml:space="preserve">Select</x:t>
        </x:is>
      </x:c>
      <x:c r="E31" s="74" t="inlineStr">
        <x:is>
          <x:t xml:space="preserve">pointer/click trigger activation opens Select in the existing desktop manual scenario</x:t>
        </x:is>
      </x:c>
      <x:c r="F31" s="74" t="inlineStr">
        <x:is>
          <x:t xml:space="preserve">Select!ID-159 — tap trigger opens</x:t>
        </x:is>
      </x:c>
      <x:c r="G31" s="75" t="inlineStr">
        <x:is>
          <x:t xml:space="preserve">narrow unsupported claim</x:t>
        </x:is>
      </x:c>
      <x:c r="H31" s="74" t="inlineStr">
        <x:is>
          <x:t xml:space="preserve">confirmed Atom implementation gap</x:t>
        </x:is>
      </x:c>
      <x:c r="I31" s="75" t="inlineStr">
        <x:is>
          <x:t xml:space="preserve">real device — iOS Safari</x:t>
        </x:is>
      </x:c>
      <x:c r="J31" s="73" t="inlineStr">
        <x:is>
          <x:t xml:space="preserve">iOS</x:t>
        </x:is>
      </x:c>
      <x:c r="K31" s="73" t="n"/>
      <x:c r="L31" s="73" t="inlineStr">
        <x:is>
          <x:t xml:space="preserve">Safari</x:t>
        </x:is>
      </x:c>
      <x:c r="M31" s="73" t="n"/>
      <x:c r="N31" s="73" t="n"/>
      <x:c r="O31" s="73" t="inlineStr">
        <x:is>
          <x:t xml:space="preserve">touch</x:t>
        </x:is>
      </x:c>
      <x:c r="P31" s="73" t="inlineStr">
        <x:is>
          <x:t xml:space="preserve">none</x:t>
        </x:is>
      </x:c>
      <x:c r="Q31" s="74" t="inlineStr">
        <x:is>
          <x:t xml:space="preserve">On a named iOS device, exercise pointer/click trigger activation opens Select in the existing desktop manual scenario and record OS, browser version, device, date, and reproduction notes.</x:t>
        </x:is>
      </x:c>
      <x:c r="R31" s="74" t="inlineStr">
        <x:is>
          <x:t xml:space="preserve">A device tap opens Select once without conflicting dismissal or focus ordering.</x:t>
        </x:is>
      </x:c>
      <x:c r="S31" s="74" t="inlineStr">
        <x:is>
          <x:t xml:space="preserve">playground/manual-tests/mobile-readiness.md — final physical-device and AT lane</x:t>
        </x:is>
      </x:c>
      <x:c r="T31" s="74" t="inlineStr">
        <x:is>
          <x:t xml:space="preserve">test/browser/outside-interaction.spec.ts; test/browser/outside-interaction.mobile.spec.ts</x:t>
        </x:is>
      </x:c>
      <x:c r="U31" s="76" t="inlineStr">
        <x:is>
          <x:t xml:space="preserve">not run</x:t>
        </x:is>
      </x:c>
      <x:c r="V31" s="73" t="n"/>
      <x:c r="W31" s="74" t="n"/>
      <x:c r="X31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31" s="76" t="str">
        <x:f>IF(A31="","",IF(COUNTBLANK(A31:E31)+COUNTBLANK(G31:J31)+COUNTBLANK(Q31:R31)+COUNTBLANK(U31)&gt;0,"needs core fields",IF(AND(OR(I31="previous baseline — desktop manual",I31="browser emulation — manual",LEFT(I31,11)="real device"),S31=""),"needs protocol ref",IF(AND(LEFT(I31,18)="browser automation",T31=""),"needs automation ref",IF(AND(LEFT(I31,11)="real device",OR(U31="passed",U31="failed",U31="blocked"),OR(K31="",L31="",M31="",N31="",P31="")),"needs device details",IF(AND(OR(U31="passed",U31="failed",U31="blocked"),V31=""),"needs result date","ready"))))))</x:f>
        <x:v>ready</x:v>
      </x:c>
      <x:c r="AK31" s="50" t="inlineStr">
        <x:is>
          <x:t xml:space="preserve">List</x:t>
        </x:is>
      </x:c>
    </x:row>
    <x:row r="32" s="51" customFormat="1" ht="48" customHeight="1">
      <x:c r="A32" s="73" t="inlineStr">
        <x:is>
          <x:t xml:space="preserve">MRE-06-SELECT-002</x:t>
        </x:is>
      </x:c>
      <x:c r="B32" s="73" t="inlineStr">
        <x:is>
          <x:t xml:space="preserve">MR-06</x:t>
        </x:is>
      </x:c>
      <x:c r="C32" s="73" t="inlineStr">
        <x:is>
          <x:t xml:space="preserve">MR-P3</x:t>
        </x:is>
      </x:c>
      <x:c r="D32" s="74" t="inlineStr">
        <x:is>
          <x:t xml:space="preserve">Select</x:t>
        </x:is>
      </x:c>
      <x:c r="E32" s="74" t="inlineStr">
        <x:is>
          <x:t xml:space="preserve">pointer/click trigger activation opens Select in the existing desktop manual scenario</x:t>
        </x:is>
      </x:c>
      <x:c r="F32" s="74" t="inlineStr">
        <x:is>
          <x:t xml:space="preserve">Select!ID-159 — tap trigger opens</x:t>
        </x:is>
      </x:c>
      <x:c r="G32" s="75" t="inlineStr">
        <x:is>
          <x:t xml:space="preserve">narrow unsupported claim</x:t>
        </x:is>
      </x:c>
      <x:c r="H32" s="74" t="inlineStr">
        <x:is>
          <x:t xml:space="preserve">confirmed Atom implementation gap</x:t>
        </x:is>
      </x:c>
      <x:c r="I32" s="75" t="inlineStr">
        <x:is>
          <x:t xml:space="preserve">real device — Android Chrome</x:t>
        </x:is>
      </x:c>
      <x:c r="J32" s="73" t="inlineStr">
        <x:is>
          <x:t xml:space="preserve">Android</x:t>
        </x:is>
      </x:c>
      <x:c r="K32" s="73" t="n"/>
      <x:c r="L32" s="73" t="inlineStr">
        <x:is>
          <x:t xml:space="preserve">Chrome</x:t>
        </x:is>
      </x:c>
      <x:c r="M32" s="73" t="n"/>
      <x:c r="N32" s="73" t="n"/>
      <x:c r="O32" s="73" t="inlineStr">
        <x:is>
          <x:t xml:space="preserve">touch</x:t>
        </x:is>
      </x:c>
      <x:c r="P32" s="73" t="inlineStr">
        <x:is>
          <x:t xml:space="preserve">none</x:t>
        </x:is>
      </x:c>
      <x:c r="Q32" s="74" t="inlineStr">
        <x:is>
          <x:t xml:space="preserve">On a named Android device, exercise pointer/click trigger activation opens Select in the existing desktop manual scenario and record OS, browser version, device, date, and reproduction notes.</x:t>
        </x:is>
      </x:c>
      <x:c r="R32" s="74" t="inlineStr">
        <x:is>
          <x:t xml:space="preserve">A device tap opens Select once without conflicting dismissal or focus ordering.</x:t>
        </x:is>
      </x:c>
      <x:c r="S32" s="74" t="inlineStr">
        <x:is>
          <x:t xml:space="preserve">playground/manual-tests/mobile-readiness.md — final physical-device and AT lane</x:t>
        </x:is>
      </x:c>
      <x:c r="T32" s="74" t="inlineStr">
        <x:is>
          <x:t xml:space="preserve">test/browser/outside-interaction.spec.ts; test/browser/outside-interaction.mobile.spec.ts</x:t>
        </x:is>
      </x:c>
      <x:c r="U32" s="76" t="inlineStr">
        <x:is>
          <x:t xml:space="preserve">not run</x:t>
        </x:is>
      </x:c>
      <x:c r="V32" s="73" t="n"/>
      <x:c r="W32" s="74" t="n"/>
      <x:c r="X32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32" s="76" t="str">
        <x:f>IF(A32="","",IF(COUNTBLANK(A32:E32)+COUNTBLANK(G32:J32)+COUNTBLANK(Q32:R32)+COUNTBLANK(U32)&gt;0,"needs core fields",IF(AND(OR(I32="previous baseline — desktop manual",I32="browser emulation — manual",LEFT(I32,11)="real device"),S32=""),"needs protocol ref",IF(AND(LEFT(I32,18)="browser automation",T32=""),"needs automation ref",IF(AND(LEFT(I32,11)="real device",OR(U32="passed",U32="failed",U32="blocked"),OR(K32="",L32="",M32="",N32="",P32="")),"needs device details",IF(AND(OR(U32="passed",U32="failed",U32="blocked"),V32=""),"needs result date","ready"))))))</x:f>
        <x:v>ready</x:v>
      </x:c>
      <x:c r="AK32" s="50" t="inlineStr">
        <x:is>
          <x:t xml:space="preserve">Listbox</x:t>
        </x:is>
      </x:c>
    </x:row>
    <x:row r="33" s="51" customFormat="1" ht="48" customHeight="1">
      <x:c r="A33" s="73" t="inlineStr">
        <x:is>
          <x:t xml:space="preserve">MRE-06-SELECT-003</x:t>
        </x:is>
      </x:c>
      <x:c r="B33" s="73" t="inlineStr">
        <x:is>
          <x:t xml:space="preserve">MR-06</x:t>
        </x:is>
      </x:c>
      <x:c r="C33" s="73" t="inlineStr">
        <x:is>
          <x:t xml:space="preserve">MR-P3</x:t>
        </x:is>
      </x:c>
      <x:c r="D33" s="74" t="inlineStr">
        <x:is>
          <x:t xml:space="preserve">Select</x:t>
        </x:is>
      </x:c>
      <x:c r="E33" s="74" t="inlineStr">
        <x:is>
          <x:t xml:space="preserve">pointer/click item activation selects in the existing desktop manual scenario</x:t>
        </x:is>
      </x:c>
      <x:c r="F33" s="74" t="inlineStr">
        <x:is>
          <x:t xml:space="preserve">Select!ID-160 — tap item selects</x:t>
        </x:is>
      </x:c>
      <x:c r="G33" s="75" t="inlineStr">
        <x:is>
          <x:t xml:space="preserve">narrow unsupported claim</x:t>
        </x:is>
      </x:c>
      <x:c r="H33" s="74" t="inlineStr">
        <x:is>
          <x:t xml:space="preserve">confirmed Atom implementation gap</x:t>
        </x:is>
      </x:c>
      <x:c r="I33" s="75" t="inlineStr">
        <x:is>
          <x:t xml:space="preserve">real device — iOS Safari</x:t>
        </x:is>
      </x:c>
      <x:c r="J33" s="73" t="inlineStr">
        <x:is>
          <x:t xml:space="preserve">iOS</x:t>
        </x:is>
      </x:c>
      <x:c r="K33" s="73" t="n"/>
      <x:c r="L33" s="73" t="inlineStr">
        <x:is>
          <x:t xml:space="preserve">Safari</x:t>
        </x:is>
      </x:c>
      <x:c r="M33" s="73" t="n"/>
      <x:c r="N33" s="73" t="n"/>
      <x:c r="O33" s="73" t="inlineStr">
        <x:is>
          <x:t xml:space="preserve">touch</x:t>
        </x:is>
      </x:c>
      <x:c r="P33" s="73" t="inlineStr">
        <x:is>
          <x:t xml:space="preserve">none</x:t>
        </x:is>
      </x:c>
      <x:c r="Q33" s="74" t="inlineStr">
        <x:is>
          <x:t xml:space="preserve">On a named iOS device, exercise pointer/click item activation selects in the existing desktop manual scenario and record OS, browser version, device, date, and reproduction notes.</x:t>
        </x:is>
      </x:c>
      <x:c r="R33" s="74" t="inlineStr">
        <x:is>
          <x:t xml:space="preserve">A device tap selects the intended item once and applies the documented close behavior.</x:t>
        </x:is>
      </x:c>
      <x:c r="S33" s="74" t="inlineStr">
        <x:is>
          <x:t xml:space="preserve">playground/manual-tests/mobile-readiness.md — final physical-device and AT lane</x:t>
        </x:is>
      </x:c>
      <x:c r="T33" s="74" t="inlineStr">
        <x:is>
          <x:t xml:space="preserve">test/browser/outside-interaction.spec.ts; test/browser/outside-interaction.mobile.spec.ts</x:t>
        </x:is>
      </x:c>
      <x:c r="U33" s="76" t="inlineStr">
        <x:is>
          <x:t xml:space="preserve">not run</x:t>
        </x:is>
      </x:c>
      <x:c r="V33" s="73" t="n"/>
      <x:c r="W33" s="74" t="n"/>
      <x:c r="X33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33" s="76" t="str">
        <x:f>IF(A33="","",IF(COUNTBLANK(A33:E33)+COUNTBLANK(G33:J33)+COUNTBLANK(Q33:R33)+COUNTBLANK(U33)&gt;0,"needs core fields",IF(AND(OR(I33="previous baseline — desktop manual",I33="browser emulation — manual",LEFT(I33,11)="real device"),S33=""),"needs protocol ref",IF(AND(LEFT(I33,18)="browser automation",T33=""),"needs automation ref",IF(AND(LEFT(I33,11)="real device",OR(U33="passed",U33="failed",U33="blocked"),OR(K33="",L33="",M33="",N33="",P33="")),"needs device details",IF(AND(OR(U33="passed",U33="failed",U33="blocked"),V33=""),"needs result date","ready"))))))</x:f>
        <x:v>ready</x:v>
      </x:c>
      <x:c r="AK33" s="50" t="inlineStr">
        <x:is>
          <x:t xml:space="preserve">Menu</x:t>
        </x:is>
      </x:c>
    </x:row>
    <x:row r="34" s="51" customFormat="1" ht="48" customHeight="1">
      <x:c r="A34" s="73" t="inlineStr">
        <x:is>
          <x:t xml:space="preserve">MRE-06-SELECT-004</x:t>
        </x:is>
      </x:c>
      <x:c r="B34" s="73" t="inlineStr">
        <x:is>
          <x:t xml:space="preserve">MR-06</x:t>
        </x:is>
      </x:c>
      <x:c r="C34" s="73" t="inlineStr">
        <x:is>
          <x:t xml:space="preserve">MR-P3</x:t>
        </x:is>
      </x:c>
      <x:c r="D34" s="74" t="inlineStr">
        <x:is>
          <x:t xml:space="preserve">Select</x:t>
        </x:is>
      </x:c>
      <x:c r="E34" s="74" t="inlineStr">
        <x:is>
          <x:t xml:space="preserve">pointer/click item activation selects in the existing desktop manual scenario</x:t>
        </x:is>
      </x:c>
      <x:c r="F34" s="74" t="inlineStr">
        <x:is>
          <x:t xml:space="preserve">Select!ID-160 — tap item selects</x:t>
        </x:is>
      </x:c>
      <x:c r="G34" s="75" t="inlineStr">
        <x:is>
          <x:t xml:space="preserve">narrow unsupported claim</x:t>
        </x:is>
      </x:c>
      <x:c r="H34" s="74" t="inlineStr">
        <x:is>
          <x:t xml:space="preserve">confirmed Atom implementation gap</x:t>
        </x:is>
      </x:c>
      <x:c r="I34" s="75" t="inlineStr">
        <x:is>
          <x:t xml:space="preserve">real device — Android Chrome</x:t>
        </x:is>
      </x:c>
      <x:c r="J34" s="73" t="inlineStr">
        <x:is>
          <x:t xml:space="preserve">Android</x:t>
        </x:is>
      </x:c>
      <x:c r="K34" s="73" t="n"/>
      <x:c r="L34" s="73" t="inlineStr">
        <x:is>
          <x:t xml:space="preserve">Chrome</x:t>
        </x:is>
      </x:c>
      <x:c r="M34" s="73" t="n"/>
      <x:c r="N34" s="73" t="n"/>
      <x:c r="O34" s="73" t="inlineStr">
        <x:is>
          <x:t xml:space="preserve">touch</x:t>
        </x:is>
      </x:c>
      <x:c r="P34" s="73" t="inlineStr">
        <x:is>
          <x:t xml:space="preserve">none</x:t>
        </x:is>
      </x:c>
      <x:c r="Q34" s="74" t="inlineStr">
        <x:is>
          <x:t xml:space="preserve">On a named Android device, exercise pointer/click item activation selects in the existing desktop manual scenario and record OS, browser version, device, date, and reproduction notes.</x:t>
        </x:is>
      </x:c>
      <x:c r="R34" s="74" t="inlineStr">
        <x:is>
          <x:t xml:space="preserve">A device tap selects the intended item once and applies the documented close behavior.</x:t>
        </x:is>
      </x:c>
      <x:c r="S34" s="74" t="inlineStr">
        <x:is>
          <x:t xml:space="preserve">playground/manual-tests/mobile-readiness.md — final physical-device and AT lane</x:t>
        </x:is>
      </x:c>
      <x:c r="T34" s="74" t="inlineStr">
        <x:is>
          <x:t xml:space="preserve">test/browser/outside-interaction.spec.ts; test/browser/outside-interaction.mobile.spec.ts</x:t>
        </x:is>
      </x:c>
      <x:c r="U34" s="76" t="inlineStr">
        <x:is>
          <x:t xml:space="preserve">not run</x:t>
        </x:is>
      </x:c>
      <x:c r="V34" s="73" t="n"/>
      <x:c r="W34" s="74" t="n"/>
      <x:c r="X34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34" s="76" t="str">
        <x:f>IF(A34="","",IF(COUNTBLANK(A34:E34)+COUNTBLANK(G34:J34)+COUNTBLANK(Q34:R34)+COUNTBLANK(U34)&gt;0,"needs core fields",IF(AND(OR(I34="previous baseline — desktop manual",I34="browser emulation — manual",LEFT(I34,11)="real device"),S34=""),"needs protocol ref",IF(AND(LEFT(I34,18)="browser automation",T34=""),"needs automation ref",IF(AND(LEFT(I34,11)="real device",OR(U34="passed",U34="failed",U34="blocked"),OR(K34="",L34="",M34="",N34="",P34="")),"needs device details",IF(AND(OR(U34="passed",U34="failed",U34="blocked"),V34=""),"needs result date","ready"))))))</x:f>
        <x:v>ready</x:v>
      </x:c>
      <x:c r="AK34" s="50" t="inlineStr">
        <x:is>
          <x:t xml:space="preserve">Menubar</x:t>
        </x:is>
      </x:c>
    </x:row>
    <x:row r="35" s="51" customFormat="1" ht="48" customHeight="1">
      <x:c r="A35" s="73" t="inlineStr">
        <x:is>
          <x:t xml:space="preserve">MRE-06-SELECT-005</x:t>
        </x:is>
      </x:c>
      <x:c r="B35" s="73" t="inlineStr">
        <x:is>
          <x:t xml:space="preserve">MR-06</x:t>
        </x:is>
      </x:c>
      <x:c r="C35" s="73" t="inlineStr">
        <x:is>
          <x:t xml:space="preserve">MR-P3</x:t>
        </x:is>
      </x:c>
      <x:c r="D35" s="74" t="inlineStr">
        <x:is>
          <x:t xml:space="preserve">Select</x:t>
        </x:is>
      </x:c>
      <x:c r="E35" s="74" t="inlineStr">
        <x:is>
          <x:t xml:space="preserve">current desktop pointer-down outside interaction closes Select</x:t>
        </x:is>
      </x:c>
      <x:c r="F35" s="74" t="inlineStr">
        <x:is>
          <x:t xml:space="preserve">Select!ID-161 — tap outside closes</x:t>
        </x:is>
      </x:c>
      <x:c r="G35" s="75" t="inlineStr">
        <x:is>
          <x:t xml:space="preserve">narrow unsupported claim</x:t>
        </x:is>
      </x:c>
      <x:c r="H35" s="74" t="inlineStr">
        <x:is>
          <x:t xml:space="preserve">confirmed Atom implementation gap</x:t>
        </x:is>
      </x:c>
      <x:c r="I35" s="75" t="inlineStr">
        <x:is>
          <x:t xml:space="preserve">real device — iOS Safari</x:t>
        </x:is>
      </x:c>
      <x:c r="J35" s="73" t="inlineStr">
        <x:is>
          <x:t xml:space="preserve">iOS</x:t>
        </x:is>
      </x:c>
      <x:c r="K35" s="73" t="n"/>
      <x:c r="L35" s="73" t="inlineStr">
        <x:is>
          <x:t xml:space="preserve">Safari</x:t>
        </x:is>
      </x:c>
      <x:c r="M35" s="73" t="n"/>
      <x:c r="N35" s="73" t="n"/>
      <x:c r="O35" s="73" t="inlineStr">
        <x:is>
          <x:t xml:space="preserve">touch</x:t>
        </x:is>
      </x:c>
      <x:c r="P35" s="73" t="inlineStr">
        <x:is>
          <x:t xml:space="preserve">none</x:t>
        </x:is>
      </x:c>
      <x:c r="Q35" s="74" t="inlineStr">
        <x:is>
          <x:t xml:space="preserve">On a named iOS device, exercise current desktop pointer-down outside interaction closes Select and record OS, browser version, device, date, and reproduction notes.</x:t>
        </x:is>
      </x:c>
      <x:c r="R35" s="74" t="inlineStr">
        <x:is>
          <x:t xml:space="preserve">Outside tap dismissal occurs at the approved event boundary and cancels correctly after movement or scrolling.</x:t>
        </x:is>
      </x:c>
      <x:c r="S35" s="74" t="inlineStr">
        <x:is>
          <x:t xml:space="preserve">playground/manual-tests/mobile-readiness.md — final physical-device and AT lane</x:t>
        </x:is>
      </x:c>
      <x:c r="T35" s="74" t="inlineStr">
        <x:is>
          <x:t xml:space="preserve">test/browser/outside-interaction.spec.ts; test/browser/outside-interaction.mobile.spec.ts</x:t>
        </x:is>
      </x:c>
      <x:c r="U35" s="76" t="inlineStr">
        <x:is>
          <x:t xml:space="preserve">not run</x:t>
        </x:is>
      </x:c>
      <x:c r="V35" s="73" t="n"/>
      <x:c r="W35" s="74" t="n"/>
      <x:c r="X35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35" s="76" t="str">
        <x:f>IF(A35="","",IF(COUNTBLANK(A35:E35)+COUNTBLANK(G35:J35)+COUNTBLANK(Q35:R35)+COUNTBLANK(U35)&gt;0,"needs core fields",IF(AND(OR(I35="previous baseline — desktop manual",I35="browser emulation — manual",LEFT(I35,11)="real device"),S35=""),"needs protocol ref",IF(AND(LEFT(I35,18)="browser automation",T35=""),"needs automation ref",IF(AND(LEFT(I35,11)="real device",OR(U35="passed",U35="failed",U35="blocked"),OR(K35="",L35="",M35="",N35="",P35="")),"needs device details",IF(AND(OR(U35="passed",U35="failed",U35="blocked"),V35=""),"needs result date","ready"))))))</x:f>
        <x:v>ready</x:v>
      </x:c>
      <x:c r="AK35" s="50" t="inlineStr">
        <x:is>
          <x:t xml:space="preserve">Modal</x:t>
        </x:is>
      </x:c>
    </x:row>
    <x:row r="36" s="51" customFormat="1" ht="48" customHeight="1">
      <x:c r="A36" s="73" t="inlineStr">
        <x:is>
          <x:t xml:space="preserve">MRE-06-SELECT-006</x:t>
        </x:is>
      </x:c>
      <x:c r="B36" s="73" t="inlineStr">
        <x:is>
          <x:t xml:space="preserve">MR-06</x:t>
        </x:is>
      </x:c>
      <x:c r="C36" s="73" t="inlineStr">
        <x:is>
          <x:t xml:space="preserve">MR-P3</x:t>
        </x:is>
      </x:c>
      <x:c r="D36" s="74" t="inlineStr">
        <x:is>
          <x:t xml:space="preserve">Select</x:t>
        </x:is>
      </x:c>
      <x:c r="E36" s="74" t="inlineStr">
        <x:is>
          <x:t xml:space="preserve">current desktop pointer-down outside interaction closes Select</x:t>
        </x:is>
      </x:c>
      <x:c r="F36" s="74" t="inlineStr">
        <x:is>
          <x:t xml:space="preserve">Select!ID-161 — tap outside closes</x:t>
        </x:is>
      </x:c>
      <x:c r="G36" s="75" t="inlineStr">
        <x:is>
          <x:t xml:space="preserve">narrow unsupported claim</x:t>
        </x:is>
      </x:c>
      <x:c r="H36" s="74" t="inlineStr">
        <x:is>
          <x:t xml:space="preserve">confirmed Atom implementation gap</x:t>
        </x:is>
      </x:c>
      <x:c r="I36" s="75" t="inlineStr">
        <x:is>
          <x:t xml:space="preserve">real device — Android Chrome</x:t>
        </x:is>
      </x:c>
      <x:c r="J36" s="73" t="inlineStr">
        <x:is>
          <x:t xml:space="preserve">Android</x:t>
        </x:is>
      </x:c>
      <x:c r="K36" s="73" t="n"/>
      <x:c r="L36" s="73" t="inlineStr">
        <x:is>
          <x:t xml:space="preserve">Chrome</x:t>
        </x:is>
      </x:c>
      <x:c r="M36" s="73" t="n"/>
      <x:c r="N36" s="73" t="n"/>
      <x:c r="O36" s="73" t="inlineStr">
        <x:is>
          <x:t xml:space="preserve">touch</x:t>
        </x:is>
      </x:c>
      <x:c r="P36" s="73" t="inlineStr">
        <x:is>
          <x:t xml:space="preserve">none</x:t>
        </x:is>
      </x:c>
      <x:c r="Q36" s="74" t="inlineStr">
        <x:is>
          <x:t xml:space="preserve">On a named Android device, exercise current desktop pointer-down outside interaction closes Select and record OS, browser version, device, date, and reproduction notes.</x:t>
        </x:is>
      </x:c>
      <x:c r="R36" s="74" t="inlineStr">
        <x:is>
          <x:t xml:space="preserve">Outside tap dismissal occurs at the approved event boundary and cancels correctly after movement or scrolling.</x:t>
        </x:is>
      </x:c>
      <x:c r="S36" s="74" t="inlineStr">
        <x:is>
          <x:t xml:space="preserve">playground/manual-tests/mobile-readiness.md — final physical-device and AT lane</x:t>
        </x:is>
      </x:c>
      <x:c r="T36" s="74" t="inlineStr">
        <x:is>
          <x:t xml:space="preserve">test/browser/outside-interaction.spec.ts; test/browser/outside-interaction.mobile.spec.ts</x:t>
        </x:is>
      </x:c>
      <x:c r="U36" s="76" t="inlineStr">
        <x:is>
          <x:t xml:space="preserve">not run</x:t>
        </x:is>
      </x:c>
      <x:c r="V36" s="73" t="n"/>
      <x:c r="W36" s="74" t="n"/>
      <x:c r="X36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36" s="76" t="str">
        <x:f>IF(A36="","",IF(COUNTBLANK(A36:E36)+COUNTBLANK(G36:J36)+COUNTBLANK(Q36:R36)+COUNTBLANK(U36)&gt;0,"needs core fields",IF(AND(OR(I36="previous baseline — desktop manual",I36="browser emulation — manual",LEFT(I36,11)="real device"),S36=""),"needs protocol ref",IF(AND(LEFT(I36,18)="browser automation",T36=""),"needs automation ref",IF(AND(LEFT(I36,11)="real device",OR(U36="passed",U36="failed",U36="blocked"),OR(K36="",L36="",M36="",N36="",P36="")),"needs device details",IF(AND(OR(U36="passed",U36="failed",U36="blocked"),V36=""),"needs result date","ready"))))))</x:f>
        <x:v>ready</x:v>
      </x:c>
      <x:c r="AK36" s="50" t="inlineStr">
        <x:is>
          <x:t xml:space="preserve">NavList</x:t>
        </x:is>
      </x:c>
    </x:row>
    <x:row r="37" s="51" customFormat="1" ht="48" customHeight="1">
      <x:c r="A37" s="73" t="inlineStr">
        <x:is>
          <x:t xml:space="preserve">MRE-01-SELECT-003</x:t>
        </x:is>
      </x:c>
      <x:c r="B37" s="73" t="inlineStr">
        <x:is>
          <x:t xml:space="preserve">MR-01</x:t>
        </x:is>
      </x:c>
      <x:c r="C37" s="73" t="inlineStr">
        <x:is>
          <x:t xml:space="preserve">MR-P5</x:t>
        </x:is>
      </x:c>
      <x:c r="D37" s="74" t="inlineStr">
        <x:is>
          <x:t xml:space="preserve">Select</x:t>
        </x:is>
      </x:c>
      <x:c r="E37" s="74" t="inlineStr">
        <x:is>
          <x:t xml:space="preserve">listbox fit and scrolling in the manually tested desktop layout viewport</x:t>
        </x:is>
      </x:c>
      <x:c r="F37" s="74" t="inlineStr">
        <x:is>
          <x:t xml:space="preserve">Select!ID-162 — viewport fit and scroll</x:t>
        </x:is>
      </x:c>
      <x:c r="G37" s="75" t="inlineStr">
        <x:is>
          <x:t xml:space="preserve">narrow unsupported claim</x:t>
        </x:is>
      </x:c>
      <x:c r="H37" s="74" t="inlineStr">
        <x:is>
          <x:t xml:space="preserve">requires browser validation before concluding</x:t>
        </x:is>
      </x:c>
      <x:c r="I37" s="75" t="inlineStr">
        <x:is>
          <x:t xml:space="preserve">real device — iOS Safari</x:t>
        </x:is>
      </x:c>
      <x:c r="J37" s="73" t="inlineStr">
        <x:is>
          <x:t xml:space="preserve">iOS</x:t>
        </x:is>
      </x:c>
      <x:c r="K37" s="73" t="n"/>
      <x:c r="L37" s="73" t="inlineStr">
        <x:is>
          <x:t xml:space="preserve">Safari</x:t>
        </x:is>
      </x:c>
      <x:c r="M37" s="73" t="n"/>
      <x:c r="N37" s="73" t="n"/>
      <x:c r="O37" s="73" t="inlineStr">
        <x:is>
          <x:t xml:space="preserve">visual viewport</x:t>
        </x:is>
      </x:c>
      <x:c r="P37" s="73" t="inlineStr">
        <x:is>
          <x:t xml:space="preserve">none</x:t>
        </x:is>
      </x:c>
      <x:c r="Q37" s="74" t="inlineStr">
        <x:is>
          <x:t xml:space="preserve">On a named iOS device, exercise listbox fit and scrolling in the manually tested desktop layout viewport and record OS, browser version, device, date, and reproduction notes.</x:t>
        </x:is>
      </x:c>
      <x:c r="R37" s="74" t="inlineStr">
        <x:is>
          <x:t xml:space="preserve">The listbox remains reachable and scrollable with mobile browser chrome and virtual-keyboard changes.</x:t>
        </x:is>
      </x:c>
      <x:c r="S37" s="74" t="inlineStr">
        <x:is>
          <x:t xml:space="preserve">playground/manual-tests/mobile-readiness.md — final physical-device and AT lane</x:t>
        </x:is>
      </x:c>
      <x:c r="T37" s="74" t="n"/>
      <x:c r="U37" s="76" t="inlineStr">
        <x:is>
          <x:t xml:space="preserve">not run</x:t>
        </x:is>
      </x:c>
      <x:c r="V37" s="73" t="n"/>
      <x:c r="W37" s="74" t="n"/>
      <x:c r="X37" s="74" t="inlineStr">
        <x:is>
          <x:t xml:space="preserve">Existing component coverage remains the verified desktop/manual baseline; this record is an additional device qualification.</x:t>
        </x:is>
      </x:c>
      <x:c r="Y37" s="76" t="str">
        <x:f>IF(A37="","",IF(COUNTBLANK(A37:E37)+COUNTBLANK(G37:J37)+COUNTBLANK(Q37:R37)+COUNTBLANK(U37)&gt;0,"needs core fields",IF(AND(OR(I37="previous baseline — desktop manual",I37="browser emulation — manual",LEFT(I37,11)="real device"),S37=""),"needs protocol ref",IF(AND(LEFT(I37,18)="browser automation",T37=""),"needs automation ref",IF(AND(LEFT(I37,11)="real device",OR(U37="passed",U37="failed",U37="blocked"),OR(K37="",L37="",M37="",N37="",P37="")),"needs device details",IF(AND(OR(U37="passed",U37="failed",U37="blocked"),V37=""),"needs result date","ready"))))))</x:f>
        <x:v>ready</x:v>
      </x:c>
      <x:c r="AK37" s="50" t="inlineStr">
        <x:is>
          <x:t xml:space="preserve">NavigationMenu</x:t>
        </x:is>
      </x:c>
    </x:row>
    <x:row r="38" s="51" customFormat="1" ht="48" customHeight="1">
      <x:c r="A38" s="73" t="inlineStr">
        <x:is>
          <x:t xml:space="preserve">MRE-01-SELECT-004</x:t>
        </x:is>
      </x:c>
      <x:c r="B38" s="73" t="inlineStr">
        <x:is>
          <x:t xml:space="preserve">MR-01</x:t>
        </x:is>
      </x:c>
      <x:c r="C38" s="73" t="inlineStr">
        <x:is>
          <x:t xml:space="preserve">MR-P5</x:t>
        </x:is>
      </x:c>
      <x:c r="D38" s="74" t="inlineStr">
        <x:is>
          <x:t xml:space="preserve">Select</x:t>
        </x:is>
      </x:c>
      <x:c r="E38" s="74" t="inlineStr">
        <x:is>
          <x:t xml:space="preserve">listbox fit and scrolling in the manually tested desktop layout viewport</x:t>
        </x:is>
      </x:c>
      <x:c r="F38" s="74" t="inlineStr">
        <x:is>
          <x:t xml:space="preserve">Select!ID-162 — viewport fit and scroll</x:t>
        </x:is>
      </x:c>
      <x:c r="G38" s="75" t="inlineStr">
        <x:is>
          <x:t xml:space="preserve">narrow unsupported claim</x:t>
        </x:is>
      </x:c>
      <x:c r="H38" s="74" t="inlineStr">
        <x:is>
          <x:t xml:space="preserve">requires browser validation before concluding</x:t>
        </x:is>
      </x:c>
      <x:c r="I38" s="75" t="inlineStr">
        <x:is>
          <x:t xml:space="preserve">real device — Android Chrome</x:t>
        </x:is>
      </x:c>
      <x:c r="J38" s="73" t="inlineStr">
        <x:is>
          <x:t xml:space="preserve">Android</x:t>
        </x:is>
      </x:c>
      <x:c r="K38" s="73" t="n"/>
      <x:c r="L38" s="73" t="inlineStr">
        <x:is>
          <x:t xml:space="preserve">Chrome</x:t>
        </x:is>
      </x:c>
      <x:c r="M38" s="73" t="n"/>
      <x:c r="N38" s="73" t="n"/>
      <x:c r="O38" s="73" t="inlineStr">
        <x:is>
          <x:t xml:space="preserve">visual viewport</x:t>
        </x:is>
      </x:c>
      <x:c r="P38" s="73" t="inlineStr">
        <x:is>
          <x:t xml:space="preserve">none</x:t>
        </x:is>
      </x:c>
      <x:c r="Q38" s="74" t="inlineStr">
        <x:is>
          <x:t xml:space="preserve">On a named Android device, exercise listbox fit and scrolling in the manually tested desktop layout viewport and record OS, browser version, device, date, and reproduction notes.</x:t>
        </x:is>
      </x:c>
      <x:c r="R38" s="74" t="inlineStr">
        <x:is>
          <x:t xml:space="preserve">The listbox remains reachable and scrollable with mobile browser chrome and virtual-keyboard changes.</x:t>
        </x:is>
      </x:c>
      <x:c r="S38" s="74" t="inlineStr">
        <x:is>
          <x:t xml:space="preserve">playground/manual-tests/mobile-readiness.md — final physical-device and AT lane</x:t>
        </x:is>
      </x:c>
      <x:c r="T38" s="74" t="n"/>
      <x:c r="U38" s="76" t="inlineStr">
        <x:is>
          <x:t xml:space="preserve">not run</x:t>
        </x:is>
      </x:c>
      <x:c r="V38" s="73" t="n"/>
      <x:c r="W38" s="74" t="n"/>
      <x:c r="X38" s="74" t="inlineStr">
        <x:is>
          <x:t xml:space="preserve">Existing component coverage remains the verified desktop/manual baseline; this record is an additional device qualification.</x:t>
        </x:is>
      </x:c>
      <x:c r="Y38" s="76" t="str">
        <x:f>IF(A38="","",IF(COUNTBLANK(A38:E38)+COUNTBLANK(G38:J38)+COUNTBLANK(Q38:R38)+COUNTBLANK(U38)&gt;0,"needs core fields",IF(AND(OR(I38="previous baseline — desktop manual",I38="browser emulation — manual",LEFT(I38,11)="real device"),S38=""),"needs protocol ref",IF(AND(LEFT(I38,18)="browser automation",T38=""),"needs automation ref",IF(AND(LEFT(I38,11)="real device",OR(U38="passed",U38="failed",U38="blocked"),OR(K38="",L38="",M38="",N38="",P38="")),"needs device details",IF(AND(OR(U38="passed",U38="failed",U38="blocked"),V38=""),"needs result date","ready"))))))</x:f>
        <x:v>ready</x:v>
      </x:c>
      <x:c r="AK38" s="50" t="inlineStr">
        <x:is>
          <x:t xml:space="preserve">NumberInput</x:t>
        </x:is>
      </x:c>
    </x:row>
    <x:row r="39" s="51" customFormat="1" ht="48" customHeight="1">
      <x:c r="A39" s="73" t="inlineStr">
        <x:is>
          <x:t xml:space="preserve">MRE-01-COMBOBOX-001</x:t>
        </x:is>
      </x:c>
      <x:c r="B39" s="73" t="inlineStr">
        <x:is>
          <x:t xml:space="preserve">MR-01</x:t>
        </x:is>
      </x:c>
      <x:c r="C39" s="73" t="inlineStr">
        <x:is>
          <x:t xml:space="preserve">MR-P5</x:t>
        </x:is>
      </x:c>
      <x:c r="D39" s="74" t="inlineStr">
        <x:is>
          <x:t xml:space="preserve">Combobox</x:t>
        </x:is>
      </x:c>
      <x:c r="E39" s="74" t="inlineStr">
        <x:is>
          <x:t xml:space="preserve">collision, flip, and shift stay within the manually tested desktop layout viewport</x:t>
        </x:is>
      </x:c>
      <x:c r="F39" s="74" t="inlineStr">
        <x:is>
          <x:t xml:space="preserve">Combobox!ID-174 — collision/flip/shift behavior stays in viewport</x:t>
        </x:is>
      </x:c>
      <x:c r="G39" s="75" t="inlineStr">
        <x:is>
          <x:t xml:space="preserve">narrow unsupported claim</x:t>
        </x:is>
      </x:c>
      <x:c r="H39" s="74" t="inlineStr">
        <x:is>
          <x:t xml:space="preserve">requires browser validation before concluding</x:t>
        </x:is>
      </x:c>
      <x:c r="I39" s="75" t="inlineStr">
        <x:is>
          <x:t xml:space="preserve">real device — iOS Safari</x:t>
        </x:is>
      </x:c>
      <x:c r="J39" s="73" t="inlineStr">
        <x:is>
          <x:t xml:space="preserve">iOS</x:t>
        </x:is>
      </x:c>
      <x:c r="K39" s="73" t="n"/>
      <x:c r="L39" s="73" t="inlineStr">
        <x:is>
          <x:t xml:space="preserve">Safari</x:t>
        </x:is>
      </x:c>
      <x:c r="M39" s="73" t="n"/>
      <x:c r="N39" s="73" t="n"/>
      <x:c r="O39" s="73" t="inlineStr">
        <x:is>
          <x:t xml:space="preserve">visual viewport</x:t>
        </x:is>
      </x:c>
      <x:c r="P39" s="73" t="inlineStr">
        <x:is>
          <x:t xml:space="preserve">none</x:t>
        </x:is>
      </x:c>
      <x:c r="Q39" s="74" t="inlineStr">
        <x:is>
          <x:t xml:space="preserve">On a named iOS device, exercise collision, flip, and shift stay within the manually tested desktop layout viewport and record OS, browser version, device, date, and reproduction notes.</x:t>
        </x:is>
      </x:c>
      <x:c r="R39" s="74" t="inlineStr">
        <x:is>
          <x:t xml:space="preserve">Combobox content remains reachable and correctly anchored during named mobile viewport and keyboard changes.</x:t>
        </x:is>
      </x:c>
      <x:c r="S39" s="74" t="inlineStr">
        <x:is>
          <x:t xml:space="preserve">playground/manual-tests/mobile-readiness.md — final physical-device and AT lane</x:t>
        </x:is>
      </x:c>
      <x:c r="T39" s="74" t="n"/>
      <x:c r="U39" s="76" t="inlineStr">
        <x:is>
          <x:t xml:space="preserve">not run</x:t>
        </x:is>
      </x:c>
      <x:c r="V39" s="73" t="n"/>
      <x:c r="W39" s="74" t="n"/>
      <x:c r="X39" s="74" t="inlineStr">
        <x:is>
          <x:t xml:space="preserve">Existing component coverage remains the verified desktop/manual baseline; this record is an additional device qualification.</x:t>
        </x:is>
      </x:c>
      <x:c r="Y39" s="76" t="str">
        <x:f>IF(A39="","",IF(COUNTBLANK(A39:E39)+COUNTBLANK(G39:J39)+COUNTBLANK(Q39:R39)+COUNTBLANK(U39)&gt;0,"needs core fields",IF(AND(OR(I39="previous baseline — desktop manual",I39="browser emulation — manual",LEFT(I39,11)="real device"),S39=""),"needs protocol ref",IF(AND(LEFT(I39,18)="browser automation",T39=""),"needs automation ref",IF(AND(LEFT(I39,11)="real device",OR(U39="passed",U39="failed",U39="blocked"),OR(K39="",L39="",M39="",N39="",P39="")),"needs device details",IF(AND(OR(U39="passed",U39="failed",U39="blocked"),V39=""),"needs result date","ready"))))))</x:f>
        <x:v>ready</x:v>
      </x:c>
      <x:c r="AK39" s="50" t="inlineStr">
        <x:is>
          <x:t xml:space="preserve">OTPField</x:t>
        </x:is>
      </x:c>
    </x:row>
    <x:row r="40" s="51" customFormat="1" ht="48" customHeight="1">
      <x:c r="A40" s="73" t="inlineStr">
        <x:is>
          <x:t xml:space="preserve">MRE-01-COMBOBOX-002</x:t>
        </x:is>
      </x:c>
      <x:c r="B40" s="73" t="inlineStr">
        <x:is>
          <x:t xml:space="preserve">MR-01</x:t>
        </x:is>
      </x:c>
      <x:c r="C40" s="73" t="inlineStr">
        <x:is>
          <x:t xml:space="preserve">MR-P5</x:t>
        </x:is>
      </x:c>
      <x:c r="D40" s="74" t="inlineStr">
        <x:is>
          <x:t xml:space="preserve">Combobox</x:t>
        </x:is>
      </x:c>
      <x:c r="E40" s="74" t="inlineStr">
        <x:is>
          <x:t xml:space="preserve">collision, flip, and shift stay within the manually tested desktop layout viewport</x:t>
        </x:is>
      </x:c>
      <x:c r="F40" s="74" t="inlineStr">
        <x:is>
          <x:t xml:space="preserve">Combobox!ID-174 — collision/flip/shift behavior stays in viewport</x:t>
        </x:is>
      </x:c>
      <x:c r="G40" s="75" t="inlineStr">
        <x:is>
          <x:t xml:space="preserve">narrow unsupported claim</x:t>
        </x:is>
      </x:c>
      <x:c r="H40" s="74" t="inlineStr">
        <x:is>
          <x:t xml:space="preserve">requires browser validation before concluding</x:t>
        </x:is>
      </x:c>
      <x:c r="I40" s="75" t="inlineStr">
        <x:is>
          <x:t xml:space="preserve">real device — Android Chrome</x:t>
        </x:is>
      </x:c>
      <x:c r="J40" s="73" t="inlineStr">
        <x:is>
          <x:t xml:space="preserve">Android</x:t>
        </x:is>
      </x:c>
      <x:c r="K40" s="73" t="n"/>
      <x:c r="L40" s="73" t="inlineStr">
        <x:is>
          <x:t xml:space="preserve">Chrome</x:t>
        </x:is>
      </x:c>
      <x:c r="M40" s="73" t="n"/>
      <x:c r="N40" s="73" t="n"/>
      <x:c r="O40" s="73" t="inlineStr">
        <x:is>
          <x:t xml:space="preserve">visual viewport</x:t>
        </x:is>
      </x:c>
      <x:c r="P40" s="73" t="inlineStr">
        <x:is>
          <x:t xml:space="preserve">none</x:t>
        </x:is>
      </x:c>
      <x:c r="Q40" s="74" t="inlineStr">
        <x:is>
          <x:t xml:space="preserve">On a named Android device, exercise collision, flip, and shift stay within the manually tested desktop layout viewport and record OS, browser version, device, date, and reproduction notes.</x:t>
        </x:is>
      </x:c>
      <x:c r="R40" s="74" t="inlineStr">
        <x:is>
          <x:t xml:space="preserve">Combobox content remains reachable and correctly anchored during named mobile viewport and keyboard changes.</x:t>
        </x:is>
      </x:c>
      <x:c r="S40" s="74" t="inlineStr">
        <x:is>
          <x:t xml:space="preserve">playground/manual-tests/mobile-readiness.md — final physical-device and AT lane</x:t>
        </x:is>
      </x:c>
      <x:c r="T40" s="74" t="n"/>
      <x:c r="U40" s="76" t="inlineStr">
        <x:is>
          <x:t xml:space="preserve">not run</x:t>
        </x:is>
      </x:c>
      <x:c r="V40" s="73" t="n"/>
      <x:c r="W40" s="74" t="n"/>
      <x:c r="X40" s="74" t="inlineStr">
        <x:is>
          <x:t xml:space="preserve">Existing component coverage remains the verified desktop/manual baseline; this record is an additional device qualification.</x:t>
        </x:is>
      </x:c>
      <x:c r="Y40" s="76" t="str">
        <x:f>IF(A40="","",IF(COUNTBLANK(A40:E40)+COUNTBLANK(G40:J40)+COUNTBLANK(Q40:R40)+COUNTBLANK(U40)&gt;0,"needs core fields",IF(AND(OR(I40="previous baseline — desktop manual",I40="browser emulation — manual",LEFT(I40,11)="real device"),S40=""),"needs protocol ref",IF(AND(LEFT(I40,18)="browser automation",T40=""),"needs automation ref",IF(AND(LEFT(I40,11)="real device",OR(U40="passed",U40="failed",U40="blocked"),OR(K40="",L40="",M40="",N40="",P40="")),"needs device details",IF(AND(OR(U40="passed",U40="failed",U40="blocked"),V40=""),"needs result date","ready"))))))</x:f>
        <x:v>ready</x:v>
      </x:c>
      <x:c r="AK40" s="50" t="inlineStr">
        <x:is>
          <x:t xml:space="preserve">Pagination</x:t>
        </x:is>
      </x:c>
    </x:row>
    <x:row r="41" s="51" customFormat="1" ht="48" customHeight="1">
      <x:c r="A41" s="73" t="inlineStr">
        <x:is>
          <x:t xml:space="preserve">MRE-01-MENU-001</x:t>
        </x:is>
      </x:c>
      <x:c r="B41" s="73" t="inlineStr">
        <x:is>
          <x:t xml:space="preserve">MR-01</x:t>
        </x:is>
      </x:c>
      <x:c r="C41" s="73" t="inlineStr">
        <x:is>
          <x:t xml:space="preserve">MR-P5</x:t>
        </x:is>
      </x:c>
      <x:c r="D41" s="74" t="inlineStr">
        <x:is>
          <x:t xml:space="preserve">Menu</x:t>
        </x:is>
      </x:c>
      <x:c r="E41" s="74" t="inlineStr">
        <x:is>
          <x:t xml:space="preserve">placement flips or shifts near the edge of the manually tested desktop layout viewport</x:t>
        </x:is>
      </x:c>
      <x:c r="F41" s="74" t="inlineStr">
        <x:is>
          <x:t xml:space="preserve">Menu!ID-156 — placement flips or shifts near viewport edge</x:t>
        </x:is>
      </x:c>
      <x:c r="G41" s="75" t="inlineStr">
        <x:is>
          <x:t xml:space="preserve">narrow unsupported claim</x:t>
        </x:is>
      </x:c>
      <x:c r="H41" s="74" t="inlineStr">
        <x:is>
          <x:t xml:space="preserve">requires browser validation before concluding</x:t>
        </x:is>
      </x:c>
      <x:c r="I41" s="75" t="inlineStr">
        <x:is>
          <x:t xml:space="preserve">real device — iOS Safari</x:t>
        </x:is>
      </x:c>
      <x:c r="J41" s="73" t="inlineStr">
        <x:is>
          <x:t xml:space="preserve">iOS</x:t>
        </x:is>
      </x:c>
      <x:c r="K41" s="73" t="n"/>
      <x:c r="L41" s="73" t="inlineStr">
        <x:is>
          <x:t xml:space="preserve">Safari</x:t>
        </x:is>
      </x:c>
      <x:c r="M41" s="73" t="n"/>
      <x:c r="N41" s="73" t="n"/>
      <x:c r="O41" s="73" t="inlineStr">
        <x:is>
          <x:t xml:space="preserve">visual viewport</x:t>
        </x:is>
      </x:c>
      <x:c r="P41" s="73" t="inlineStr">
        <x:is>
          <x:t xml:space="preserve">none</x:t>
        </x:is>
      </x:c>
      <x:c r="Q41" s="74" t="inlineStr">
        <x:is>
          <x:t xml:space="preserve">On a named iOS device, exercise placement flips or shifts near the edge of the manually tested desktop layout viewport and record OS, browser version, device, date, and reproduction notes.</x:t>
        </x:is>
      </x:c>
      <x:c r="R41" s="74" t="inlineStr">
        <x:is>
          <x:t xml:space="preserve">Menu content remains reachable and correctly placed at mobile viewport edges.</x:t>
        </x:is>
      </x:c>
      <x:c r="S41" s="74" t="inlineStr">
        <x:is>
          <x:t xml:space="preserve">playground/manual-tests/mobile-readiness.md — final physical-device and AT lane</x:t>
        </x:is>
      </x:c>
      <x:c r="T41" s="74" t="n"/>
      <x:c r="U41" s="76" t="inlineStr">
        <x:is>
          <x:t xml:space="preserve">not run</x:t>
        </x:is>
      </x:c>
      <x:c r="V41" s="73" t="n"/>
      <x:c r="W41" s="74" t="n"/>
      <x:c r="X41" s="74" t="inlineStr">
        <x:is>
          <x:t xml:space="preserve">Existing component coverage remains the verified desktop/manual baseline; this record is an additional device qualification.</x:t>
        </x:is>
      </x:c>
      <x:c r="Y41" s="76" t="str">
        <x:f>IF(A41="","",IF(COUNTBLANK(A41:E41)+COUNTBLANK(G41:J41)+COUNTBLANK(Q41:R41)+COUNTBLANK(U41)&gt;0,"needs core fields",IF(AND(OR(I41="previous baseline — desktop manual",I41="browser emulation — manual",LEFT(I41,11)="real device"),S41=""),"needs protocol ref",IF(AND(LEFT(I41,18)="browser automation",T41=""),"needs automation ref",IF(AND(LEFT(I41,11)="real device",OR(U41="passed",U41="failed",U41="blocked"),OR(K41="",L41="",M41="",N41="",P41="")),"needs device details",IF(AND(OR(U41="passed",U41="failed",U41="blocked"),V41=""),"needs result date","ready"))))))</x:f>
        <x:v>ready</x:v>
      </x:c>
      <x:c r="AK41" s="50" t="inlineStr">
        <x:is>
          <x:t xml:space="preserve">PasswordToggleField</x:t>
        </x:is>
      </x:c>
    </x:row>
    <x:row r="42" s="51" customFormat="1" ht="48" customHeight="1">
      <x:c r="A42" s="73" t="inlineStr">
        <x:is>
          <x:t xml:space="preserve">MRE-01-MENU-002</x:t>
        </x:is>
      </x:c>
      <x:c r="B42" s="73" t="inlineStr">
        <x:is>
          <x:t xml:space="preserve">MR-01</x:t>
        </x:is>
      </x:c>
      <x:c r="C42" s="73" t="inlineStr">
        <x:is>
          <x:t xml:space="preserve">MR-P5</x:t>
        </x:is>
      </x:c>
      <x:c r="D42" s="74" t="inlineStr">
        <x:is>
          <x:t xml:space="preserve">Menu</x:t>
        </x:is>
      </x:c>
      <x:c r="E42" s="74" t="inlineStr">
        <x:is>
          <x:t xml:space="preserve">placement flips or shifts near the edge of the manually tested desktop layout viewport</x:t>
        </x:is>
      </x:c>
      <x:c r="F42" s="74" t="inlineStr">
        <x:is>
          <x:t xml:space="preserve">Menu!ID-156 — placement flips or shifts near viewport edge</x:t>
        </x:is>
      </x:c>
      <x:c r="G42" s="75" t="inlineStr">
        <x:is>
          <x:t xml:space="preserve">narrow unsupported claim</x:t>
        </x:is>
      </x:c>
      <x:c r="H42" s="74" t="inlineStr">
        <x:is>
          <x:t xml:space="preserve">requires browser validation before concluding</x:t>
        </x:is>
      </x:c>
      <x:c r="I42" s="75" t="inlineStr">
        <x:is>
          <x:t xml:space="preserve">real device — Android Chrome</x:t>
        </x:is>
      </x:c>
      <x:c r="J42" s="73" t="inlineStr">
        <x:is>
          <x:t xml:space="preserve">Android</x:t>
        </x:is>
      </x:c>
      <x:c r="K42" s="73" t="n"/>
      <x:c r="L42" s="73" t="inlineStr">
        <x:is>
          <x:t xml:space="preserve">Chrome</x:t>
        </x:is>
      </x:c>
      <x:c r="M42" s="73" t="n"/>
      <x:c r="N42" s="73" t="n"/>
      <x:c r="O42" s="73" t="inlineStr">
        <x:is>
          <x:t xml:space="preserve">visual viewport</x:t>
        </x:is>
      </x:c>
      <x:c r="P42" s="73" t="inlineStr">
        <x:is>
          <x:t xml:space="preserve">none</x:t>
        </x:is>
      </x:c>
      <x:c r="Q42" s="74" t="inlineStr">
        <x:is>
          <x:t xml:space="preserve">On a named Android device, exercise placement flips or shifts near the edge of the manually tested desktop layout viewport and record OS, browser version, device, date, and reproduction notes.</x:t>
        </x:is>
      </x:c>
      <x:c r="R42" s="74" t="inlineStr">
        <x:is>
          <x:t xml:space="preserve">Menu content remains reachable and correctly placed at mobile viewport edges.</x:t>
        </x:is>
      </x:c>
      <x:c r="S42" s="74" t="inlineStr">
        <x:is>
          <x:t xml:space="preserve">playground/manual-tests/mobile-readiness.md — final physical-device and AT lane</x:t>
        </x:is>
      </x:c>
      <x:c r="T42" s="74" t="n"/>
      <x:c r="U42" s="76" t="inlineStr">
        <x:is>
          <x:t xml:space="preserve">not run</x:t>
        </x:is>
      </x:c>
      <x:c r="V42" s="73" t="n"/>
      <x:c r="W42" s="74" t="n"/>
      <x:c r="X42" s="74" t="inlineStr">
        <x:is>
          <x:t xml:space="preserve">Existing component coverage remains the verified desktop/manual baseline; this record is an additional device qualification.</x:t>
        </x:is>
      </x:c>
      <x:c r="Y42" s="76" t="str">
        <x:f>IF(A42="","",IF(COUNTBLANK(A42:E42)+COUNTBLANK(G42:J42)+COUNTBLANK(Q42:R42)+COUNTBLANK(U42)&gt;0,"needs core fields",IF(AND(OR(I42="previous baseline — desktop manual",I42="browser emulation — manual",LEFT(I42,11)="real device"),S42=""),"needs protocol ref",IF(AND(LEFT(I42,18)="browser automation",T42=""),"needs automation ref",IF(AND(LEFT(I42,11)="real device",OR(U42="passed",U42="failed",U42="blocked"),OR(K42="",L42="",M42="",N42="",P42="")),"needs device details",IF(AND(OR(U42="passed",U42="failed",U42="blocked"),V42=""),"needs result date","ready"))))))</x:f>
        <x:v>ready</x:v>
      </x:c>
      <x:c r="AK42" s="50" t="inlineStr">
        <x:is>
          <x:t xml:space="preserve">Popover</x:t>
        </x:is>
      </x:c>
    </x:row>
    <x:row r="43" s="51" customFormat="1" ht="48" customHeight="1">
      <x:c r="A43" s="73" t="inlineStr">
        <x:is>
          <x:t xml:space="preserve">MRE-07-MENU-001</x:t>
        </x:is>
      </x:c>
      <x:c r="B43" s="73" t="inlineStr">
        <x:is>
          <x:t xml:space="preserve">MR-07</x:t>
        </x:is>
      </x:c>
      <x:c r="C43" s="73" t="inlineStr">
        <x:is>
          <x:t xml:space="preserve">MR-P7</x:t>
        </x:is>
      </x:c>
      <x:c r="D43" s="74" t="inlineStr">
        <x:is>
          <x:t xml:space="preserve">Menu</x:t>
        </x:is>
      </x:c>
      <x:c r="E43" s="74" t="inlineStr">
        <x:is>
          <x:t xml:space="preserve">pointer/click activation opens Menu in the existing desktop manual scenario</x:t>
        </x:is>
      </x:c>
      <x:c r="F43" s="74" t="inlineStr">
        <x:is>
          <x:t xml:space="preserve">Menu!ID-164 — touch opens menu</x:t>
        </x:is>
      </x:c>
      <x:c r="G43" s="75" t="inlineStr">
        <x:is>
          <x:t xml:space="preserve">narrow unsupported claim</x:t>
        </x:is>
      </x:c>
      <x:c r="H43" s="74" t="inlineStr">
        <x:is>
          <x:t xml:space="preserve">already adequately supported</x:t>
        </x:is>
      </x:c>
      <x:c r="I43" s="75" t="inlineStr">
        <x:is>
          <x:t xml:space="preserve">real device — iOS Safari</x:t>
        </x:is>
      </x:c>
      <x:c r="J43" s="73" t="inlineStr">
        <x:is>
          <x:t xml:space="preserve">iOS</x:t>
        </x:is>
      </x:c>
      <x:c r="K43" s="73" t="n"/>
      <x:c r="L43" s="73" t="inlineStr">
        <x:is>
          <x:t xml:space="preserve">Safari</x:t>
        </x:is>
      </x:c>
      <x:c r="M43" s="73" t="n"/>
      <x:c r="N43" s="73" t="n"/>
      <x:c r="O43" s="73" t="inlineStr">
        <x:is>
          <x:t xml:space="preserve">touch</x:t>
        </x:is>
      </x:c>
      <x:c r="P43" s="73" t="inlineStr">
        <x:is>
          <x:t xml:space="preserve">none</x:t>
        </x:is>
      </x:c>
      <x:c r="Q43" s="74" t="inlineStr">
        <x:is>
          <x:t xml:space="preserve">On a named iOS device, exercise pointer/click activation opens Menu in the existing desktop manual scenario and record OS, browser version, device, date, and reproduction notes.</x:t>
        </x:is>
      </x:c>
      <x:c r="R43" s="74" t="inlineStr">
        <x:is>
          <x:t xml:space="preserve">A device tap opens Menu once and preserves the current activation contract.</x:t>
        </x:is>
      </x:c>
      <x:c r="S43" s="74" t="inlineStr">
        <x:is>
          <x:t xml:space="preserve">playground/manual-tests/mobile-readiness.md — final physical-device and AT lane</x:t>
        </x:is>
      </x:c>
      <x:c r="T43" s="74" t="n"/>
      <x:c r="U43" s="76" t="inlineStr">
        <x:is>
          <x:t xml:space="preserve">not run</x:t>
        </x:is>
      </x:c>
      <x:c r="V43" s="73" t="n"/>
      <x:c r="W43" s="74" t="n"/>
      <x:c r="X43" s="74" t="inlineStr">
        <x:is>
          <x:t xml:space="preserve">Existing component coverage remains the verified desktop/manual baseline; this record is an additional device qualification.</x:t>
        </x:is>
      </x:c>
      <x:c r="Y43" s="76" t="str">
        <x:f>IF(A43="","",IF(COUNTBLANK(A43:E43)+COUNTBLANK(G43:J43)+COUNTBLANK(Q43:R43)+COUNTBLANK(U43)&gt;0,"needs core fields",IF(AND(OR(I43="previous baseline — desktop manual",I43="browser emulation — manual",LEFT(I43,11)="real device"),S43=""),"needs protocol ref",IF(AND(LEFT(I43,18)="browser automation",T43=""),"needs automation ref",IF(AND(LEFT(I43,11)="real device",OR(U43="passed",U43="failed",U43="blocked"),OR(K43="",L43="",M43="",N43="",P43="")),"needs device details",IF(AND(OR(U43="passed",U43="failed",U43="blocked"),V43=""),"needs result date","ready"))))))</x:f>
        <x:v>ready</x:v>
      </x:c>
      <x:c r="AK43" s="50" t="inlineStr">
        <x:is>
          <x:t xml:space="preserve">Portal</x:t>
        </x:is>
      </x:c>
    </x:row>
    <x:row r="44" s="51" customFormat="1" ht="48" customHeight="1">
      <x:c r="A44" s="73" t="inlineStr">
        <x:is>
          <x:t xml:space="preserve">MRE-07-MENU-002</x:t>
        </x:is>
      </x:c>
      <x:c r="B44" s="73" t="inlineStr">
        <x:is>
          <x:t xml:space="preserve">MR-07</x:t>
        </x:is>
      </x:c>
      <x:c r="C44" s="73" t="inlineStr">
        <x:is>
          <x:t xml:space="preserve">MR-P7</x:t>
        </x:is>
      </x:c>
      <x:c r="D44" s="74" t="inlineStr">
        <x:is>
          <x:t xml:space="preserve">Menu</x:t>
        </x:is>
      </x:c>
      <x:c r="E44" s="74" t="inlineStr">
        <x:is>
          <x:t xml:space="preserve">pointer/click activation opens Menu in the existing desktop manual scenario</x:t>
        </x:is>
      </x:c>
      <x:c r="F44" s="74" t="inlineStr">
        <x:is>
          <x:t xml:space="preserve">Menu!ID-164 — touch opens menu</x:t>
        </x:is>
      </x:c>
      <x:c r="G44" s="75" t="inlineStr">
        <x:is>
          <x:t xml:space="preserve">narrow unsupported claim</x:t>
        </x:is>
      </x:c>
      <x:c r="H44" s="74" t="inlineStr">
        <x:is>
          <x:t xml:space="preserve">already adequately supported</x:t>
        </x:is>
      </x:c>
      <x:c r="I44" s="75" t="inlineStr">
        <x:is>
          <x:t xml:space="preserve">real device — Android Chrome</x:t>
        </x:is>
      </x:c>
      <x:c r="J44" s="73" t="inlineStr">
        <x:is>
          <x:t xml:space="preserve">Android</x:t>
        </x:is>
      </x:c>
      <x:c r="K44" s="73" t="n"/>
      <x:c r="L44" s="73" t="inlineStr">
        <x:is>
          <x:t xml:space="preserve">Chrome</x:t>
        </x:is>
      </x:c>
      <x:c r="M44" s="73" t="n"/>
      <x:c r="N44" s="73" t="n"/>
      <x:c r="O44" s="73" t="inlineStr">
        <x:is>
          <x:t xml:space="preserve">touch</x:t>
        </x:is>
      </x:c>
      <x:c r="P44" s="73" t="inlineStr">
        <x:is>
          <x:t xml:space="preserve">none</x:t>
        </x:is>
      </x:c>
      <x:c r="Q44" s="74" t="inlineStr">
        <x:is>
          <x:t xml:space="preserve">On a named Android device, exercise pointer/click activation opens Menu in the existing desktop manual scenario and record OS, browser version, device, date, and reproduction notes.</x:t>
        </x:is>
      </x:c>
      <x:c r="R44" s="74" t="inlineStr">
        <x:is>
          <x:t xml:space="preserve">A device tap opens Menu once and preserves the current activation contract.</x:t>
        </x:is>
      </x:c>
      <x:c r="S44" s="74" t="inlineStr">
        <x:is>
          <x:t xml:space="preserve">playground/manual-tests/mobile-readiness.md — final physical-device and AT lane</x:t>
        </x:is>
      </x:c>
      <x:c r="T44" s="74" t="n"/>
      <x:c r="U44" s="76" t="inlineStr">
        <x:is>
          <x:t xml:space="preserve">not run</x:t>
        </x:is>
      </x:c>
      <x:c r="V44" s="73" t="n"/>
      <x:c r="W44" s="74" t="n"/>
      <x:c r="X44" s="74" t="inlineStr">
        <x:is>
          <x:t xml:space="preserve">Existing component coverage remains the verified desktop/manual baseline; this record is an additional device qualification.</x:t>
        </x:is>
      </x:c>
      <x:c r="Y44" s="76" t="str">
        <x:f>IF(A44="","",IF(COUNTBLANK(A44:E44)+COUNTBLANK(G44:J44)+COUNTBLANK(Q44:R44)+COUNTBLANK(U44)&gt;0,"needs core fields",IF(AND(OR(I44="previous baseline — desktop manual",I44="browser emulation — manual",LEFT(I44,11)="real device"),S44=""),"needs protocol ref",IF(AND(LEFT(I44,18)="browser automation",T44=""),"needs automation ref",IF(AND(LEFT(I44,11)="real device",OR(U44="passed",U44="failed",U44="blocked"),OR(K44="",L44="",M44="",N44="",P44="")),"needs device details",IF(AND(OR(U44="passed",U44="failed",U44="blocked"),V44=""),"needs result date","ready"))))))</x:f>
        <x:v>ready</x:v>
      </x:c>
      <x:c r="AK44" s="50" t="inlineStr">
        <x:is>
          <x:t xml:space="preserve">Pressable</x:t>
        </x:is>
      </x:c>
    </x:row>
    <x:row r="45" s="51" customFormat="1" ht="48" customHeight="1">
      <x:c r="A45" s="73" t="inlineStr">
        <x:is>
          <x:t xml:space="preserve">MRE-07-MENU-003</x:t>
        </x:is>
      </x:c>
      <x:c r="B45" s="73" t="inlineStr">
        <x:is>
          <x:t xml:space="preserve">MR-07</x:t>
        </x:is>
      </x:c>
      <x:c r="C45" s="73" t="inlineStr">
        <x:is>
          <x:t xml:space="preserve">MR-P7</x:t>
        </x:is>
      </x:c>
      <x:c r="D45" s="74" t="inlineStr">
        <x:is>
          <x:t xml:space="preserve">Menu</x:t>
        </x:is>
      </x:c>
      <x:c r="E45" s="74" t="inlineStr">
        <x:is>
          <x:t xml:space="preserve">pointer/click activation selects an action item in the existing desktop manual scenario</x:t>
        </x:is>
      </x:c>
      <x:c r="F45" s="74" t="inlineStr">
        <x:is>
          <x:t xml:space="preserve">Menu!ID-165 — touch selects action item</x:t>
        </x:is>
      </x:c>
      <x:c r="G45" s="75" t="inlineStr">
        <x:is>
          <x:t xml:space="preserve">narrow unsupported claim</x:t>
        </x:is>
      </x:c>
      <x:c r="H45" s="74" t="inlineStr">
        <x:is>
          <x:t xml:space="preserve">already adequately supported</x:t>
        </x:is>
      </x:c>
      <x:c r="I45" s="75" t="inlineStr">
        <x:is>
          <x:t xml:space="preserve">real device — iOS Safari</x:t>
        </x:is>
      </x:c>
      <x:c r="J45" s="73" t="inlineStr">
        <x:is>
          <x:t xml:space="preserve">iOS</x:t>
        </x:is>
      </x:c>
      <x:c r="K45" s="73" t="n"/>
      <x:c r="L45" s="73" t="inlineStr">
        <x:is>
          <x:t xml:space="preserve">Safari</x:t>
        </x:is>
      </x:c>
      <x:c r="M45" s="73" t="n"/>
      <x:c r="N45" s="73" t="n"/>
      <x:c r="O45" s="73" t="inlineStr">
        <x:is>
          <x:t xml:space="preserve">touch</x:t>
        </x:is>
      </x:c>
      <x:c r="P45" s="73" t="inlineStr">
        <x:is>
          <x:t xml:space="preserve">none</x:t>
        </x:is>
      </x:c>
      <x:c r="Q45" s="74" t="inlineStr">
        <x:is>
          <x:t xml:space="preserve">On a named iOS device, exercise pointer/click activation selects an action item in the existing desktop manual scenario and record OS, browser version, device, date, and reproduction notes.</x:t>
        </x:is>
      </x:c>
      <x:c r="R45" s="74" t="inlineStr">
        <x:is>
          <x:t xml:space="preserve">A device tap selects the intended action once.</x:t>
        </x:is>
      </x:c>
      <x:c r="S45" s="74" t="inlineStr">
        <x:is>
          <x:t xml:space="preserve">playground/manual-tests/mobile-readiness.md — final physical-device and AT lane</x:t>
        </x:is>
      </x:c>
      <x:c r="T45" s="74" t="n"/>
      <x:c r="U45" s="76" t="inlineStr">
        <x:is>
          <x:t xml:space="preserve">not run</x:t>
        </x:is>
      </x:c>
      <x:c r="V45" s="73" t="n"/>
      <x:c r="W45" s="74" t="n"/>
      <x:c r="X45" s="74" t="inlineStr">
        <x:is>
          <x:t xml:space="preserve">Existing component coverage remains the verified desktop/manual baseline; this record is an additional device qualification.</x:t>
        </x:is>
      </x:c>
      <x:c r="Y45" s="76" t="str">
        <x:f>IF(A45="","",IF(COUNTBLANK(A45:E45)+COUNTBLANK(G45:J45)+COUNTBLANK(Q45:R45)+COUNTBLANK(U45)&gt;0,"needs core fields",IF(AND(OR(I45="previous baseline — desktop manual",I45="browser emulation — manual",LEFT(I45,11)="real device"),S45=""),"needs protocol ref",IF(AND(LEFT(I45,18)="browser automation",T45=""),"needs automation ref",IF(AND(LEFT(I45,11)="real device",OR(U45="passed",U45="failed",U45="blocked"),OR(K45="",L45="",M45="",N45="",P45="")),"needs device details",IF(AND(OR(U45="passed",U45="failed",U45="blocked"),V45=""),"needs result date","ready"))))))</x:f>
        <x:v>ready</x:v>
      </x:c>
      <x:c r="AK45" s="50" t="inlineStr">
        <x:is>
          <x:t xml:space="preserve">Progress</x:t>
        </x:is>
      </x:c>
    </x:row>
    <x:row r="46" s="51" customFormat="1" ht="48" customHeight="1">
      <x:c r="A46" s="73" t="inlineStr">
        <x:is>
          <x:t xml:space="preserve">MRE-07-MENU-004</x:t>
        </x:is>
      </x:c>
      <x:c r="B46" s="73" t="inlineStr">
        <x:is>
          <x:t xml:space="preserve">MR-07</x:t>
        </x:is>
      </x:c>
      <x:c r="C46" s="73" t="inlineStr">
        <x:is>
          <x:t xml:space="preserve">MR-P7</x:t>
        </x:is>
      </x:c>
      <x:c r="D46" s="74" t="inlineStr">
        <x:is>
          <x:t xml:space="preserve">Menu</x:t>
        </x:is>
      </x:c>
      <x:c r="E46" s="74" t="inlineStr">
        <x:is>
          <x:t xml:space="preserve">pointer/click activation selects an action item in the existing desktop manual scenario</x:t>
        </x:is>
      </x:c>
      <x:c r="F46" s="74" t="inlineStr">
        <x:is>
          <x:t xml:space="preserve">Menu!ID-165 — touch selects action item</x:t>
        </x:is>
      </x:c>
      <x:c r="G46" s="75" t="inlineStr">
        <x:is>
          <x:t xml:space="preserve">narrow unsupported claim</x:t>
        </x:is>
      </x:c>
      <x:c r="H46" s="74" t="inlineStr">
        <x:is>
          <x:t xml:space="preserve">already adequately supported</x:t>
        </x:is>
      </x:c>
      <x:c r="I46" s="75" t="inlineStr">
        <x:is>
          <x:t xml:space="preserve">real device — Android Chrome</x:t>
        </x:is>
      </x:c>
      <x:c r="J46" s="73" t="inlineStr">
        <x:is>
          <x:t xml:space="preserve">Android</x:t>
        </x:is>
      </x:c>
      <x:c r="K46" s="73" t="n"/>
      <x:c r="L46" s="73" t="inlineStr">
        <x:is>
          <x:t xml:space="preserve">Chrome</x:t>
        </x:is>
      </x:c>
      <x:c r="M46" s="73" t="n"/>
      <x:c r="N46" s="73" t="n"/>
      <x:c r="O46" s="73" t="inlineStr">
        <x:is>
          <x:t xml:space="preserve">touch</x:t>
        </x:is>
      </x:c>
      <x:c r="P46" s="73" t="inlineStr">
        <x:is>
          <x:t xml:space="preserve">none</x:t>
        </x:is>
      </x:c>
      <x:c r="Q46" s="74" t="inlineStr">
        <x:is>
          <x:t xml:space="preserve">On a named Android device, exercise pointer/click activation selects an action item in the existing desktop manual scenario and record OS, browser version, device, date, and reproduction notes.</x:t>
        </x:is>
      </x:c>
      <x:c r="R46" s="74" t="inlineStr">
        <x:is>
          <x:t xml:space="preserve">A device tap selects the intended action once.</x:t>
        </x:is>
      </x:c>
      <x:c r="S46" s="74" t="inlineStr">
        <x:is>
          <x:t xml:space="preserve">playground/manual-tests/mobile-readiness.md — final physical-device and AT lane</x:t>
        </x:is>
      </x:c>
      <x:c r="T46" s="74" t="n"/>
      <x:c r="U46" s="76" t="inlineStr">
        <x:is>
          <x:t xml:space="preserve">not run</x:t>
        </x:is>
      </x:c>
      <x:c r="V46" s="73" t="n"/>
      <x:c r="W46" s="74" t="n"/>
      <x:c r="X46" s="74" t="inlineStr">
        <x:is>
          <x:t xml:space="preserve">Existing component coverage remains the verified desktop/manual baseline; this record is an additional device qualification.</x:t>
        </x:is>
      </x:c>
      <x:c r="Y46" s="76" t="str">
        <x:f>IF(A46="","",IF(COUNTBLANK(A46:E46)+COUNTBLANK(G46:J46)+COUNTBLANK(Q46:R46)+COUNTBLANK(U46)&gt;0,"needs core fields",IF(AND(OR(I46="previous baseline — desktop manual",I46="browser emulation — manual",LEFT(I46,11)="real device"),S46=""),"needs protocol ref",IF(AND(LEFT(I46,18)="browser automation",T46=""),"needs automation ref",IF(AND(LEFT(I46,11)="real device",OR(U46="passed",U46="failed",U46="blocked"),OR(K46="",L46="",M46="",N46="",P46="")),"needs device details",IF(AND(OR(U46="passed",U46="failed",U46="blocked"),V46=""),"needs result date","ready"))))))</x:f>
        <x:v>ready</x:v>
      </x:c>
      <x:c r="AK46" s="50" t="inlineStr">
        <x:is>
          <x:t xml:space="preserve">RadioGroup</x:t>
        </x:is>
      </x:c>
    </x:row>
    <x:row r="47" s="51" customFormat="1" ht="48" customHeight="1">
      <x:c r="A47" s="73" t="inlineStr">
        <x:is>
          <x:t xml:space="preserve">MRE-07-MENU-005</x:t>
        </x:is>
      </x:c>
      <x:c r="B47" s="73" t="inlineStr">
        <x:is>
          <x:t xml:space="preserve">MR-07</x:t>
        </x:is>
      </x:c>
      <x:c r="C47" s="73" t="inlineStr">
        <x:is>
          <x:t xml:space="preserve">MR-P7</x:t>
        </x:is>
      </x:c>
      <x:c r="D47" s="74" t="inlineStr">
        <x:is>
          <x:t xml:space="preserve">Menu</x:t>
        </x:is>
      </x:c>
      <x:c r="E47" s="74" t="inlineStr">
        <x:is>
          <x:t xml:space="preserve">pointer/click activation toggles a checkbox item in the existing desktop manual scenario</x:t>
        </x:is>
      </x:c>
      <x:c r="F47" s="74" t="inlineStr">
        <x:is>
          <x:t xml:space="preserve">Menu!ID-166 — touch toggles checkbox item</x:t>
        </x:is>
      </x:c>
      <x:c r="G47" s="75" t="inlineStr">
        <x:is>
          <x:t xml:space="preserve">narrow unsupported claim</x:t>
        </x:is>
      </x:c>
      <x:c r="H47" s="74" t="inlineStr">
        <x:is>
          <x:t xml:space="preserve">already adequately supported</x:t>
        </x:is>
      </x:c>
      <x:c r="I47" s="75" t="inlineStr">
        <x:is>
          <x:t xml:space="preserve">real device — iOS Safari</x:t>
        </x:is>
      </x:c>
      <x:c r="J47" s="73" t="inlineStr">
        <x:is>
          <x:t xml:space="preserve">iOS</x:t>
        </x:is>
      </x:c>
      <x:c r="K47" s="73" t="n"/>
      <x:c r="L47" s="73" t="inlineStr">
        <x:is>
          <x:t xml:space="preserve">Safari</x:t>
        </x:is>
      </x:c>
      <x:c r="M47" s="73" t="n"/>
      <x:c r="N47" s="73" t="n"/>
      <x:c r="O47" s="73" t="inlineStr">
        <x:is>
          <x:t xml:space="preserve">touch</x:t>
        </x:is>
      </x:c>
      <x:c r="P47" s="73" t="inlineStr">
        <x:is>
          <x:t xml:space="preserve">none</x:t>
        </x:is>
      </x:c>
      <x:c r="Q47" s="74" t="inlineStr">
        <x:is>
          <x:t xml:space="preserve">On a named iOS device, exercise pointer/click activation toggles a checkbox item in the existing desktop manual scenario and record OS, browser version, device, date, and reproduction notes.</x:t>
        </x:is>
      </x:c>
      <x:c r="R47" s="74" t="inlineStr">
        <x:is>
          <x:t xml:space="preserve">A device tap toggles the intended checkbox item once.</x:t>
        </x:is>
      </x:c>
      <x:c r="S47" s="74" t="inlineStr">
        <x:is>
          <x:t xml:space="preserve">playground/manual-tests/mobile-readiness.md — final physical-device and AT lane</x:t>
        </x:is>
      </x:c>
      <x:c r="T47" s="74" t="n"/>
      <x:c r="U47" s="76" t="inlineStr">
        <x:is>
          <x:t xml:space="preserve">not run</x:t>
        </x:is>
      </x:c>
      <x:c r="V47" s="73" t="n"/>
      <x:c r="W47" s="74" t="n"/>
      <x:c r="X47" s="74" t="inlineStr">
        <x:is>
          <x:t xml:space="preserve">Existing component coverage remains the verified desktop/manual baseline; this record is an additional device qualification.</x:t>
        </x:is>
      </x:c>
      <x:c r="Y47" s="76" t="str">
        <x:f>IF(A47="","",IF(COUNTBLANK(A47:E47)+COUNTBLANK(G47:J47)+COUNTBLANK(Q47:R47)+COUNTBLANK(U47)&gt;0,"needs core fields",IF(AND(OR(I47="previous baseline — desktop manual",I47="browser emulation — manual",LEFT(I47,11)="real device"),S47=""),"needs protocol ref",IF(AND(LEFT(I47,18)="browser automation",T47=""),"needs automation ref",IF(AND(LEFT(I47,11)="real device",OR(U47="passed",U47="failed",U47="blocked"),OR(K47="",L47="",M47="",N47="",P47="")),"needs device details",IF(AND(OR(U47="passed",U47="failed",U47="blocked"),V47=""),"needs result date","ready"))))))</x:f>
        <x:v>ready</x:v>
      </x:c>
      <x:c r="AK47" s="50" t="inlineStr">
        <x:is>
          <x:t xml:space="preserve">Rating</x:t>
        </x:is>
      </x:c>
    </x:row>
    <x:row r="48" s="51" customFormat="1" ht="48" customHeight="1">
      <x:c r="A48" s="73" t="inlineStr">
        <x:is>
          <x:t xml:space="preserve">MRE-07-MENU-006</x:t>
        </x:is>
      </x:c>
      <x:c r="B48" s="73" t="inlineStr">
        <x:is>
          <x:t xml:space="preserve">MR-07</x:t>
        </x:is>
      </x:c>
      <x:c r="C48" s="73" t="inlineStr">
        <x:is>
          <x:t xml:space="preserve">MR-P7</x:t>
        </x:is>
      </x:c>
      <x:c r="D48" s="74" t="inlineStr">
        <x:is>
          <x:t xml:space="preserve">Menu</x:t>
        </x:is>
      </x:c>
      <x:c r="E48" s="74" t="inlineStr">
        <x:is>
          <x:t xml:space="preserve">pointer/click activation toggles a checkbox item in the existing desktop manual scenario</x:t>
        </x:is>
      </x:c>
      <x:c r="F48" s="74" t="inlineStr">
        <x:is>
          <x:t xml:space="preserve">Menu!ID-166 — touch toggles checkbox item</x:t>
        </x:is>
      </x:c>
      <x:c r="G48" s="75" t="inlineStr">
        <x:is>
          <x:t xml:space="preserve">narrow unsupported claim</x:t>
        </x:is>
      </x:c>
      <x:c r="H48" s="74" t="inlineStr">
        <x:is>
          <x:t xml:space="preserve">already adequately supported</x:t>
        </x:is>
      </x:c>
      <x:c r="I48" s="75" t="inlineStr">
        <x:is>
          <x:t xml:space="preserve">real device — Android Chrome</x:t>
        </x:is>
      </x:c>
      <x:c r="J48" s="73" t="inlineStr">
        <x:is>
          <x:t xml:space="preserve">Android</x:t>
        </x:is>
      </x:c>
      <x:c r="K48" s="73" t="n"/>
      <x:c r="L48" s="73" t="inlineStr">
        <x:is>
          <x:t xml:space="preserve">Chrome</x:t>
        </x:is>
      </x:c>
      <x:c r="M48" s="73" t="n"/>
      <x:c r="N48" s="73" t="n"/>
      <x:c r="O48" s="73" t="inlineStr">
        <x:is>
          <x:t xml:space="preserve">touch</x:t>
        </x:is>
      </x:c>
      <x:c r="P48" s="73" t="inlineStr">
        <x:is>
          <x:t xml:space="preserve">none</x:t>
        </x:is>
      </x:c>
      <x:c r="Q48" s="74" t="inlineStr">
        <x:is>
          <x:t xml:space="preserve">On a named Android device, exercise pointer/click activation toggles a checkbox item in the existing desktop manual scenario and record OS, browser version, device, date, and reproduction notes.</x:t>
        </x:is>
      </x:c>
      <x:c r="R48" s="74" t="inlineStr">
        <x:is>
          <x:t xml:space="preserve">A device tap toggles the intended checkbox item once.</x:t>
        </x:is>
      </x:c>
      <x:c r="S48" s="74" t="inlineStr">
        <x:is>
          <x:t xml:space="preserve">playground/manual-tests/mobile-readiness.md — final physical-device and AT lane</x:t>
        </x:is>
      </x:c>
      <x:c r="T48" s="74" t="n"/>
      <x:c r="U48" s="76" t="inlineStr">
        <x:is>
          <x:t xml:space="preserve">not run</x:t>
        </x:is>
      </x:c>
      <x:c r="V48" s="73" t="n"/>
      <x:c r="W48" s="74" t="n"/>
      <x:c r="X48" s="74" t="inlineStr">
        <x:is>
          <x:t xml:space="preserve">Existing component coverage remains the verified desktop/manual baseline; this record is an additional device qualification.</x:t>
        </x:is>
      </x:c>
      <x:c r="Y48" s="76" t="str">
        <x:f>IF(A48="","",IF(COUNTBLANK(A48:E48)+COUNTBLANK(G48:J48)+COUNTBLANK(Q48:R48)+COUNTBLANK(U48)&gt;0,"needs core fields",IF(AND(OR(I48="previous baseline — desktop manual",I48="browser emulation — manual",LEFT(I48,11)="real device"),S48=""),"needs protocol ref",IF(AND(LEFT(I48,18)="browser automation",T48=""),"needs automation ref",IF(AND(LEFT(I48,11)="real device",OR(U48="passed",U48="failed",U48="blocked"),OR(K48="",L48="",M48="",N48="",P48="")),"needs device details",IF(AND(OR(U48="passed",U48="failed",U48="blocked"),V48=""),"needs result date","ready"))))))</x:f>
        <x:v>ready</x:v>
      </x:c>
      <x:c r="AK48" s="50" t="inlineStr">
        <x:is>
          <x:t xml:space="preserve">ScrollArea</x:t>
        </x:is>
      </x:c>
    </x:row>
    <x:row r="49" s="51" customFormat="1" ht="48" customHeight="1">
      <x:c r="A49" s="73" t="inlineStr">
        <x:is>
          <x:t xml:space="preserve">MRE-07-MENU-007</x:t>
        </x:is>
      </x:c>
      <x:c r="B49" s="73" t="inlineStr">
        <x:is>
          <x:t xml:space="preserve">MR-07</x:t>
        </x:is>
      </x:c>
      <x:c r="C49" s="73" t="inlineStr">
        <x:is>
          <x:t xml:space="preserve">MR-P7</x:t>
        </x:is>
      </x:c>
      <x:c r="D49" s="74" t="inlineStr">
        <x:is>
          <x:t xml:space="preserve">Menu</x:t>
        </x:is>
      </x:c>
      <x:c r="E49" s="74" t="inlineStr">
        <x:is>
          <x:t xml:space="preserve">pointer/click activation selects a radio item in the existing desktop manual scenario</x:t>
        </x:is>
      </x:c>
      <x:c r="F49" s="74" t="inlineStr">
        <x:is>
          <x:t xml:space="preserve">Menu!ID-167 — touch selects radio item</x:t>
        </x:is>
      </x:c>
      <x:c r="G49" s="75" t="inlineStr">
        <x:is>
          <x:t xml:space="preserve">narrow unsupported claim</x:t>
        </x:is>
      </x:c>
      <x:c r="H49" s="74" t="inlineStr">
        <x:is>
          <x:t xml:space="preserve">already adequately supported</x:t>
        </x:is>
      </x:c>
      <x:c r="I49" s="75" t="inlineStr">
        <x:is>
          <x:t xml:space="preserve">real device — iOS Safari</x:t>
        </x:is>
      </x:c>
      <x:c r="J49" s="73" t="inlineStr">
        <x:is>
          <x:t xml:space="preserve">iOS</x:t>
        </x:is>
      </x:c>
      <x:c r="K49" s="73" t="n"/>
      <x:c r="L49" s="73" t="inlineStr">
        <x:is>
          <x:t xml:space="preserve">Safari</x:t>
        </x:is>
      </x:c>
      <x:c r="M49" s="73" t="n"/>
      <x:c r="N49" s="73" t="n"/>
      <x:c r="O49" s="73" t="inlineStr">
        <x:is>
          <x:t xml:space="preserve">touch</x:t>
        </x:is>
      </x:c>
      <x:c r="P49" s="73" t="inlineStr">
        <x:is>
          <x:t xml:space="preserve">none</x:t>
        </x:is>
      </x:c>
      <x:c r="Q49" s="74" t="inlineStr">
        <x:is>
          <x:t xml:space="preserve">On a named iOS device, exercise pointer/click activation selects a radio item in the existing desktop manual scenario and record OS, browser version, device, date, and reproduction notes.</x:t>
        </x:is>
      </x:c>
      <x:c r="R49" s="74" t="inlineStr">
        <x:is>
          <x:t xml:space="preserve">A device tap selects the intended radio item once.</x:t>
        </x:is>
      </x:c>
      <x:c r="S49" s="74" t="inlineStr">
        <x:is>
          <x:t xml:space="preserve">playground/manual-tests/mobile-readiness.md — final physical-device and AT lane</x:t>
        </x:is>
      </x:c>
      <x:c r="T49" s="74" t="n"/>
      <x:c r="U49" s="76" t="inlineStr">
        <x:is>
          <x:t xml:space="preserve">not run</x:t>
        </x:is>
      </x:c>
      <x:c r="V49" s="73" t="n"/>
      <x:c r="W49" s="74" t="n"/>
      <x:c r="X49" s="74" t="inlineStr">
        <x:is>
          <x:t xml:space="preserve">Existing component coverage remains the verified desktop/manual baseline; this record is an additional device qualification.</x:t>
        </x:is>
      </x:c>
      <x:c r="Y49" s="76" t="str">
        <x:f>IF(A49="","",IF(COUNTBLANK(A49:E49)+COUNTBLANK(G49:J49)+COUNTBLANK(Q49:R49)+COUNTBLANK(U49)&gt;0,"needs core fields",IF(AND(OR(I49="previous baseline — desktop manual",I49="browser emulation — manual",LEFT(I49,11)="real device"),S49=""),"needs protocol ref",IF(AND(LEFT(I49,18)="browser automation",T49=""),"needs automation ref",IF(AND(LEFT(I49,11)="real device",OR(U49="passed",U49="failed",U49="blocked"),OR(K49="",L49="",M49="",N49="",P49="")),"needs device details",IF(AND(OR(U49="passed",U49="failed",U49="blocked"),V49=""),"needs result date","ready"))))))</x:f>
        <x:v>ready</x:v>
      </x:c>
      <x:c r="AK49" s="50" t="inlineStr">
        <x:is>
          <x:t xml:space="preserve">Select</x:t>
        </x:is>
      </x:c>
    </x:row>
    <x:row r="50" s="51" customFormat="1" ht="48" customHeight="1">
      <x:c r="A50" s="73" t="inlineStr">
        <x:is>
          <x:t xml:space="preserve">MRE-07-MENU-008</x:t>
        </x:is>
      </x:c>
      <x:c r="B50" s="73" t="inlineStr">
        <x:is>
          <x:t xml:space="preserve">MR-07</x:t>
        </x:is>
      </x:c>
      <x:c r="C50" s="73" t="inlineStr">
        <x:is>
          <x:t xml:space="preserve">MR-P7</x:t>
        </x:is>
      </x:c>
      <x:c r="D50" s="74" t="inlineStr">
        <x:is>
          <x:t xml:space="preserve">Menu</x:t>
        </x:is>
      </x:c>
      <x:c r="E50" s="74" t="inlineStr">
        <x:is>
          <x:t xml:space="preserve">pointer/click activation selects a radio item in the existing desktop manual scenario</x:t>
        </x:is>
      </x:c>
      <x:c r="F50" s="74" t="inlineStr">
        <x:is>
          <x:t xml:space="preserve">Menu!ID-167 — touch selects radio item</x:t>
        </x:is>
      </x:c>
      <x:c r="G50" s="75" t="inlineStr">
        <x:is>
          <x:t xml:space="preserve">narrow unsupported claim</x:t>
        </x:is>
      </x:c>
      <x:c r="H50" s="74" t="inlineStr">
        <x:is>
          <x:t xml:space="preserve">already adequately supported</x:t>
        </x:is>
      </x:c>
      <x:c r="I50" s="75" t="inlineStr">
        <x:is>
          <x:t xml:space="preserve">real device — Android Chrome</x:t>
        </x:is>
      </x:c>
      <x:c r="J50" s="73" t="inlineStr">
        <x:is>
          <x:t xml:space="preserve">Android</x:t>
        </x:is>
      </x:c>
      <x:c r="K50" s="73" t="n"/>
      <x:c r="L50" s="73" t="inlineStr">
        <x:is>
          <x:t xml:space="preserve">Chrome</x:t>
        </x:is>
      </x:c>
      <x:c r="M50" s="73" t="n"/>
      <x:c r="N50" s="73" t="n"/>
      <x:c r="O50" s="73" t="inlineStr">
        <x:is>
          <x:t xml:space="preserve">touch</x:t>
        </x:is>
      </x:c>
      <x:c r="P50" s="73" t="inlineStr">
        <x:is>
          <x:t xml:space="preserve">none</x:t>
        </x:is>
      </x:c>
      <x:c r="Q50" s="74" t="inlineStr">
        <x:is>
          <x:t xml:space="preserve">On a named Android device, exercise pointer/click activation selects a radio item in the existing desktop manual scenario and record OS, browser version, device, date, and reproduction notes.</x:t>
        </x:is>
      </x:c>
      <x:c r="R50" s="74" t="inlineStr">
        <x:is>
          <x:t xml:space="preserve">A device tap selects the intended radio item once.</x:t>
        </x:is>
      </x:c>
      <x:c r="S50" s="74" t="inlineStr">
        <x:is>
          <x:t xml:space="preserve">playground/manual-tests/mobile-readiness.md — final physical-device and AT lane</x:t>
        </x:is>
      </x:c>
      <x:c r="T50" s="74" t="n"/>
      <x:c r="U50" s="76" t="inlineStr">
        <x:is>
          <x:t xml:space="preserve">not run</x:t>
        </x:is>
      </x:c>
      <x:c r="V50" s="73" t="n"/>
      <x:c r="W50" s="74" t="n"/>
      <x:c r="X50" s="74" t="inlineStr">
        <x:is>
          <x:t xml:space="preserve">Existing component coverage remains the verified desktop/manual baseline; this record is an additional device qualification.</x:t>
        </x:is>
      </x:c>
      <x:c r="Y50" s="76" t="str">
        <x:f>IF(A50="","",IF(COUNTBLANK(A50:E50)+COUNTBLANK(G50:J50)+COUNTBLANK(Q50:R50)+COUNTBLANK(U50)&gt;0,"needs core fields",IF(AND(OR(I50="previous baseline — desktop manual",I50="browser emulation — manual",LEFT(I50,11)="real device"),S50=""),"needs protocol ref",IF(AND(LEFT(I50,18)="browser automation",T50=""),"needs automation ref",IF(AND(LEFT(I50,11)="real device",OR(U50="passed",U50="failed",U50="blocked"),OR(K50="",L50="",M50="",N50="",P50="")),"needs device details",IF(AND(OR(U50="passed",U50="failed",U50="blocked"),V50=""),"needs result date","ready"))))))</x:f>
        <x:v>ready</x:v>
      </x:c>
      <x:c r="AK50" s="50" t="inlineStr">
        <x:is>
          <x:t xml:space="preserve">Sidebar</x:t>
        </x:is>
      </x:c>
    </x:row>
    <x:row r="51" s="51" customFormat="1" ht="48" customHeight="1">
      <x:c r="A51" s="73" t="inlineStr">
        <x:is>
          <x:t xml:space="preserve">MRE-08-MENU-001</x:t>
        </x:is>
      </x:c>
      <x:c r="B51" s="73" t="inlineStr">
        <x:is>
          <x:t xml:space="preserve">MR-08</x:t>
        </x:is>
      </x:c>
      <x:c r="C51" s="73" t="inlineStr">
        <x:is>
          <x:t xml:space="preserve">MR-P7</x:t>
        </x:is>
      </x:c>
      <x:c r="D51" s="74" t="inlineStr">
        <x:is>
          <x:t xml:space="preserve">Menu</x:t>
        </x:is>
      </x:c>
      <x:c r="E51" s="74" t="inlineStr">
        <x:is>
          <x:t xml:space="preserve">pointer/click activation opens a submenu in the existing desktop manual scenario</x:t>
        </x:is>
      </x:c>
      <x:c r="F51" s="74" t="inlineStr">
        <x:is>
          <x:t xml:space="preserve">Menu!ID-168 — touch opens submenu</x:t>
        </x:is>
      </x:c>
      <x:c r="G51" s="75" t="inlineStr">
        <x:is>
          <x:t xml:space="preserve">narrow unsupported claim</x:t>
        </x:is>
      </x:c>
      <x:c r="H51" s="74" t="inlineStr">
        <x:is>
          <x:t xml:space="preserve">Atom API/design decision required</x:t>
        </x:is>
      </x:c>
      <x:c r="I51" s="75" t="inlineStr">
        <x:is>
          <x:t xml:space="preserve">real device — iOS Safari</x:t>
        </x:is>
      </x:c>
      <x:c r="J51" s="73" t="inlineStr">
        <x:is>
          <x:t xml:space="preserve">iOS</x:t>
        </x:is>
      </x:c>
      <x:c r="K51" s="73" t="n"/>
      <x:c r="L51" s="73" t="inlineStr">
        <x:is>
          <x:t xml:space="preserve">Safari</x:t>
        </x:is>
      </x:c>
      <x:c r="M51" s="73" t="n"/>
      <x:c r="N51" s="73" t="n"/>
      <x:c r="O51" s="73" t="inlineStr">
        <x:is>
          <x:t xml:space="preserve">touch</x:t>
        </x:is>
      </x:c>
      <x:c r="P51" s="73" t="inlineStr">
        <x:is>
          <x:t xml:space="preserve">none</x:t>
        </x:is>
      </x:c>
      <x:c r="Q51" s="74" t="inlineStr">
        <x:is>
          <x:t xml:space="preserve">On a named iOS device, exercise pointer/click activation opens a submenu in the existing desktop manual scenario and record OS, browser version, device, date, and reproduction notes.</x:t>
        </x:is>
      </x:c>
      <x:c r="R51" s="74" t="inlineStr">
        <x:is>
          <x:t xml:space="preserve">A device tap opens the intended submenu; any drill-in presentation remains an explicit approved contract.</x:t>
        </x:is>
      </x:c>
      <x:c r="S51" s="74" t="inlineStr">
        <x:is>
          <x:t xml:space="preserve">playground/manual-tests/mobile-readiness.md — final physical-device and AT lane</x:t>
        </x:is>
      </x:c>
      <x:c r="T51" s="74" t="n"/>
      <x:c r="U51" s="76" t="inlineStr">
        <x:is>
          <x:t xml:space="preserve">not run</x:t>
        </x:is>
      </x:c>
      <x:c r="V51" s="73" t="n"/>
      <x:c r="W51" s="74" t="n"/>
      <x:c r="X51" s="74" t="inlineStr">
        <x:is>
          <x:t xml:space="preserve">Existing component coverage remains the verified desktop/manual baseline; this record is an additional device qualification.</x:t>
        </x:is>
      </x:c>
      <x:c r="Y51" s="76" t="str">
        <x:f>IF(A51="","",IF(COUNTBLANK(A51:E51)+COUNTBLANK(G51:J51)+COUNTBLANK(Q51:R51)+COUNTBLANK(U51)&gt;0,"needs core fields",IF(AND(OR(I51="previous baseline — desktop manual",I51="browser emulation — manual",LEFT(I51,11)="real device"),S51=""),"needs protocol ref",IF(AND(LEFT(I51,18)="browser automation",T51=""),"needs automation ref",IF(AND(LEFT(I51,11)="real device",OR(U51="passed",U51="failed",U51="blocked"),OR(K51="",L51="",M51="",N51="",P51="")),"needs device details",IF(AND(OR(U51="passed",U51="failed",U51="blocked"),V51=""),"needs result date","ready"))))))</x:f>
        <x:v>ready</x:v>
      </x:c>
      <x:c r="AK51" s="50" t="inlineStr">
        <x:is>
          <x:t xml:space="preserve">SkipLink</x:t>
        </x:is>
      </x:c>
    </x:row>
    <x:row r="52" s="51" customFormat="1" ht="48" customHeight="1">
      <x:c r="A52" s="73" t="inlineStr">
        <x:is>
          <x:t xml:space="preserve">MRE-08-MENU-002</x:t>
        </x:is>
      </x:c>
      <x:c r="B52" s="73" t="inlineStr">
        <x:is>
          <x:t xml:space="preserve">MR-08</x:t>
        </x:is>
      </x:c>
      <x:c r="C52" s="73" t="inlineStr">
        <x:is>
          <x:t xml:space="preserve">MR-P7</x:t>
        </x:is>
      </x:c>
      <x:c r="D52" s="74" t="inlineStr">
        <x:is>
          <x:t xml:space="preserve">Menu</x:t>
        </x:is>
      </x:c>
      <x:c r="E52" s="74" t="inlineStr">
        <x:is>
          <x:t xml:space="preserve">pointer/click activation opens a submenu in the existing desktop manual scenario</x:t>
        </x:is>
      </x:c>
      <x:c r="F52" s="74" t="inlineStr">
        <x:is>
          <x:t xml:space="preserve">Menu!ID-168 — touch opens submenu</x:t>
        </x:is>
      </x:c>
      <x:c r="G52" s="75" t="inlineStr">
        <x:is>
          <x:t xml:space="preserve">narrow unsupported claim</x:t>
        </x:is>
      </x:c>
      <x:c r="H52" s="74" t="inlineStr">
        <x:is>
          <x:t xml:space="preserve">Atom API/design decision required</x:t>
        </x:is>
      </x:c>
      <x:c r="I52" s="75" t="inlineStr">
        <x:is>
          <x:t xml:space="preserve">real device — Android Chrome</x:t>
        </x:is>
      </x:c>
      <x:c r="J52" s="73" t="inlineStr">
        <x:is>
          <x:t xml:space="preserve">Android</x:t>
        </x:is>
      </x:c>
      <x:c r="K52" s="73" t="n"/>
      <x:c r="L52" s="73" t="inlineStr">
        <x:is>
          <x:t xml:space="preserve">Chrome</x:t>
        </x:is>
      </x:c>
      <x:c r="M52" s="73" t="n"/>
      <x:c r="N52" s="73" t="n"/>
      <x:c r="O52" s="73" t="inlineStr">
        <x:is>
          <x:t xml:space="preserve">touch</x:t>
        </x:is>
      </x:c>
      <x:c r="P52" s="73" t="inlineStr">
        <x:is>
          <x:t xml:space="preserve">none</x:t>
        </x:is>
      </x:c>
      <x:c r="Q52" s="74" t="inlineStr">
        <x:is>
          <x:t xml:space="preserve">On a named Android device, exercise pointer/click activation opens a submenu in the existing desktop manual scenario and record OS, browser version, device, date, and reproduction notes.</x:t>
        </x:is>
      </x:c>
      <x:c r="R52" s="74" t="inlineStr">
        <x:is>
          <x:t xml:space="preserve">A device tap opens the intended submenu; any drill-in presentation remains an explicit approved contract.</x:t>
        </x:is>
      </x:c>
      <x:c r="S52" s="74" t="inlineStr">
        <x:is>
          <x:t xml:space="preserve">playground/manual-tests/mobile-readiness.md — final physical-device and AT lane</x:t>
        </x:is>
      </x:c>
      <x:c r="T52" s="74" t="n"/>
      <x:c r="U52" s="76" t="inlineStr">
        <x:is>
          <x:t xml:space="preserve">not run</x:t>
        </x:is>
      </x:c>
      <x:c r="V52" s="73" t="n"/>
      <x:c r="W52" s="74" t="n"/>
      <x:c r="X52" s="74" t="inlineStr">
        <x:is>
          <x:t xml:space="preserve">Existing component coverage remains the verified desktop/manual baseline; this record is an additional device qualification.</x:t>
        </x:is>
      </x:c>
      <x:c r="Y52" s="76" t="str">
        <x:f>IF(A52="","",IF(COUNTBLANK(A52:E52)+COUNTBLANK(G52:J52)+COUNTBLANK(Q52:R52)+COUNTBLANK(U52)&gt;0,"needs core fields",IF(AND(OR(I52="previous baseline — desktop manual",I52="browser emulation — manual",LEFT(I52,11)="real device"),S52=""),"needs protocol ref",IF(AND(LEFT(I52,18)="browser automation",T52=""),"needs automation ref",IF(AND(LEFT(I52,11)="real device",OR(U52="passed",U52="failed",U52="blocked"),OR(K52="",L52="",M52="",N52="",P52="")),"needs device details",IF(AND(OR(U52="passed",U52="failed",U52="blocked"),V52=""),"needs result date","ready"))))))</x:f>
        <x:v>ready</x:v>
      </x:c>
      <x:c r="AK52" s="50" t="inlineStr">
        <x:is>
          <x:t xml:space="preserve">Slider</x:t>
        </x:is>
      </x:c>
    </x:row>
    <x:row r="53" s="51" customFormat="1" ht="48" customHeight="1">
      <x:c r="A53" s="73" t="inlineStr">
        <x:is>
          <x:t xml:space="preserve">MRE-06-MENU-001</x:t>
        </x:is>
      </x:c>
      <x:c r="B53" s="73" t="inlineStr">
        <x:is>
          <x:t xml:space="preserve">MR-06</x:t>
        </x:is>
      </x:c>
      <x:c r="C53" s="73" t="inlineStr">
        <x:is>
          <x:t xml:space="preserve">MR-P3</x:t>
        </x:is>
      </x:c>
      <x:c r="D53" s="74" t="inlineStr">
        <x:is>
          <x:t xml:space="preserve">Menu</x:t>
        </x:is>
      </x:c>
      <x:c r="E53" s="74" t="inlineStr">
        <x:is>
          <x:t xml:space="preserve">current desktop pointer-down outside interaction closes Menu</x:t>
        </x:is>
      </x:c>
      <x:c r="F53" s="74" t="inlineStr">
        <x:is>
          <x:t xml:space="preserve">Menu!ID-169 — outside touch closes menu</x:t>
        </x:is>
      </x:c>
      <x:c r="G53" s="75" t="inlineStr">
        <x:is>
          <x:t xml:space="preserve">narrow unsupported claim</x:t>
        </x:is>
      </x:c>
      <x:c r="H53" s="74" t="inlineStr">
        <x:is>
          <x:t xml:space="preserve">confirmed Atom implementation gap</x:t>
        </x:is>
      </x:c>
      <x:c r="I53" s="75" t="inlineStr">
        <x:is>
          <x:t xml:space="preserve">real device — iOS Safari</x:t>
        </x:is>
      </x:c>
      <x:c r="J53" s="73" t="inlineStr">
        <x:is>
          <x:t xml:space="preserve">iOS</x:t>
        </x:is>
      </x:c>
      <x:c r="K53" s="73" t="n"/>
      <x:c r="L53" s="73" t="inlineStr">
        <x:is>
          <x:t xml:space="preserve">Safari</x:t>
        </x:is>
      </x:c>
      <x:c r="M53" s="73" t="n"/>
      <x:c r="N53" s="73" t="n"/>
      <x:c r="O53" s="73" t="inlineStr">
        <x:is>
          <x:t xml:space="preserve">touch</x:t>
        </x:is>
      </x:c>
      <x:c r="P53" s="73" t="inlineStr">
        <x:is>
          <x:t xml:space="preserve">none</x:t>
        </x:is>
      </x:c>
      <x:c r="Q53" s="74" t="inlineStr">
        <x:is>
          <x:t xml:space="preserve">On a named iOS device, exercise current desktop pointer-down outside interaction closes Menu and record OS, browser version, device, date, and reproduction notes.</x:t>
        </x:is>
      </x:c>
      <x:c r="R53" s="74" t="inlineStr">
        <x:is>
          <x:t xml:space="preserve">Outside tap dismissal occurs at the approved event boundary and cancels correctly after movement or scrolling.</x:t>
        </x:is>
      </x:c>
      <x:c r="S53" s="74" t="inlineStr">
        <x:is>
          <x:t xml:space="preserve">playground/manual-tests/mobile-readiness.md — final physical-device and AT lane</x:t>
        </x:is>
      </x:c>
      <x:c r="T53" s="74" t="inlineStr">
        <x:is>
          <x:t xml:space="preserve">test/browser/outside-interaction.spec.ts; test/browser/outside-interaction.mobile.spec.ts</x:t>
        </x:is>
      </x:c>
      <x:c r="U53" s="76" t="inlineStr">
        <x:is>
          <x:t xml:space="preserve">not run</x:t>
        </x:is>
      </x:c>
      <x:c r="V53" s="73" t="n"/>
      <x:c r="W53" s="74" t="n"/>
      <x:c r="X53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53" s="76" t="str">
        <x:f>IF(A53="","",IF(COUNTBLANK(A53:E53)+COUNTBLANK(G53:J53)+COUNTBLANK(Q53:R53)+COUNTBLANK(U53)&gt;0,"needs core fields",IF(AND(OR(I53="previous baseline — desktop manual",I53="browser emulation — manual",LEFT(I53,11)="real device"),S53=""),"needs protocol ref",IF(AND(LEFT(I53,18)="browser automation",T53=""),"needs automation ref",IF(AND(LEFT(I53,11)="real device",OR(U53="passed",U53="failed",U53="blocked"),OR(K53="",L53="",M53="",N53="",P53="")),"needs device details",IF(AND(OR(U53="passed",U53="failed",U53="blocked"),V53=""),"needs result date","ready"))))))</x:f>
        <x:v>ready</x:v>
      </x:c>
      <x:c r="AK53" s="50" t="inlineStr">
        <x:is>
          <x:t xml:space="preserve">SwipeableItem</x:t>
        </x:is>
      </x:c>
    </x:row>
    <x:row r="54" s="51" customFormat="1" ht="48" customHeight="1">
      <x:c r="A54" s="73" t="inlineStr">
        <x:is>
          <x:t xml:space="preserve">MRE-06-MENU-002</x:t>
        </x:is>
      </x:c>
      <x:c r="B54" s="73" t="inlineStr">
        <x:is>
          <x:t xml:space="preserve">MR-06</x:t>
        </x:is>
      </x:c>
      <x:c r="C54" s="73" t="inlineStr">
        <x:is>
          <x:t xml:space="preserve">MR-P3</x:t>
        </x:is>
      </x:c>
      <x:c r="D54" s="74" t="inlineStr">
        <x:is>
          <x:t xml:space="preserve">Menu</x:t>
        </x:is>
      </x:c>
      <x:c r="E54" s="74" t="inlineStr">
        <x:is>
          <x:t xml:space="preserve">current desktop pointer-down outside interaction closes Menu</x:t>
        </x:is>
      </x:c>
      <x:c r="F54" s="74" t="inlineStr">
        <x:is>
          <x:t xml:space="preserve">Menu!ID-169 — outside touch closes menu</x:t>
        </x:is>
      </x:c>
      <x:c r="G54" s="75" t="inlineStr">
        <x:is>
          <x:t xml:space="preserve">narrow unsupported claim</x:t>
        </x:is>
      </x:c>
      <x:c r="H54" s="74" t="inlineStr">
        <x:is>
          <x:t xml:space="preserve">confirmed Atom implementation gap</x:t>
        </x:is>
      </x:c>
      <x:c r="I54" s="75" t="inlineStr">
        <x:is>
          <x:t xml:space="preserve">real device — Android Chrome</x:t>
        </x:is>
      </x:c>
      <x:c r="J54" s="73" t="inlineStr">
        <x:is>
          <x:t xml:space="preserve">Android</x:t>
        </x:is>
      </x:c>
      <x:c r="K54" s="73" t="n"/>
      <x:c r="L54" s="73" t="inlineStr">
        <x:is>
          <x:t xml:space="preserve">Chrome</x:t>
        </x:is>
      </x:c>
      <x:c r="M54" s="73" t="n"/>
      <x:c r="N54" s="73" t="n"/>
      <x:c r="O54" s="73" t="inlineStr">
        <x:is>
          <x:t xml:space="preserve">touch</x:t>
        </x:is>
      </x:c>
      <x:c r="P54" s="73" t="inlineStr">
        <x:is>
          <x:t xml:space="preserve">none</x:t>
        </x:is>
      </x:c>
      <x:c r="Q54" s="74" t="inlineStr">
        <x:is>
          <x:t xml:space="preserve">On a named Android device, exercise current desktop pointer-down outside interaction closes Menu and record OS, browser version, device, date, and reproduction notes.</x:t>
        </x:is>
      </x:c>
      <x:c r="R54" s="74" t="inlineStr">
        <x:is>
          <x:t xml:space="preserve">Outside tap dismissal occurs at the approved event boundary and cancels correctly after movement or scrolling.</x:t>
        </x:is>
      </x:c>
      <x:c r="S54" s="74" t="inlineStr">
        <x:is>
          <x:t xml:space="preserve">playground/manual-tests/mobile-readiness.md — final physical-device and AT lane</x:t>
        </x:is>
      </x:c>
      <x:c r="T54" s="74" t="inlineStr">
        <x:is>
          <x:t xml:space="preserve">test/browser/outside-interaction.spec.ts; test/browser/outside-interaction.mobile.spec.ts</x:t>
        </x:is>
      </x:c>
      <x:c r="U54" s="76" t="inlineStr">
        <x:is>
          <x:t xml:space="preserve">not run</x:t>
        </x:is>
      </x:c>
      <x:c r="V54" s="73" t="n"/>
      <x:c r="W54" s="74" t="n"/>
      <x:c r="X54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54" s="76" t="str">
        <x:f>IF(A54="","",IF(COUNTBLANK(A54:E54)+COUNTBLANK(G54:J54)+COUNTBLANK(Q54:R54)+COUNTBLANK(U54)&gt;0,"needs core fields",IF(AND(OR(I54="previous baseline — desktop manual",I54="browser emulation — manual",LEFT(I54,11)="real device"),S54=""),"needs protocol ref",IF(AND(LEFT(I54,18)="browser automation",T54=""),"needs automation ref",IF(AND(LEFT(I54,11)="real device",OR(U54="passed",U54="failed",U54="blocked"),OR(K54="",L54="",M54="",N54="",P54="")),"needs device details",IF(AND(OR(U54="passed",U54="failed",U54="blocked"),V54=""),"needs result date","ready"))))))</x:f>
        <x:v>ready</x:v>
      </x:c>
      <x:c r="AK54" s="50" t="inlineStr">
        <x:is>
          <x:t xml:space="preserve">Switch</x:t>
        </x:is>
      </x:c>
    </x:row>
    <x:row r="55" s="51" customFormat="1" ht="48" customHeight="1">
      <x:c r="A55" s="73" t="inlineStr">
        <x:is>
          <x:t xml:space="preserve">MRE-01-DROPDOWNMENU-001</x:t>
        </x:is>
      </x:c>
      <x:c r="B55" s="73" t="inlineStr">
        <x:is>
          <x:t xml:space="preserve">MR-01</x:t>
        </x:is>
      </x:c>
      <x:c r="C55" s="73" t="inlineStr">
        <x:is>
          <x:t xml:space="preserve">MR-P5</x:t>
        </x:is>
      </x:c>
      <x:c r="D55" s="74" t="inlineStr">
        <x:is>
          <x:t xml:space="preserve">DropdownMenu</x:t>
        </x:is>
      </x:c>
      <x:c r="E55" s="74" t="inlineStr">
        <x:is>
          <x:t xml:space="preserve">placement flips or shifts near the edge of the manually tested desktop layout viewport</x:t>
        </x:is>
      </x:c>
      <x:c r="F55" s="74" t="inlineStr">
        <x:is>
          <x:t xml:space="preserve">DropdownMenu!ID-207 — placement flips or shifts near viewport edge</x:t>
        </x:is>
      </x:c>
      <x:c r="G55" s="75" t="inlineStr">
        <x:is>
          <x:t xml:space="preserve">narrow unsupported claim</x:t>
        </x:is>
      </x:c>
      <x:c r="H55" s="74" t="inlineStr">
        <x:is>
          <x:t xml:space="preserve">requires browser validation before concluding</x:t>
        </x:is>
      </x:c>
      <x:c r="I55" s="75" t="inlineStr">
        <x:is>
          <x:t xml:space="preserve">real device — iOS Safari</x:t>
        </x:is>
      </x:c>
      <x:c r="J55" s="73" t="inlineStr">
        <x:is>
          <x:t xml:space="preserve">iOS</x:t>
        </x:is>
      </x:c>
      <x:c r="K55" s="73" t="n"/>
      <x:c r="L55" s="73" t="inlineStr">
        <x:is>
          <x:t xml:space="preserve">Safari</x:t>
        </x:is>
      </x:c>
      <x:c r="M55" s="73" t="n"/>
      <x:c r="N55" s="73" t="n"/>
      <x:c r="O55" s="73" t="inlineStr">
        <x:is>
          <x:t xml:space="preserve">visual viewport</x:t>
        </x:is>
      </x:c>
      <x:c r="P55" s="73" t="inlineStr">
        <x:is>
          <x:t xml:space="preserve">none</x:t>
        </x:is>
      </x:c>
      <x:c r="Q55" s="74" t="inlineStr">
        <x:is>
          <x:t xml:space="preserve">On a named iOS device, exercise placement flips or shifts near the edge of the manually tested desktop layout viewport and record OS, browser version, device, date, and reproduction notes.</x:t>
        </x:is>
      </x:c>
      <x:c r="R55" s="74" t="inlineStr">
        <x:is>
          <x:t xml:space="preserve">DropdownMenu content remains reachable and correctly placed at mobile viewport edges.</x:t>
        </x:is>
      </x:c>
      <x:c r="S55" s="74" t="inlineStr">
        <x:is>
          <x:t xml:space="preserve">playground/manual-tests/mobile-readiness.md — final physical-device and AT lane</x:t>
        </x:is>
      </x:c>
      <x:c r="T55" s="74" t="n"/>
      <x:c r="U55" s="76" t="inlineStr">
        <x:is>
          <x:t xml:space="preserve">not run</x:t>
        </x:is>
      </x:c>
      <x:c r="V55" s="73" t="n"/>
      <x:c r="W55" s="74" t="n"/>
      <x:c r="X55" s="74" t="inlineStr">
        <x:is>
          <x:t xml:space="preserve">Existing component coverage remains the verified desktop/manual baseline; this record is an additional device qualification.</x:t>
        </x:is>
      </x:c>
      <x:c r="Y55" s="76" t="str">
        <x:f>IF(A55="","",IF(COUNTBLANK(A55:E55)+COUNTBLANK(G55:J55)+COUNTBLANK(Q55:R55)+COUNTBLANK(U55)&gt;0,"needs core fields",IF(AND(OR(I55="previous baseline — desktop manual",I55="browser emulation — manual",LEFT(I55,11)="real device"),S55=""),"needs protocol ref",IF(AND(LEFT(I55,18)="browser automation",T55=""),"needs automation ref",IF(AND(LEFT(I55,11)="real device",OR(U55="passed",U55="failed",U55="blocked"),OR(K55="",L55="",M55="",N55="",P55="")),"needs device details",IF(AND(OR(U55="passed",U55="failed",U55="blocked"),V55=""),"needs result date","ready"))))))</x:f>
        <x:v>ready</x:v>
      </x:c>
      <x:c r="AK55" s="50" t="inlineStr">
        <x:is>
          <x:t xml:space="preserve">Table</x:t>
        </x:is>
      </x:c>
    </x:row>
    <x:row r="56" s="51" customFormat="1" ht="48" customHeight="1">
      <x:c r="A56" s="73" t="inlineStr">
        <x:is>
          <x:t xml:space="preserve">MRE-01-DROPDOWNMENU-002</x:t>
        </x:is>
      </x:c>
      <x:c r="B56" s="73" t="inlineStr">
        <x:is>
          <x:t xml:space="preserve">MR-01</x:t>
        </x:is>
      </x:c>
      <x:c r="C56" s="73" t="inlineStr">
        <x:is>
          <x:t xml:space="preserve">MR-P5</x:t>
        </x:is>
      </x:c>
      <x:c r="D56" s="74" t="inlineStr">
        <x:is>
          <x:t xml:space="preserve">DropdownMenu</x:t>
        </x:is>
      </x:c>
      <x:c r="E56" s="74" t="inlineStr">
        <x:is>
          <x:t xml:space="preserve">placement flips or shifts near the edge of the manually tested desktop layout viewport</x:t>
        </x:is>
      </x:c>
      <x:c r="F56" s="74" t="inlineStr">
        <x:is>
          <x:t xml:space="preserve">DropdownMenu!ID-207 — placement flips or shifts near viewport edge</x:t>
        </x:is>
      </x:c>
      <x:c r="G56" s="75" t="inlineStr">
        <x:is>
          <x:t xml:space="preserve">narrow unsupported claim</x:t>
        </x:is>
      </x:c>
      <x:c r="H56" s="74" t="inlineStr">
        <x:is>
          <x:t xml:space="preserve">requires browser validation before concluding</x:t>
        </x:is>
      </x:c>
      <x:c r="I56" s="75" t="inlineStr">
        <x:is>
          <x:t xml:space="preserve">real device — Android Chrome</x:t>
        </x:is>
      </x:c>
      <x:c r="J56" s="73" t="inlineStr">
        <x:is>
          <x:t xml:space="preserve">Android</x:t>
        </x:is>
      </x:c>
      <x:c r="K56" s="73" t="n"/>
      <x:c r="L56" s="73" t="inlineStr">
        <x:is>
          <x:t xml:space="preserve">Chrome</x:t>
        </x:is>
      </x:c>
      <x:c r="M56" s="73" t="n"/>
      <x:c r="N56" s="73" t="n"/>
      <x:c r="O56" s="73" t="inlineStr">
        <x:is>
          <x:t xml:space="preserve">visual viewport</x:t>
        </x:is>
      </x:c>
      <x:c r="P56" s="73" t="inlineStr">
        <x:is>
          <x:t xml:space="preserve">none</x:t>
        </x:is>
      </x:c>
      <x:c r="Q56" s="74" t="inlineStr">
        <x:is>
          <x:t xml:space="preserve">On a named Android device, exercise placement flips or shifts near the edge of the manually tested desktop layout viewport and record OS, browser version, device, date, and reproduction notes.</x:t>
        </x:is>
      </x:c>
      <x:c r="R56" s="74" t="inlineStr">
        <x:is>
          <x:t xml:space="preserve">DropdownMenu content remains reachable and correctly placed at mobile viewport edges.</x:t>
        </x:is>
      </x:c>
      <x:c r="S56" s="74" t="inlineStr">
        <x:is>
          <x:t xml:space="preserve">playground/manual-tests/mobile-readiness.md — final physical-device and AT lane</x:t>
        </x:is>
      </x:c>
      <x:c r="T56" s="74" t="n"/>
      <x:c r="U56" s="76" t="inlineStr">
        <x:is>
          <x:t xml:space="preserve">not run</x:t>
        </x:is>
      </x:c>
      <x:c r="V56" s="73" t="n"/>
      <x:c r="W56" s="74" t="n"/>
      <x:c r="X56" s="74" t="inlineStr">
        <x:is>
          <x:t xml:space="preserve">Existing component coverage remains the verified desktop/manual baseline; this record is an additional device qualification.</x:t>
        </x:is>
      </x:c>
      <x:c r="Y56" s="76" t="str">
        <x:f>IF(A56="","",IF(COUNTBLANK(A56:E56)+COUNTBLANK(G56:J56)+COUNTBLANK(Q56:R56)+COUNTBLANK(U56)&gt;0,"needs core fields",IF(AND(OR(I56="previous baseline — desktop manual",I56="browser emulation — manual",LEFT(I56,11)="real device"),S56=""),"needs protocol ref",IF(AND(LEFT(I56,18)="browser automation",T56=""),"needs automation ref",IF(AND(LEFT(I56,11)="real device",OR(U56="passed",U56="failed",U56="blocked"),OR(K56="",L56="",M56="",N56="",P56="")),"needs device details",IF(AND(OR(U56="passed",U56="failed",U56="blocked"),V56=""),"needs result date","ready"))))))</x:f>
        <x:v>ready</x:v>
      </x:c>
      <x:c r="AK56" s="50" t="inlineStr">
        <x:is>
          <x:t xml:space="preserve">Tabs</x:t>
        </x:is>
      </x:c>
    </x:row>
    <x:row r="57" s="51" customFormat="1" ht="48" customHeight="1">
      <x:c r="A57" s="73" t="inlineStr">
        <x:is>
          <x:t xml:space="preserve">MRE-07-DROPDOWNMENU-001</x:t>
        </x:is>
      </x:c>
      <x:c r="B57" s="73" t="inlineStr">
        <x:is>
          <x:t xml:space="preserve">MR-07</x:t>
        </x:is>
      </x:c>
      <x:c r="C57" s="73" t="inlineStr">
        <x:is>
          <x:t xml:space="preserve">MR-P7</x:t>
        </x:is>
      </x:c>
      <x:c r="D57" s="74" t="inlineStr">
        <x:is>
          <x:t xml:space="preserve">DropdownMenu</x:t>
        </x:is>
      </x:c>
      <x:c r="E57" s="74" t="inlineStr">
        <x:is>
          <x:t xml:space="preserve">pointer/click trigger activation opens DropdownMenu in the existing desktop manual scenario</x:t>
        </x:is>
      </x:c>
      <x:c r="F57" s="74" t="inlineStr">
        <x:is>
          <x:t xml:space="preserve">DropdownMenu!ID-220 — touch trigger opens dropdown</x:t>
        </x:is>
      </x:c>
      <x:c r="G57" s="75" t="inlineStr">
        <x:is>
          <x:t xml:space="preserve">narrow unsupported claim</x:t>
        </x:is>
      </x:c>
      <x:c r="H57" s="74" t="inlineStr">
        <x:is>
          <x:t xml:space="preserve">already adequately supported</x:t>
        </x:is>
      </x:c>
      <x:c r="I57" s="75" t="inlineStr">
        <x:is>
          <x:t xml:space="preserve">real device — iOS Safari</x:t>
        </x:is>
      </x:c>
      <x:c r="J57" s="73" t="inlineStr">
        <x:is>
          <x:t xml:space="preserve">iOS</x:t>
        </x:is>
      </x:c>
      <x:c r="K57" s="73" t="n"/>
      <x:c r="L57" s="73" t="inlineStr">
        <x:is>
          <x:t xml:space="preserve">Safari</x:t>
        </x:is>
      </x:c>
      <x:c r="M57" s="73" t="n"/>
      <x:c r="N57" s="73" t="n"/>
      <x:c r="O57" s="73" t="inlineStr">
        <x:is>
          <x:t xml:space="preserve">touch</x:t>
        </x:is>
      </x:c>
      <x:c r="P57" s="73" t="inlineStr">
        <x:is>
          <x:t xml:space="preserve">none</x:t>
        </x:is>
      </x:c>
      <x:c r="Q57" s="74" t="inlineStr">
        <x:is>
          <x:t xml:space="preserve">On a named iOS device, exercise pointer/click trigger activation opens DropdownMenu in the existing desktop manual scenario and record OS, browser version, device, date, and reproduction notes.</x:t>
        </x:is>
      </x:c>
      <x:c r="R57" s="74" t="inlineStr">
        <x:is>
          <x:t xml:space="preserve">A device tap opens DropdownMenu once and preserves the current activation contract.</x:t>
        </x:is>
      </x:c>
      <x:c r="S57" s="74" t="inlineStr">
        <x:is>
          <x:t xml:space="preserve">playground/manual-tests/mobile-readiness.md — final physical-device and AT lane</x:t>
        </x:is>
      </x:c>
      <x:c r="T57" s="74" t="n"/>
      <x:c r="U57" s="76" t="inlineStr">
        <x:is>
          <x:t xml:space="preserve">not run</x:t>
        </x:is>
      </x:c>
      <x:c r="V57" s="73" t="n"/>
      <x:c r="W57" s="74" t="n"/>
      <x:c r="X57" s="74" t="inlineStr">
        <x:is>
          <x:t xml:space="preserve">Existing component coverage remains the verified desktop/manual baseline; this record is an additional device qualification.</x:t>
        </x:is>
      </x:c>
      <x:c r="Y57" s="76" t="str">
        <x:f>IF(A57="","",IF(COUNTBLANK(A57:E57)+COUNTBLANK(G57:J57)+COUNTBLANK(Q57:R57)+COUNTBLANK(U57)&gt;0,"needs core fields",IF(AND(OR(I57="previous baseline — desktop manual",I57="browser emulation — manual",LEFT(I57,11)="real device"),S57=""),"needs protocol ref",IF(AND(LEFT(I57,18)="browser automation",T57=""),"needs automation ref",IF(AND(LEFT(I57,11)="real device",OR(U57="passed",U57="failed",U57="blocked"),OR(K57="",L57="",M57="",N57="",P57="")),"needs device details",IF(AND(OR(U57="passed",U57="failed",U57="blocked"),V57=""),"needs result date","ready"))))))</x:f>
        <x:v>ready</x:v>
      </x:c>
      <x:c r="AK57" s="50" t="inlineStr">
        <x:is>
          <x:t xml:space="preserve">Textarea</x:t>
        </x:is>
      </x:c>
    </x:row>
    <x:row r="58" s="51" customFormat="1" ht="48" customHeight="1">
      <x:c r="A58" s="73" t="inlineStr">
        <x:is>
          <x:t xml:space="preserve">MRE-07-DROPDOWNMENU-002</x:t>
        </x:is>
      </x:c>
      <x:c r="B58" s="73" t="inlineStr">
        <x:is>
          <x:t xml:space="preserve">MR-07</x:t>
        </x:is>
      </x:c>
      <x:c r="C58" s="73" t="inlineStr">
        <x:is>
          <x:t xml:space="preserve">MR-P7</x:t>
        </x:is>
      </x:c>
      <x:c r="D58" s="74" t="inlineStr">
        <x:is>
          <x:t xml:space="preserve">DropdownMenu</x:t>
        </x:is>
      </x:c>
      <x:c r="E58" s="74" t="inlineStr">
        <x:is>
          <x:t xml:space="preserve">pointer/click trigger activation opens DropdownMenu in the existing desktop manual scenario</x:t>
        </x:is>
      </x:c>
      <x:c r="F58" s="74" t="inlineStr">
        <x:is>
          <x:t xml:space="preserve">DropdownMenu!ID-220 — touch trigger opens dropdown</x:t>
        </x:is>
      </x:c>
      <x:c r="G58" s="75" t="inlineStr">
        <x:is>
          <x:t xml:space="preserve">narrow unsupported claim</x:t>
        </x:is>
      </x:c>
      <x:c r="H58" s="74" t="inlineStr">
        <x:is>
          <x:t xml:space="preserve">already adequately supported</x:t>
        </x:is>
      </x:c>
      <x:c r="I58" s="75" t="inlineStr">
        <x:is>
          <x:t xml:space="preserve">real device — Android Chrome</x:t>
        </x:is>
      </x:c>
      <x:c r="J58" s="73" t="inlineStr">
        <x:is>
          <x:t xml:space="preserve">Android</x:t>
        </x:is>
      </x:c>
      <x:c r="K58" s="73" t="n"/>
      <x:c r="L58" s="73" t="inlineStr">
        <x:is>
          <x:t xml:space="preserve">Chrome</x:t>
        </x:is>
      </x:c>
      <x:c r="M58" s="73" t="n"/>
      <x:c r="N58" s="73" t="n"/>
      <x:c r="O58" s="73" t="inlineStr">
        <x:is>
          <x:t xml:space="preserve">touch</x:t>
        </x:is>
      </x:c>
      <x:c r="P58" s="73" t="inlineStr">
        <x:is>
          <x:t xml:space="preserve">none</x:t>
        </x:is>
      </x:c>
      <x:c r="Q58" s="74" t="inlineStr">
        <x:is>
          <x:t xml:space="preserve">On a named Android device, exercise pointer/click trigger activation opens DropdownMenu in the existing desktop manual scenario and record OS, browser version, device, date, and reproduction notes.</x:t>
        </x:is>
      </x:c>
      <x:c r="R58" s="74" t="inlineStr">
        <x:is>
          <x:t xml:space="preserve">A device tap opens DropdownMenu once and preserves the current activation contract.</x:t>
        </x:is>
      </x:c>
      <x:c r="S58" s="74" t="inlineStr">
        <x:is>
          <x:t xml:space="preserve">playground/manual-tests/mobile-readiness.md — final physical-device and AT lane</x:t>
        </x:is>
      </x:c>
      <x:c r="T58" s="74" t="n"/>
      <x:c r="U58" s="76" t="inlineStr">
        <x:is>
          <x:t xml:space="preserve">not run</x:t>
        </x:is>
      </x:c>
      <x:c r="V58" s="73" t="n"/>
      <x:c r="W58" s="74" t="n"/>
      <x:c r="X58" s="74" t="inlineStr">
        <x:is>
          <x:t xml:space="preserve">Existing component coverage remains the verified desktop/manual baseline; this record is an additional device qualification.</x:t>
        </x:is>
      </x:c>
      <x:c r="Y58" s="76" t="str">
        <x:f>IF(A58="","",IF(COUNTBLANK(A58:E58)+COUNTBLANK(G58:J58)+COUNTBLANK(Q58:R58)+COUNTBLANK(U58)&gt;0,"needs core fields",IF(AND(OR(I58="previous baseline — desktop manual",I58="browser emulation — manual",LEFT(I58,11)="real device"),S58=""),"needs protocol ref",IF(AND(LEFT(I58,18)="browser automation",T58=""),"needs automation ref",IF(AND(LEFT(I58,11)="real device",OR(U58="passed",U58="failed",U58="blocked"),OR(K58="",L58="",M58="",N58="",P58="")),"needs device details",IF(AND(OR(U58="passed",U58="failed",U58="blocked"),V58=""),"needs result date","ready"))))))</x:f>
        <x:v>ready</x:v>
      </x:c>
      <x:c r="AK58" s="50" t="inlineStr">
        <x:is>
          <x:t xml:space="preserve">Toast</x:t>
        </x:is>
      </x:c>
    </x:row>
    <x:row r="59" s="51" customFormat="1" ht="48" customHeight="1">
      <x:c r="A59" s="73" t="inlineStr">
        <x:is>
          <x:t xml:space="preserve">MRE-07-DROPDOWNMENU-003</x:t>
        </x:is>
      </x:c>
      <x:c r="B59" s="73" t="inlineStr">
        <x:is>
          <x:t xml:space="preserve">MR-07</x:t>
        </x:is>
      </x:c>
      <x:c r="C59" s="73" t="inlineStr">
        <x:is>
          <x:t xml:space="preserve">MR-P7</x:t>
        </x:is>
      </x:c>
      <x:c r="D59" s="74" t="inlineStr">
        <x:is>
          <x:t xml:space="preserve">DropdownMenu</x:t>
        </x:is>
      </x:c>
      <x:c r="E59" s="74" t="inlineStr">
        <x:is>
          <x:t xml:space="preserve">pointer/click trigger activation closes an open DropdownMenu in the existing desktop manual scenario</x:t>
        </x:is>
      </x:c>
      <x:c r="F59" s="74" t="inlineStr">
        <x:is>
          <x:t xml:space="preserve">DropdownMenu!ID-221 — touch trigger closes open dropdown</x:t>
        </x:is>
      </x:c>
      <x:c r="G59" s="75" t="inlineStr">
        <x:is>
          <x:t xml:space="preserve">narrow unsupported claim</x:t>
        </x:is>
      </x:c>
      <x:c r="H59" s="74" t="inlineStr">
        <x:is>
          <x:t xml:space="preserve">already adequately supported</x:t>
        </x:is>
      </x:c>
      <x:c r="I59" s="75" t="inlineStr">
        <x:is>
          <x:t xml:space="preserve">real device — iOS Safari</x:t>
        </x:is>
      </x:c>
      <x:c r="J59" s="73" t="inlineStr">
        <x:is>
          <x:t xml:space="preserve">iOS</x:t>
        </x:is>
      </x:c>
      <x:c r="K59" s="73" t="n"/>
      <x:c r="L59" s="73" t="inlineStr">
        <x:is>
          <x:t xml:space="preserve">Safari</x:t>
        </x:is>
      </x:c>
      <x:c r="M59" s="73" t="n"/>
      <x:c r="N59" s="73" t="n"/>
      <x:c r="O59" s="73" t="inlineStr">
        <x:is>
          <x:t xml:space="preserve">touch</x:t>
        </x:is>
      </x:c>
      <x:c r="P59" s="73" t="inlineStr">
        <x:is>
          <x:t xml:space="preserve">none</x:t>
        </x:is>
      </x:c>
      <x:c r="Q59" s="74" t="inlineStr">
        <x:is>
          <x:t xml:space="preserve">On a named iOS device, exercise pointer/click trigger activation closes an open DropdownMenu in the existing desktop manual scenario and record OS, browser version, device, date, and reproduction notes.</x:t>
        </x:is>
      </x:c>
      <x:c r="R59" s="74" t="inlineStr">
        <x:is>
          <x:t xml:space="preserve">A device tap closes the open DropdownMenu once without reopen races.</x:t>
        </x:is>
      </x:c>
      <x:c r="S59" s="74" t="inlineStr">
        <x:is>
          <x:t xml:space="preserve">playground/manual-tests/mobile-readiness.md — final physical-device and AT lane</x:t>
        </x:is>
      </x:c>
      <x:c r="T59" s="74" t="n"/>
      <x:c r="U59" s="76" t="inlineStr">
        <x:is>
          <x:t xml:space="preserve">not run</x:t>
        </x:is>
      </x:c>
      <x:c r="V59" s="73" t="n"/>
      <x:c r="W59" s="74" t="n"/>
      <x:c r="X59" s="74" t="inlineStr">
        <x:is>
          <x:t xml:space="preserve">Existing component coverage remains the verified desktop/manual baseline; this record is an additional device qualification.</x:t>
        </x:is>
      </x:c>
      <x:c r="Y59" s="76" t="str">
        <x:f>IF(A59="","",IF(COUNTBLANK(A59:E59)+COUNTBLANK(G59:J59)+COUNTBLANK(Q59:R59)+COUNTBLANK(U59)&gt;0,"needs core fields",IF(AND(OR(I59="previous baseline — desktop manual",I59="browser emulation — manual",LEFT(I59,11)="real device"),S59=""),"needs protocol ref",IF(AND(LEFT(I59,18)="browser automation",T59=""),"needs automation ref",IF(AND(LEFT(I59,11)="real device",OR(U59="passed",U59="failed",U59="blocked"),OR(K59="",L59="",M59="",N59="",P59="")),"needs device details",IF(AND(OR(U59="passed",U59="failed",U59="blocked"),V59=""),"needs result date","ready"))))))</x:f>
        <x:v>ready</x:v>
      </x:c>
      <x:c r="AK59" s="50" t="inlineStr">
        <x:is>
          <x:t xml:space="preserve">Toggle</x:t>
        </x:is>
      </x:c>
    </x:row>
    <x:row r="60" s="51" customFormat="1" ht="48" customHeight="1">
      <x:c r="A60" s="73" t="inlineStr">
        <x:is>
          <x:t xml:space="preserve">MRE-07-DROPDOWNMENU-004</x:t>
        </x:is>
      </x:c>
      <x:c r="B60" s="73" t="inlineStr">
        <x:is>
          <x:t xml:space="preserve">MR-07</x:t>
        </x:is>
      </x:c>
      <x:c r="C60" s="73" t="inlineStr">
        <x:is>
          <x:t xml:space="preserve">MR-P7</x:t>
        </x:is>
      </x:c>
      <x:c r="D60" s="74" t="inlineStr">
        <x:is>
          <x:t xml:space="preserve">DropdownMenu</x:t>
        </x:is>
      </x:c>
      <x:c r="E60" s="74" t="inlineStr">
        <x:is>
          <x:t xml:space="preserve">pointer/click trigger activation closes an open DropdownMenu in the existing desktop manual scenario</x:t>
        </x:is>
      </x:c>
      <x:c r="F60" s="74" t="inlineStr">
        <x:is>
          <x:t xml:space="preserve">DropdownMenu!ID-221 — touch trigger closes open dropdown</x:t>
        </x:is>
      </x:c>
      <x:c r="G60" s="75" t="inlineStr">
        <x:is>
          <x:t xml:space="preserve">narrow unsupported claim</x:t>
        </x:is>
      </x:c>
      <x:c r="H60" s="74" t="inlineStr">
        <x:is>
          <x:t xml:space="preserve">already adequately supported</x:t>
        </x:is>
      </x:c>
      <x:c r="I60" s="75" t="inlineStr">
        <x:is>
          <x:t xml:space="preserve">real device — Android Chrome</x:t>
        </x:is>
      </x:c>
      <x:c r="J60" s="73" t="inlineStr">
        <x:is>
          <x:t xml:space="preserve">Android</x:t>
        </x:is>
      </x:c>
      <x:c r="K60" s="73" t="n"/>
      <x:c r="L60" s="73" t="inlineStr">
        <x:is>
          <x:t xml:space="preserve">Chrome</x:t>
        </x:is>
      </x:c>
      <x:c r="M60" s="73" t="n"/>
      <x:c r="N60" s="73" t="n"/>
      <x:c r="O60" s="73" t="inlineStr">
        <x:is>
          <x:t xml:space="preserve">touch</x:t>
        </x:is>
      </x:c>
      <x:c r="P60" s="73" t="inlineStr">
        <x:is>
          <x:t xml:space="preserve">none</x:t>
        </x:is>
      </x:c>
      <x:c r="Q60" s="74" t="inlineStr">
        <x:is>
          <x:t xml:space="preserve">On a named Android device, exercise pointer/click trigger activation closes an open DropdownMenu in the existing desktop manual scenario and record OS, browser version, device, date, and reproduction notes.</x:t>
        </x:is>
      </x:c>
      <x:c r="R60" s="74" t="inlineStr">
        <x:is>
          <x:t xml:space="preserve">A device tap closes the open DropdownMenu once without reopen races.</x:t>
        </x:is>
      </x:c>
      <x:c r="S60" s="74" t="inlineStr">
        <x:is>
          <x:t xml:space="preserve">playground/manual-tests/mobile-readiness.md — final physical-device and AT lane</x:t>
        </x:is>
      </x:c>
      <x:c r="T60" s="74" t="n"/>
      <x:c r="U60" s="76" t="inlineStr">
        <x:is>
          <x:t xml:space="preserve">not run</x:t>
        </x:is>
      </x:c>
      <x:c r="V60" s="73" t="n"/>
      <x:c r="W60" s="74" t="n"/>
      <x:c r="X60" s="74" t="inlineStr">
        <x:is>
          <x:t xml:space="preserve">Existing component coverage remains the verified desktop/manual baseline; this record is an additional device qualification.</x:t>
        </x:is>
      </x:c>
      <x:c r="Y60" s="76" t="str">
        <x:f>IF(A60="","",IF(COUNTBLANK(A60:E60)+COUNTBLANK(G60:J60)+COUNTBLANK(Q60:R60)+COUNTBLANK(U60)&gt;0,"needs core fields",IF(AND(OR(I60="previous baseline — desktop manual",I60="browser emulation — manual",LEFT(I60,11)="real device"),S60=""),"needs protocol ref",IF(AND(LEFT(I60,18)="browser automation",T60=""),"needs automation ref",IF(AND(LEFT(I60,11)="real device",OR(U60="passed",U60="failed",U60="blocked"),OR(K60="",L60="",M60="",N60="",P60="")),"needs device details",IF(AND(OR(U60="passed",U60="failed",U60="blocked"),V60=""),"needs result date","ready"))))))</x:f>
        <x:v>ready</x:v>
      </x:c>
      <x:c r="AK60" s="50" t="inlineStr">
        <x:is>
          <x:t xml:space="preserve">ToggleGroup</x:t>
        </x:is>
      </x:c>
    </x:row>
    <x:row r="61" s="51" customFormat="1" ht="48" customHeight="1">
      <x:c r="A61" s="73" t="inlineStr">
        <x:is>
          <x:t xml:space="preserve">MRE-07-DROPDOWNMENU-005</x:t>
        </x:is>
      </x:c>
      <x:c r="B61" s="73" t="inlineStr">
        <x:is>
          <x:t xml:space="preserve">MR-07</x:t>
        </x:is>
      </x:c>
      <x:c r="C61" s="73" t="inlineStr">
        <x:is>
          <x:t xml:space="preserve">MR-P7</x:t>
        </x:is>
      </x:c>
      <x:c r="D61" s="74" t="inlineStr">
        <x:is>
          <x:t xml:space="preserve">DropdownMenu</x:t>
        </x:is>
      </x:c>
      <x:c r="E61" s="74" t="inlineStr">
        <x:is>
          <x:t xml:space="preserve">pointer/click activation selects an action item in the existing desktop manual scenario</x:t>
        </x:is>
      </x:c>
      <x:c r="F61" s="74" t="inlineStr">
        <x:is>
          <x:t xml:space="preserve">DropdownMenu!ID-222 — touch selects action item</x:t>
        </x:is>
      </x:c>
      <x:c r="G61" s="75" t="inlineStr">
        <x:is>
          <x:t xml:space="preserve">narrow unsupported claim</x:t>
        </x:is>
      </x:c>
      <x:c r="H61" s="74" t="inlineStr">
        <x:is>
          <x:t xml:space="preserve">already adequately supported</x:t>
        </x:is>
      </x:c>
      <x:c r="I61" s="75" t="inlineStr">
        <x:is>
          <x:t xml:space="preserve">real device — iOS Safari</x:t>
        </x:is>
      </x:c>
      <x:c r="J61" s="73" t="inlineStr">
        <x:is>
          <x:t xml:space="preserve">iOS</x:t>
        </x:is>
      </x:c>
      <x:c r="K61" s="73" t="n"/>
      <x:c r="L61" s="73" t="inlineStr">
        <x:is>
          <x:t xml:space="preserve">Safari</x:t>
        </x:is>
      </x:c>
      <x:c r="M61" s="73" t="n"/>
      <x:c r="N61" s="73" t="n"/>
      <x:c r="O61" s="73" t="inlineStr">
        <x:is>
          <x:t xml:space="preserve">touch</x:t>
        </x:is>
      </x:c>
      <x:c r="P61" s="73" t="inlineStr">
        <x:is>
          <x:t xml:space="preserve">none</x:t>
        </x:is>
      </x:c>
      <x:c r="Q61" s="74" t="inlineStr">
        <x:is>
          <x:t xml:space="preserve">On a named iOS device, exercise pointer/click activation selects an action item in the existing desktop manual scenario and record OS, browser version, device, date, and reproduction notes.</x:t>
        </x:is>
      </x:c>
      <x:c r="R61" s="74" t="inlineStr">
        <x:is>
          <x:t xml:space="preserve">A device tap selects the intended action once.</x:t>
        </x:is>
      </x:c>
      <x:c r="S61" s="74" t="inlineStr">
        <x:is>
          <x:t xml:space="preserve">playground/manual-tests/mobile-readiness.md — final physical-device and AT lane</x:t>
        </x:is>
      </x:c>
      <x:c r="T61" s="74" t="n"/>
      <x:c r="U61" s="76" t="inlineStr">
        <x:is>
          <x:t xml:space="preserve">not run</x:t>
        </x:is>
      </x:c>
      <x:c r="V61" s="73" t="n"/>
      <x:c r="W61" s="74" t="n"/>
      <x:c r="X61" s="74" t="inlineStr">
        <x:is>
          <x:t xml:space="preserve">Existing component coverage remains the verified desktop/manual baseline; this record is an additional device qualification.</x:t>
        </x:is>
      </x:c>
      <x:c r="Y61" s="76" t="str">
        <x:f>IF(A61="","",IF(COUNTBLANK(A61:E61)+COUNTBLANK(G61:J61)+COUNTBLANK(Q61:R61)+COUNTBLANK(U61)&gt;0,"needs core fields",IF(AND(OR(I61="previous baseline — desktop manual",I61="browser emulation — manual",LEFT(I61,11)="real device"),S61=""),"needs protocol ref",IF(AND(LEFT(I61,18)="browser automation",T61=""),"needs automation ref",IF(AND(LEFT(I61,11)="real device",OR(U61="passed",U61="failed",U61="blocked"),OR(K61="",L61="",M61="",N61="",P61="")),"needs device details",IF(AND(OR(U61="passed",U61="failed",U61="blocked"),V61=""),"needs result date","ready"))))))</x:f>
        <x:v>ready</x:v>
      </x:c>
      <x:c r="AK61" s="50" t="inlineStr">
        <x:is>
          <x:t xml:space="preserve">Toolbar</x:t>
        </x:is>
      </x:c>
    </x:row>
    <x:row r="62" s="51" customFormat="1" ht="48" customHeight="1">
      <x:c r="A62" s="73" t="inlineStr">
        <x:is>
          <x:t xml:space="preserve">MRE-07-DROPDOWNMENU-006</x:t>
        </x:is>
      </x:c>
      <x:c r="B62" s="73" t="inlineStr">
        <x:is>
          <x:t xml:space="preserve">MR-07</x:t>
        </x:is>
      </x:c>
      <x:c r="C62" s="73" t="inlineStr">
        <x:is>
          <x:t xml:space="preserve">MR-P7</x:t>
        </x:is>
      </x:c>
      <x:c r="D62" s="74" t="inlineStr">
        <x:is>
          <x:t xml:space="preserve">DropdownMenu</x:t>
        </x:is>
      </x:c>
      <x:c r="E62" s="74" t="inlineStr">
        <x:is>
          <x:t xml:space="preserve">pointer/click activation selects an action item in the existing desktop manual scenario</x:t>
        </x:is>
      </x:c>
      <x:c r="F62" s="74" t="inlineStr">
        <x:is>
          <x:t xml:space="preserve">DropdownMenu!ID-222 — touch selects action item</x:t>
        </x:is>
      </x:c>
      <x:c r="G62" s="75" t="inlineStr">
        <x:is>
          <x:t xml:space="preserve">narrow unsupported claim</x:t>
        </x:is>
      </x:c>
      <x:c r="H62" s="74" t="inlineStr">
        <x:is>
          <x:t xml:space="preserve">already adequately supported</x:t>
        </x:is>
      </x:c>
      <x:c r="I62" s="75" t="inlineStr">
        <x:is>
          <x:t xml:space="preserve">real device — Android Chrome</x:t>
        </x:is>
      </x:c>
      <x:c r="J62" s="73" t="inlineStr">
        <x:is>
          <x:t xml:space="preserve">Android</x:t>
        </x:is>
      </x:c>
      <x:c r="K62" s="73" t="n"/>
      <x:c r="L62" s="73" t="inlineStr">
        <x:is>
          <x:t xml:space="preserve">Chrome</x:t>
        </x:is>
      </x:c>
      <x:c r="M62" s="73" t="n"/>
      <x:c r="N62" s="73" t="n"/>
      <x:c r="O62" s="73" t="inlineStr">
        <x:is>
          <x:t xml:space="preserve">touch</x:t>
        </x:is>
      </x:c>
      <x:c r="P62" s="73" t="inlineStr">
        <x:is>
          <x:t xml:space="preserve">none</x:t>
        </x:is>
      </x:c>
      <x:c r="Q62" s="74" t="inlineStr">
        <x:is>
          <x:t xml:space="preserve">On a named Android device, exercise pointer/click activation selects an action item in the existing desktop manual scenario and record OS, browser version, device, date, and reproduction notes.</x:t>
        </x:is>
      </x:c>
      <x:c r="R62" s="74" t="inlineStr">
        <x:is>
          <x:t xml:space="preserve">A device tap selects the intended action once.</x:t>
        </x:is>
      </x:c>
      <x:c r="S62" s="74" t="inlineStr">
        <x:is>
          <x:t xml:space="preserve">playground/manual-tests/mobile-readiness.md — final physical-device and AT lane</x:t>
        </x:is>
      </x:c>
      <x:c r="T62" s="74" t="n"/>
      <x:c r="U62" s="76" t="inlineStr">
        <x:is>
          <x:t xml:space="preserve">not run</x:t>
        </x:is>
      </x:c>
      <x:c r="V62" s="73" t="n"/>
      <x:c r="W62" s="74" t="n"/>
      <x:c r="X62" s="74" t="inlineStr">
        <x:is>
          <x:t xml:space="preserve">Existing component coverage remains the verified desktop/manual baseline; this record is an additional device qualification.</x:t>
        </x:is>
      </x:c>
      <x:c r="Y62" s="76" t="str">
        <x:f>IF(A62="","",IF(COUNTBLANK(A62:E62)+COUNTBLANK(G62:J62)+COUNTBLANK(Q62:R62)+COUNTBLANK(U62)&gt;0,"needs core fields",IF(AND(OR(I62="previous baseline — desktop manual",I62="browser emulation — manual",LEFT(I62,11)="real device"),S62=""),"needs protocol ref",IF(AND(LEFT(I62,18)="browser automation",T62=""),"needs automation ref",IF(AND(LEFT(I62,11)="real device",OR(U62="passed",U62="failed",U62="blocked"),OR(K62="",L62="",M62="",N62="",P62="")),"needs device details",IF(AND(OR(U62="passed",U62="failed",U62="blocked"),V62=""),"needs result date","ready"))))))</x:f>
        <x:v>ready</x:v>
      </x:c>
      <x:c r="AK62" s="50" t="inlineStr">
        <x:is>
          <x:t xml:space="preserve">Tooltip</x:t>
        </x:is>
      </x:c>
    </x:row>
    <x:row r="63" s="51" customFormat="1" ht="48" customHeight="1">
      <x:c r="A63" s="73" t="inlineStr">
        <x:is>
          <x:t xml:space="preserve">MRE-07-DROPDOWNMENU-007</x:t>
        </x:is>
      </x:c>
      <x:c r="B63" s="73" t="inlineStr">
        <x:is>
          <x:t xml:space="preserve">MR-07</x:t>
        </x:is>
      </x:c>
      <x:c r="C63" s="73" t="inlineStr">
        <x:is>
          <x:t xml:space="preserve">MR-P7</x:t>
        </x:is>
      </x:c>
      <x:c r="D63" s="74" t="inlineStr">
        <x:is>
          <x:t xml:space="preserve">DropdownMenu</x:t>
        </x:is>
      </x:c>
      <x:c r="E63" s="74" t="inlineStr">
        <x:is>
          <x:t xml:space="preserve">pointer/click activation toggles a checkbox item in the existing desktop manual scenario</x:t>
        </x:is>
      </x:c>
      <x:c r="F63" s="74" t="inlineStr">
        <x:is>
          <x:t xml:space="preserve">DropdownMenu!ID-223 — touch toggles checkbox item</x:t>
        </x:is>
      </x:c>
      <x:c r="G63" s="75" t="inlineStr">
        <x:is>
          <x:t xml:space="preserve">narrow unsupported claim</x:t>
        </x:is>
      </x:c>
      <x:c r="H63" s="74" t="inlineStr">
        <x:is>
          <x:t xml:space="preserve">already adequately supported</x:t>
        </x:is>
      </x:c>
      <x:c r="I63" s="75" t="inlineStr">
        <x:is>
          <x:t xml:space="preserve">real device — iOS Safari</x:t>
        </x:is>
      </x:c>
      <x:c r="J63" s="73" t="inlineStr">
        <x:is>
          <x:t xml:space="preserve">iOS</x:t>
        </x:is>
      </x:c>
      <x:c r="K63" s="73" t="n"/>
      <x:c r="L63" s="73" t="inlineStr">
        <x:is>
          <x:t xml:space="preserve">Safari</x:t>
        </x:is>
      </x:c>
      <x:c r="M63" s="73" t="n"/>
      <x:c r="N63" s="73" t="n"/>
      <x:c r="O63" s="73" t="inlineStr">
        <x:is>
          <x:t xml:space="preserve">touch</x:t>
        </x:is>
      </x:c>
      <x:c r="P63" s="73" t="inlineStr">
        <x:is>
          <x:t xml:space="preserve">none</x:t>
        </x:is>
      </x:c>
      <x:c r="Q63" s="74" t="inlineStr">
        <x:is>
          <x:t xml:space="preserve">On a named iOS device, exercise pointer/click activation toggles a checkbox item in the existing desktop manual scenario and record OS, browser version, device, date, and reproduction notes.</x:t>
        </x:is>
      </x:c>
      <x:c r="R63" s="74" t="inlineStr">
        <x:is>
          <x:t xml:space="preserve">A device tap toggles the intended checkbox item once.</x:t>
        </x:is>
      </x:c>
      <x:c r="S63" s="74" t="inlineStr">
        <x:is>
          <x:t xml:space="preserve">playground/manual-tests/mobile-readiness.md — final physical-device and AT lane</x:t>
        </x:is>
      </x:c>
      <x:c r="T63" s="74" t="n"/>
      <x:c r="U63" s="76" t="inlineStr">
        <x:is>
          <x:t xml:space="preserve">not run</x:t>
        </x:is>
      </x:c>
      <x:c r="V63" s="73" t="n"/>
      <x:c r="W63" s="74" t="n"/>
      <x:c r="X63" s="74" t="inlineStr">
        <x:is>
          <x:t xml:space="preserve">Existing component coverage remains the verified desktop/manual baseline; this record is an additional device qualification.</x:t>
        </x:is>
      </x:c>
      <x:c r="Y63" s="76" t="str">
        <x:f>IF(A63="","",IF(COUNTBLANK(A63:E63)+COUNTBLANK(G63:J63)+COUNTBLANK(Q63:R63)+COUNTBLANK(U63)&gt;0,"needs core fields",IF(AND(OR(I63="previous baseline — desktop manual",I63="browser emulation — manual",LEFT(I63,11)="real device"),S63=""),"needs protocol ref",IF(AND(LEFT(I63,18)="browser automation",T63=""),"needs automation ref",IF(AND(LEFT(I63,11)="real device",OR(U63="passed",U63="failed",U63="blocked"),OR(K63="",L63="",M63="",N63="",P63="")),"needs device details",IF(AND(OR(U63="passed",U63="failed",U63="blocked"),V63=""),"needs result date","ready"))))))</x:f>
        <x:v>ready</x:v>
      </x:c>
      <x:c r="AK63" s="50" t="inlineStr">
        <x:is>
          <x:t xml:space="preserve">Tree</x:t>
        </x:is>
      </x:c>
    </x:row>
    <x:row r="64" s="51" customFormat="1" ht="48" customHeight="1">
      <x:c r="A64" s="73" t="inlineStr">
        <x:is>
          <x:t xml:space="preserve">MRE-07-DROPDOWNMENU-008</x:t>
        </x:is>
      </x:c>
      <x:c r="B64" s="73" t="inlineStr">
        <x:is>
          <x:t xml:space="preserve">MR-07</x:t>
        </x:is>
      </x:c>
      <x:c r="C64" s="73" t="inlineStr">
        <x:is>
          <x:t xml:space="preserve">MR-P7</x:t>
        </x:is>
      </x:c>
      <x:c r="D64" s="74" t="inlineStr">
        <x:is>
          <x:t xml:space="preserve">DropdownMenu</x:t>
        </x:is>
      </x:c>
      <x:c r="E64" s="74" t="inlineStr">
        <x:is>
          <x:t xml:space="preserve">pointer/click activation toggles a checkbox item in the existing desktop manual scenario</x:t>
        </x:is>
      </x:c>
      <x:c r="F64" s="74" t="inlineStr">
        <x:is>
          <x:t xml:space="preserve">DropdownMenu!ID-223 — touch toggles checkbox item</x:t>
        </x:is>
      </x:c>
      <x:c r="G64" s="75" t="inlineStr">
        <x:is>
          <x:t xml:space="preserve">narrow unsupported claim</x:t>
        </x:is>
      </x:c>
      <x:c r="H64" s="74" t="inlineStr">
        <x:is>
          <x:t xml:space="preserve">already adequately supported</x:t>
        </x:is>
      </x:c>
      <x:c r="I64" s="75" t="inlineStr">
        <x:is>
          <x:t xml:space="preserve">real device — Android Chrome</x:t>
        </x:is>
      </x:c>
      <x:c r="J64" s="73" t="inlineStr">
        <x:is>
          <x:t xml:space="preserve">Android</x:t>
        </x:is>
      </x:c>
      <x:c r="K64" s="73" t="n"/>
      <x:c r="L64" s="73" t="inlineStr">
        <x:is>
          <x:t xml:space="preserve">Chrome</x:t>
        </x:is>
      </x:c>
      <x:c r="M64" s="73" t="n"/>
      <x:c r="N64" s="73" t="n"/>
      <x:c r="O64" s="73" t="inlineStr">
        <x:is>
          <x:t xml:space="preserve">touch</x:t>
        </x:is>
      </x:c>
      <x:c r="P64" s="73" t="inlineStr">
        <x:is>
          <x:t xml:space="preserve">none</x:t>
        </x:is>
      </x:c>
      <x:c r="Q64" s="74" t="inlineStr">
        <x:is>
          <x:t xml:space="preserve">On a named Android device, exercise pointer/click activation toggles a checkbox item in the existing desktop manual scenario and record OS, browser version, device, date, and reproduction notes.</x:t>
        </x:is>
      </x:c>
      <x:c r="R64" s="74" t="inlineStr">
        <x:is>
          <x:t xml:space="preserve">A device tap toggles the intended checkbox item once.</x:t>
        </x:is>
      </x:c>
      <x:c r="S64" s="74" t="inlineStr">
        <x:is>
          <x:t xml:space="preserve">playground/manual-tests/mobile-readiness.md — final physical-device and AT lane</x:t>
        </x:is>
      </x:c>
      <x:c r="T64" s="74" t="n"/>
      <x:c r="U64" s="76" t="inlineStr">
        <x:is>
          <x:t xml:space="preserve">not run</x:t>
        </x:is>
      </x:c>
      <x:c r="V64" s="73" t="n"/>
      <x:c r="W64" s="74" t="n"/>
      <x:c r="X64" s="74" t="inlineStr">
        <x:is>
          <x:t xml:space="preserve">Existing component coverage remains the verified desktop/manual baseline; this record is an additional device qualification.</x:t>
        </x:is>
      </x:c>
      <x:c r="Y64" s="76" t="str">
        <x:f>IF(A64="","",IF(COUNTBLANK(A64:E64)+COUNTBLANK(G64:J64)+COUNTBLANK(Q64:R64)+COUNTBLANK(U64)&gt;0,"needs core fields",IF(AND(OR(I64="previous baseline — desktop manual",I64="browser emulation — manual",LEFT(I64,11)="real device"),S64=""),"needs protocol ref",IF(AND(LEFT(I64,18)="browser automation",T64=""),"needs automation ref",IF(AND(LEFT(I64,11)="real device",OR(U64="passed",U64="failed",U64="blocked"),OR(K64="",L64="",M64="",N64="",P64="")),"needs device details",IF(AND(OR(U64="passed",U64="failed",U64="blocked"),V64=""),"needs result date","ready"))))))</x:f>
        <x:v>ready</x:v>
      </x:c>
      <x:c r="AK64" s="50" t="inlineStr">
        <x:is>
          <x:t xml:space="preserve">TreeGrid</x:t>
        </x:is>
      </x:c>
    </x:row>
    <x:row r="65" s="51" customFormat="1" ht="48" customHeight="1">
      <x:c r="A65" s="73" t="inlineStr">
        <x:is>
          <x:t xml:space="preserve">MRE-07-DROPDOWNMENU-009</x:t>
        </x:is>
      </x:c>
      <x:c r="B65" s="73" t="inlineStr">
        <x:is>
          <x:t xml:space="preserve">MR-07</x:t>
        </x:is>
      </x:c>
      <x:c r="C65" s="73" t="inlineStr">
        <x:is>
          <x:t xml:space="preserve">MR-P7</x:t>
        </x:is>
      </x:c>
      <x:c r="D65" s="74" t="inlineStr">
        <x:is>
          <x:t xml:space="preserve">DropdownMenu</x:t>
        </x:is>
      </x:c>
      <x:c r="E65" s="74" t="inlineStr">
        <x:is>
          <x:t xml:space="preserve">pointer/click activation selects a radio item in the existing desktop manual scenario</x:t>
        </x:is>
      </x:c>
      <x:c r="F65" s="74" t="inlineStr">
        <x:is>
          <x:t xml:space="preserve">DropdownMenu!ID-224 — touch selects radio item</x:t>
        </x:is>
      </x:c>
      <x:c r="G65" s="75" t="inlineStr">
        <x:is>
          <x:t xml:space="preserve">narrow unsupported claim</x:t>
        </x:is>
      </x:c>
      <x:c r="H65" s="74" t="inlineStr">
        <x:is>
          <x:t xml:space="preserve">already adequately supported</x:t>
        </x:is>
      </x:c>
      <x:c r="I65" s="75" t="inlineStr">
        <x:is>
          <x:t xml:space="preserve">real device — iOS Safari</x:t>
        </x:is>
      </x:c>
      <x:c r="J65" s="73" t="inlineStr">
        <x:is>
          <x:t xml:space="preserve">iOS</x:t>
        </x:is>
      </x:c>
      <x:c r="K65" s="73" t="n"/>
      <x:c r="L65" s="73" t="inlineStr">
        <x:is>
          <x:t xml:space="preserve">Safari</x:t>
        </x:is>
      </x:c>
      <x:c r="M65" s="73" t="n"/>
      <x:c r="N65" s="73" t="n"/>
      <x:c r="O65" s="73" t="inlineStr">
        <x:is>
          <x:t xml:space="preserve">touch</x:t>
        </x:is>
      </x:c>
      <x:c r="P65" s="73" t="inlineStr">
        <x:is>
          <x:t xml:space="preserve">none</x:t>
        </x:is>
      </x:c>
      <x:c r="Q65" s="74" t="inlineStr">
        <x:is>
          <x:t xml:space="preserve">On a named iOS device, exercise pointer/click activation selects a radio item in the existing desktop manual scenario and record OS, browser version, device, date, and reproduction notes.</x:t>
        </x:is>
      </x:c>
      <x:c r="R65" s="74" t="inlineStr">
        <x:is>
          <x:t xml:space="preserve">A device tap selects the intended radio item once.</x:t>
        </x:is>
      </x:c>
      <x:c r="S65" s="74" t="inlineStr">
        <x:is>
          <x:t xml:space="preserve">playground/manual-tests/mobile-readiness.md — final physical-device and AT lane</x:t>
        </x:is>
      </x:c>
      <x:c r="T65" s="74" t="n"/>
      <x:c r="U65" s="76" t="inlineStr">
        <x:is>
          <x:t xml:space="preserve">not run</x:t>
        </x:is>
      </x:c>
      <x:c r="V65" s="73" t="n"/>
      <x:c r="W65" s="74" t="n"/>
      <x:c r="X65" s="74" t="inlineStr">
        <x:is>
          <x:t xml:space="preserve">Existing component coverage remains the verified desktop/manual baseline; this record is an additional device qualification.</x:t>
        </x:is>
      </x:c>
      <x:c r="Y65" s="76" t="str">
        <x:f>IF(A65="","",IF(COUNTBLANK(A65:E65)+COUNTBLANK(G65:J65)+COUNTBLANK(Q65:R65)+COUNTBLANK(U65)&gt;0,"needs core fields",IF(AND(OR(I65="previous baseline — desktop manual",I65="browser emulation — manual",LEFT(I65,11)="real device"),S65=""),"needs protocol ref",IF(AND(LEFT(I65,18)="browser automation",T65=""),"needs automation ref",IF(AND(LEFT(I65,11)="real device",OR(U65="passed",U65="failed",U65="blocked"),OR(K65="",L65="",M65="",N65="",P65="")),"needs device details",IF(AND(OR(U65="passed",U65="failed",U65="blocked"),V65=""),"needs result date","ready"))))))</x:f>
        <x:v>ready</x:v>
      </x:c>
      <x:c r="AK65" s="50" t="inlineStr">
        <x:is>
          <x:t xml:space="preserve">Virtualizer</x:t>
        </x:is>
      </x:c>
    </x:row>
    <x:row r="66" s="51" customFormat="1" ht="48" customHeight="1">
      <x:c r="A66" s="73" t="inlineStr">
        <x:is>
          <x:t xml:space="preserve">MRE-07-DROPDOWNMENU-010</x:t>
        </x:is>
      </x:c>
      <x:c r="B66" s="73" t="inlineStr">
        <x:is>
          <x:t xml:space="preserve">MR-07</x:t>
        </x:is>
      </x:c>
      <x:c r="C66" s="73" t="inlineStr">
        <x:is>
          <x:t xml:space="preserve">MR-P7</x:t>
        </x:is>
      </x:c>
      <x:c r="D66" s="74" t="inlineStr">
        <x:is>
          <x:t xml:space="preserve">DropdownMenu</x:t>
        </x:is>
      </x:c>
      <x:c r="E66" s="74" t="inlineStr">
        <x:is>
          <x:t xml:space="preserve">pointer/click activation selects a radio item in the existing desktop manual scenario</x:t>
        </x:is>
      </x:c>
      <x:c r="F66" s="74" t="inlineStr">
        <x:is>
          <x:t xml:space="preserve">DropdownMenu!ID-224 — touch selects radio item</x:t>
        </x:is>
      </x:c>
      <x:c r="G66" s="75" t="inlineStr">
        <x:is>
          <x:t xml:space="preserve">narrow unsupported claim</x:t>
        </x:is>
      </x:c>
      <x:c r="H66" s="74" t="inlineStr">
        <x:is>
          <x:t xml:space="preserve">already adequately supported</x:t>
        </x:is>
      </x:c>
      <x:c r="I66" s="75" t="inlineStr">
        <x:is>
          <x:t xml:space="preserve">real device — Android Chrome</x:t>
        </x:is>
      </x:c>
      <x:c r="J66" s="73" t="inlineStr">
        <x:is>
          <x:t xml:space="preserve">Android</x:t>
        </x:is>
      </x:c>
      <x:c r="K66" s="73" t="n"/>
      <x:c r="L66" s="73" t="inlineStr">
        <x:is>
          <x:t xml:space="preserve">Chrome</x:t>
        </x:is>
      </x:c>
      <x:c r="M66" s="73" t="n"/>
      <x:c r="N66" s="73" t="n"/>
      <x:c r="O66" s="73" t="inlineStr">
        <x:is>
          <x:t xml:space="preserve">touch</x:t>
        </x:is>
      </x:c>
      <x:c r="P66" s="73" t="inlineStr">
        <x:is>
          <x:t xml:space="preserve">none</x:t>
        </x:is>
      </x:c>
      <x:c r="Q66" s="74" t="inlineStr">
        <x:is>
          <x:t xml:space="preserve">On a named Android device, exercise pointer/click activation selects a radio item in the existing desktop manual scenario and record OS, browser version, device, date, and reproduction notes.</x:t>
        </x:is>
      </x:c>
      <x:c r="R66" s="74" t="inlineStr">
        <x:is>
          <x:t xml:space="preserve">A device tap selects the intended radio item once.</x:t>
        </x:is>
      </x:c>
      <x:c r="S66" s="74" t="inlineStr">
        <x:is>
          <x:t xml:space="preserve">playground/manual-tests/mobile-readiness.md — final physical-device and AT lane</x:t>
        </x:is>
      </x:c>
      <x:c r="T66" s="74" t="n"/>
      <x:c r="U66" s="76" t="inlineStr">
        <x:is>
          <x:t xml:space="preserve">not run</x:t>
        </x:is>
      </x:c>
      <x:c r="V66" s="73" t="n"/>
      <x:c r="W66" s="74" t="n"/>
      <x:c r="X66" s="74" t="inlineStr">
        <x:is>
          <x:t xml:space="preserve">Existing component coverage remains the verified desktop/manual baseline; this record is an additional device qualification.</x:t>
        </x:is>
      </x:c>
      <x:c r="Y66" s="76" t="str">
        <x:f>IF(A66="","",IF(COUNTBLANK(A66:E66)+COUNTBLANK(G66:J66)+COUNTBLANK(Q66:R66)+COUNTBLANK(U66)&gt;0,"needs core fields",IF(AND(OR(I66="previous baseline — desktop manual",I66="browser emulation — manual",LEFT(I66,11)="real device"),S66=""),"needs protocol ref",IF(AND(LEFT(I66,18)="browser automation",T66=""),"needs automation ref",IF(AND(LEFT(I66,11)="real device",OR(U66="passed",U66="failed",U66="blocked"),OR(K66="",L66="",M66="",N66="",P66="")),"needs device details",IF(AND(OR(U66="passed",U66="failed",U66="blocked"),V66=""),"needs result date","ready"))))))</x:f>
        <x:v>ready</x:v>
      </x:c>
      <x:c r="AK66" s="50" t="inlineStr">
        <x:is>
          <x:t xml:space="preserve">VisuallyHidden</x:t>
        </x:is>
      </x:c>
    </x:row>
    <x:row r="67" s="51" customFormat="1" ht="48" customHeight="1">
      <x:c r="A67" s="73" t="inlineStr">
        <x:is>
          <x:t xml:space="preserve">MRE-08-DROPDOWNMENU-001</x:t>
        </x:is>
      </x:c>
      <x:c r="B67" s="73" t="inlineStr">
        <x:is>
          <x:t xml:space="preserve">MR-08</x:t>
        </x:is>
      </x:c>
      <x:c r="C67" s="73" t="inlineStr">
        <x:is>
          <x:t xml:space="preserve">MR-P7</x:t>
        </x:is>
      </x:c>
      <x:c r="D67" s="74" t="inlineStr">
        <x:is>
          <x:t xml:space="preserve">DropdownMenu</x:t>
        </x:is>
      </x:c>
      <x:c r="E67" s="74" t="inlineStr">
        <x:is>
          <x:t xml:space="preserve">pointer/click activation opens a submenu in the existing desktop manual scenario</x:t>
        </x:is>
      </x:c>
      <x:c r="F67" s="74" t="inlineStr">
        <x:is>
          <x:t xml:space="preserve">DropdownMenu!ID-225 — touch opens submenu</x:t>
        </x:is>
      </x:c>
      <x:c r="G67" s="75" t="inlineStr">
        <x:is>
          <x:t xml:space="preserve">narrow unsupported claim</x:t>
        </x:is>
      </x:c>
      <x:c r="H67" s="74" t="inlineStr">
        <x:is>
          <x:t xml:space="preserve">Atom API/design decision required</x:t>
        </x:is>
      </x:c>
      <x:c r="I67" s="75" t="inlineStr">
        <x:is>
          <x:t xml:space="preserve">real device — iOS Safari</x:t>
        </x:is>
      </x:c>
      <x:c r="J67" s="73" t="inlineStr">
        <x:is>
          <x:t xml:space="preserve">iOS</x:t>
        </x:is>
      </x:c>
      <x:c r="K67" s="73" t="n"/>
      <x:c r="L67" s="73" t="inlineStr">
        <x:is>
          <x:t xml:space="preserve">Safari</x:t>
        </x:is>
      </x:c>
      <x:c r="M67" s="73" t="n"/>
      <x:c r="N67" s="73" t="n"/>
      <x:c r="O67" s="73" t="inlineStr">
        <x:is>
          <x:t xml:space="preserve">touch</x:t>
        </x:is>
      </x:c>
      <x:c r="P67" s="73" t="inlineStr">
        <x:is>
          <x:t xml:space="preserve">none</x:t>
        </x:is>
      </x:c>
      <x:c r="Q67" s="74" t="inlineStr">
        <x:is>
          <x:t xml:space="preserve">On a named iOS device, exercise pointer/click activation opens a submenu in the existing desktop manual scenario and record OS, browser version, device, date, and reproduction notes.</x:t>
        </x:is>
      </x:c>
      <x:c r="R67" s="74" t="inlineStr">
        <x:is>
          <x:t xml:space="preserve">A device tap opens the intended submenu; any drill-in presentation remains an explicit approved contract.</x:t>
        </x:is>
      </x:c>
      <x:c r="S67" s="74" t="inlineStr">
        <x:is>
          <x:t xml:space="preserve">playground/manual-tests/mobile-readiness.md — final physical-device and AT lane</x:t>
        </x:is>
      </x:c>
      <x:c r="T67" s="74" t="n"/>
      <x:c r="U67" s="76" t="inlineStr">
        <x:is>
          <x:t xml:space="preserve">not run</x:t>
        </x:is>
      </x:c>
      <x:c r="V67" s="73" t="n"/>
      <x:c r="W67" s="74" t="n"/>
      <x:c r="X67" s="74" t="inlineStr">
        <x:is>
          <x:t xml:space="preserve">Existing component coverage remains the verified desktop/manual baseline; this record is an additional device qualification.</x:t>
        </x:is>
      </x:c>
      <x:c r="Y67" s="76" t="str">
        <x:f>IF(A67="","",IF(COUNTBLANK(A67:E67)+COUNTBLANK(G67:J67)+COUNTBLANK(Q67:R67)+COUNTBLANK(U67)&gt;0,"needs core fields",IF(AND(OR(I67="previous baseline — desktop manual",I67="browser emulation — manual",LEFT(I67,11)="real device"),S67=""),"needs protocol ref",IF(AND(LEFT(I67,18)="browser automation",T67=""),"needs automation ref",IF(AND(LEFT(I67,11)="real device",OR(U67="passed",U67="failed",U67="blocked"),OR(K67="",L67="",M67="",N67="",P67="")),"needs device details",IF(AND(OR(U67="passed",U67="failed",U67="blocked"),V67=""),"needs result date","ready"))))))</x:f>
        <x:v>ready</x:v>
      </x:c>
    </x:row>
    <x:row r="68" s="51" customFormat="1" ht="48" customHeight="1">
      <x:c r="A68" s="73" t="inlineStr">
        <x:is>
          <x:t xml:space="preserve">MRE-08-DROPDOWNMENU-002</x:t>
        </x:is>
      </x:c>
      <x:c r="B68" s="73" t="inlineStr">
        <x:is>
          <x:t xml:space="preserve">MR-08</x:t>
        </x:is>
      </x:c>
      <x:c r="C68" s="73" t="inlineStr">
        <x:is>
          <x:t xml:space="preserve">MR-P7</x:t>
        </x:is>
      </x:c>
      <x:c r="D68" s="74" t="inlineStr">
        <x:is>
          <x:t xml:space="preserve">DropdownMenu</x:t>
        </x:is>
      </x:c>
      <x:c r="E68" s="74" t="inlineStr">
        <x:is>
          <x:t xml:space="preserve">pointer/click activation opens a submenu in the existing desktop manual scenario</x:t>
        </x:is>
      </x:c>
      <x:c r="F68" s="74" t="inlineStr">
        <x:is>
          <x:t xml:space="preserve">DropdownMenu!ID-225 — touch opens submenu</x:t>
        </x:is>
      </x:c>
      <x:c r="G68" s="75" t="inlineStr">
        <x:is>
          <x:t xml:space="preserve">narrow unsupported claim</x:t>
        </x:is>
      </x:c>
      <x:c r="H68" s="74" t="inlineStr">
        <x:is>
          <x:t xml:space="preserve">Atom API/design decision required</x:t>
        </x:is>
      </x:c>
      <x:c r="I68" s="75" t="inlineStr">
        <x:is>
          <x:t xml:space="preserve">real device — Android Chrome</x:t>
        </x:is>
      </x:c>
      <x:c r="J68" s="73" t="inlineStr">
        <x:is>
          <x:t xml:space="preserve">Android</x:t>
        </x:is>
      </x:c>
      <x:c r="K68" s="73" t="n"/>
      <x:c r="L68" s="73" t="inlineStr">
        <x:is>
          <x:t xml:space="preserve">Chrome</x:t>
        </x:is>
      </x:c>
      <x:c r="M68" s="73" t="n"/>
      <x:c r="N68" s="73" t="n"/>
      <x:c r="O68" s="73" t="inlineStr">
        <x:is>
          <x:t xml:space="preserve">touch</x:t>
        </x:is>
      </x:c>
      <x:c r="P68" s="73" t="inlineStr">
        <x:is>
          <x:t xml:space="preserve">none</x:t>
        </x:is>
      </x:c>
      <x:c r="Q68" s="74" t="inlineStr">
        <x:is>
          <x:t xml:space="preserve">On a named Android device, exercise pointer/click activation opens a submenu in the existing desktop manual scenario and record OS, browser version, device, date, and reproduction notes.</x:t>
        </x:is>
      </x:c>
      <x:c r="R68" s="74" t="inlineStr">
        <x:is>
          <x:t xml:space="preserve">A device tap opens the intended submenu; any drill-in presentation remains an explicit approved contract.</x:t>
        </x:is>
      </x:c>
      <x:c r="S68" s="74" t="inlineStr">
        <x:is>
          <x:t xml:space="preserve">playground/manual-tests/mobile-readiness.md — final physical-device and AT lane</x:t>
        </x:is>
      </x:c>
      <x:c r="T68" s="74" t="n"/>
      <x:c r="U68" s="76" t="inlineStr">
        <x:is>
          <x:t xml:space="preserve">not run</x:t>
        </x:is>
      </x:c>
      <x:c r="V68" s="73" t="n"/>
      <x:c r="W68" s="74" t="n"/>
      <x:c r="X68" s="74" t="inlineStr">
        <x:is>
          <x:t xml:space="preserve">Existing component coverage remains the verified desktop/manual baseline; this record is an additional device qualification.</x:t>
        </x:is>
      </x:c>
      <x:c r="Y68" s="76" t="str">
        <x:f>IF(A68="","",IF(COUNTBLANK(A68:E68)+COUNTBLANK(G68:J68)+COUNTBLANK(Q68:R68)+COUNTBLANK(U68)&gt;0,"needs core fields",IF(AND(OR(I68="previous baseline — desktop manual",I68="browser emulation — manual",LEFT(I68,11)="real device"),S68=""),"needs protocol ref",IF(AND(LEFT(I68,18)="browser automation",T68=""),"needs automation ref",IF(AND(LEFT(I68,11)="real device",OR(U68="passed",U68="failed",U68="blocked"),OR(K68="",L68="",M68="",N68="",P68="")),"needs device details",IF(AND(OR(U68="passed",U68="failed",U68="blocked"),V68=""),"needs result date","ready"))))))</x:f>
        <x:v>ready</x:v>
      </x:c>
    </x:row>
    <x:row r="69" s="51" customFormat="1" ht="48" customHeight="1">
      <x:c r="A69" s="73" t="inlineStr">
        <x:is>
          <x:t xml:space="preserve">MRE-06-DROPDOWNMENU-001</x:t>
        </x:is>
      </x:c>
      <x:c r="B69" s="73" t="inlineStr">
        <x:is>
          <x:t xml:space="preserve">MR-06</x:t>
        </x:is>
      </x:c>
      <x:c r="C69" s="73" t="inlineStr">
        <x:is>
          <x:t xml:space="preserve">MR-P3</x:t>
        </x:is>
      </x:c>
      <x:c r="D69" s="74" t="inlineStr">
        <x:is>
          <x:t xml:space="preserve">DropdownMenu</x:t>
        </x:is>
      </x:c>
      <x:c r="E69" s="74" t="inlineStr">
        <x:is>
          <x:t xml:space="preserve">current desktop pointer-down outside interaction closes DropdownMenu</x:t>
        </x:is>
      </x:c>
      <x:c r="F69" s="74" t="inlineStr">
        <x:is>
          <x:t xml:space="preserve">DropdownMenu!ID-226 — outside touch closes dropdown</x:t>
        </x:is>
      </x:c>
      <x:c r="G69" s="75" t="inlineStr">
        <x:is>
          <x:t xml:space="preserve">narrow unsupported claim</x:t>
        </x:is>
      </x:c>
      <x:c r="H69" s="74" t="inlineStr">
        <x:is>
          <x:t xml:space="preserve">confirmed Atom implementation gap</x:t>
        </x:is>
      </x:c>
      <x:c r="I69" s="75" t="inlineStr">
        <x:is>
          <x:t xml:space="preserve">real device — iOS Safari</x:t>
        </x:is>
      </x:c>
      <x:c r="J69" s="73" t="inlineStr">
        <x:is>
          <x:t xml:space="preserve">iOS</x:t>
        </x:is>
      </x:c>
      <x:c r="K69" s="73" t="n"/>
      <x:c r="L69" s="73" t="inlineStr">
        <x:is>
          <x:t xml:space="preserve">Safari</x:t>
        </x:is>
      </x:c>
      <x:c r="M69" s="73" t="n"/>
      <x:c r="N69" s="73" t="n"/>
      <x:c r="O69" s="73" t="inlineStr">
        <x:is>
          <x:t xml:space="preserve">touch</x:t>
        </x:is>
      </x:c>
      <x:c r="P69" s="73" t="inlineStr">
        <x:is>
          <x:t xml:space="preserve">none</x:t>
        </x:is>
      </x:c>
      <x:c r="Q69" s="74" t="inlineStr">
        <x:is>
          <x:t xml:space="preserve">On a named iOS device, exercise current desktop pointer-down outside interaction closes DropdownMenu and record OS, browser version, device, date, and reproduction notes.</x:t>
        </x:is>
      </x:c>
      <x:c r="R69" s="74" t="inlineStr">
        <x:is>
          <x:t xml:space="preserve">Outside tap dismissal occurs at the approved event boundary and cancels correctly after movement or scrolling.</x:t>
        </x:is>
      </x:c>
      <x:c r="S69" s="74" t="inlineStr">
        <x:is>
          <x:t xml:space="preserve">playground/manual-tests/mobile-readiness.md — final physical-device and AT lane</x:t>
        </x:is>
      </x:c>
      <x:c r="T69" s="74" t="inlineStr">
        <x:is>
          <x:t xml:space="preserve">test/browser/outside-interaction.spec.ts; test/browser/outside-interaction.mobile.spec.ts</x:t>
        </x:is>
      </x:c>
      <x:c r="U69" s="76" t="inlineStr">
        <x:is>
          <x:t xml:space="preserve">not run</x:t>
        </x:is>
      </x:c>
      <x:c r="V69" s="73" t="n"/>
      <x:c r="W69" s="74" t="n"/>
      <x:c r="X69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69" s="76" t="str">
        <x:f>IF(A69="","",IF(COUNTBLANK(A69:E69)+COUNTBLANK(G69:J69)+COUNTBLANK(Q69:R69)+COUNTBLANK(U69)&gt;0,"needs core fields",IF(AND(OR(I69="previous baseline — desktop manual",I69="browser emulation — manual",LEFT(I69,11)="real device"),S69=""),"needs protocol ref",IF(AND(LEFT(I69,18)="browser automation",T69=""),"needs automation ref",IF(AND(LEFT(I69,11)="real device",OR(U69="passed",U69="failed",U69="blocked"),OR(K69="",L69="",M69="",N69="",P69="")),"needs device details",IF(AND(OR(U69="passed",U69="failed",U69="blocked"),V69=""),"needs result date","ready"))))))</x:f>
        <x:v>ready</x:v>
      </x:c>
    </x:row>
    <x:row r="70" s="51" customFormat="1" ht="48" customHeight="1">
      <x:c r="A70" s="73" t="inlineStr">
        <x:is>
          <x:t xml:space="preserve">MRE-06-DROPDOWNMENU-002</x:t>
        </x:is>
      </x:c>
      <x:c r="B70" s="73" t="inlineStr">
        <x:is>
          <x:t xml:space="preserve">MR-06</x:t>
        </x:is>
      </x:c>
      <x:c r="C70" s="73" t="inlineStr">
        <x:is>
          <x:t xml:space="preserve">MR-P3</x:t>
        </x:is>
      </x:c>
      <x:c r="D70" s="74" t="inlineStr">
        <x:is>
          <x:t xml:space="preserve">DropdownMenu</x:t>
        </x:is>
      </x:c>
      <x:c r="E70" s="74" t="inlineStr">
        <x:is>
          <x:t xml:space="preserve">current desktop pointer-down outside interaction closes DropdownMenu</x:t>
        </x:is>
      </x:c>
      <x:c r="F70" s="74" t="inlineStr">
        <x:is>
          <x:t xml:space="preserve">DropdownMenu!ID-226 — outside touch closes dropdown</x:t>
        </x:is>
      </x:c>
      <x:c r="G70" s="75" t="inlineStr">
        <x:is>
          <x:t xml:space="preserve">narrow unsupported claim</x:t>
        </x:is>
      </x:c>
      <x:c r="H70" s="74" t="inlineStr">
        <x:is>
          <x:t xml:space="preserve">confirmed Atom implementation gap</x:t>
        </x:is>
      </x:c>
      <x:c r="I70" s="75" t="inlineStr">
        <x:is>
          <x:t xml:space="preserve">real device — Android Chrome</x:t>
        </x:is>
      </x:c>
      <x:c r="J70" s="73" t="inlineStr">
        <x:is>
          <x:t xml:space="preserve">Android</x:t>
        </x:is>
      </x:c>
      <x:c r="K70" s="73" t="n"/>
      <x:c r="L70" s="73" t="inlineStr">
        <x:is>
          <x:t xml:space="preserve">Chrome</x:t>
        </x:is>
      </x:c>
      <x:c r="M70" s="73" t="n"/>
      <x:c r="N70" s="73" t="n"/>
      <x:c r="O70" s="73" t="inlineStr">
        <x:is>
          <x:t xml:space="preserve">touch</x:t>
        </x:is>
      </x:c>
      <x:c r="P70" s="73" t="inlineStr">
        <x:is>
          <x:t xml:space="preserve">none</x:t>
        </x:is>
      </x:c>
      <x:c r="Q70" s="74" t="inlineStr">
        <x:is>
          <x:t xml:space="preserve">On a named Android device, exercise current desktop pointer-down outside interaction closes DropdownMenu and record OS, browser version, device, date, and reproduction notes.</x:t>
        </x:is>
      </x:c>
      <x:c r="R70" s="74" t="inlineStr">
        <x:is>
          <x:t xml:space="preserve">Outside tap dismissal occurs at the approved event boundary and cancels correctly after movement or scrolling.</x:t>
        </x:is>
      </x:c>
      <x:c r="S70" s="74" t="inlineStr">
        <x:is>
          <x:t xml:space="preserve">playground/manual-tests/mobile-readiness.md — final physical-device and AT lane</x:t>
        </x:is>
      </x:c>
      <x:c r="T70" s="74" t="inlineStr">
        <x:is>
          <x:t xml:space="preserve">test/browser/outside-interaction.spec.ts; test/browser/outside-interaction.mobile.spec.ts</x:t>
        </x:is>
      </x:c>
      <x:c r="U70" s="76" t="inlineStr">
        <x:is>
          <x:t xml:space="preserve">not run</x:t>
        </x:is>
      </x:c>
      <x:c r="V70" s="73" t="n"/>
      <x:c r="W70" s="74" t="n"/>
      <x:c r="X70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70" s="76" t="str">
        <x:f>IF(A70="","",IF(COUNTBLANK(A70:E70)+COUNTBLANK(G70:J70)+COUNTBLANK(Q70:R70)+COUNTBLANK(U70)&gt;0,"needs core fields",IF(AND(OR(I70="previous baseline — desktop manual",I70="browser emulation — manual",LEFT(I70,11)="real device"),S70=""),"needs protocol ref",IF(AND(LEFT(I70,18)="browser automation",T70=""),"needs automation ref",IF(AND(LEFT(I70,11)="real device",OR(U70="passed",U70="failed",U70="blocked"),OR(K70="",L70="",M70="",N70="",P70="")),"needs device details",IF(AND(OR(U70="passed",U70="failed",U70="blocked"),V70=""),"needs result date","ready"))))))</x:f>
        <x:v>ready</x:v>
      </x:c>
    </x:row>
    <x:row r="71" s="51" customFormat="1" ht="48" customHeight="1">
      <x:c r="A71" s="73" t="inlineStr">
        <x:is>
          <x:t xml:space="preserve">MRE-01-CONTEXTMENU-001</x:t>
        </x:is>
      </x:c>
      <x:c r="B71" s="73" t="inlineStr">
        <x:is>
          <x:t xml:space="preserve">MR-01</x:t>
        </x:is>
      </x:c>
      <x:c r="C71" s="73" t="inlineStr">
        <x:is>
          <x:t xml:space="preserve">MR-P5</x:t>
        </x:is>
      </x:c>
      <x:c r="D71" s="74" t="inlineStr">
        <x:is>
          <x:t xml:space="preserve">ContextMenu</x:t>
        </x:is>
      </x:c>
      <x:c r="E71" s="74" t="inlineStr">
        <x:is>
          <x:t xml:space="preserve">placement flips or shifts near the edge of the manually tested desktop layout viewport</x:t>
        </x:is>
      </x:c>
      <x:c r="F71" s="74" t="inlineStr">
        <x:is>
          <x:t xml:space="preserve">ContextMenu!ID-173 — placement flips or shifts near viewport edge</x:t>
        </x:is>
      </x:c>
      <x:c r="G71" s="75" t="inlineStr">
        <x:is>
          <x:t xml:space="preserve">narrow unsupported claim</x:t>
        </x:is>
      </x:c>
      <x:c r="H71" s="74" t="inlineStr">
        <x:is>
          <x:t xml:space="preserve">requires browser validation before concluding</x:t>
        </x:is>
      </x:c>
      <x:c r="I71" s="75" t="inlineStr">
        <x:is>
          <x:t xml:space="preserve">real device — iOS Safari</x:t>
        </x:is>
      </x:c>
      <x:c r="J71" s="73" t="inlineStr">
        <x:is>
          <x:t xml:space="preserve">iOS</x:t>
        </x:is>
      </x:c>
      <x:c r="K71" s="73" t="n"/>
      <x:c r="L71" s="73" t="inlineStr">
        <x:is>
          <x:t xml:space="preserve">Safari</x:t>
        </x:is>
      </x:c>
      <x:c r="M71" s="73" t="n"/>
      <x:c r="N71" s="73" t="n"/>
      <x:c r="O71" s="73" t="inlineStr">
        <x:is>
          <x:t xml:space="preserve">visual viewport</x:t>
        </x:is>
      </x:c>
      <x:c r="P71" s="73" t="inlineStr">
        <x:is>
          <x:t xml:space="preserve">none</x:t>
        </x:is>
      </x:c>
      <x:c r="Q71" s="74" t="inlineStr">
        <x:is>
          <x:t xml:space="preserve">On a named iOS device, exercise placement flips or shifts near the edge of the manually tested desktop layout viewport and record OS, browser version, device, date, and reproduction notes.</x:t>
        </x:is>
      </x:c>
      <x:c r="R71" s="74" t="inlineStr">
        <x:is>
          <x:t xml:space="preserve">ContextMenu content remains reachable and correctly placed at mobile viewport edges.</x:t>
        </x:is>
      </x:c>
      <x:c r="S71" s="74" t="inlineStr">
        <x:is>
          <x:t xml:space="preserve">playground/manual-tests/mobile-readiness.md — final physical-device and AT lane</x:t>
        </x:is>
      </x:c>
      <x:c r="T71" s="74" t="n"/>
      <x:c r="U71" s="76" t="inlineStr">
        <x:is>
          <x:t xml:space="preserve">not run</x:t>
        </x:is>
      </x:c>
      <x:c r="V71" s="73" t="n"/>
      <x:c r="W71" s="74" t="n"/>
      <x:c r="X71" s="74" t="inlineStr">
        <x:is>
          <x:t xml:space="preserve">Existing component coverage remains the verified desktop/manual baseline; this record is an additional device qualification.</x:t>
        </x:is>
      </x:c>
      <x:c r="Y71" s="76" t="str">
        <x:f>IF(A71="","",IF(COUNTBLANK(A71:E71)+COUNTBLANK(G71:J71)+COUNTBLANK(Q71:R71)+COUNTBLANK(U71)&gt;0,"needs core fields",IF(AND(OR(I71="previous baseline — desktop manual",I71="browser emulation — manual",LEFT(I71,11)="real device"),S71=""),"needs protocol ref",IF(AND(LEFT(I71,18)="browser automation",T71=""),"needs automation ref",IF(AND(LEFT(I71,11)="real device",OR(U71="passed",U71="failed",U71="blocked"),OR(K71="",L71="",M71="",N71="",P71="")),"needs device details",IF(AND(OR(U71="passed",U71="failed",U71="blocked"),V71=""),"needs result date","ready"))))))</x:f>
        <x:v>ready</x:v>
      </x:c>
    </x:row>
    <x:row r="72" s="51" customFormat="1" ht="48" customHeight="1">
      <x:c r="A72" s="73" t="inlineStr">
        <x:is>
          <x:t xml:space="preserve">MRE-01-CONTEXTMENU-002</x:t>
        </x:is>
      </x:c>
      <x:c r="B72" s="73" t="inlineStr">
        <x:is>
          <x:t xml:space="preserve">MR-01</x:t>
        </x:is>
      </x:c>
      <x:c r="C72" s="73" t="inlineStr">
        <x:is>
          <x:t xml:space="preserve">MR-P5</x:t>
        </x:is>
      </x:c>
      <x:c r="D72" s="74" t="inlineStr">
        <x:is>
          <x:t xml:space="preserve">ContextMenu</x:t>
        </x:is>
      </x:c>
      <x:c r="E72" s="74" t="inlineStr">
        <x:is>
          <x:t xml:space="preserve">placement flips or shifts near the edge of the manually tested desktop layout viewport</x:t>
        </x:is>
      </x:c>
      <x:c r="F72" s="74" t="inlineStr">
        <x:is>
          <x:t xml:space="preserve">ContextMenu!ID-173 — placement flips or shifts near viewport edge</x:t>
        </x:is>
      </x:c>
      <x:c r="G72" s="75" t="inlineStr">
        <x:is>
          <x:t xml:space="preserve">narrow unsupported claim</x:t>
        </x:is>
      </x:c>
      <x:c r="H72" s="74" t="inlineStr">
        <x:is>
          <x:t xml:space="preserve">requires browser validation before concluding</x:t>
        </x:is>
      </x:c>
      <x:c r="I72" s="75" t="inlineStr">
        <x:is>
          <x:t xml:space="preserve">real device — Android Chrome</x:t>
        </x:is>
      </x:c>
      <x:c r="J72" s="73" t="inlineStr">
        <x:is>
          <x:t xml:space="preserve">Android</x:t>
        </x:is>
      </x:c>
      <x:c r="K72" s="73" t="n"/>
      <x:c r="L72" s="73" t="inlineStr">
        <x:is>
          <x:t xml:space="preserve">Chrome</x:t>
        </x:is>
      </x:c>
      <x:c r="M72" s="73" t="n"/>
      <x:c r="N72" s="73" t="n"/>
      <x:c r="O72" s="73" t="inlineStr">
        <x:is>
          <x:t xml:space="preserve">visual viewport</x:t>
        </x:is>
      </x:c>
      <x:c r="P72" s="73" t="inlineStr">
        <x:is>
          <x:t xml:space="preserve">none</x:t>
        </x:is>
      </x:c>
      <x:c r="Q72" s="74" t="inlineStr">
        <x:is>
          <x:t xml:space="preserve">On a named Android device, exercise placement flips or shifts near the edge of the manually tested desktop layout viewport and record OS, browser version, device, date, and reproduction notes.</x:t>
        </x:is>
      </x:c>
      <x:c r="R72" s="74" t="inlineStr">
        <x:is>
          <x:t xml:space="preserve">ContextMenu content remains reachable and correctly placed at mobile viewport edges.</x:t>
        </x:is>
      </x:c>
      <x:c r="S72" s="74" t="inlineStr">
        <x:is>
          <x:t xml:space="preserve">playground/manual-tests/mobile-readiness.md — final physical-device and AT lane</x:t>
        </x:is>
      </x:c>
      <x:c r="T72" s="74" t="n"/>
      <x:c r="U72" s="76" t="inlineStr">
        <x:is>
          <x:t xml:space="preserve">not run</x:t>
        </x:is>
      </x:c>
      <x:c r="V72" s="73" t="n"/>
      <x:c r="W72" s="74" t="n"/>
      <x:c r="X72" s="74" t="inlineStr">
        <x:is>
          <x:t xml:space="preserve">Existing component coverage remains the verified desktop/manual baseline; this record is an additional device qualification.</x:t>
        </x:is>
      </x:c>
      <x:c r="Y72" s="76" t="str">
        <x:f>IF(A72="","",IF(COUNTBLANK(A72:E72)+COUNTBLANK(G72:J72)+COUNTBLANK(Q72:R72)+COUNTBLANK(U72)&gt;0,"needs core fields",IF(AND(OR(I72="previous baseline — desktop manual",I72="browser emulation — manual",LEFT(I72,11)="real device"),S72=""),"needs protocol ref",IF(AND(LEFT(I72,18)="browser automation",T72=""),"needs automation ref",IF(AND(LEFT(I72,11)="real device",OR(U72="passed",U72="failed",U72="blocked"),OR(K72="",L72="",M72="",N72="",P72="")),"needs device details",IF(AND(OR(U72="passed",U72="failed",U72="blocked"),V72=""),"needs result date","ready"))))))</x:f>
        <x:v>ready</x:v>
      </x:c>
    </x:row>
    <x:row r="73" s="51" customFormat="1" ht="48" customHeight="1">
      <x:c r="A73" s="73" t="inlineStr">
        <x:is>
          <x:t xml:space="preserve">MRE-06-CONTEXTMENU-001</x:t>
        </x:is>
      </x:c>
      <x:c r="B73" s="73" t="inlineStr">
        <x:is>
          <x:t xml:space="preserve">MR-06</x:t>
        </x:is>
      </x:c>
      <x:c r="C73" s="73" t="inlineStr">
        <x:is>
          <x:t xml:space="preserve">MR-P3</x:t>
        </x:is>
      </x:c>
      <x:c r="D73" s="74" t="inlineStr">
        <x:is>
          <x:t xml:space="preserve">ContextMenu</x:t>
        </x:is>
      </x:c>
      <x:c r="E73" s="74" t="inlineStr">
        <x:is>
          <x:t xml:space="preserve">current desktop pointer-down outside interaction closes ContextMenu</x:t>
        </x:is>
      </x:c>
      <x:c r="F73" s="74" t="inlineStr">
        <x:is>
          <x:t xml:space="preserve">ContextMenu!ID-181 — touch outside closes context menu</x:t>
        </x:is>
      </x:c>
      <x:c r="G73" s="75" t="inlineStr">
        <x:is>
          <x:t xml:space="preserve">narrow unsupported claim</x:t>
        </x:is>
      </x:c>
      <x:c r="H73" s="74" t="inlineStr">
        <x:is>
          <x:t xml:space="preserve">confirmed Atom implementation gap</x:t>
        </x:is>
      </x:c>
      <x:c r="I73" s="75" t="inlineStr">
        <x:is>
          <x:t xml:space="preserve">real device — iOS Safari</x:t>
        </x:is>
      </x:c>
      <x:c r="J73" s="73" t="inlineStr">
        <x:is>
          <x:t xml:space="preserve">iOS</x:t>
        </x:is>
      </x:c>
      <x:c r="K73" s="73" t="n"/>
      <x:c r="L73" s="73" t="inlineStr">
        <x:is>
          <x:t xml:space="preserve">Safari</x:t>
        </x:is>
      </x:c>
      <x:c r="M73" s="73" t="n"/>
      <x:c r="N73" s="73" t="n"/>
      <x:c r="O73" s="73" t="inlineStr">
        <x:is>
          <x:t xml:space="preserve">touch</x:t>
        </x:is>
      </x:c>
      <x:c r="P73" s="73" t="inlineStr">
        <x:is>
          <x:t xml:space="preserve">none</x:t>
        </x:is>
      </x:c>
      <x:c r="Q73" s="74" t="inlineStr">
        <x:is>
          <x:t xml:space="preserve">On a named iOS device, exercise current desktop pointer-down outside interaction closes ContextMenu and record OS, browser version, device, date, and reproduction notes.</x:t>
        </x:is>
      </x:c>
      <x:c r="R73" s="74" t="inlineStr">
        <x:is>
          <x:t xml:space="preserve">Outside tap dismissal occurs at the approved event boundary and cancels correctly after movement or scrolling.</x:t>
        </x:is>
      </x:c>
      <x:c r="S73" s="74" t="inlineStr">
        <x:is>
          <x:t xml:space="preserve">playground/manual-tests/mobile-readiness.md — final physical-device and AT lane</x:t>
        </x:is>
      </x:c>
      <x:c r="T73" s="74" t="inlineStr">
        <x:is>
          <x:t xml:space="preserve">test/browser/outside-interaction.spec.ts; test/browser/outside-interaction.mobile.spec.ts</x:t>
        </x:is>
      </x:c>
      <x:c r="U73" s="76" t="inlineStr">
        <x:is>
          <x:t xml:space="preserve">not run</x:t>
        </x:is>
      </x:c>
      <x:c r="V73" s="73" t="n"/>
      <x:c r="W73" s="74" t="n"/>
      <x:c r="X73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73" s="76" t="str">
        <x:f>IF(A73="","",IF(COUNTBLANK(A73:E73)+COUNTBLANK(G73:J73)+COUNTBLANK(Q73:R73)+COUNTBLANK(U73)&gt;0,"needs core fields",IF(AND(OR(I73="previous baseline — desktop manual",I73="browser emulation — manual",LEFT(I73,11)="real device"),S73=""),"needs protocol ref",IF(AND(LEFT(I73,18)="browser automation",T73=""),"needs automation ref",IF(AND(LEFT(I73,11)="real device",OR(U73="passed",U73="failed",U73="blocked"),OR(K73="",L73="",M73="",N73="",P73="")),"needs device details",IF(AND(OR(U73="passed",U73="failed",U73="blocked"),V73=""),"needs result date","ready"))))))</x:f>
        <x:v>ready</x:v>
      </x:c>
    </x:row>
    <x:row r="74" s="51" customFormat="1" ht="48" customHeight="1">
      <x:c r="A74" s="73" t="inlineStr">
        <x:is>
          <x:t xml:space="preserve">MRE-06-CONTEXTMENU-002</x:t>
        </x:is>
      </x:c>
      <x:c r="B74" s="73" t="inlineStr">
        <x:is>
          <x:t xml:space="preserve">MR-06</x:t>
        </x:is>
      </x:c>
      <x:c r="C74" s="73" t="inlineStr">
        <x:is>
          <x:t xml:space="preserve">MR-P3</x:t>
        </x:is>
      </x:c>
      <x:c r="D74" s="74" t="inlineStr">
        <x:is>
          <x:t xml:space="preserve">ContextMenu</x:t>
        </x:is>
      </x:c>
      <x:c r="E74" s="74" t="inlineStr">
        <x:is>
          <x:t xml:space="preserve">current desktop pointer-down outside interaction closes ContextMenu</x:t>
        </x:is>
      </x:c>
      <x:c r="F74" s="74" t="inlineStr">
        <x:is>
          <x:t xml:space="preserve">ContextMenu!ID-181 — touch outside closes context menu</x:t>
        </x:is>
      </x:c>
      <x:c r="G74" s="75" t="inlineStr">
        <x:is>
          <x:t xml:space="preserve">narrow unsupported claim</x:t>
        </x:is>
      </x:c>
      <x:c r="H74" s="74" t="inlineStr">
        <x:is>
          <x:t xml:space="preserve">confirmed Atom implementation gap</x:t>
        </x:is>
      </x:c>
      <x:c r="I74" s="75" t="inlineStr">
        <x:is>
          <x:t xml:space="preserve">real device — Android Chrome</x:t>
        </x:is>
      </x:c>
      <x:c r="J74" s="73" t="inlineStr">
        <x:is>
          <x:t xml:space="preserve">Android</x:t>
        </x:is>
      </x:c>
      <x:c r="K74" s="73" t="n"/>
      <x:c r="L74" s="73" t="inlineStr">
        <x:is>
          <x:t xml:space="preserve">Chrome</x:t>
        </x:is>
      </x:c>
      <x:c r="M74" s="73" t="n"/>
      <x:c r="N74" s="73" t="n"/>
      <x:c r="O74" s="73" t="inlineStr">
        <x:is>
          <x:t xml:space="preserve">touch</x:t>
        </x:is>
      </x:c>
      <x:c r="P74" s="73" t="inlineStr">
        <x:is>
          <x:t xml:space="preserve">none</x:t>
        </x:is>
      </x:c>
      <x:c r="Q74" s="74" t="inlineStr">
        <x:is>
          <x:t xml:space="preserve">On a named Android device, exercise current desktop pointer-down outside interaction closes ContextMenu and record OS, browser version, device, date, and reproduction notes.</x:t>
        </x:is>
      </x:c>
      <x:c r="R74" s="74" t="inlineStr">
        <x:is>
          <x:t xml:space="preserve">Outside tap dismissal occurs at the approved event boundary and cancels correctly after movement or scrolling.</x:t>
        </x:is>
      </x:c>
      <x:c r="S74" s="74" t="inlineStr">
        <x:is>
          <x:t xml:space="preserve">playground/manual-tests/mobile-readiness.md — final physical-device and AT lane</x:t>
        </x:is>
      </x:c>
      <x:c r="T74" s="74" t="inlineStr">
        <x:is>
          <x:t xml:space="preserve">test/browser/outside-interaction.spec.ts; test/browser/outside-interaction.mobile.spec.ts</x:t>
        </x:is>
      </x:c>
      <x:c r="U74" s="76" t="inlineStr">
        <x:is>
          <x:t xml:space="preserve">not run</x:t>
        </x:is>
      </x:c>
      <x:c r="V74" s="73" t="n"/>
      <x:c r="W74" s="74" t="n"/>
      <x:c r="X74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74" s="76" t="str">
        <x:f>IF(A74="","",IF(COUNTBLANK(A74:E74)+COUNTBLANK(G74:J74)+COUNTBLANK(Q74:R74)+COUNTBLANK(U74)&gt;0,"needs core fields",IF(AND(OR(I74="previous baseline — desktop manual",I74="browser emulation — manual",LEFT(I74,11)="real device"),S74=""),"needs protocol ref",IF(AND(LEFT(I74,18)="browser automation",T74=""),"needs automation ref",IF(AND(LEFT(I74,11)="real device",OR(U74="passed",U74="failed",U74="blocked"),OR(K74="",L74="",M74="",N74="",P74="")),"needs device details",IF(AND(OR(U74="passed",U74="failed",U74="blocked"),V74=""),"needs result date","ready"))))))</x:f>
        <x:v>ready</x:v>
      </x:c>
    </x:row>
    <x:row r="75" s="51" customFormat="1" ht="48" customHeight="1">
      <x:c r="A75" s="73" t="inlineStr">
        <x:is>
          <x:t xml:space="preserve">MRE-07-CONTEXTMENU-001</x:t>
        </x:is>
      </x:c>
      <x:c r="B75" s="73" t="inlineStr">
        <x:is>
          <x:t xml:space="preserve">MR-07</x:t>
        </x:is>
      </x:c>
      <x:c r="C75" s="73" t="inlineStr">
        <x:is>
          <x:t xml:space="preserve">MR-P7</x:t>
        </x:is>
      </x:c>
      <x:c r="D75" s="74" t="inlineStr">
        <x:is>
          <x:t xml:space="preserve">ContextMenu</x:t>
        </x:is>
      </x:c>
      <x:c r="E75" s="74" t="inlineStr">
        <x:is>
          <x:t xml:space="preserve">pointer/click activation selects an action item in the existing desktop manual scenario</x:t>
        </x:is>
      </x:c>
      <x:c r="F75" s="74" t="inlineStr">
        <x:is>
          <x:t xml:space="preserve">ContextMenu!ID-182 — touch selects action item</x:t>
        </x:is>
      </x:c>
      <x:c r="G75" s="75" t="inlineStr">
        <x:is>
          <x:t xml:space="preserve">narrow unsupported claim</x:t>
        </x:is>
      </x:c>
      <x:c r="H75" s="74" t="inlineStr">
        <x:is>
          <x:t xml:space="preserve">already adequately supported</x:t>
        </x:is>
      </x:c>
      <x:c r="I75" s="75" t="inlineStr">
        <x:is>
          <x:t xml:space="preserve">real device — iOS Safari</x:t>
        </x:is>
      </x:c>
      <x:c r="J75" s="73" t="inlineStr">
        <x:is>
          <x:t xml:space="preserve">iOS</x:t>
        </x:is>
      </x:c>
      <x:c r="K75" s="73" t="n"/>
      <x:c r="L75" s="73" t="inlineStr">
        <x:is>
          <x:t xml:space="preserve">Safari</x:t>
        </x:is>
      </x:c>
      <x:c r="M75" s="73" t="n"/>
      <x:c r="N75" s="73" t="n"/>
      <x:c r="O75" s="73" t="inlineStr">
        <x:is>
          <x:t xml:space="preserve">touch</x:t>
        </x:is>
      </x:c>
      <x:c r="P75" s="73" t="inlineStr">
        <x:is>
          <x:t xml:space="preserve">none</x:t>
        </x:is>
      </x:c>
      <x:c r="Q75" s="74" t="inlineStr">
        <x:is>
          <x:t xml:space="preserve">On a named iOS device, exercise pointer/click activation selects an action item in the existing desktop manual scenario and record OS, browser version, device, date, and reproduction notes.</x:t>
        </x:is>
      </x:c>
      <x:c r="R75" s="74" t="inlineStr">
        <x:is>
          <x:t xml:space="preserve">A device tap selects the intended action once; no native long-press trigger is implied.</x:t>
        </x:is>
      </x:c>
      <x:c r="S75" s="74" t="inlineStr">
        <x:is>
          <x:t xml:space="preserve">playground/manual-tests/mobile-readiness.md — final physical-device and AT lane</x:t>
        </x:is>
      </x:c>
      <x:c r="T75" s="74" t="inlineStr">
        <x:is>
          <x:t xml:space="preserve">test/browser/mobile-gesture-consolidation.mobile.spec.ts</x:t>
        </x:is>
      </x:c>
      <x:c r="U75" s="76" t="inlineStr">
        <x:is>
          <x:t xml:space="preserve">not run</x:t>
        </x:is>
      </x:c>
      <x:c r="V75" s="73" t="n"/>
      <x:c r="W75" s="74" t="n"/>
      <x:c r="X75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75" s="76" t="str">
        <x:f>IF(A75="","",IF(COUNTBLANK(A75:E75)+COUNTBLANK(G75:J75)+COUNTBLANK(Q75:R75)+COUNTBLANK(U75)&gt;0,"needs core fields",IF(AND(OR(I75="previous baseline — desktop manual",I75="browser emulation — manual",LEFT(I75,11)="real device"),S75=""),"needs protocol ref",IF(AND(LEFT(I75,18)="browser automation",T75=""),"needs automation ref",IF(AND(LEFT(I75,11)="real device",OR(U75="passed",U75="failed",U75="blocked"),OR(K75="",L75="",M75="",N75="",P75="")),"needs device details",IF(AND(OR(U75="passed",U75="failed",U75="blocked"),V75=""),"needs result date","ready"))))))</x:f>
        <x:v>ready</x:v>
      </x:c>
    </x:row>
    <x:row r="76" s="51" customFormat="1" ht="48" customHeight="1">
      <x:c r="A76" s="73" t="inlineStr">
        <x:is>
          <x:t xml:space="preserve">MRE-07-CONTEXTMENU-002</x:t>
        </x:is>
      </x:c>
      <x:c r="B76" s="73" t="inlineStr">
        <x:is>
          <x:t xml:space="preserve">MR-07</x:t>
        </x:is>
      </x:c>
      <x:c r="C76" s="73" t="inlineStr">
        <x:is>
          <x:t xml:space="preserve">MR-P7</x:t>
        </x:is>
      </x:c>
      <x:c r="D76" s="74" t="inlineStr">
        <x:is>
          <x:t xml:space="preserve">ContextMenu</x:t>
        </x:is>
      </x:c>
      <x:c r="E76" s="74" t="inlineStr">
        <x:is>
          <x:t xml:space="preserve">pointer/click activation selects an action item in the existing desktop manual scenario</x:t>
        </x:is>
      </x:c>
      <x:c r="F76" s="74" t="inlineStr">
        <x:is>
          <x:t xml:space="preserve">ContextMenu!ID-182 — touch selects action item</x:t>
        </x:is>
      </x:c>
      <x:c r="G76" s="75" t="inlineStr">
        <x:is>
          <x:t xml:space="preserve">narrow unsupported claim</x:t>
        </x:is>
      </x:c>
      <x:c r="H76" s="74" t="inlineStr">
        <x:is>
          <x:t xml:space="preserve">already adequately supported</x:t>
        </x:is>
      </x:c>
      <x:c r="I76" s="75" t="inlineStr">
        <x:is>
          <x:t xml:space="preserve">real device — Android Chrome</x:t>
        </x:is>
      </x:c>
      <x:c r="J76" s="73" t="inlineStr">
        <x:is>
          <x:t xml:space="preserve">Android</x:t>
        </x:is>
      </x:c>
      <x:c r="K76" s="73" t="n"/>
      <x:c r="L76" s="73" t="inlineStr">
        <x:is>
          <x:t xml:space="preserve">Chrome</x:t>
        </x:is>
      </x:c>
      <x:c r="M76" s="73" t="n"/>
      <x:c r="N76" s="73" t="n"/>
      <x:c r="O76" s="73" t="inlineStr">
        <x:is>
          <x:t xml:space="preserve">touch</x:t>
        </x:is>
      </x:c>
      <x:c r="P76" s="73" t="inlineStr">
        <x:is>
          <x:t xml:space="preserve">none</x:t>
        </x:is>
      </x:c>
      <x:c r="Q76" s="74" t="inlineStr">
        <x:is>
          <x:t xml:space="preserve">On a named Android device, exercise pointer/click activation selects an action item in the existing desktop manual scenario and record OS, browser version, device, date, and reproduction notes.</x:t>
        </x:is>
      </x:c>
      <x:c r="R76" s="74" t="inlineStr">
        <x:is>
          <x:t xml:space="preserve">A device tap selects the intended action once; no native long-press trigger is implied.</x:t>
        </x:is>
      </x:c>
      <x:c r="S76" s="74" t="inlineStr">
        <x:is>
          <x:t xml:space="preserve">playground/manual-tests/mobile-readiness.md — final physical-device and AT lane</x:t>
        </x:is>
      </x:c>
      <x:c r="T76" s="74" t="inlineStr">
        <x:is>
          <x:t xml:space="preserve">test/browser/mobile-gesture-consolidation.mobile.spec.ts</x:t>
        </x:is>
      </x:c>
      <x:c r="U76" s="76" t="inlineStr">
        <x:is>
          <x:t xml:space="preserve">not run</x:t>
        </x:is>
      </x:c>
      <x:c r="V76" s="73" t="n"/>
      <x:c r="W76" s="74" t="n"/>
      <x:c r="X76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76" s="76" t="str">
        <x:f>IF(A76="","",IF(COUNTBLANK(A76:E76)+COUNTBLANK(G76:J76)+COUNTBLANK(Q76:R76)+COUNTBLANK(U76)&gt;0,"needs core fields",IF(AND(OR(I76="previous baseline — desktop manual",I76="browser emulation — manual",LEFT(I76,11)="real device"),S76=""),"needs protocol ref",IF(AND(LEFT(I76,18)="browser automation",T76=""),"needs automation ref",IF(AND(LEFT(I76,11)="real device",OR(U76="passed",U76="failed",U76="blocked"),OR(K76="",L76="",M76="",N76="",P76="")),"needs device details",IF(AND(OR(U76="passed",U76="failed",U76="blocked"),V76=""),"needs result date","ready"))))))</x:f>
        <x:v>ready</x:v>
      </x:c>
    </x:row>
    <x:row r="77" s="51" customFormat="1" ht="48" customHeight="1">
      <x:c r="A77" s="73" t="inlineStr">
        <x:is>
          <x:t xml:space="preserve">MRE-07-CONTEXTMENU-003</x:t>
        </x:is>
      </x:c>
      <x:c r="B77" s="73" t="inlineStr">
        <x:is>
          <x:t xml:space="preserve">MR-07</x:t>
        </x:is>
      </x:c>
      <x:c r="C77" s="73" t="inlineStr">
        <x:is>
          <x:t xml:space="preserve">MR-P7</x:t>
        </x:is>
      </x:c>
      <x:c r="D77" s="74" t="inlineStr">
        <x:is>
          <x:t xml:space="preserve">ContextMenu</x:t>
        </x:is>
      </x:c>
      <x:c r="E77" s="74" t="inlineStr">
        <x:is>
          <x:t xml:space="preserve">pointer/click activation toggles a checkbox item in the existing desktop manual scenario</x:t>
        </x:is>
      </x:c>
      <x:c r="F77" s="74" t="inlineStr">
        <x:is>
          <x:t xml:space="preserve">ContextMenu!ID-183 — touch toggles checkbox item</x:t>
        </x:is>
      </x:c>
      <x:c r="G77" s="75" t="inlineStr">
        <x:is>
          <x:t xml:space="preserve">narrow unsupported claim</x:t>
        </x:is>
      </x:c>
      <x:c r="H77" s="74" t="inlineStr">
        <x:is>
          <x:t xml:space="preserve">already adequately supported</x:t>
        </x:is>
      </x:c>
      <x:c r="I77" s="75" t="inlineStr">
        <x:is>
          <x:t xml:space="preserve">real device — iOS Safari</x:t>
        </x:is>
      </x:c>
      <x:c r="J77" s="73" t="inlineStr">
        <x:is>
          <x:t xml:space="preserve">iOS</x:t>
        </x:is>
      </x:c>
      <x:c r="K77" s="73" t="n"/>
      <x:c r="L77" s="73" t="inlineStr">
        <x:is>
          <x:t xml:space="preserve">Safari</x:t>
        </x:is>
      </x:c>
      <x:c r="M77" s="73" t="n"/>
      <x:c r="N77" s="73" t="n"/>
      <x:c r="O77" s="73" t="inlineStr">
        <x:is>
          <x:t xml:space="preserve">touch</x:t>
        </x:is>
      </x:c>
      <x:c r="P77" s="73" t="inlineStr">
        <x:is>
          <x:t xml:space="preserve">none</x:t>
        </x:is>
      </x:c>
      <x:c r="Q77" s="74" t="inlineStr">
        <x:is>
          <x:t xml:space="preserve">On a named iOS device, exercise pointer/click activation toggles a checkbox item in the existing desktop manual scenario and record OS, browser version, device, date, and reproduction notes.</x:t>
        </x:is>
      </x:c>
      <x:c r="R77" s="74" t="inlineStr">
        <x:is>
          <x:t xml:space="preserve">A device tap toggles the intended checkbox item once; no native long-press trigger is implied.</x:t>
        </x:is>
      </x:c>
      <x:c r="S77" s="74" t="inlineStr">
        <x:is>
          <x:t xml:space="preserve">playground/manual-tests/mobile-readiness.md — final physical-device and AT lane</x:t>
        </x:is>
      </x:c>
      <x:c r="T77" s="74" t="inlineStr">
        <x:is>
          <x:t xml:space="preserve">test/browser/mobile-gesture-consolidation.mobile.spec.ts</x:t>
        </x:is>
      </x:c>
      <x:c r="U77" s="76" t="inlineStr">
        <x:is>
          <x:t xml:space="preserve">not run</x:t>
        </x:is>
      </x:c>
      <x:c r="V77" s="73" t="n"/>
      <x:c r="W77" s="74" t="n"/>
      <x:c r="X77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77" s="76" t="str">
        <x:f>IF(A77="","",IF(COUNTBLANK(A77:E77)+COUNTBLANK(G77:J77)+COUNTBLANK(Q77:R77)+COUNTBLANK(U77)&gt;0,"needs core fields",IF(AND(OR(I77="previous baseline — desktop manual",I77="browser emulation — manual",LEFT(I77,11)="real device"),S77=""),"needs protocol ref",IF(AND(LEFT(I77,18)="browser automation",T77=""),"needs automation ref",IF(AND(LEFT(I77,11)="real device",OR(U77="passed",U77="failed",U77="blocked"),OR(K77="",L77="",M77="",N77="",P77="")),"needs device details",IF(AND(OR(U77="passed",U77="failed",U77="blocked"),V77=""),"needs result date","ready"))))))</x:f>
        <x:v>ready</x:v>
      </x:c>
    </x:row>
    <x:row r="78" s="51" customFormat="1" ht="48" customHeight="1">
      <x:c r="A78" s="73" t="inlineStr">
        <x:is>
          <x:t xml:space="preserve">MRE-07-CONTEXTMENU-004</x:t>
        </x:is>
      </x:c>
      <x:c r="B78" s="73" t="inlineStr">
        <x:is>
          <x:t xml:space="preserve">MR-07</x:t>
        </x:is>
      </x:c>
      <x:c r="C78" s="73" t="inlineStr">
        <x:is>
          <x:t xml:space="preserve">MR-P7</x:t>
        </x:is>
      </x:c>
      <x:c r="D78" s="74" t="inlineStr">
        <x:is>
          <x:t xml:space="preserve">ContextMenu</x:t>
        </x:is>
      </x:c>
      <x:c r="E78" s="74" t="inlineStr">
        <x:is>
          <x:t xml:space="preserve">pointer/click activation toggles a checkbox item in the existing desktop manual scenario</x:t>
        </x:is>
      </x:c>
      <x:c r="F78" s="74" t="inlineStr">
        <x:is>
          <x:t xml:space="preserve">ContextMenu!ID-183 — touch toggles checkbox item</x:t>
        </x:is>
      </x:c>
      <x:c r="G78" s="75" t="inlineStr">
        <x:is>
          <x:t xml:space="preserve">narrow unsupported claim</x:t>
        </x:is>
      </x:c>
      <x:c r="H78" s="74" t="inlineStr">
        <x:is>
          <x:t xml:space="preserve">already adequately supported</x:t>
        </x:is>
      </x:c>
      <x:c r="I78" s="75" t="inlineStr">
        <x:is>
          <x:t xml:space="preserve">real device — Android Chrome</x:t>
        </x:is>
      </x:c>
      <x:c r="J78" s="73" t="inlineStr">
        <x:is>
          <x:t xml:space="preserve">Android</x:t>
        </x:is>
      </x:c>
      <x:c r="K78" s="73" t="n"/>
      <x:c r="L78" s="73" t="inlineStr">
        <x:is>
          <x:t xml:space="preserve">Chrome</x:t>
        </x:is>
      </x:c>
      <x:c r="M78" s="73" t="n"/>
      <x:c r="N78" s="73" t="n"/>
      <x:c r="O78" s="73" t="inlineStr">
        <x:is>
          <x:t xml:space="preserve">touch</x:t>
        </x:is>
      </x:c>
      <x:c r="P78" s="73" t="inlineStr">
        <x:is>
          <x:t xml:space="preserve">none</x:t>
        </x:is>
      </x:c>
      <x:c r="Q78" s="74" t="inlineStr">
        <x:is>
          <x:t xml:space="preserve">On a named Android device, exercise pointer/click activation toggles a checkbox item in the existing desktop manual scenario and record OS, browser version, device, date, and reproduction notes.</x:t>
        </x:is>
      </x:c>
      <x:c r="R78" s="74" t="inlineStr">
        <x:is>
          <x:t xml:space="preserve">A device tap toggles the intended checkbox item once; no native long-press trigger is implied.</x:t>
        </x:is>
      </x:c>
      <x:c r="S78" s="74" t="inlineStr">
        <x:is>
          <x:t xml:space="preserve">playground/manual-tests/mobile-readiness.md — final physical-device and AT lane</x:t>
        </x:is>
      </x:c>
      <x:c r="T78" s="74" t="inlineStr">
        <x:is>
          <x:t xml:space="preserve">test/browser/mobile-gesture-consolidation.mobile.spec.ts</x:t>
        </x:is>
      </x:c>
      <x:c r="U78" s="76" t="inlineStr">
        <x:is>
          <x:t xml:space="preserve">not run</x:t>
        </x:is>
      </x:c>
      <x:c r="V78" s="73" t="n"/>
      <x:c r="W78" s="74" t="n"/>
      <x:c r="X78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78" s="76" t="str">
        <x:f>IF(A78="","",IF(COUNTBLANK(A78:E78)+COUNTBLANK(G78:J78)+COUNTBLANK(Q78:R78)+COUNTBLANK(U78)&gt;0,"needs core fields",IF(AND(OR(I78="previous baseline — desktop manual",I78="browser emulation — manual",LEFT(I78,11)="real device"),S78=""),"needs protocol ref",IF(AND(LEFT(I78,18)="browser automation",T78=""),"needs automation ref",IF(AND(LEFT(I78,11)="real device",OR(U78="passed",U78="failed",U78="blocked"),OR(K78="",L78="",M78="",N78="",P78="")),"needs device details",IF(AND(OR(U78="passed",U78="failed",U78="blocked"),V78=""),"needs result date","ready"))))))</x:f>
        <x:v>ready</x:v>
      </x:c>
    </x:row>
    <x:row r="79" s="51" customFormat="1" ht="48" customHeight="1">
      <x:c r="A79" s="73" t="inlineStr">
        <x:is>
          <x:t xml:space="preserve">MRE-07-CONTEXTMENU-005</x:t>
        </x:is>
      </x:c>
      <x:c r="B79" s="73" t="inlineStr">
        <x:is>
          <x:t xml:space="preserve">MR-07</x:t>
        </x:is>
      </x:c>
      <x:c r="C79" s="73" t="inlineStr">
        <x:is>
          <x:t xml:space="preserve">MR-P7</x:t>
        </x:is>
      </x:c>
      <x:c r="D79" s="74" t="inlineStr">
        <x:is>
          <x:t xml:space="preserve">ContextMenu</x:t>
        </x:is>
      </x:c>
      <x:c r="E79" s="74" t="inlineStr">
        <x:is>
          <x:t xml:space="preserve">pointer/click activation selects a radio item in the existing desktop manual scenario</x:t>
        </x:is>
      </x:c>
      <x:c r="F79" s="74" t="inlineStr">
        <x:is>
          <x:t xml:space="preserve">ContextMenu!ID-184 — touch selects radio item</x:t>
        </x:is>
      </x:c>
      <x:c r="G79" s="75" t="inlineStr">
        <x:is>
          <x:t xml:space="preserve">narrow unsupported claim</x:t>
        </x:is>
      </x:c>
      <x:c r="H79" s="74" t="inlineStr">
        <x:is>
          <x:t xml:space="preserve">already adequately supported</x:t>
        </x:is>
      </x:c>
      <x:c r="I79" s="75" t="inlineStr">
        <x:is>
          <x:t xml:space="preserve">real device — iOS Safari</x:t>
        </x:is>
      </x:c>
      <x:c r="J79" s="73" t="inlineStr">
        <x:is>
          <x:t xml:space="preserve">iOS</x:t>
        </x:is>
      </x:c>
      <x:c r="K79" s="73" t="n"/>
      <x:c r="L79" s="73" t="inlineStr">
        <x:is>
          <x:t xml:space="preserve">Safari</x:t>
        </x:is>
      </x:c>
      <x:c r="M79" s="73" t="n"/>
      <x:c r="N79" s="73" t="n"/>
      <x:c r="O79" s="73" t="inlineStr">
        <x:is>
          <x:t xml:space="preserve">touch</x:t>
        </x:is>
      </x:c>
      <x:c r="P79" s="73" t="inlineStr">
        <x:is>
          <x:t xml:space="preserve">none</x:t>
        </x:is>
      </x:c>
      <x:c r="Q79" s="74" t="inlineStr">
        <x:is>
          <x:t xml:space="preserve">On a named iOS device, exercise pointer/click activation selects a radio item in the existing desktop manual scenario and record OS, browser version, device, date, and reproduction notes.</x:t>
        </x:is>
      </x:c>
      <x:c r="R79" s="74" t="inlineStr">
        <x:is>
          <x:t xml:space="preserve">A device tap selects the intended radio item once; no native long-press trigger is implied.</x:t>
        </x:is>
      </x:c>
      <x:c r="S79" s="74" t="inlineStr">
        <x:is>
          <x:t xml:space="preserve">playground/manual-tests/mobile-readiness.md — final physical-device and AT lane</x:t>
        </x:is>
      </x:c>
      <x:c r="T79" s="74" t="inlineStr">
        <x:is>
          <x:t xml:space="preserve">test/browser/mobile-gesture-consolidation.mobile.spec.ts</x:t>
        </x:is>
      </x:c>
      <x:c r="U79" s="76" t="inlineStr">
        <x:is>
          <x:t xml:space="preserve">not run</x:t>
        </x:is>
      </x:c>
      <x:c r="V79" s="73" t="n"/>
      <x:c r="W79" s="74" t="n"/>
      <x:c r="X79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79" s="76" t="str">
        <x:f>IF(A79="","",IF(COUNTBLANK(A79:E79)+COUNTBLANK(G79:J79)+COUNTBLANK(Q79:R79)+COUNTBLANK(U79)&gt;0,"needs core fields",IF(AND(OR(I79="previous baseline — desktop manual",I79="browser emulation — manual",LEFT(I79,11)="real device"),S79=""),"needs protocol ref",IF(AND(LEFT(I79,18)="browser automation",T79=""),"needs automation ref",IF(AND(LEFT(I79,11)="real device",OR(U79="passed",U79="failed",U79="blocked"),OR(K79="",L79="",M79="",N79="",P79="")),"needs device details",IF(AND(OR(U79="passed",U79="failed",U79="blocked"),V79=""),"needs result date","ready"))))))</x:f>
        <x:v>ready</x:v>
      </x:c>
    </x:row>
    <x:row r="80" s="51" customFormat="1" ht="48" customHeight="1">
      <x:c r="A80" s="73" t="inlineStr">
        <x:is>
          <x:t xml:space="preserve">MRE-07-CONTEXTMENU-006</x:t>
        </x:is>
      </x:c>
      <x:c r="B80" s="73" t="inlineStr">
        <x:is>
          <x:t xml:space="preserve">MR-07</x:t>
        </x:is>
      </x:c>
      <x:c r="C80" s="73" t="inlineStr">
        <x:is>
          <x:t xml:space="preserve">MR-P7</x:t>
        </x:is>
      </x:c>
      <x:c r="D80" s="74" t="inlineStr">
        <x:is>
          <x:t xml:space="preserve">ContextMenu</x:t>
        </x:is>
      </x:c>
      <x:c r="E80" s="74" t="inlineStr">
        <x:is>
          <x:t xml:space="preserve">pointer/click activation selects a radio item in the existing desktop manual scenario</x:t>
        </x:is>
      </x:c>
      <x:c r="F80" s="74" t="inlineStr">
        <x:is>
          <x:t xml:space="preserve">ContextMenu!ID-184 — touch selects radio item</x:t>
        </x:is>
      </x:c>
      <x:c r="G80" s="75" t="inlineStr">
        <x:is>
          <x:t xml:space="preserve">narrow unsupported claim</x:t>
        </x:is>
      </x:c>
      <x:c r="H80" s="74" t="inlineStr">
        <x:is>
          <x:t xml:space="preserve">already adequately supported</x:t>
        </x:is>
      </x:c>
      <x:c r="I80" s="75" t="inlineStr">
        <x:is>
          <x:t xml:space="preserve">real device — Android Chrome</x:t>
        </x:is>
      </x:c>
      <x:c r="J80" s="73" t="inlineStr">
        <x:is>
          <x:t xml:space="preserve">Android</x:t>
        </x:is>
      </x:c>
      <x:c r="K80" s="73" t="n"/>
      <x:c r="L80" s="73" t="inlineStr">
        <x:is>
          <x:t xml:space="preserve">Chrome</x:t>
        </x:is>
      </x:c>
      <x:c r="M80" s="73" t="n"/>
      <x:c r="N80" s="73" t="n"/>
      <x:c r="O80" s="73" t="inlineStr">
        <x:is>
          <x:t xml:space="preserve">touch</x:t>
        </x:is>
      </x:c>
      <x:c r="P80" s="73" t="inlineStr">
        <x:is>
          <x:t xml:space="preserve">none</x:t>
        </x:is>
      </x:c>
      <x:c r="Q80" s="74" t="inlineStr">
        <x:is>
          <x:t xml:space="preserve">On a named Android device, exercise pointer/click activation selects a radio item in the existing desktop manual scenario and record OS, browser version, device, date, and reproduction notes.</x:t>
        </x:is>
      </x:c>
      <x:c r="R80" s="74" t="inlineStr">
        <x:is>
          <x:t xml:space="preserve">A device tap selects the intended radio item once; no native long-press trigger is implied.</x:t>
        </x:is>
      </x:c>
      <x:c r="S80" s="74" t="inlineStr">
        <x:is>
          <x:t xml:space="preserve">playground/manual-tests/mobile-readiness.md — final physical-device and AT lane</x:t>
        </x:is>
      </x:c>
      <x:c r="T80" s="74" t="inlineStr">
        <x:is>
          <x:t xml:space="preserve">test/browser/mobile-gesture-consolidation.mobile.spec.ts</x:t>
        </x:is>
      </x:c>
      <x:c r="U80" s="76" t="inlineStr">
        <x:is>
          <x:t xml:space="preserve">not run</x:t>
        </x:is>
      </x:c>
      <x:c r="V80" s="73" t="n"/>
      <x:c r="W80" s="74" t="n"/>
      <x:c r="X80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80" s="76" t="str">
        <x:f>IF(A80="","",IF(COUNTBLANK(A80:E80)+COUNTBLANK(G80:J80)+COUNTBLANK(Q80:R80)+COUNTBLANK(U80)&gt;0,"needs core fields",IF(AND(OR(I80="previous baseline — desktop manual",I80="browser emulation — manual",LEFT(I80,11)="real device"),S80=""),"needs protocol ref",IF(AND(LEFT(I80,18)="browser automation",T80=""),"needs automation ref",IF(AND(LEFT(I80,11)="real device",OR(U80="passed",U80="failed",U80="blocked"),OR(K80="",L80="",M80="",N80="",P80="")),"needs device details",IF(AND(OR(U80="passed",U80="failed",U80="blocked"),V80=""),"needs result date","ready"))))))</x:f>
        <x:v>ready</x:v>
      </x:c>
    </x:row>
    <x:row r="81" s="51" customFormat="1" ht="48" customHeight="1">
      <x:c r="A81" s="73" t="inlineStr">
        <x:is>
          <x:t xml:space="preserve">MRE-08-CONTEXTMENU-001</x:t>
        </x:is>
      </x:c>
      <x:c r="B81" s="73" t="inlineStr">
        <x:is>
          <x:t xml:space="preserve">MR-08</x:t>
        </x:is>
      </x:c>
      <x:c r="C81" s="73" t="inlineStr">
        <x:is>
          <x:t xml:space="preserve">MR-P7</x:t>
        </x:is>
      </x:c>
      <x:c r="D81" s="74" t="inlineStr">
        <x:is>
          <x:t xml:space="preserve">ContextMenu</x:t>
        </x:is>
      </x:c>
      <x:c r="E81" s="74" t="inlineStr">
        <x:is>
          <x:t xml:space="preserve">pointer/click activation opens a submenu in the existing desktop manual scenario</x:t>
        </x:is>
      </x:c>
      <x:c r="F81" s="74" t="inlineStr">
        <x:is>
          <x:t xml:space="preserve">ContextMenu!ID-185 — touch opens submenu</x:t>
        </x:is>
      </x:c>
      <x:c r="G81" s="75" t="inlineStr">
        <x:is>
          <x:t xml:space="preserve">narrow unsupported claim</x:t>
        </x:is>
      </x:c>
      <x:c r="H81" s="74" t="inlineStr">
        <x:is>
          <x:t xml:space="preserve">Atom API/design decision required</x:t>
        </x:is>
      </x:c>
      <x:c r="I81" s="75" t="inlineStr">
        <x:is>
          <x:t xml:space="preserve">real device — iOS Safari</x:t>
        </x:is>
      </x:c>
      <x:c r="J81" s="73" t="inlineStr">
        <x:is>
          <x:t xml:space="preserve">iOS</x:t>
        </x:is>
      </x:c>
      <x:c r="K81" s="73" t="n"/>
      <x:c r="L81" s="73" t="inlineStr">
        <x:is>
          <x:t xml:space="preserve">Safari</x:t>
        </x:is>
      </x:c>
      <x:c r="M81" s="73" t="n"/>
      <x:c r="N81" s="73" t="n"/>
      <x:c r="O81" s="73" t="inlineStr">
        <x:is>
          <x:t xml:space="preserve">touch</x:t>
        </x:is>
      </x:c>
      <x:c r="P81" s="73" t="inlineStr">
        <x:is>
          <x:t xml:space="preserve">none</x:t>
        </x:is>
      </x:c>
      <x:c r="Q81" s="74" t="inlineStr">
        <x:is>
          <x:t xml:space="preserve">On a named iOS device, exercise pointer/click activation opens a submenu in the existing desktop manual scenario and record OS, browser version, device, date, and reproduction notes.</x:t>
        </x:is>
      </x:c>
      <x:c r="R81" s="74" t="inlineStr">
        <x:is>
          <x:t xml:space="preserve">A device tap opens the intended submenu; no native long-press trigger or implicit drill-in mode is implied.</x:t>
        </x:is>
      </x:c>
      <x:c r="S81" s="74" t="inlineStr">
        <x:is>
          <x:t xml:space="preserve">playground/manual-tests/mobile-readiness.md — final physical-device and AT lane</x:t>
        </x:is>
      </x:c>
      <x:c r="T81" s="74" t="inlineStr">
        <x:is>
          <x:t xml:space="preserve">test/browser/mobile-gesture-consolidation.mobile.spec.ts</x:t>
        </x:is>
      </x:c>
      <x:c r="U81" s="76" t="inlineStr">
        <x:is>
          <x:t xml:space="preserve">not run</x:t>
        </x:is>
      </x:c>
      <x:c r="V81" s="73" t="n"/>
      <x:c r="W81" s="74" t="n"/>
      <x:c r="X81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81" s="76" t="str">
        <x:f>IF(A81="","",IF(COUNTBLANK(A81:E81)+COUNTBLANK(G81:J81)+COUNTBLANK(Q81:R81)+COUNTBLANK(U81)&gt;0,"needs core fields",IF(AND(OR(I81="previous baseline — desktop manual",I81="browser emulation — manual",LEFT(I81,11)="real device"),S81=""),"needs protocol ref",IF(AND(LEFT(I81,18)="browser automation",T81=""),"needs automation ref",IF(AND(LEFT(I81,11)="real device",OR(U81="passed",U81="failed",U81="blocked"),OR(K81="",L81="",M81="",N81="",P81="")),"needs device details",IF(AND(OR(U81="passed",U81="failed",U81="blocked"),V81=""),"needs result date","ready"))))))</x:f>
        <x:v>ready</x:v>
      </x:c>
    </x:row>
    <x:row r="82" s="51" customFormat="1" ht="48" customHeight="1">
      <x:c r="A82" s="73" t="inlineStr">
        <x:is>
          <x:t xml:space="preserve">MRE-08-CONTEXTMENU-002</x:t>
        </x:is>
      </x:c>
      <x:c r="B82" s="73" t="inlineStr">
        <x:is>
          <x:t xml:space="preserve">MR-08</x:t>
        </x:is>
      </x:c>
      <x:c r="C82" s="73" t="inlineStr">
        <x:is>
          <x:t xml:space="preserve">MR-P7</x:t>
        </x:is>
      </x:c>
      <x:c r="D82" s="74" t="inlineStr">
        <x:is>
          <x:t xml:space="preserve">ContextMenu</x:t>
        </x:is>
      </x:c>
      <x:c r="E82" s="74" t="inlineStr">
        <x:is>
          <x:t xml:space="preserve">pointer/click activation opens a submenu in the existing desktop manual scenario</x:t>
        </x:is>
      </x:c>
      <x:c r="F82" s="74" t="inlineStr">
        <x:is>
          <x:t xml:space="preserve">ContextMenu!ID-185 — touch opens submenu</x:t>
        </x:is>
      </x:c>
      <x:c r="G82" s="75" t="inlineStr">
        <x:is>
          <x:t xml:space="preserve">narrow unsupported claim</x:t>
        </x:is>
      </x:c>
      <x:c r="H82" s="74" t="inlineStr">
        <x:is>
          <x:t xml:space="preserve">Atom API/design decision required</x:t>
        </x:is>
      </x:c>
      <x:c r="I82" s="75" t="inlineStr">
        <x:is>
          <x:t xml:space="preserve">real device — Android Chrome</x:t>
        </x:is>
      </x:c>
      <x:c r="J82" s="73" t="inlineStr">
        <x:is>
          <x:t xml:space="preserve">Android</x:t>
        </x:is>
      </x:c>
      <x:c r="K82" s="73" t="n"/>
      <x:c r="L82" s="73" t="inlineStr">
        <x:is>
          <x:t xml:space="preserve">Chrome</x:t>
        </x:is>
      </x:c>
      <x:c r="M82" s="73" t="n"/>
      <x:c r="N82" s="73" t="n"/>
      <x:c r="O82" s="73" t="inlineStr">
        <x:is>
          <x:t xml:space="preserve">touch</x:t>
        </x:is>
      </x:c>
      <x:c r="P82" s="73" t="inlineStr">
        <x:is>
          <x:t xml:space="preserve">none</x:t>
        </x:is>
      </x:c>
      <x:c r="Q82" s="74" t="inlineStr">
        <x:is>
          <x:t xml:space="preserve">On a named Android device, exercise pointer/click activation opens a submenu in the existing desktop manual scenario and record OS, browser version, device, date, and reproduction notes.</x:t>
        </x:is>
      </x:c>
      <x:c r="R82" s="74" t="inlineStr">
        <x:is>
          <x:t xml:space="preserve">A device tap opens the intended submenu; no native long-press trigger or implicit drill-in mode is implied.</x:t>
        </x:is>
      </x:c>
      <x:c r="S82" s="74" t="inlineStr">
        <x:is>
          <x:t xml:space="preserve">playground/manual-tests/mobile-readiness.md — final physical-device and AT lane</x:t>
        </x:is>
      </x:c>
      <x:c r="T82" s="74" t="inlineStr">
        <x:is>
          <x:t xml:space="preserve">test/browser/mobile-gesture-consolidation.mobile.spec.ts</x:t>
        </x:is>
      </x:c>
      <x:c r="U82" s="76" t="inlineStr">
        <x:is>
          <x:t xml:space="preserve">not run</x:t>
        </x:is>
      </x:c>
      <x:c r="V82" s="73" t="n"/>
      <x:c r="W82" s="74" t="n"/>
      <x:c r="X82" s="74" t="inlineStr">
        <x:is>
          <x:t xml:space="preserve">Existing component coverage remains the verified desktop/manual baseline; this record is an additional device qualification. Automated Chromium/WebKit evidence passed 2026-07-30; this physical-device record remains governed by its separately recorded device status.</x:t>
        </x:is>
      </x:c>
      <x:c r="Y82" s="76" t="str">
        <x:f>IF(A82="","",IF(COUNTBLANK(A82:E82)+COUNTBLANK(G82:J82)+COUNTBLANK(Q82:R82)+COUNTBLANK(U82)&gt;0,"needs core fields",IF(AND(OR(I82="previous baseline — desktop manual",I82="browser emulation — manual",LEFT(I82,11)="real device"),S82=""),"needs protocol ref",IF(AND(LEFT(I82,18)="browser automation",T82=""),"needs automation ref",IF(AND(LEFT(I82,11)="real device",OR(U82="passed",U82="failed",U82="blocked"),OR(K82="",L82="",M82="",N82="",P82="")),"needs device details",IF(AND(OR(U82="passed",U82="failed",U82="blocked"),V82=""),"needs result date","ready"))))))</x:f>
        <x:v>ready</x:v>
      </x:c>
    </x:row>
    <x:row r="83" s="51" customFormat="1" ht="48" customHeight="1">
      <x:c r="A83" s="73" t="inlineStr">
        <x:is>
          <x:t xml:space="preserve">MRE-05-DIALOG-001</x:t>
        </x:is>
      </x:c>
      <x:c r="B83" s="73" t="inlineStr">
        <x:is>
          <x:t xml:space="preserve">MR-05</x:t>
        </x:is>
      </x:c>
      <x:c r="C83" s="73" t="inlineStr">
        <x:is>
          <x:t xml:space="preserve">MR-P4</x:t>
        </x:is>
      </x:c>
      <x:c r="D83" s="74" t="inlineStr">
        <x:is>
          <x:t xml:space="preserve">Dialog</x:t>
        </x:is>
      </x:c>
      <x:c r="E83" s="74" t="inlineStr">
        <x:is>
          <x:t xml:space="preserve">modal background isolation during screen-reader touch exploration</x:t>
        </x:is>
      </x:c>
      <x:c r="F83" s="74" t="inlineStr">
        <x:is>
          <x:t xml:space="preserve">Dialog!ID-95 — mobile focus expectations</x:t>
        </x:is>
      </x:c>
      <x:c r="G83" s="75" t="inlineStr">
        <x:is>
          <x:t xml:space="preserve">narrow unsupported claim</x:t>
        </x:is>
      </x:c>
      <x:c r="H83" s="74" t="inlineStr">
        <x:is>
          <x:t xml:space="preserve">confirmed Atom implementation gap</x:t>
        </x:is>
      </x:c>
      <x:c r="I83" s="75" t="inlineStr">
        <x:is>
          <x:t xml:space="preserve">real device + AT — iOS Safari + VoiceOver</x:t>
        </x:is>
      </x:c>
      <x:c r="J83" s="73" t="inlineStr">
        <x:is>
          <x:t xml:space="preserve">iOS</x:t>
        </x:is>
      </x:c>
      <x:c r="K83" s="73" t="inlineStr">
        <x:is>
          <x:t xml:space="preserve">26.5.2</x:t>
        </x:is>
      </x:c>
      <x:c r="L83" s="73" t="inlineStr">
        <x:is>
          <x:t xml:space="preserve">Safari</x:t>
        </x:is>
      </x:c>
      <x:c r="M83" s="73" t="inlineStr">
        <x:is>
          <x:t xml:space="preserve">26.5.2 system Safari</x:t>
        </x:is>
      </x:c>
      <x:c r="N83" s="73" t="inlineStr">
        <x:is>
          <x:t xml:space="preserve">iPhone 16 Pro Max</x:t>
        </x:is>
      </x:c>
      <x:c r="O83" s="73" t="inlineStr">
        <x:is>
          <x:t xml:space="preserve">screen-reader touch exploration</x:t>
        </x:is>
      </x:c>
      <x:c r="P83" s="73" t="inlineStr">
        <x:is>
          <x:t xml:space="preserve">VoiceOver</x:t>
        </x:is>
      </x:c>
      <x:c r="Q83" s="74" t="inlineStr">
        <x:is>
          <x:t xml:space="preserve">On a named iOS device with VoiceOver, open the modal and explore inside and outside it; record device, versions, date, and notes.</x:t>
        </x:is>
      </x:c>
      <x:c r="R83" s="74" t="inlineStr">
        <x:is>
          <x:t xml:space="preserve">Owned modal content remains operable and background content is unavailable to assistive-technology touch exploration.</x:t>
        </x:is>
      </x:c>
      <x:c r="S83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83" s="74" t="inlineStr">
        <x:is>
          <x:t xml:space="preserve">test/browser/modal-containment.spec.ts; test/browser/modal-containment.mobile.spec.ts</x:t>
        </x:is>
      </x:c>
      <x:c r="U83" s="76" t="inlineStr">
        <x:is>
          <x:t xml:space="preserve">passed</x:t>
        </x:is>
      </x:c>
      <x:c r="V83" s="77" t="n">
        <x:v>46220</x:v>
      </x:c>
      <x:c r="W83" s="74" t="inlineStr">
        <x:is>
          <x:t xml:space="preserve">Modal foundation commits bbd4656 and 69be97d</x:t>
        </x:is>
      </x:c>
      <x:c r="X83" s="74" t="inlineStr">
        <x:is>
          <x:t xml:space="preserve">Passed on physical iPhone: touch focus and keyboard behavior, allowed-region scrolling, background lock, rotation, nested cleanup, and VoiceOver isolation were qualified as applicable to this evidence record. Automated Chromium/WebKit evidence passed 2026-07-30; this physical-device record remains governed by its separately recorded device status.</x:t>
        </x:is>
      </x:c>
      <x:c r="Y83" s="76" t="str">
        <x:f>IF(A83="","",IF(COUNTBLANK(A83:E83)+COUNTBLANK(G83:J83)+COUNTBLANK(Q83:R83)+COUNTBLANK(U83)&gt;0,"needs core fields",IF(AND(OR(I83="previous baseline — desktop manual",I83="browser emulation — manual",LEFT(I83,11)="real device"),S83=""),"needs protocol ref",IF(AND(LEFT(I83,18)="browser automation",T83=""),"needs automation ref",IF(AND(LEFT(I83,11)="real device",OR(U83="passed",U83="failed",U83="blocked"),OR(K83="",L83="",M83="",N83="",P83="")),"needs device details",IF(AND(OR(U83="passed",U83="failed",U83="blocked"),V83=""),"needs result date","ready"))))))</x:f>
        <x:v>ready</x:v>
      </x:c>
    </x:row>
    <x:row r="84" s="51" customFormat="1" ht="48" customHeight="1">
      <x:c r="A84" s="73" t="inlineStr">
        <x:is>
          <x:t xml:space="preserve">MRE-05-DIALOG-002</x:t>
        </x:is>
      </x:c>
      <x:c r="B84" s="73" t="inlineStr">
        <x:is>
          <x:t xml:space="preserve">MR-05</x:t>
        </x:is>
      </x:c>
      <x:c r="C84" s="73" t="inlineStr">
        <x:is>
          <x:t xml:space="preserve">MR-P4</x:t>
        </x:is>
      </x:c>
      <x:c r="D84" s="74" t="inlineStr">
        <x:is>
          <x:t xml:space="preserve">Dialog</x:t>
        </x:is>
      </x:c>
      <x:c r="E84" s="74" t="inlineStr">
        <x:is>
          <x:t xml:space="preserve">modal background isolation during screen-reader touch exploration</x:t>
        </x:is>
      </x:c>
      <x:c r="F84" s="74" t="inlineStr">
        <x:is>
          <x:t xml:space="preserve">Dialog!ID-95 — mobile focus expectations</x:t>
        </x:is>
      </x:c>
      <x:c r="G84" s="75" t="inlineStr">
        <x:is>
          <x:t xml:space="preserve">narrow unsupported claim</x:t>
        </x:is>
      </x:c>
      <x:c r="H84" s="74" t="inlineStr">
        <x:is>
          <x:t xml:space="preserve">confirmed Atom implementation gap</x:t>
        </x:is>
      </x:c>
      <x:c r="I84" s="75" t="inlineStr">
        <x:is>
          <x:t xml:space="preserve">real device + AT — Android Chrome + TalkBack</x:t>
        </x:is>
      </x:c>
      <x:c r="J84" s="73" t="inlineStr">
        <x:is>
          <x:t xml:space="preserve">Android</x:t>
        </x:is>
      </x:c>
      <x:c r="K84" s="73" t="n"/>
      <x:c r="L84" s="73" t="inlineStr">
        <x:is>
          <x:t xml:space="preserve">Chrome</x:t>
        </x:is>
      </x:c>
      <x:c r="M84" s="73" t="n"/>
      <x:c r="N84" s="73" t="n"/>
      <x:c r="O84" s="73" t="inlineStr">
        <x:is>
          <x:t xml:space="preserve">screen-reader touch exploration</x:t>
        </x:is>
      </x:c>
      <x:c r="P84" s="73" t="inlineStr">
        <x:is>
          <x:t xml:space="preserve">TalkBack</x:t>
        </x:is>
      </x:c>
      <x:c r="Q84" s="74" t="inlineStr">
        <x:is>
          <x:t xml:space="preserve">On a named Android device with TalkBack, open the modal and explore inside and outside it; record device, versions, date, and notes.</x:t>
        </x:is>
      </x:c>
      <x:c r="R84" s="74" t="inlineStr">
        <x:is>
          <x:t xml:space="preserve">Owned modal content remains operable and background content is unavailable to assistive-technology touch exploration.</x:t>
        </x:is>
      </x:c>
      <x:c r="S84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84" s="74" t="inlineStr">
        <x:is>
          <x:t xml:space="preserve">test/browser/modal-containment.spec.ts; test/browser/modal-containment.mobile.spec.ts</x:t>
        </x:is>
      </x:c>
      <x:c r="U84" s="76" t="inlineStr">
        <x:is>
          <x:t xml:space="preserve">not run</x:t>
        </x:is>
      </x:c>
      <x:c r="V84" s="73" t="n"/>
      <x:c r="W84" s="74" t="n"/>
      <x:c r="X84" s="74" t="inlineStr">
        <x:is>
          <x:t xml:space="preserve">Deferred by maintainer because no Android device is available; remains not run and is not represented as a pass or failure. Automated Chromium/WebKit evidence passed 2026-07-30; this physical-device record remains governed by its separately recorded device status.</x:t>
        </x:is>
      </x:c>
      <x:c r="Y84" s="76" t="str">
        <x:f>IF(A84="","",IF(COUNTBLANK(A84:E84)+COUNTBLANK(G84:J84)+COUNTBLANK(Q84:R84)+COUNTBLANK(U84)&gt;0,"needs core fields",IF(AND(OR(I84="previous baseline — desktop manual",I84="browser emulation — manual",LEFT(I84,11)="real device"),S84=""),"needs protocol ref",IF(AND(LEFT(I84,18)="browser automation",T84=""),"needs automation ref",IF(AND(LEFT(I84,11)="real device",OR(U84="passed",U84="failed",U84="blocked"),OR(K84="",L84="",M84="",N84="",P84="")),"needs device details",IF(AND(OR(U84="passed",U84="failed",U84="blocked"),V84=""),"needs result date","ready"))))))</x:f>
        <x:v>ready</x:v>
      </x:c>
    </x:row>
    <x:row r="85" s="51" customFormat="1" ht="48" customHeight="1">
      <x:c r="A85" s="73" t="inlineStr">
        <x:is>
          <x:t xml:space="preserve">MRE-05-MODAL-001</x:t>
        </x:is>
      </x:c>
      <x:c r="B85" s="73" t="inlineStr">
        <x:is>
          <x:t xml:space="preserve">MR-05</x:t>
        </x:is>
      </x:c>
      <x:c r="C85" s="73" t="inlineStr">
        <x:is>
          <x:t xml:space="preserve">MR-P4</x:t>
        </x:is>
      </x:c>
      <x:c r="D85" s="74" t="inlineStr">
        <x:is>
          <x:t xml:space="preserve">Modal</x:t>
        </x:is>
      </x:c>
      <x:c r="E85" s="74" t="inlineStr">
        <x:is>
          <x:t xml:space="preserve">modal background isolation during screen-reader touch exploration</x:t>
        </x:is>
      </x:c>
      <x:c r="F85" s="74" t="inlineStr">
        <x:is>
          <x:t xml:space="preserve">Modal!ID-102 — mobile viewport/touch behavior</x:t>
        </x:is>
      </x:c>
      <x:c r="G85" s="75" t="inlineStr">
        <x:is>
          <x:t xml:space="preserve">narrow unsupported claim</x:t>
        </x:is>
      </x:c>
      <x:c r="H85" s="74" t="inlineStr">
        <x:is>
          <x:t xml:space="preserve">confirmed Atom implementation gap</x:t>
        </x:is>
      </x:c>
      <x:c r="I85" s="75" t="inlineStr">
        <x:is>
          <x:t xml:space="preserve">real device + AT — iOS Safari + VoiceOver</x:t>
        </x:is>
      </x:c>
      <x:c r="J85" s="73" t="inlineStr">
        <x:is>
          <x:t xml:space="preserve">iOS</x:t>
        </x:is>
      </x:c>
      <x:c r="K85" s="73" t="inlineStr">
        <x:is>
          <x:t xml:space="preserve">26.5.2</x:t>
        </x:is>
      </x:c>
      <x:c r="L85" s="73" t="inlineStr">
        <x:is>
          <x:t xml:space="preserve">Safari</x:t>
        </x:is>
      </x:c>
      <x:c r="M85" s="73" t="inlineStr">
        <x:is>
          <x:t xml:space="preserve">26.5.2 system Safari</x:t>
        </x:is>
      </x:c>
      <x:c r="N85" s="73" t="inlineStr">
        <x:is>
          <x:t xml:space="preserve">iPhone 16 Pro Max</x:t>
        </x:is>
      </x:c>
      <x:c r="O85" s="73" t="inlineStr">
        <x:is>
          <x:t xml:space="preserve">screen-reader touch exploration</x:t>
        </x:is>
      </x:c>
      <x:c r="P85" s="73" t="inlineStr">
        <x:is>
          <x:t xml:space="preserve">VoiceOver</x:t>
        </x:is>
      </x:c>
      <x:c r="Q85" s="74" t="inlineStr">
        <x:is>
          <x:t xml:space="preserve">On a named iOS device with VoiceOver, open the modal and explore inside and outside it; record device, versions, date, and notes.</x:t>
        </x:is>
      </x:c>
      <x:c r="R85" s="74" t="inlineStr">
        <x:is>
          <x:t xml:space="preserve">Owned modal content remains operable and background content is unavailable to assistive-technology touch exploration.</x:t>
        </x:is>
      </x:c>
      <x:c r="S85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85" s="74" t="inlineStr">
        <x:is>
          <x:t xml:space="preserve">test/browser/modal-containment.spec.ts; test/browser/modal-containment.mobile.spec.ts</x:t>
        </x:is>
      </x:c>
      <x:c r="U85" s="76" t="inlineStr">
        <x:is>
          <x:t xml:space="preserve">passed</x:t>
        </x:is>
      </x:c>
      <x:c r="V85" s="77" t="n">
        <x:v>46220</x:v>
      </x:c>
      <x:c r="W85" s="74" t="inlineStr">
        <x:is>
          <x:t xml:space="preserve">Modal foundation commits bbd4656 and 69be97d</x:t>
        </x:is>
      </x:c>
      <x:c r="X85" s="74" t="inlineStr">
        <x:is>
          <x:t xml:space="preserve">Passed on physical iPhone: touch focus and keyboard behavior, allowed-region scrolling, background lock, rotation, nested cleanup, and VoiceOver isolation were qualified as applicable to this evidence record. Automated Chromium/WebKit evidence passed 2026-07-30; this physical-device record remains governed by its separately recorded device status.</x:t>
        </x:is>
      </x:c>
      <x:c r="Y85" s="76" t="str">
        <x:f>IF(A85="","",IF(COUNTBLANK(A85:E85)+COUNTBLANK(G85:J85)+COUNTBLANK(Q85:R85)+COUNTBLANK(U85)&gt;0,"needs core fields",IF(AND(OR(I85="previous baseline — desktop manual",I85="browser emulation — manual",LEFT(I85,11)="real device"),S85=""),"needs protocol ref",IF(AND(LEFT(I85,18)="browser automation",T85=""),"needs automation ref",IF(AND(LEFT(I85,11)="real device",OR(U85="passed",U85="failed",U85="blocked"),OR(K85="",L85="",M85="",N85="",P85="")),"needs device details",IF(AND(OR(U85="passed",U85="failed",U85="blocked"),V85=""),"needs result date","ready"))))))</x:f>
        <x:v>ready</x:v>
      </x:c>
    </x:row>
    <x:row r="86" s="51" customFormat="1" ht="48" customHeight="1">
      <x:c r="A86" s="73" t="inlineStr">
        <x:is>
          <x:t xml:space="preserve">MRE-05-MODAL-002</x:t>
        </x:is>
      </x:c>
      <x:c r="B86" s="73" t="inlineStr">
        <x:is>
          <x:t xml:space="preserve">MR-05</x:t>
        </x:is>
      </x:c>
      <x:c r="C86" s="73" t="inlineStr">
        <x:is>
          <x:t xml:space="preserve">MR-P4</x:t>
        </x:is>
      </x:c>
      <x:c r="D86" s="74" t="inlineStr">
        <x:is>
          <x:t xml:space="preserve">Modal</x:t>
        </x:is>
      </x:c>
      <x:c r="E86" s="74" t="inlineStr">
        <x:is>
          <x:t xml:space="preserve">modal background isolation during screen-reader touch exploration</x:t>
        </x:is>
      </x:c>
      <x:c r="F86" s="74" t="inlineStr">
        <x:is>
          <x:t xml:space="preserve">Modal!ID-102 — mobile viewport/touch behavior</x:t>
        </x:is>
      </x:c>
      <x:c r="G86" s="75" t="inlineStr">
        <x:is>
          <x:t xml:space="preserve">narrow unsupported claim</x:t>
        </x:is>
      </x:c>
      <x:c r="H86" s="74" t="inlineStr">
        <x:is>
          <x:t xml:space="preserve">confirmed Atom implementation gap</x:t>
        </x:is>
      </x:c>
      <x:c r="I86" s="75" t="inlineStr">
        <x:is>
          <x:t xml:space="preserve">real device + AT — Android Chrome + TalkBack</x:t>
        </x:is>
      </x:c>
      <x:c r="J86" s="73" t="inlineStr">
        <x:is>
          <x:t xml:space="preserve">Android</x:t>
        </x:is>
      </x:c>
      <x:c r="K86" s="73" t="n"/>
      <x:c r="L86" s="73" t="inlineStr">
        <x:is>
          <x:t xml:space="preserve">Chrome</x:t>
        </x:is>
      </x:c>
      <x:c r="M86" s="73" t="n"/>
      <x:c r="N86" s="73" t="n"/>
      <x:c r="O86" s="73" t="inlineStr">
        <x:is>
          <x:t xml:space="preserve">screen-reader touch exploration</x:t>
        </x:is>
      </x:c>
      <x:c r="P86" s="73" t="inlineStr">
        <x:is>
          <x:t xml:space="preserve">TalkBack</x:t>
        </x:is>
      </x:c>
      <x:c r="Q86" s="74" t="inlineStr">
        <x:is>
          <x:t xml:space="preserve">On a named Android device with TalkBack, open the modal and explore inside and outside it; record device, versions, date, and notes.</x:t>
        </x:is>
      </x:c>
      <x:c r="R86" s="74" t="inlineStr">
        <x:is>
          <x:t xml:space="preserve">Owned modal content remains operable and background content is unavailable to assistive-technology touch exploration.</x:t>
        </x:is>
      </x:c>
      <x:c r="S86" s="74" t="inlineStr">
        <x:is>
          <x:t xml:space="preserve">playground/.manual-tests/dialog.md — focused qualification, 2026-07-17; playground/manual-tests/mobile-readiness.md — final physical-device and AT lane</x:t>
        </x:is>
      </x:c>
      <x:c r="T86" s="74" t="inlineStr">
        <x:is>
          <x:t xml:space="preserve">test/browser/modal-containment.spec.ts; test/browser/modal-containment.mobile.spec.ts</x:t>
        </x:is>
      </x:c>
      <x:c r="U86" s="76" t="inlineStr">
        <x:is>
          <x:t xml:space="preserve">not run</x:t>
        </x:is>
      </x:c>
      <x:c r="V86" s="73" t="n"/>
      <x:c r="W86" s="74" t="n"/>
      <x:c r="X86" s="74" t="inlineStr">
        <x:is>
          <x:t xml:space="preserve">Deferred by maintainer because no Android device is available; remains not run and is not represented as a pass or failure. Automated Chromium/WebKit evidence passed 2026-07-30; this physical-device record remains governed by its separately recorded device status.</x:t>
        </x:is>
      </x:c>
      <x:c r="Y86" s="76" t="str">
        <x:f>IF(A86="","",IF(COUNTBLANK(A86:E86)+COUNTBLANK(G86:J86)+COUNTBLANK(Q86:R86)+COUNTBLANK(U86)&gt;0,"needs core fields",IF(AND(OR(I86="previous baseline — desktop manual",I86="browser emulation — manual",LEFT(I86,11)="real device"),S86=""),"needs protocol ref",IF(AND(LEFT(I86,18)="browser automation",T86=""),"needs automation ref",IF(AND(LEFT(I86,11)="real device",OR(U86="passed",U86="failed",U86="blocked"),OR(K86="",L86="",M86="",N86="",P86="")),"needs device details",IF(AND(OR(U86="passed",U86="failed",U86="blocked"),V86=""),"needs result date","ready"))))))</x:f>
        <x:v>ready</x:v>
      </x:c>
    </x:row>
    <x:row r="87" s="51" customFormat="1" ht="15" customHeight="1">
      <x:c r="Y87" s="79" t="str">
        <x:f>IF(A87="","",IF(COUNTBLANK(A87:E87)+COUNTBLANK(G87:J87)+COUNTBLANK(Q87:R87)+COUNTBLANK(U87)&gt;0,"needs core fields",IF(AND(OR(I87="previous baseline — desktop manual",I87="browser emulation — manual",LEFT(I87,11)="real device"),S87=""),"needs protocol ref",IF(AND(LEFT(I87,18)="browser automation",T87=""),"needs automation ref",IF(AND(LEFT(I87,11)="real device",OR(U87="passed",U87="failed",U87="blocked"),OR(K87="",L87="",M87="",N87="",P87="")),"needs device details",IF(AND(OR(U87="passed",U87="failed",U87="blocked"),V87=""),"needs result date","ready"))))))</x:f>
      </x:c>
    </x:row>
    <x:row r="88" s="51" customFormat="1" ht="15" customHeight="1">
      <x:c r="Y88" s="79" t="str">
        <x:f>IF(A88="","",IF(COUNTBLANK(A88:E88)+COUNTBLANK(G88:J88)+COUNTBLANK(Q88:R88)+COUNTBLANK(U88)&gt;0,"needs core fields",IF(AND(OR(I88="previous baseline — desktop manual",I88="browser emulation — manual",LEFT(I88,11)="real device"),S88=""),"needs protocol ref",IF(AND(LEFT(I88,18)="browser automation",T88=""),"needs automation ref",IF(AND(LEFT(I88,11)="real device",OR(U88="passed",U88="failed",U88="blocked"),OR(K88="",L88="",M88="",N88="",P88="")),"needs device details",IF(AND(OR(U88="passed",U88="failed",U88="blocked"),V88=""),"needs result date","ready"))))))</x:f>
      </x:c>
    </x:row>
    <x:row r="89" s="51" customFormat="1" ht="15" customHeight="1">
      <x:c r="Y89" s="79" t="str">
        <x:f>IF(A89="","",IF(COUNTBLANK(A89:E89)+COUNTBLANK(G89:J89)+COUNTBLANK(Q89:R89)+COUNTBLANK(U89)&gt;0,"needs core fields",IF(AND(OR(I89="previous baseline — desktop manual",I89="browser emulation — manual",LEFT(I89,11)="real device"),S89=""),"needs protocol ref",IF(AND(LEFT(I89,18)="browser automation",T89=""),"needs automation ref",IF(AND(LEFT(I89,11)="real device",OR(U89="passed",U89="failed",U89="blocked"),OR(K89="",L89="",M89="",N89="",P89="")),"needs device details",IF(AND(OR(U89="passed",U89="failed",U89="blocked"),V89=""),"needs result date","ready"))))))</x:f>
      </x:c>
    </x:row>
    <x:row r="90" s="51" customFormat="1" ht="15" customHeight="1">
      <x:c r="Y90" s="79" t="str">
        <x:f>IF(A90="","",IF(COUNTBLANK(A90:E90)+COUNTBLANK(G90:J90)+COUNTBLANK(Q90:R90)+COUNTBLANK(U90)&gt;0,"needs core fields",IF(AND(OR(I90="previous baseline — desktop manual",I90="browser emulation — manual",LEFT(I90,11)="real device"),S90=""),"needs protocol ref",IF(AND(LEFT(I90,18)="browser automation",T90=""),"needs automation ref",IF(AND(LEFT(I90,11)="real device",OR(U90="passed",U90="failed",U90="blocked"),OR(K90="",L90="",M90="",N90="",P90="")),"needs device details",IF(AND(OR(U90="passed",U90="failed",U90="blocked"),V90=""),"needs result date","ready"))))))</x:f>
      </x:c>
    </x:row>
    <x:row r="91" s="51" customFormat="1" ht="15" customHeight="1">
      <x:c r="Y91" s="79" t="str">
        <x:f>IF(A91="","",IF(COUNTBLANK(A91:E91)+COUNTBLANK(G91:J91)+COUNTBLANK(Q91:R91)+COUNTBLANK(U91)&gt;0,"needs core fields",IF(AND(OR(I91="previous baseline — desktop manual",I91="browser emulation — manual",LEFT(I91,11)="real device"),S91=""),"needs protocol ref",IF(AND(LEFT(I91,18)="browser automation",T91=""),"needs automation ref",IF(AND(LEFT(I91,11)="real device",OR(U91="passed",U91="failed",U91="blocked"),OR(K91="",L91="",M91="",N91="",P91="")),"needs device details",IF(AND(OR(U91="passed",U91="failed",U91="blocked"),V91=""),"needs result date","ready"))))))</x:f>
      </x:c>
    </x:row>
    <x:row r="92" s="51" customFormat="1" ht="15" customHeight="1">
      <x:c r="Y92" s="79" t="str">
        <x:f>IF(A92="","",IF(COUNTBLANK(A92:E92)+COUNTBLANK(G92:J92)+COUNTBLANK(Q92:R92)+COUNTBLANK(U92)&gt;0,"needs core fields",IF(AND(OR(I92="previous baseline — desktop manual",I92="browser emulation — manual",LEFT(I92,11)="real device"),S92=""),"needs protocol ref",IF(AND(LEFT(I92,18)="browser automation",T92=""),"needs automation ref",IF(AND(LEFT(I92,11)="real device",OR(U92="passed",U92="failed",U92="blocked"),OR(K92="",L92="",M92="",N92="",P92="")),"needs device details",IF(AND(OR(U92="passed",U92="failed",U92="blocked"),V92=""),"needs result date","ready"))))))</x:f>
      </x:c>
    </x:row>
    <x:row r="93" s="51" customFormat="1" ht="15" customHeight="1">
      <x:c r="Y93" s="79" t="str">
        <x:f>IF(A93="","",IF(COUNTBLANK(A93:E93)+COUNTBLANK(G93:J93)+COUNTBLANK(Q93:R93)+COUNTBLANK(U93)&gt;0,"needs core fields",IF(AND(OR(I93="previous baseline — desktop manual",I93="browser emulation — manual",LEFT(I93,11)="real device"),S93=""),"needs protocol ref",IF(AND(LEFT(I93,18)="browser automation",T93=""),"needs automation ref",IF(AND(LEFT(I93,11)="real device",OR(U93="passed",U93="failed",U93="blocked"),OR(K93="",L93="",M93="",N93="",P93="")),"needs device details",IF(AND(OR(U93="passed",U93="failed",U93="blocked"),V93=""),"needs result date","ready"))))))</x:f>
      </x:c>
    </x:row>
    <x:row r="94" s="51" customFormat="1" ht="15" customHeight="1">
      <x:c r="Y94" s="79" t="str">
        <x:f>IF(A94="","",IF(COUNTBLANK(A94:E94)+COUNTBLANK(G94:J94)+COUNTBLANK(Q94:R94)+COUNTBLANK(U94)&gt;0,"needs core fields",IF(AND(OR(I94="previous baseline — desktop manual",I94="browser emulation — manual",LEFT(I94,11)="real device"),S94=""),"needs protocol ref",IF(AND(LEFT(I94,18)="browser automation",T94=""),"needs automation ref",IF(AND(LEFT(I94,11)="real device",OR(U94="passed",U94="failed",U94="blocked"),OR(K94="",L94="",M94="",N94="",P94="")),"needs device details",IF(AND(OR(U94="passed",U94="failed",U94="blocked"),V94=""),"needs result date","ready"))))))</x:f>
      </x:c>
    </x:row>
    <x:row r="95" s="51" customFormat="1" ht="15" customHeight="1">
      <x:c r="Y95" s="79" t="str">
        <x:f>IF(A95="","",IF(COUNTBLANK(A95:E95)+COUNTBLANK(G95:J95)+COUNTBLANK(Q95:R95)+COUNTBLANK(U95)&gt;0,"needs core fields",IF(AND(OR(I95="previous baseline — desktop manual",I95="browser emulation — manual",LEFT(I95,11)="real device"),S95=""),"needs protocol ref",IF(AND(LEFT(I95,18)="browser automation",T95=""),"needs automation ref",IF(AND(LEFT(I95,11)="real device",OR(U95="passed",U95="failed",U95="blocked"),OR(K95="",L95="",M95="",N95="",P95="")),"needs device details",IF(AND(OR(U95="passed",U95="failed",U95="blocked"),V95=""),"needs result date","ready"))))))</x:f>
      </x:c>
    </x:row>
    <x:row r="96" s="51" customFormat="1" ht="15" customHeight="1">
      <x:c r="Y96" s="79" t="str">
        <x:f>IF(A96="","",IF(COUNTBLANK(A96:E96)+COUNTBLANK(G96:J96)+COUNTBLANK(Q96:R96)+COUNTBLANK(U96)&gt;0,"needs core fields",IF(AND(OR(I96="previous baseline — desktop manual",I96="browser emulation — manual",LEFT(I96,11)="real device"),S96=""),"needs protocol ref",IF(AND(LEFT(I96,18)="browser automation",T96=""),"needs automation ref",IF(AND(LEFT(I96,11)="real device",OR(U96="passed",U96="failed",U96="blocked"),OR(K96="",L96="",M96="",N96="",P96="")),"needs device details",IF(AND(OR(U96="passed",U96="failed",U96="blocked"),V96=""),"needs result date","ready"))))))</x:f>
      </x:c>
    </x:row>
    <x:row r="97" s="51" customFormat="1" ht="15" customHeight="1">
      <x:c r="Y97" s="79" t="str">
        <x:f>IF(A97="","",IF(COUNTBLANK(A97:E97)+COUNTBLANK(G97:J97)+COUNTBLANK(Q97:R97)+COUNTBLANK(U97)&gt;0,"needs core fields",IF(AND(OR(I97="previous baseline — desktop manual",I97="browser emulation — manual",LEFT(I97,11)="real device"),S97=""),"needs protocol ref",IF(AND(LEFT(I97,18)="browser automation",T97=""),"needs automation ref",IF(AND(LEFT(I97,11)="real device",OR(U97="passed",U97="failed",U97="blocked"),OR(K97="",L97="",M97="",N97="",P97="")),"needs device details",IF(AND(OR(U97="passed",U97="failed",U97="blocked"),V97=""),"needs result date","ready"))))))</x:f>
      </x:c>
    </x:row>
    <x:row r="98" s="51" customFormat="1" ht="15" customHeight="1">
      <x:c r="Y98" s="79" t="str">
        <x:f>IF(A98="","",IF(COUNTBLANK(A98:E98)+COUNTBLANK(G98:J98)+COUNTBLANK(Q98:R98)+COUNTBLANK(U98)&gt;0,"needs core fields",IF(AND(OR(I98="previous baseline — desktop manual",I98="browser emulation — manual",LEFT(I98,11)="real device"),S98=""),"needs protocol ref",IF(AND(LEFT(I98,18)="browser automation",T98=""),"needs automation ref",IF(AND(LEFT(I98,11)="real device",OR(U98="passed",U98="failed",U98="blocked"),OR(K98="",L98="",M98="",N98="",P98="")),"needs device details",IF(AND(OR(U98="passed",U98="failed",U98="blocked"),V98=""),"needs result date","ready"))))))</x:f>
      </x:c>
    </x:row>
    <x:row r="99" s="51" customFormat="1" ht="15" customHeight="1">
      <x:c r="Y99" s="79" t="str">
        <x:f>IF(A99="","",IF(COUNTBLANK(A99:E99)+COUNTBLANK(G99:J99)+COUNTBLANK(Q99:R99)+COUNTBLANK(U99)&gt;0,"needs core fields",IF(AND(OR(I99="previous baseline — desktop manual",I99="browser emulation — manual",LEFT(I99,11)="real device"),S99=""),"needs protocol ref",IF(AND(LEFT(I99,18)="browser automation",T99=""),"needs automation ref",IF(AND(LEFT(I99,11)="real device",OR(U99="passed",U99="failed",U99="blocked"),OR(K99="",L99="",M99="",N99="",P99="")),"needs device details",IF(AND(OR(U99="passed",U99="failed",U99="blocked"),V99=""),"needs result date","ready"))))))</x:f>
      </x:c>
    </x:row>
    <x:row r="100" s="51" customFormat="1" ht="15" customHeight="1">
      <x:c r="Y100" s="79" t="str">
        <x:f>IF(A100="","",IF(COUNTBLANK(A100:E100)+COUNTBLANK(G100:J100)+COUNTBLANK(Q100:R100)+COUNTBLANK(U100)&gt;0,"needs core fields",IF(AND(OR(I100="previous baseline — desktop manual",I100="browser emulation — manual",LEFT(I100,11)="real device"),S100=""),"needs protocol ref",IF(AND(LEFT(I100,18)="browser automation",T100=""),"needs automation ref",IF(AND(LEFT(I100,11)="real device",OR(U100="passed",U100="failed",U100="blocked"),OR(K100="",L100="",M100="",N100="",P100="")),"needs device details",IF(AND(OR(U100="passed",U100="failed",U100="blocked"),V100=""),"needs result date","ready"))))))</x:f>
      </x:c>
    </x:row>
    <x:row r="101" s="51" customFormat="1" ht="15" customHeight="1">
      <x:c r="Y101" s="79" t="str">
        <x:f>IF(A101="","",IF(COUNTBLANK(A101:E101)+COUNTBLANK(G101:J101)+COUNTBLANK(Q101:R101)+COUNTBLANK(U101)&gt;0,"needs core fields",IF(AND(OR(I101="previous baseline — desktop manual",I101="browser emulation — manual",LEFT(I101,11)="real device"),S101=""),"needs protocol ref",IF(AND(LEFT(I101,18)="browser automation",T101=""),"needs automation ref",IF(AND(LEFT(I101,11)="real device",OR(U101="passed",U101="failed",U101="blocked"),OR(K101="",L101="",M101="",N101="",P101="")),"needs device details",IF(AND(OR(U101="passed",U101="failed",U101="blocked"),V101=""),"needs result date","ready"))))))</x:f>
      </x:c>
    </x:row>
    <x:row r="102" s="51" customFormat="1" ht="15" customHeight="1">
      <x:c r="Y102" s="79" t="str">
        <x:f>IF(A102="","",IF(COUNTBLANK(A102:E102)+COUNTBLANK(G102:J102)+COUNTBLANK(Q102:R102)+COUNTBLANK(U102)&gt;0,"needs core fields",IF(AND(OR(I102="previous baseline — desktop manual",I102="browser emulation — manual",LEFT(I102,11)="real device"),S102=""),"needs protocol ref",IF(AND(LEFT(I102,18)="browser automation",T102=""),"needs automation ref",IF(AND(LEFT(I102,11)="real device",OR(U102="passed",U102="failed",U102="blocked"),OR(K102="",L102="",M102="",N102="",P102="")),"needs device details",IF(AND(OR(U102="passed",U102="failed",U102="blocked"),V102=""),"needs result date","ready"))))))</x:f>
      </x:c>
    </x:row>
    <x:row r="103" s="51" customFormat="1" ht="15" customHeight="1">
      <x:c r="Y103" s="79" t="str">
        <x:f>IF(A103="","",IF(COUNTBLANK(A103:E103)+COUNTBLANK(G103:J103)+COUNTBLANK(Q103:R103)+COUNTBLANK(U103)&gt;0,"needs core fields",IF(AND(OR(I103="previous baseline — desktop manual",I103="browser emulation — manual",LEFT(I103,11)="real device"),S103=""),"needs protocol ref",IF(AND(LEFT(I103,18)="browser automation",T103=""),"needs automation ref",IF(AND(LEFT(I103,11)="real device",OR(U103="passed",U103="failed",U103="blocked"),OR(K103="",L103="",M103="",N103="",P103="")),"needs device details",IF(AND(OR(U103="passed",U103="failed",U103="blocked"),V103=""),"needs result date","ready"))))))</x:f>
      </x:c>
    </x:row>
    <x:row r="104" s="51" customFormat="1" ht="15" customHeight="1">
      <x:c r="Y104" s="79" t="str">
        <x:f>IF(A104="","",IF(COUNTBLANK(A104:E104)+COUNTBLANK(G104:J104)+COUNTBLANK(Q104:R104)+COUNTBLANK(U104)&gt;0,"needs core fields",IF(AND(OR(I104="previous baseline — desktop manual",I104="browser emulation — manual",LEFT(I104,11)="real device"),S104=""),"needs protocol ref",IF(AND(LEFT(I104,18)="browser automation",T104=""),"needs automation ref",IF(AND(LEFT(I104,11)="real device",OR(U104="passed",U104="failed",U104="blocked"),OR(K104="",L104="",M104="",N104="",P104="")),"needs device details",IF(AND(OR(U104="passed",U104="failed",U104="blocked"),V104=""),"needs result date","ready"))))))</x:f>
      </x:c>
    </x:row>
    <x:row r="105" s="51" customFormat="1" ht="15" customHeight="1">
      <x:c r="Y105" s="79" t="str">
        <x:f>IF(A105="","",IF(COUNTBLANK(A105:E105)+COUNTBLANK(G105:J105)+COUNTBLANK(Q105:R105)+COUNTBLANK(U105)&gt;0,"needs core fields",IF(AND(OR(I105="previous baseline — desktop manual",I105="browser emulation — manual",LEFT(I105,11)="real device"),S105=""),"needs protocol ref",IF(AND(LEFT(I105,18)="browser automation",T105=""),"needs automation ref",IF(AND(LEFT(I105,11)="real device",OR(U105="passed",U105="failed",U105="blocked"),OR(K105="",L105="",M105="",N105="",P105="")),"needs device details",IF(AND(OR(U105="passed",U105="failed",U105="blocked"),V105=""),"needs result date","ready"))))))</x:f>
      </x:c>
    </x:row>
    <x:row r="106" s="51" customFormat="1" ht="15" customHeight="1">
      <x:c r="Y106" s="79" t="str">
        <x:f>IF(A106="","",IF(COUNTBLANK(A106:E106)+COUNTBLANK(G106:J106)+COUNTBLANK(Q106:R106)+COUNTBLANK(U106)&gt;0,"needs core fields",IF(AND(OR(I106="previous baseline — desktop manual",I106="browser emulation — manual",LEFT(I106,11)="real device"),S106=""),"needs protocol ref",IF(AND(LEFT(I106,18)="browser automation",T106=""),"needs automation ref",IF(AND(LEFT(I106,11)="real device",OR(U106="passed",U106="failed",U106="blocked"),OR(K106="",L106="",M106="",N106="",P106="")),"needs device details",IF(AND(OR(U106="passed",U106="failed",U106="blocked"),V106=""),"needs result date","ready"))))))</x:f>
      </x:c>
    </x:row>
    <x:row r="107" s="51" customFormat="1" ht="15" customHeight="1">
      <x:c r="Y107" s="79" t="str">
        <x:f>IF(A107="","",IF(COUNTBLANK(A107:E107)+COUNTBLANK(G107:J107)+COUNTBLANK(Q107:R107)+COUNTBLANK(U107)&gt;0,"needs core fields",IF(AND(OR(I107="previous baseline — desktop manual",I107="browser emulation — manual",LEFT(I107,11)="real device"),S107=""),"needs protocol ref",IF(AND(LEFT(I107,18)="browser automation",T107=""),"needs automation ref",IF(AND(LEFT(I107,11)="real device",OR(U107="passed",U107="failed",U107="blocked"),OR(K107="",L107="",M107="",N107="",P107="")),"needs device details",IF(AND(OR(U107="passed",U107="failed",U107="blocked"),V107=""),"needs result date","ready"))))))</x:f>
      </x:c>
    </x:row>
    <x:row r="108" s="51" customFormat="1" ht="15" customHeight="1">
      <x:c r="Y108" s="79" t="str">
        <x:f>IF(A108="","",IF(COUNTBLANK(A108:E108)+COUNTBLANK(G108:J108)+COUNTBLANK(Q108:R108)+COUNTBLANK(U108)&gt;0,"needs core fields",IF(AND(OR(I108="previous baseline — desktop manual",I108="browser emulation — manual",LEFT(I108,11)="real device"),S108=""),"needs protocol ref",IF(AND(LEFT(I108,18)="browser automation",T108=""),"needs automation ref",IF(AND(LEFT(I108,11)="real device",OR(U108="passed",U108="failed",U108="blocked"),OR(K108="",L108="",M108="",N108="",P108="")),"needs device details",IF(AND(OR(U108="passed",U108="failed",U108="blocked"),V108=""),"needs result date","ready"))))))</x:f>
      </x:c>
    </x:row>
    <x:row r="109" s="51" customFormat="1" ht="15" customHeight="1">
      <x:c r="Y109" s="79" t="str">
        <x:f>IF(A109="","",IF(COUNTBLANK(A109:E109)+COUNTBLANK(G109:J109)+COUNTBLANK(Q109:R109)+COUNTBLANK(U109)&gt;0,"needs core fields",IF(AND(OR(I109="previous baseline — desktop manual",I109="browser emulation — manual",LEFT(I109,11)="real device"),S109=""),"needs protocol ref",IF(AND(LEFT(I109,18)="browser automation",T109=""),"needs automation ref",IF(AND(LEFT(I109,11)="real device",OR(U109="passed",U109="failed",U109="blocked"),OR(K109="",L109="",M109="",N109="",P109="")),"needs device details",IF(AND(OR(U109="passed",U109="failed",U109="blocked"),V109=""),"needs result date","ready"))))))</x:f>
      </x:c>
    </x:row>
    <x:row r="110" s="51" customFormat="1" ht="15" customHeight="1">
      <x:c r="Y110" s="79" t="str">
        <x:f>IF(A110="","",IF(COUNTBLANK(A110:E110)+COUNTBLANK(G110:J110)+COUNTBLANK(Q110:R110)+COUNTBLANK(U110)&gt;0,"needs core fields",IF(AND(OR(I110="previous baseline — desktop manual",I110="browser emulation — manual",LEFT(I110,11)="real device"),S110=""),"needs protocol ref",IF(AND(LEFT(I110,18)="browser automation",T110=""),"needs automation ref",IF(AND(LEFT(I110,11)="real device",OR(U110="passed",U110="failed",U110="blocked"),OR(K110="",L110="",M110="",N110="",P110="")),"needs device details",IF(AND(OR(U110="passed",U110="failed",U110="blocked"),V110=""),"needs result date","ready"))))))</x:f>
      </x:c>
    </x:row>
    <x:row r="111" s="51" customFormat="1" ht="15" customHeight="1">
      <x:c r="Y111" s="79" t="str">
        <x:f>IF(A111="","",IF(COUNTBLANK(A111:E111)+COUNTBLANK(G111:J111)+COUNTBLANK(Q111:R111)+COUNTBLANK(U111)&gt;0,"needs core fields",IF(AND(OR(I111="previous baseline — desktop manual",I111="browser emulation — manual",LEFT(I111,11)="real device"),S111=""),"needs protocol ref",IF(AND(LEFT(I111,18)="browser automation",T111=""),"needs automation ref",IF(AND(LEFT(I111,11)="real device",OR(U111="passed",U111="failed",U111="blocked"),OR(K111="",L111="",M111="",N111="",P111="")),"needs device details",IF(AND(OR(U111="passed",U111="failed",U111="blocked"),V111=""),"needs result date","ready"))))))</x:f>
      </x:c>
    </x:row>
    <x:row r="112" s="51" customFormat="1" ht="15" customHeight="1">
      <x:c r="Y112" s="79" t="str">
        <x:f>IF(A112="","",IF(COUNTBLANK(A112:E112)+COUNTBLANK(G112:J112)+COUNTBLANK(Q112:R112)+COUNTBLANK(U112)&gt;0,"needs core fields",IF(AND(OR(I112="previous baseline — desktop manual",I112="browser emulation — manual",LEFT(I112,11)="real device"),S112=""),"needs protocol ref",IF(AND(LEFT(I112,18)="browser automation",T112=""),"needs automation ref",IF(AND(LEFT(I112,11)="real device",OR(U112="passed",U112="failed",U112="blocked"),OR(K112="",L112="",M112="",N112="",P112="")),"needs device details",IF(AND(OR(U112="passed",U112="failed",U112="blocked"),V112=""),"needs result date","ready"))))))</x:f>
      </x:c>
    </x:row>
    <x:row r="113" s="51" customFormat="1" ht="15" customHeight="1">
      <x:c r="Y113" s="79" t="str">
        <x:f>IF(A113="","",IF(COUNTBLANK(A113:E113)+COUNTBLANK(G113:J113)+COUNTBLANK(Q113:R113)+COUNTBLANK(U113)&gt;0,"needs core fields",IF(AND(OR(I113="previous baseline — desktop manual",I113="browser emulation — manual",LEFT(I113,11)="real device"),S113=""),"needs protocol ref",IF(AND(LEFT(I113,18)="browser automation",T113=""),"needs automation ref",IF(AND(LEFT(I113,11)="real device",OR(U113="passed",U113="failed",U113="blocked"),OR(K113="",L113="",M113="",N113="",P113="")),"needs device details",IF(AND(OR(U113="passed",U113="failed",U113="blocked"),V113=""),"needs result date","ready"))))))</x:f>
      </x:c>
    </x:row>
    <x:row r="114" s="51" customFormat="1" ht="15" customHeight="1">
      <x:c r="Y114" s="79" t="str">
        <x:f>IF(A114="","",IF(COUNTBLANK(A114:E114)+COUNTBLANK(G114:J114)+COUNTBLANK(Q114:R114)+COUNTBLANK(U114)&gt;0,"needs core fields",IF(AND(OR(I114="previous baseline — desktop manual",I114="browser emulation — manual",LEFT(I114,11)="real device"),S114=""),"needs protocol ref",IF(AND(LEFT(I114,18)="browser automation",T114=""),"needs automation ref",IF(AND(LEFT(I114,11)="real device",OR(U114="passed",U114="failed",U114="blocked"),OR(K114="",L114="",M114="",N114="",P114="")),"needs device details",IF(AND(OR(U114="passed",U114="failed",U114="blocked"),V114=""),"needs result date","ready"))))))</x:f>
      </x:c>
    </x:row>
    <x:row r="115" s="51" customFormat="1" ht="15" customHeight="1">
      <x:c r="Y115" s="79" t="str">
        <x:f>IF(A115="","",IF(COUNTBLANK(A115:E115)+COUNTBLANK(G115:J115)+COUNTBLANK(Q115:R115)+COUNTBLANK(U115)&gt;0,"needs core fields",IF(AND(OR(I115="previous baseline — desktop manual",I115="browser emulation — manual",LEFT(I115,11)="real device"),S115=""),"needs protocol ref",IF(AND(LEFT(I115,18)="browser automation",T115=""),"needs automation ref",IF(AND(LEFT(I115,11)="real device",OR(U115="passed",U115="failed",U115="blocked"),OR(K115="",L115="",M115="",N115="",P115="")),"needs device details",IF(AND(OR(U115="passed",U115="failed",U115="blocked"),V115=""),"needs result date","ready"))))))</x:f>
      </x:c>
    </x:row>
    <x:row r="116" s="51" customFormat="1" ht="15" customHeight="1">
      <x:c r="Y116" s="79" t="str">
        <x:f>IF(A116="","",IF(COUNTBLANK(A116:E116)+COUNTBLANK(G116:J116)+COUNTBLANK(Q116:R116)+COUNTBLANK(U116)&gt;0,"needs core fields",IF(AND(OR(I116="previous baseline — desktop manual",I116="browser emulation — manual",LEFT(I116,11)="real device"),S116=""),"needs protocol ref",IF(AND(LEFT(I116,18)="browser automation",T116=""),"needs automation ref",IF(AND(LEFT(I116,11)="real device",OR(U116="passed",U116="failed",U116="blocked"),OR(K116="",L116="",M116="",N116="",P116="")),"needs device details",IF(AND(OR(U116="passed",U116="failed",U116="blocked"),V116=""),"needs result date","ready"))))))</x:f>
      </x:c>
    </x:row>
    <x:row r="117" s="51" customFormat="1" ht="15" customHeight="1">
      <x:c r="Y117" s="79" t="str">
        <x:f>IF(A117="","",IF(COUNTBLANK(A117:E117)+COUNTBLANK(G117:J117)+COUNTBLANK(Q117:R117)+COUNTBLANK(U117)&gt;0,"needs core fields",IF(AND(OR(I117="previous baseline — desktop manual",I117="browser emulation — manual",LEFT(I117,11)="real device"),S117=""),"needs protocol ref",IF(AND(LEFT(I117,18)="browser automation",T117=""),"needs automation ref",IF(AND(LEFT(I117,11)="real device",OR(U117="passed",U117="failed",U117="blocked"),OR(K117="",L117="",M117="",N117="",P117="")),"needs device details",IF(AND(OR(U117="passed",U117="failed",U117="blocked"),V117=""),"needs result date","ready"))))))</x:f>
      </x:c>
    </x:row>
    <x:row r="118" s="51" customFormat="1" ht="15" customHeight="1">
      <x:c r="Y118" s="79" t="str">
        <x:f>IF(A118="","",IF(COUNTBLANK(A118:E118)+COUNTBLANK(G118:J118)+COUNTBLANK(Q118:R118)+COUNTBLANK(U118)&gt;0,"needs core fields",IF(AND(OR(I118="previous baseline — desktop manual",I118="browser emulation — manual",LEFT(I118,11)="real device"),S118=""),"needs protocol ref",IF(AND(LEFT(I118,18)="browser automation",T118=""),"needs automation ref",IF(AND(LEFT(I118,11)="real device",OR(U118="passed",U118="failed",U118="blocked"),OR(K118="",L118="",M118="",N118="",P118="")),"needs device details",IF(AND(OR(U118="passed",U118="failed",U118="blocked"),V118=""),"needs result date","ready"))))))</x:f>
      </x:c>
    </x:row>
    <x:row r="119" s="51" customFormat="1" ht="15" customHeight="1">
      <x:c r="Y119" s="79" t="str">
        <x:f>IF(A119="","",IF(COUNTBLANK(A119:E119)+COUNTBLANK(G119:J119)+COUNTBLANK(Q119:R119)+COUNTBLANK(U119)&gt;0,"needs core fields",IF(AND(OR(I119="previous baseline — desktop manual",I119="browser emulation — manual",LEFT(I119,11)="real device"),S119=""),"needs protocol ref",IF(AND(LEFT(I119,18)="browser automation",T119=""),"needs automation ref",IF(AND(LEFT(I119,11)="real device",OR(U119="passed",U119="failed",U119="blocked"),OR(K119="",L119="",M119="",N119="",P119="")),"needs device details",IF(AND(OR(U119="passed",U119="failed",U119="blocked"),V119=""),"needs result date","ready"))))))</x:f>
      </x:c>
    </x:row>
    <x:row r="120" s="51" customFormat="1" ht="15" customHeight="1">
      <x:c r="Y120" s="79" t="str">
        <x:f>IF(A120="","",IF(COUNTBLANK(A120:E120)+COUNTBLANK(G120:J120)+COUNTBLANK(Q120:R120)+COUNTBLANK(U120)&gt;0,"needs core fields",IF(AND(OR(I120="previous baseline — desktop manual",I120="browser emulation — manual",LEFT(I120,11)="real device"),S120=""),"needs protocol ref",IF(AND(LEFT(I120,18)="browser automation",T120=""),"needs automation ref",IF(AND(LEFT(I120,11)="real device",OR(U120="passed",U120="failed",U120="blocked"),OR(K120="",L120="",M120="",N120="",P120="")),"needs device details",IF(AND(OR(U120="passed",U120="failed",U120="blocked"),V120=""),"needs result date","ready"))))))</x:f>
      </x:c>
    </x:row>
    <x:row r="121" s="51" customFormat="1" ht="15" customHeight="1">
      <x:c r="Y121" s="79" t="str">
        <x:f>IF(A121="","",IF(COUNTBLANK(A121:E121)+COUNTBLANK(G121:J121)+COUNTBLANK(Q121:R121)+COUNTBLANK(U121)&gt;0,"needs core fields",IF(AND(OR(I121="previous baseline — desktop manual",I121="browser emulation — manual",LEFT(I121,11)="real device"),S121=""),"needs protocol ref",IF(AND(LEFT(I121,18)="browser automation",T121=""),"needs automation ref",IF(AND(LEFT(I121,11)="real device",OR(U121="passed",U121="failed",U121="blocked"),OR(K121="",L121="",M121="",N121="",P121="")),"needs device details",IF(AND(OR(U121="passed",U121="failed",U121="blocked"),V121=""),"needs result date","ready"))))))</x:f>
      </x:c>
    </x:row>
    <x:row r="122" s="51" customFormat="1" ht="15" customHeight="1">
      <x:c r="Y122" s="79" t="str">
        <x:f>IF(A122="","",IF(COUNTBLANK(A122:E122)+COUNTBLANK(G122:J122)+COUNTBLANK(Q122:R122)+COUNTBLANK(U122)&gt;0,"needs core fields",IF(AND(OR(I122="previous baseline — desktop manual",I122="browser emulation — manual",LEFT(I122,11)="real device"),S122=""),"needs protocol ref",IF(AND(LEFT(I122,18)="browser automation",T122=""),"needs automation ref",IF(AND(LEFT(I122,11)="real device",OR(U122="passed",U122="failed",U122="blocked"),OR(K122="",L122="",M122="",N122="",P122="")),"needs device details",IF(AND(OR(U122="passed",U122="failed",U122="blocked"),V122=""),"needs result date","ready"))))))</x:f>
      </x:c>
    </x:row>
    <x:row r="123" s="51" customFormat="1" ht="15" customHeight="1">
      <x:c r="Y123" s="79" t="str">
        <x:f>IF(A123="","",IF(COUNTBLANK(A123:E123)+COUNTBLANK(G123:J123)+COUNTBLANK(Q123:R123)+COUNTBLANK(U123)&gt;0,"needs core fields",IF(AND(OR(I123="previous baseline — desktop manual",I123="browser emulation — manual",LEFT(I123,11)="real device"),S123=""),"needs protocol ref",IF(AND(LEFT(I123,18)="browser automation",T123=""),"needs automation ref",IF(AND(LEFT(I123,11)="real device",OR(U123="passed",U123="failed",U123="blocked"),OR(K123="",L123="",M123="",N123="",P123="")),"needs device details",IF(AND(OR(U123="passed",U123="failed",U123="blocked"),V123=""),"needs result date","ready"))))))</x:f>
      </x:c>
    </x:row>
    <x:row r="124" s="51" customFormat="1" ht="15" customHeight="1">
      <x:c r="Y124" s="79" t="str">
        <x:f>IF(A124="","",IF(COUNTBLANK(A124:E124)+COUNTBLANK(G124:J124)+COUNTBLANK(Q124:R124)+COUNTBLANK(U124)&gt;0,"needs core fields",IF(AND(OR(I124="previous baseline — desktop manual",I124="browser emulation — manual",LEFT(I124,11)="real device"),S124=""),"needs protocol ref",IF(AND(LEFT(I124,18)="browser automation",T124=""),"needs automation ref",IF(AND(LEFT(I124,11)="real device",OR(U124="passed",U124="failed",U124="blocked"),OR(K124="",L124="",M124="",N124="",P124="")),"needs device details",IF(AND(OR(U124="passed",U124="failed",U124="blocked"),V124=""),"needs result date","ready"))))))</x:f>
      </x:c>
    </x:row>
    <x:row r="125" s="51" customFormat="1" ht="15" customHeight="1">
      <x:c r="Y125" s="79" t="str">
        <x:f>IF(A125="","",IF(COUNTBLANK(A125:E125)+COUNTBLANK(G125:J125)+COUNTBLANK(Q125:R125)+COUNTBLANK(U125)&gt;0,"needs core fields",IF(AND(OR(I125="previous baseline — desktop manual",I125="browser emulation — manual",LEFT(I125,11)="real device"),S125=""),"needs protocol ref",IF(AND(LEFT(I125,18)="browser automation",T125=""),"needs automation ref",IF(AND(LEFT(I125,11)="real device",OR(U125="passed",U125="failed",U125="blocked"),OR(K125="",L125="",M125="",N125="",P125="")),"needs device details",IF(AND(OR(U125="passed",U125="failed",U125="blocked"),V125=""),"needs result date","ready"))))))</x:f>
      </x:c>
    </x:row>
    <x:row r="126" s="51" customFormat="1" ht="15" customHeight="1">
      <x:c r="Y126" s="79" t="str">
        <x:f>IF(A126="","",IF(COUNTBLANK(A126:E126)+COUNTBLANK(G126:J126)+COUNTBLANK(Q126:R126)+COUNTBLANK(U126)&gt;0,"needs core fields",IF(AND(OR(I126="previous baseline — desktop manual",I126="browser emulation — manual",LEFT(I126,11)="real device"),S126=""),"needs protocol ref",IF(AND(LEFT(I126,18)="browser automation",T126=""),"needs automation ref",IF(AND(LEFT(I126,11)="real device",OR(U126="passed",U126="failed",U126="blocked"),OR(K126="",L126="",M126="",N126="",P126="")),"needs device details",IF(AND(OR(U126="passed",U126="failed",U126="blocked"),V126=""),"needs result date","ready"))))))</x:f>
      </x:c>
    </x:row>
    <x:row r="127" s="51" customFormat="1" ht="15" customHeight="1">
      <x:c r="Y127" s="79" t="str">
        <x:f>IF(A127="","",IF(COUNTBLANK(A127:E127)+COUNTBLANK(G127:J127)+COUNTBLANK(Q127:R127)+COUNTBLANK(U127)&gt;0,"needs core fields",IF(AND(OR(I127="previous baseline — desktop manual",I127="browser emulation — manual",LEFT(I127,11)="real device"),S127=""),"needs protocol ref",IF(AND(LEFT(I127,18)="browser automation",T127=""),"needs automation ref",IF(AND(LEFT(I127,11)="real device",OR(U127="passed",U127="failed",U127="blocked"),OR(K127="",L127="",M127="",N127="",P127="")),"needs device details",IF(AND(OR(U127="passed",U127="failed",U127="blocked"),V127=""),"needs result date","ready"))))))</x:f>
      </x:c>
    </x:row>
    <x:row r="128" s="51" customFormat="1" ht="15" customHeight="1">
      <x:c r="Y128" s="79" t="str">
        <x:f>IF(A128="","",IF(COUNTBLANK(A128:E128)+COUNTBLANK(G128:J128)+COUNTBLANK(Q128:R128)+COUNTBLANK(U128)&gt;0,"needs core fields",IF(AND(OR(I128="previous baseline — desktop manual",I128="browser emulation — manual",LEFT(I128,11)="real device"),S128=""),"needs protocol ref",IF(AND(LEFT(I128,18)="browser automation",T128=""),"needs automation ref",IF(AND(LEFT(I128,11)="real device",OR(U128="passed",U128="failed",U128="blocked"),OR(K128="",L128="",M128="",N128="",P128="")),"needs device details",IF(AND(OR(U128="passed",U128="failed",U128="blocked"),V128=""),"needs result date","ready"))))))</x:f>
      </x:c>
    </x:row>
    <x:row r="129" s="51" customFormat="1" ht="15" customHeight="1">
      <x:c r="Y129" s="79" t="str">
        <x:f>IF(A129="","",IF(COUNTBLANK(A129:E129)+COUNTBLANK(G129:J129)+COUNTBLANK(Q129:R129)+COUNTBLANK(U129)&gt;0,"needs core fields",IF(AND(OR(I129="previous baseline — desktop manual",I129="browser emulation — manual",LEFT(I129,11)="real device"),S129=""),"needs protocol ref",IF(AND(LEFT(I129,18)="browser automation",T129=""),"needs automation ref",IF(AND(LEFT(I129,11)="real device",OR(U129="passed",U129="failed",U129="blocked"),OR(K129="",L129="",M129="",N129="",P129="")),"needs device details",IF(AND(OR(U129="passed",U129="failed",U129="blocked"),V129=""),"needs result date","ready"))))))</x:f>
      </x:c>
    </x:row>
    <x:row r="130" s="51" customFormat="1" ht="15" customHeight="1">
      <x:c r="Y130" s="79" t="str">
        <x:f>IF(A130="","",IF(COUNTBLANK(A130:E130)+COUNTBLANK(G130:J130)+COUNTBLANK(Q130:R130)+COUNTBLANK(U130)&gt;0,"needs core fields",IF(AND(OR(I130="previous baseline — desktop manual",I130="browser emulation — manual",LEFT(I130,11)="real device"),S130=""),"needs protocol ref",IF(AND(LEFT(I130,18)="browser automation",T130=""),"needs automation ref",IF(AND(LEFT(I130,11)="real device",OR(U130="passed",U130="failed",U130="blocked"),OR(K130="",L130="",M130="",N130="",P130="")),"needs device details",IF(AND(OR(U130="passed",U130="failed",U130="blocked"),V130=""),"needs result date","ready"))))))</x:f>
      </x:c>
    </x:row>
    <x:row r="131" s="51" customFormat="1" ht="15" customHeight="1">
      <x:c r="Y131" s="79" t="str">
        <x:f>IF(A131="","",IF(COUNTBLANK(A131:E131)+COUNTBLANK(G131:J131)+COUNTBLANK(Q131:R131)+COUNTBLANK(U131)&gt;0,"needs core fields",IF(AND(OR(I131="previous baseline — desktop manual",I131="browser emulation — manual",LEFT(I131,11)="real device"),S131=""),"needs protocol ref",IF(AND(LEFT(I131,18)="browser automation",T131=""),"needs automation ref",IF(AND(LEFT(I131,11)="real device",OR(U131="passed",U131="failed",U131="blocked"),OR(K131="",L131="",M131="",N131="",P131="")),"needs device details",IF(AND(OR(U131="passed",U131="failed",U131="blocked"),V131=""),"needs result date","ready"))))))</x:f>
      </x:c>
    </x:row>
    <x:row r="132" s="51" customFormat="1" ht="15" customHeight="1">
      <x:c r="Y132" s="79" t="str">
        <x:f>IF(A132="","",IF(COUNTBLANK(A132:E132)+COUNTBLANK(G132:J132)+COUNTBLANK(Q132:R132)+COUNTBLANK(U132)&gt;0,"needs core fields",IF(AND(OR(I132="previous baseline — desktop manual",I132="browser emulation — manual",LEFT(I132,11)="real device"),S132=""),"needs protocol ref",IF(AND(LEFT(I132,18)="browser automation",T132=""),"needs automation ref",IF(AND(LEFT(I132,11)="real device",OR(U132="passed",U132="failed",U132="blocked"),OR(K132="",L132="",M132="",N132="",P132="")),"needs device details",IF(AND(OR(U132="passed",U132="failed",U132="blocked"),V132=""),"needs result date","ready"))))))</x:f>
      </x:c>
    </x:row>
    <x:row r="133" s="51" customFormat="1" ht="15" customHeight="1">
      <x:c r="Y133" s="79" t="str">
        <x:f>IF(A133="","",IF(COUNTBLANK(A133:E133)+COUNTBLANK(G133:J133)+COUNTBLANK(Q133:R133)+COUNTBLANK(U133)&gt;0,"needs core fields",IF(AND(OR(I133="previous baseline — desktop manual",I133="browser emulation — manual",LEFT(I133,11)="real device"),S133=""),"needs protocol ref",IF(AND(LEFT(I133,18)="browser automation",T133=""),"needs automation ref",IF(AND(LEFT(I133,11)="real device",OR(U133="passed",U133="failed",U133="blocked"),OR(K133="",L133="",M133="",N133="",P133="")),"needs device details",IF(AND(OR(U133="passed",U133="failed",U133="blocked"),V133=""),"needs result date","ready"))))))</x:f>
      </x:c>
    </x:row>
    <x:row r="134" s="51" customFormat="1" ht="15" customHeight="1">
      <x:c r="Y134" s="79" t="str">
        <x:f>IF(A134="","",IF(COUNTBLANK(A134:E134)+COUNTBLANK(G134:J134)+COUNTBLANK(Q134:R134)+COUNTBLANK(U134)&gt;0,"needs core fields",IF(AND(OR(I134="previous baseline — desktop manual",I134="browser emulation — manual",LEFT(I134,11)="real device"),S134=""),"needs protocol ref",IF(AND(LEFT(I134,18)="browser automation",T134=""),"needs automation ref",IF(AND(LEFT(I134,11)="real device",OR(U134="passed",U134="failed",U134="blocked"),OR(K134="",L134="",M134="",N134="",P134="")),"needs device details",IF(AND(OR(U134="passed",U134="failed",U134="blocked"),V134=""),"needs result date","ready"))))))</x:f>
      </x:c>
    </x:row>
    <x:row r="135" s="51" customFormat="1" ht="15" customHeight="1">
      <x:c r="Y135" s="79" t="str">
        <x:f>IF(A135="","",IF(COUNTBLANK(A135:E135)+COUNTBLANK(G135:J135)+COUNTBLANK(Q135:R135)+COUNTBLANK(U135)&gt;0,"needs core fields",IF(AND(OR(I135="previous baseline — desktop manual",I135="browser emulation — manual",LEFT(I135,11)="real device"),S135=""),"needs protocol ref",IF(AND(LEFT(I135,18)="browser automation",T135=""),"needs automation ref",IF(AND(LEFT(I135,11)="real device",OR(U135="passed",U135="failed",U135="blocked"),OR(K135="",L135="",M135="",N135="",P135="")),"needs device details",IF(AND(OR(U135="passed",U135="failed",U135="blocked"),V135=""),"needs result date","ready"))))))</x:f>
      </x:c>
    </x:row>
    <x:row r="136" s="51" customFormat="1" ht="15" customHeight="1">
      <x:c r="Y136" s="79" t="str">
        <x:f>IF(A136="","",IF(COUNTBLANK(A136:E136)+COUNTBLANK(G136:J136)+COUNTBLANK(Q136:R136)+COUNTBLANK(U136)&gt;0,"needs core fields",IF(AND(OR(I136="previous baseline — desktop manual",I136="browser emulation — manual",LEFT(I136,11)="real device"),S136=""),"needs protocol ref",IF(AND(LEFT(I136,18)="browser automation",T136=""),"needs automation ref",IF(AND(LEFT(I136,11)="real device",OR(U136="passed",U136="failed",U136="blocked"),OR(K136="",L136="",M136="",N136="",P136="")),"needs device details",IF(AND(OR(U136="passed",U136="failed",U136="blocked"),V136=""),"needs result date","ready"))))))</x:f>
      </x:c>
    </x:row>
    <x:row r="137" s="51" customFormat="1" ht="15" customHeight="1">
      <x:c r="Y137" s="79" t="str">
        <x:f>IF(A137="","",IF(COUNTBLANK(A137:E137)+COUNTBLANK(G137:J137)+COUNTBLANK(Q137:R137)+COUNTBLANK(U137)&gt;0,"needs core fields",IF(AND(OR(I137="previous baseline — desktop manual",I137="browser emulation — manual",LEFT(I137,11)="real device"),S137=""),"needs protocol ref",IF(AND(LEFT(I137,18)="browser automation",T137=""),"needs automation ref",IF(AND(LEFT(I137,11)="real device",OR(U137="passed",U137="failed",U137="blocked"),OR(K137="",L137="",M137="",N137="",P137="")),"needs device details",IF(AND(OR(U137="passed",U137="failed",U137="blocked"),V137=""),"needs result date","ready"))))))</x:f>
      </x:c>
    </x:row>
    <x:row r="138" s="51" customFormat="1" ht="15" customHeight="1">
      <x:c r="Y138" s="79" t="str">
        <x:f>IF(A138="","",IF(COUNTBLANK(A138:E138)+COUNTBLANK(G138:J138)+COUNTBLANK(Q138:R138)+COUNTBLANK(U138)&gt;0,"needs core fields",IF(AND(OR(I138="previous baseline — desktop manual",I138="browser emulation — manual",LEFT(I138,11)="real device"),S138=""),"needs protocol ref",IF(AND(LEFT(I138,18)="browser automation",T138=""),"needs automation ref",IF(AND(LEFT(I138,11)="real device",OR(U138="passed",U138="failed",U138="blocked"),OR(K138="",L138="",M138="",N138="",P138="")),"needs device details",IF(AND(OR(U138="passed",U138="failed",U138="blocked"),V138=""),"needs result date","ready"))))))</x:f>
      </x:c>
    </x:row>
    <x:row r="139" s="51" customFormat="1" ht="15" customHeight="1">
      <x:c r="Y139" s="79" t="str">
        <x:f>IF(A139="","",IF(COUNTBLANK(A139:E139)+COUNTBLANK(G139:J139)+COUNTBLANK(Q139:R139)+COUNTBLANK(U139)&gt;0,"needs core fields",IF(AND(OR(I139="previous baseline — desktop manual",I139="browser emulation — manual",LEFT(I139,11)="real device"),S139=""),"needs protocol ref",IF(AND(LEFT(I139,18)="browser automation",T139=""),"needs automation ref",IF(AND(LEFT(I139,11)="real device",OR(U139="passed",U139="failed",U139="blocked"),OR(K139="",L139="",M139="",N139="",P139="")),"needs device details",IF(AND(OR(U139="passed",U139="failed",U139="blocked"),V139=""),"needs result date","ready"))))))</x:f>
      </x:c>
    </x:row>
    <x:row r="140" s="51" customFormat="1" ht="15" customHeight="1">
      <x:c r="Y140" s="79" t="str">
        <x:f>IF(A140="","",IF(COUNTBLANK(A140:E140)+COUNTBLANK(G140:J140)+COUNTBLANK(Q140:R140)+COUNTBLANK(U140)&gt;0,"needs core fields",IF(AND(OR(I140="previous baseline — desktop manual",I140="browser emulation — manual",LEFT(I140,11)="real device"),S140=""),"needs protocol ref",IF(AND(LEFT(I140,18)="browser automation",T140=""),"needs automation ref",IF(AND(LEFT(I140,11)="real device",OR(U140="passed",U140="failed",U140="blocked"),OR(K140="",L140="",M140="",N140="",P140="")),"needs device details",IF(AND(OR(U140="passed",U140="failed",U140="blocked"),V140=""),"needs result date","ready"))))))</x:f>
      </x:c>
    </x:row>
    <x:row r="141" s="51" customFormat="1" ht="15" customHeight="1">
      <x:c r="Y141" s="79" t="str">
        <x:f>IF(A141="","",IF(COUNTBLANK(A141:E141)+COUNTBLANK(G141:J141)+COUNTBLANK(Q141:R141)+COUNTBLANK(U141)&gt;0,"needs core fields",IF(AND(OR(I141="previous baseline — desktop manual",I141="browser emulation — manual",LEFT(I141,11)="real device"),S141=""),"needs protocol ref",IF(AND(LEFT(I141,18)="browser automation",T141=""),"needs automation ref",IF(AND(LEFT(I141,11)="real device",OR(U141="passed",U141="failed",U141="blocked"),OR(K141="",L141="",M141="",N141="",P141="")),"needs device details",IF(AND(OR(U141="passed",U141="failed",U141="blocked"),V141=""),"needs result date","ready"))))))</x:f>
      </x:c>
    </x:row>
    <x:row r="142" s="51" customFormat="1" ht="15" customHeight="1">
      <x:c r="Y142" s="79" t="str">
        <x:f>IF(A142="","",IF(COUNTBLANK(A142:E142)+COUNTBLANK(G142:J142)+COUNTBLANK(Q142:R142)+COUNTBLANK(U142)&gt;0,"needs core fields",IF(AND(OR(I142="previous baseline — desktop manual",I142="browser emulation — manual",LEFT(I142,11)="real device"),S142=""),"needs protocol ref",IF(AND(LEFT(I142,18)="browser automation",T142=""),"needs automation ref",IF(AND(LEFT(I142,11)="real device",OR(U142="passed",U142="failed",U142="blocked"),OR(K142="",L142="",M142="",N142="",P142="")),"needs device details",IF(AND(OR(U142="passed",U142="failed",U142="blocked"),V142=""),"needs result date","ready"))))))</x:f>
      </x:c>
    </x:row>
    <x:row r="143" s="51" customFormat="1" ht="15" customHeight="1">
      <x:c r="Y143" s="79" t="str">
        <x:f>IF(A143="","",IF(COUNTBLANK(A143:E143)+COUNTBLANK(G143:J143)+COUNTBLANK(Q143:R143)+COUNTBLANK(U143)&gt;0,"needs core fields",IF(AND(OR(I143="previous baseline — desktop manual",I143="browser emulation — manual",LEFT(I143,11)="real device"),S143=""),"needs protocol ref",IF(AND(LEFT(I143,18)="browser automation",T143=""),"needs automation ref",IF(AND(LEFT(I143,11)="real device",OR(U143="passed",U143="failed",U143="blocked"),OR(K143="",L143="",M143="",N143="",P143="")),"needs device details",IF(AND(OR(U143="passed",U143="failed",U143="blocked"),V143=""),"needs result date","ready"))))))</x:f>
      </x:c>
    </x:row>
    <x:row r="144" s="51" customFormat="1" ht="15" customHeight="1">
      <x:c r="Y144" s="79" t="str">
        <x:f>IF(A144="","",IF(COUNTBLANK(A144:E144)+COUNTBLANK(G144:J144)+COUNTBLANK(Q144:R144)+COUNTBLANK(U144)&gt;0,"needs core fields",IF(AND(OR(I144="previous baseline — desktop manual",I144="browser emulation — manual",LEFT(I144,11)="real device"),S144=""),"needs protocol ref",IF(AND(LEFT(I144,18)="browser automation",T144=""),"needs automation ref",IF(AND(LEFT(I144,11)="real device",OR(U144="passed",U144="failed",U144="blocked"),OR(K144="",L144="",M144="",N144="",P144="")),"needs device details",IF(AND(OR(U144="passed",U144="failed",U144="blocked"),V144=""),"needs result date","ready"))))))</x:f>
      </x:c>
    </x:row>
    <x:row r="145" s="51" customFormat="1" ht="15" customHeight="1">
      <x:c r="Y145" s="79" t="str">
        <x:f>IF(A145="","",IF(COUNTBLANK(A145:E145)+COUNTBLANK(G145:J145)+COUNTBLANK(Q145:R145)+COUNTBLANK(U145)&gt;0,"needs core fields",IF(AND(OR(I145="previous baseline — desktop manual",I145="browser emulation — manual",LEFT(I145,11)="real device"),S145=""),"needs protocol ref",IF(AND(LEFT(I145,18)="browser automation",T145=""),"needs automation ref",IF(AND(LEFT(I145,11)="real device",OR(U145="passed",U145="failed",U145="blocked"),OR(K145="",L145="",M145="",N145="",P145="")),"needs device details",IF(AND(OR(U145="passed",U145="failed",U145="blocked"),V145=""),"needs result date","ready"))))))</x:f>
      </x:c>
    </x:row>
    <x:row r="146" s="51" customFormat="1" ht="15" customHeight="1">
      <x:c r="Y146" s="79" t="str">
        <x:f>IF(A146="","",IF(COUNTBLANK(A146:E146)+COUNTBLANK(G146:J146)+COUNTBLANK(Q146:R146)+COUNTBLANK(U146)&gt;0,"needs core fields",IF(AND(OR(I146="previous baseline — desktop manual",I146="browser emulation — manual",LEFT(I146,11)="real device"),S146=""),"needs protocol ref",IF(AND(LEFT(I146,18)="browser automation",T146=""),"needs automation ref",IF(AND(LEFT(I146,11)="real device",OR(U146="passed",U146="failed",U146="blocked"),OR(K146="",L146="",M146="",N146="",P146="")),"needs device details",IF(AND(OR(U146="passed",U146="failed",U146="blocked"),V146=""),"needs result date","ready"))))))</x:f>
      </x:c>
    </x:row>
    <x:row r="147" s="51" customFormat="1" ht="15" customHeight="1">
      <x:c r="Y147" s="79" t="str">
        <x:f>IF(A147="","",IF(COUNTBLANK(A147:E147)+COUNTBLANK(G147:J147)+COUNTBLANK(Q147:R147)+COUNTBLANK(U147)&gt;0,"needs core fields",IF(AND(OR(I147="previous baseline — desktop manual",I147="browser emulation — manual",LEFT(I147,11)="real device"),S147=""),"needs protocol ref",IF(AND(LEFT(I147,18)="browser automation",T147=""),"needs automation ref",IF(AND(LEFT(I147,11)="real device",OR(U147="passed",U147="failed",U147="blocked"),OR(K147="",L147="",M147="",N147="",P147="")),"needs device details",IF(AND(OR(U147="passed",U147="failed",U147="blocked"),V147=""),"needs result date","ready"))))))</x:f>
      </x:c>
    </x:row>
    <x:row r="148" s="51" customFormat="1" ht="15" customHeight="1">
      <x:c r="Y148" s="79" t="str">
        <x:f>IF(A148="","",IF(COUNTBLANK(A148:E148)+COUNTBLANK(G148:J148)+COUNTBLANK(Q148:R148)+COUNTBLANK(U148)&gt;0,"needs core fields",IF(AND(OR(I148="previous baseline — desktop manual",I148="browser emulation — manual",LEFT(I148,11)="real device"),S148=""),"needs protocol ref",IF(AND(LEFT(I148,18)="browser automation",T148=""),"needs automation ref",IF(AND(LEFT(I148,11)="real device",OR(U148="passed",U148="failed",U148="blocked"),OR(K148="",L148="",M148="",N148="",P148="")),"needs device details",IF(AND(OR(U148="passed",U148="failed",U148="blocked"),V148=""),"needs result date","ready"))))))</x:f>
      </x:c>
    </x:row>
    <x:row r="149" s="51" customFormat="1" ht="15" customHeight="1">
      <x:c r="Y149" s="79" t="str">
        <x:f>IF(A149="","",IF(COUNTBLANK(A149:E149)+COUNTBLANK(G149:J149)+COUNTBLANK(Q149:R149)+COUNTBLANK(U149)&gt;0,"needs core fields",IF(AND(OR(I149="previous baseline — desktop manual",I149="browser emulation — manual",LEFT(I149,11)="real device"),S149=""),"needs protocol ref",IF(AND(LEFT(I149,18)="browser automation",T149=""),"needs automation ref",IF(AND(LEFT(I149,11)="real device",OR(U149="passed",U149="failed",U149="blocked"),OR(K149="",L149="",M149="",N149="",P149="")),"needs device details",IF(AND(OR(U149="passed",U149="failed",U149="blocked"),V149=""),"needs result date","ready"))))))</x:f>
      </x:c>
    </x:row>
    <x:row r="150" s="51" customFormat="1" ht="15" customHeight="1">
      <x:c r="Y150" s="79" t="str">
        <x:f>IF(A150="","",IF(COUNTBLANK(A150:E150)+COUNTBLANK(G150:J150)+COUNTBLANK(Q150:R150)+COUNTBLANK(U150)&gt;0,"needs core fields",IF(AND(OR(I150="previous baseline — desktop manual",I150="browser emulation — manual",LEFT(I150,11)="real device"),S150=""),"needs protocol ref",IF(AND(LEFT(I150,18)="browser automation",T150=""),"needs automation ref",IF(AND(LEFT(I150,11)="real device",OR(U150="passed",U150="failed",U150="blocked"),OR(K150="",L150="",M150="",N150="",P150="")),"needs device details",IF(AND(OR(U150="passed",U150="failed",U150="blocked"),V150=""),"needs result date","ready"))))))</x:f>
      </x:c>
    </x:row>
    <x:row r="151" s="51" customFormat="1" ht="15" customHeight="1">
      <x:c r="Y151" s="79" t="str">
        <x:f>IF(A151="","",IF(COUNTBLANK(A151:E151)+COUNTBLANK(G151:J151)+COUNTBLANK(Q151:R151)+COUNTBLANK(U151)&gt;0,"needs core fields",IF(AND(OR(I151="previous baseline — desktop manual",I151="browser emulation — manual",LEFT(I151,11)="real device"),S151=""),"needs protocol ref",IF(AND(LEFT(I151,18)="browser automation",T151=""),"needs automation ref",IF(AND(LEFT(I151,11)="real device",OR(U151="passed",U151="failed",U151="blocked"),OR(K151="",L151="",M151="",N151="",P151="")),"needs device details",IF(AND(OR(U151="passed",U151="failed",U151="blocked"),V151=""),"needs result date","ready"))))))</x:f>
      </x:c>
    </x:row>
    <x:row r="152" s="51" customFormat="1" ht="15" customHeight="1">
      <x:c r="Y152" s="79" t="str">
        <x:f>IF(A152="","",IF(COUNTBLANK(A152:E152)+COUNTBLANK(G152:J152)+COUNTBLANK(Q152:R152)+COUNTBLANK(U152)&gt;0,"needs core fields",IF(AND(OR(I152="previous baseline — desktop manual",I152="browser emulation — manual",LEFT(I152,11)="real device"),S152=""),"needs protocol ref",IF(AND(LEFT(I152,18)="browser automation",T152=""),"needs automation ref",IF(AND(LEFT(I152,11)="real device",OR(U152="passed",U152="failed",U152="blocked"),OR(K152="",L152="",M152="",N152="",P152="")),"needs device details",IF(AND(OR(U152="passed",U152="failed",U152="blocked"),V152=""),"needs result date","ready"))))))</x:f>
      </x:c>
    </x:row>
    <x:row r="153" s="51" customFormat="1" ht="15" customHeight="1">
      <x:c r="Y153" s="79" t="str">
        <x:f>IF(A153="","",IF(COUNTBLANK(A153:E153)+COUNTBLANK(G153:J153)+COUNTBLANK(Q153:R153)+COUNTBLANK(U153)&gt;0,"needs core fields",IF(AND(OR(I153="previous baseline — desktop manual",I153="browser emulation — manual",LEFT(I153,11)="real device"),S153=""),"needs protocol ref",IF(AND(LEFT(I153,18)="browser automation",T153=""),"needs automation ref",IF(AND(LEFT(I153,11)="real device",OR(U153="passed",U153="failed",U153="blocked"),OR(K153="",L153="",M153="",N153="",P153="")),"needs device details",IF(AND(OR(U153="passed",U153="failed",U153="blocked"),V153=""),"needs result date","ready"))))))</x:f>
      </x:c>
    </x:row>
    <x:row r="154" s="51" customFormat="1" ht="15" customHeight="1">
      <x:c r="Y154" s="79" t="str">
        <x:f>IF(A154="","",IF(COUNTBLANK(A154:E154)+COUNTBLANK(G154:J154)+COUNTBLANK(Q154:R154)+COUNTBLANK(U154)&gt;0,"needs core fields",IF(AND(OR(I154="previous baseline — desktop manual",I154="browser emulation — manual",LEFT(I154,11)="real device"),S154=""),"needs protocol ref",IF(AND(LEFT(I154,18)="browser automation",T154=""),"needs automation ref",IF(AND(LEFT(I154,11)="real device",OR(U154="passed",U154="failed",U154="blocked"),OR(K154="",L154="",M154="",N154="",P154="")),"needs device details",IF(AND(OR(U154="passed",U154="failed",U154="blocked"),V154=""),"needs result date","ready"))))))</x:f>
      </x:c>
    </x:row>
    <x:row r="155" s="51" customFormat="1" ht="15" customHeight="1">
      <x:c r="Y155" s="79" t="str">
        <x:f>IF(A155="","",IF(COUNTBLANK(A155:E155)+COUNTBLANK(G155:J155)+COUNTBLANK(Q155:R155)+COUNTBLANK(U155)&gt;0,"needs core fields",IF(AND(OR(I155="previous baseline — desktop manual",I155="browser emulation — manual",LEFT(I155,11)="real device"),S155=""),"needs protocol ref",IF(AND(LEFT(I155,18)="browser automation",T155=""),"needs automation ref",IF(AND(LEFT(I155,11)="real device",OR(U155="passed",U155="failed",U155="blocked"),OR(K155="",L155="",M155="",N155="",P155="")),"needs device details",IF(AND(OR(U155="passed",U155="failed",U155="blocked"),V155=""),"needs result date","ready"))))))</x:f>
      </x:c>
    </x:row>
    <x:row r="156" s="51" customFormat="1" ht="15" customHeight="1">
      <x:c r="Y156" s="79" t="str">
        <x:f>IF(A156="","",IF(COUNTBLANK(A156:E156)+COUNTBLANK(G156:J156)+COUNTBLANK(Q156:R156)+COUNTBLANK(U156)&gt;0,"needs core fields",IF(AND(OR(I156="previous baseline — desktop manual",I156="browser emulation — manual",LEFT(I156,11)="real device"),S156=""),"needs protocol ref",IF(AND(LEFT(I156,18)="browser automation",T156=""),"needs automation ref",IF(AND(LEFT(I156,11)="real device",OR(U156="passed",U156="failed",U156="blocked"),OR(K156="",L156="",M156="",N156="",P156="")),"needs device details",IF(AND(OR(U156="passed",U156="failed",U156="blocked"),V156=""),"needs result date","ready"))))))</x:f>
      </x:c>
    </x:row>
    <x:row r="157" s="51" customFormat="1" ht="15" customHeight="1">
      <x:c r="Y157" s="79" t="str">
        <x:f>IF(A157="","",IF(COUNTBLANK(A157:E157)+COUNTBLANK(G157:J157)+COUNTBLANK(Q157:R157)+COUNTBLANK(U157)&gt;0,"needs core fields",IF(AND(OR(I157="previous baseline — desktop manual",I157="browser emulation — manual",LEFT(I157,11)="real device"),S157=""),"needs protocol ref",IF(AND(LEFT(I157,18)="browser automation",T157=""),"needs automation ref",IF(AND(LEFT(I157,11)="real device",OR(U157="passed",U157="failed",U157="blocked"),OR(K157="",L157="",M157="",N157="",P157="")),"needs device details",IF(AND(OR(U157="passed",U157="failed",U157="blocked"),V157=""),"needs result date","ready"))))))</x:f>
      </x:c>
    </x:row>
    <x:row r="158" s="51" customFormat="1" ht="15" customHeight="1">
      <x:c r="Y158" s="79" t="str">
        <x:f>IF(A158="","",IF(COUNTBLANK(A158:E158)+COUNTBLANK(G158:J158)+COUNTBLANK(Q158:R158)+COUNTBLANK(U158)&gt;0,"needs core fields",IF(AND(OR(I158="previous baseline — desktop manual",I158="browser emulation — manual",LEFT(I158,11)="real device"),S158=""),"needs protocol ref",IF(AND(LEFT(I158,18)="browser automation",T158=""),"needs automation ref",IF(AND(LEFT(I158,11)="real device",OR(U158="passed",U158="failed",U158="blocked"),OR(K158="",L158="",M158="",N158="",P158="")),"needs device details",IF(AND(OR(U158="passed",U158="failed",U158="blocked"),V158=""),"needs result date","ready"))))))</x:f>
      </x:c>
    </x:row>
    <x:row r="159" s="51" customFormat="1" ht="15" customHeight="1">
      <x:c r="Y159" s="79" t="str">
        <x:f>IF(A159="","",IF(COUNTBLANK(A159:E159)+COUNTBLANK(G159:J159)+COUNTBLANK(Q159:R159)+COUNTBLANK(U159)&gt;0,"needs core fields",IF(AND(OR(I159="previous baseline — desktop manual",I159="browser emulation — manual",LEFT(I159,11)="real device"),S159=""),"needs protocol ref",IF(AND(LEFT(I159,18)="browser automation",T159=""),"needs automation ref",IF(AND(LEFT(I159,11)="real device",OR(U159="passed",U159="failed",U159="blocked"),OR(K159="",L159="",M159="",N159="",P159="")),"needs device details",IF(AND(OR(U159="passed",U159="failed",U159="blocked"),V159=""),"needs result date","ready"))))))</x:f>
      </x:c>
    </x:row>
    <x:row r="160" s="51" customFormat="1" ht="15" customHeight="1">
      <x:c r="Y160" s="79" t="str">
        <x:f>IF(A160="","",IF(COUNTBLANK(A160:E160)+COUNTBLANK(G160:J160)+COUNTBLANK(Q160:R160)+COUNTBLANK(U160)&gt;0,"needs core fields",IF(AND(OR(I160="previous baseline — desktop manual",I160="browser emulation — manual",LEFT(I160,11)="real device"),S160=""),"needs protocol ref",IF(AND(LEFT(I160,18)="browser automation",T160=""),"needs automation ref",IF(AND(LEFT(I160,11)="real device",OR(U160="passed",U160="failed",U160="blocked"),OR(K160="",L160="",M160="",N160="",P160="")),"needs device details",IF(AND(OR(U160="passed",U160="failed",U160="blocked"),V160=""),"needs result date","ready"))))))</x:f>
      </x:c>
    </x:row>
    <x:row r="161" s="51" customFormat="1" ht="15" customHeight="1">
      <x:c r="Y161" s="79" t="str">
        <x:f>IF(A161="","",IF(COUNTBLANK(A161:E161)+COUNTBLANK(G161:J161)+COUNTBLANK(Q161:R161)+COUNTBLANK(U161)&gt;0,"needs core fields",IF(AND(OR(I161="previous baseline — desktop manual",I161="browser emulation — manual",LEFT(I161,11)="real device"),S161=""),"needs protocol ref",IF(AND(LEFT(I161,18)="browser automation",T161=""),"needs automation ref",IF(AND(LEFT(I161,11)="real device",OR(U161="passed",U161="failed",U161="blocked"),OR(K161="",L161="",M161="",N161="",P161="")),"needs device details",IF(AND(OR(U161="passed",U161="failed",U161="blocked"),V161=""),"needs result date","ready"))))))</x:f>
      </x:c>
    </x:row>
    <x:row r="162" s="51" customFormat="1" ht="15" customHeight="1">
      <x:c r="Y162" s="79" t="str">
        <x:f>IF(A162="","",IF(COUNTBLANK(A162:E162)+COUNTBLANK(G162:J162)+COUNTBLANK(Q162:R162)+COUNTBLANK(U162)&gt;0,"needs core fields",IF(AND(OR(I162="previous baseline — desktop manual",I162="browser emulation — manual",LEFT(I162,11)="real device"),S162=""),"needs protocol ref",IF(AND(LEFT(I162,18)="browser automation",T162=""),"needs automation ref",IF(AND(LEFT(I162,11)="real device",OR(U162="passed",U162="failed",U162="blocked"),OR(K162="",L162="",M162="",N162="",P162="")),"needs device details",IF(AND(OR(U162="passed",U162="failed",U162="blocked"),V162=""),"needs result date","ready"))))))</x:f>
      </x:c>
    </x:row>
    <x:row r="163" s="51" customFormat="1" ht="15" customHeight="1">
      <x:c r="Y163" s="79" t="str">
        <x:f>IF(A163="","",IF(COUNTBLANK(A163:E163)+COUNTBLANK(G163:J163)+COUNTBLANK(Q163:R163)+COUNTBLANK(U163)&gt;0,"needs core fields",IF(AND(OR(I163="previous baseline — desktop manual",I163="browser emulation — manual",LEFT(I163,11)="real device"),S163=""),"needs protocol ref",IF(AND(LEFT(I163,18)="browser automation",T163=""),"needs automation ref",IF(AND(LEFT(I163,11)="real device",OR(U163="passed",U163="failed",U163="blocked"),OR(K163="",L163="",M163="",N163="",P163="")),"needs device details",IF(AND(OR(U163="passed",U163="failed",U163="blocked"),V163=""),"needs result date","ready"))))))</x:f>
      </x:c>
    </x:row>
    <x:row r="164" s="51" customFormat="1" ht="15" customHeight="1">
      <x:c r="Y164" s="79" t="str">
        <x:f>IF(A164="","",IF(COUNTBLANK(A164:E164)+COUNTBLANK(G164:J164)+COUNTBLANK(Q164:R164)+COUNTBLANK(U164)&gt;0,"needs core fields",IF(AND(OR(I164="previous baseline — desktop manual",I164="browser emulation — manual",LEFT(I164,11)="real device"),S164=""),"needs protocol ref",IF(AND(LEFT(I164,18)="browser automation",T164=""),"needs automation ref",IF(AND(LEFT(I164,11)="real device",OR(U164="passed",U164="failed",U164="blocked"),OR(K164="",L164="",M164="",N164="",P164="")),"needs device details",IF(AND(OR(U164="passed",U164="failed",U164="blocked"),V164=""),"needs result date","ready"))))))</x:f>
      </x:c>
    </x:row>
    <x:row r="165" s="51" customFormat="1" ht="15" customHeight="1">
      <x:c r="Y165" s="79" t="str">
        <x:f>IF(A165="","",IF(COUNTBLANK(A165:E165)+COUNTBLANK(G165:J165)+COUNTBLANK(Q165:R165)+COUNTBLANK(U165)&gt;0,"needs core fields",IF(AND(OR(I165="previous baseline — desktop manual",I165="browser emulation — manual",LEFT(I165,11)="real device"),S165=""),"needs protocol ref",IF(AND(LEFT(I165,18)="browser automation",T165=""),"needs automation ref",IF(AND(LEFT(I165,11)="real device",OR(U165="passed",U165="failed",U165="blocked"),OR(K165="",L165="",M165="",N165="",P165="")),"needs device details",IF(AND(OR(U165="passed",U165="failed",U165="blocked"),V165=""),"needs result date","ready"))))))</x:f>
      </x:c>
    </x:row>
    <x:row r="166" s="51" customFormat="1" ht="15" customHeight="1">
      <x:c r="Y166" s="79" t="str">
        <x:f>IF(A166="","",IF(COUNTBLANK(A166:E166)+COUNTBLANK(G166:J166)+COUNTBLANK(Q166:R166)+COUNTBLANK(U166)&gt;0,"needs core fields",IF(AND(OR(I166="previous baseline — desktop manual",I166="browser emulation — manual",LEFT(I166,11)="real device"),S166=""),"needs protocol ref",IF(AND(LEFT(I166,18)="browser automation",T166=""),"needs automation ref",IF(AND(LEFT(I166,11)="real device",OR(U166="passed",U166="failed",U166="blocked"),OR(K166="",L166="",M166="",N166="",P166="")),"needs device details",IF(AND(OR(U166="passed",U166="failed",U166="blocked"),V166=""),"needs result date","ready"))))))</x:f>
      </x:c>
    </x:row>
    <x:row r="167" s="51" customFormat="1" ht="15" customHeight="1">
      <x:c r="Y167" s="79" t="str">
        <x:f>IF(A167="","",IF(COUNTBLANK(A167:E167)+COUNTBLANK(G167:J167)+COUNTBLANK(Q167:R167)+COUNTBLANK(U167)&gt;0,"needs core fields",IF(AND(OR(I167="previous baseline — desktop manual",I167="browser emulation — manual",LEFT(I167,11)="real device"),S167=""),"needs protocol ref",IF(AND(LEFT(I167,18)="browser automation",T167=""),"needs automation ref",IF(AND(LEFT(I167,11)="real device",OR(U167="passed",U167="failed",U167="blocked"),OR(K167="",L167="",M167="",N167="",P167="")),"needs device details",IF(AND(OR(U167="passed",U167="failed",U167="blocked"),V167=""),"needs result date","ready"))))))</x:f>
      </x:c>
    </x:row>
    <x:row r="168" s="51" customFormat="1" ht="15" customHeight="1">
      <x:c r="Y168" s="79" t="str">
        <x:f>IF(A168="","",IF(COUNTBLANK(A168:E168)+COUNTBLANK(G168:J168)+COUNTBLANK(Q168:R168)+COUNTBLANK(U168)&gt;0,"needs core fields",IF(AND(OR(I168="previous baseline — desktop manual",I168="browser emulation — manual",LEFT(I168,11)="real device"),S168=""),"needs protocol ref",IF(AND(LEFT(I168,18)="browser automation",T168=""),"needs automation ref",IF(AND(LEFT(I168,11)="real device",OR(U168="passed",U168="failed",U168="blocked"),OR(K168="",L168="",M168="",N168="",P168="")),"needs device details",IF(AND(OR(U168="passed",U168="failed",U168="blocked"),V168=""),"needs result date","ready"))))))</x:f>
      </x:c>
    </x:row>
    <x:row r="169" s="51" customFormat="1" ht="15" customHeight="1">
      <x:c r="Y169" s="79" t="str">
        <x:f>IF(A169="","",IF(COUNTBLANK(A169:E169)+COUNTBLANK(G169:J169)+COUNTBLANK(Q169:R169)+COUNTBLANK(U169)&gt;0,"needs core fields",IF(AND(OR(I169="previous baseline — desktop manual",I169="browser emulation — manual",LEFT(I169,11)="real device"),S169=""),"needs protocol ref",IF(AND(LEFT(I169,18)="browser automation",T169=""),"needs automation ref",IF(AND(LEFT(I169,11)="real device",OR(U169="passed",U169="failed",U169="blocked"),OR(K169="",L169="",M169="",N169="",P169="")),"needs device details",IF(AND(OR(U169="passed",U169="failed",U169="blocked"),V169=""),"needs result date","ready"))))))</x:f>
      </x:c>
    </x:row>
    <x:row r="170" s="51" customFormat="1" ht="15" customHeight="1">
      <x:c r="Y170" s="79" t="str">
        <x:f>IF(A170="","",IF(COUNTBLANK(A170:E170)+COUNTBLANK(G170:J170)+COUNTBLANK(Q170:R170)+COUNTBLANK(U170)&gt;0,"needs core fields",IF(AND(OR(I170="previous baseline — desktop manual",I170="browser emulation — manual",LEFT(I170,11)="real device"),S170=""),"needs protocol ref",IF(AND(LEFT(I170,18)="browser automation",T170=""),"needs automation ref",IF(AND(LEFT(I170,11)="real device",OR(U170="passed",U170="failed",U170="blocked"),OR(K170="",L170="",M170="",N170="",P170="")),"needs device details",IF(AND(OR(U170="passed",U170="failed",U170="blocked"),V170=""),"needs result date","ready"))))))</x:f>
      </x:c>
    </x:row>
    <x:row r="171" s="51" customFormat="1" ht="15" customHeight="1">
      <x:c r="Y171" s="79" t="str">
        <x:f>IF(A171="","",IF(COUNTBLANK(A171:E171)+COUNTBLANK(G171:J171)+COUNTBLANK(Q171:R171)+COUNTBLANK(U171)&gt;0,"needs core fields",IF(AND(OR(I171="previous baseline — desktop manual",I171="browser emulation — manual",LEFT(I171,11)="real device"),S171=""),"needs protocol ref",IF(AND(LEFT(I171,18)="browser automation",T171=""),"needs automation ref",IF(AND(LEFT(I171,11)="real device",OR(U171="passed",U171="failed",U171="blocked"),OR(K171="",L171="",M171="",N171="",P171="")),"needs device details",IF(AND(OR(U171="passed",U171="failed",U171="blocked"),V171=""),"needs result date","ready"))))))</x:f>
      </x:c>
    </x:row>
    <x:row r="172" s="51" customFormat="1" ht="15" customHeight="1">
      <x:c r="Y172" s="79" t="str">
        <x:f>IF(A172="","",IF(COUNTBLANK(A172:E172)+COUNTBLANK(G172:J172)+COUNTBLANK(Q172:R172)+COUNTBLANK(U172)&gt;0,"needs core fields",IF(AND(OR(I172="previous baseline — desktop manual",I172="browser emulation — manual",LEFT(I172,11)="real device"),S172=""),"needs protocol ref",IF(AND(LEFT(I172,18)="browser automation",T172=""),"needs automation ref",IF(AND(LEFT(I172,11)="real device",OR(U172="passed",U172="failed",U172="blocked"),OR(K172="",L172="",M172="",N172="",P172="")),"needs device details",IF(AND(OR(U172="passed",U172="failed",U172="blocked"),V172=""),"needs result date","ready"))))))</x:f>
      </x:c>
    </x:row>
    <x:row r="173" s="51" customFormat="1" ht="15" customHeight="1">
      <x:c r="Y173" s="79" t="str">
        <x:f>IF(A173="","",IF(COUNTBLANK(A173:E173)+COUNTBLANK(G173:J173)+COUNTBLANK(Q173:R173)+COUNTBLANK(U173)&gt;0,"needs core fields",IF(AND(OR(I173="previous baseline — desktop manual",I173="browser emulation — manual",LEFT(I173,11)="real device"),S173=""),"needs protocol ref",IF(AND(LEFT(I173,18)="browser automation",T173=""),"needs automation ref",IF(AND(LEFT(I173,11)="real device",OR(U173="passed",U173="failed",U173="blocked"),OR(K173="",L173="",M173="",N173="",P173="")),"needs device details",IF(AND(OR(U173="passed",U173="failed",U173="blocked"),V173=""),"needs result date","ready"))))))</x:f>
      </x:c>
    </x:row>
    <x:row r="174" s="51" customFormat="1" ht="15" customHeight="1">
      <x:c r="Y174" s="79" t="str">
        <x:f>IF(A174="","",IF(COUNTBLANK(A174:E174)+COUNTBLANK(G174:J174)+COUNTBLANK(Q174:R174)+COUNTBLANK(U174)&gt;0,"needs core fields",IF(AND(OR(I174="previous baseline — desktop manual",I174="browser emulation — manual",LEFT(I174,11)="real device"),S174=""),"needs protocol ref",IF(AND(LEFT(I174,18)="browser automation",T174=""),"needs automation ref",IF(AND(LEFT(I174,11)="real device",OR(U174="passed",U174="failed",U174="blocked"),OR(K174="",L174="",M174="",N174="",P174="")),"needs device details",IF(AND(OR(U174="passed",U174="failed",U174="blocked"),V174=""),"needs result date","ready"))))))</x:f>
      </x:c>
    </x:row>
    <x:row r="175" s="51" customFormat="1" ht="15" customHeight="1">
      <x:c r="Y175" s="79" t="str">
        <x:f>IF(A175="","",IF(COUNTBLANK(A175:E175)+COUNTBLANK(G175:J175)+COUNTBLANK(Q175:R175)+COUNTBLANK(U175)&gt;0,"needs core fields",IF(AND(OR(I175="previous baseline — desktop manual",I175="browser emulation — manual",LEFT(I175,11)="real device"),S175=""),"needs protocol ref",IF(AND(LEFT(I175,18)="browser automation",T175=""),"needs automation ref",IF(AND(LEFT(I175,11)="real device",OR(U175="passed",U175="failed",U175="blocked"),OR(K175="",L175="",M175="",N175="",P175="")),"needs device details",IF(AND(OR(U175="passed",U175="failed",U175="blocked"),V175=""),"needs result date","ready"))))))</x:f>
      </x:c>
    </x:row>
    <x:row r="176" s="51" customFormat="1" ht="15" customHeight="1">
      <x:c r="Y176" s="79" t="str">
        <x:f>IF(A176="","",IF(COUNTBLANK(A176:E176)+COUNTBLANK(G176:J176)+COUNTBLANK(Q176:R176)+COUNTBLANK(U176)&gt;0,"needs core fields",IF(AND(OR(I176="previous baseline — desktop manual",I176="browser emulation — manual",LEFT(I176,11)="real device"),S176=""),"needs protocol ref",IF(AND(LEFT(I176,18)="browser automation",T176=""),"needs automation ref",IF(AND(LEFT(I176,11)="real device",OR(U176="passed",U176="failed",U176="blocked"),OR(K176="",L176="",M176="",N176="",P176="")),"needs device details",IF(AND(OR(U176="passed",U176="failed",U176="blocked"),V176=""),"needs result date","ready"))))))</x:f>
      </x:c>
    </x:row>
    <x:row r="177" s="51" customFormat="1" ht="15" customHeight="1">
      <x:c r="Y177" s="79" t="str">
        <x:f>IF(A177="","",IF(COUNTBLANK(A177:E177)+COUNTBLANK(G177:J177)+COUNTBLANK(Q177:R177)+COUNTBLANK(U177)&gt;0,"needs core fields",IF(AND(OR(I177="previous baseline — desktop manual",I177="browser emulation — manual",LEFT(I177,11)="real device"),S177=""),"needs protocol ref",IF(AND(LEFT(I177,18)="browser automation",T177=""),"needs automation ref",IF(AND(LEFT(I177,11)="real device",OR(U177="passed",U177="failed",U177="blocked"),OR(K177="",L177="",M177="",N177="",P177="")),"needs device details",IF(AND(OR(U177="passed",U177="failed",U177="blocked"),V177=""),"needs result date","ready"))))))</x:f>
      </x:c>
    </x:row>
    <x:row r="178" s="51" customFormat="1" ht="15" customHeight="1">
      <x:c r="Y178" s="79" t="str">
        <x:f>IF(A178="","",IF(COUNTBLANK(A178:E178)+COUNTBLANK(G178:J178)+COUNTBLANK(Q178:R178)+COUNTBLANK(U178)&gt;0,"needs core fields",IF(AND(OR(I178="previous baseline — desktop manual",I178="browser emulation — manual",LEFT(I178,11)="real device"),S178=""),"needs protocol ref",IF(AND(LEFT(I178,18)="browser automation",T178=""),"needs automation ref",IF(AND(LEFT(I178,11)="real device",OR(U178="passed",U178="failed",U178="blocked"),OR(K178="",L178="",M178="",N178="",P178="")),"needs device details",IF(AND(OR(U178="passed",U178="failed",U178="blocked"),V178=""),"needs result date","ready"))))))</x:f>
      </x:c>
    </x:row>
    <x:row r="179" s="51" customFormat="1" ht="15" customHeight="1">
      <x:c r="Y179" s="79" t="str">
        <x:f>IF(A179="","",IF(COUNTBLANK(A179:E179)+COUNTBLANK(G179:J179)+COUNTBLANK(Q179:R179)+COUNTBLANK(U179)&gt;0,"needs core fields",IF(AND(OR(I179="previous baseline — desktop manual",I179="browser emulation — manual",LEFT(I179,11)="real device"),S179=""),"needs protocol ref",IF(AND(LEFT(I179,18)="browser automation",T179=""),"needs automation ref",IF(AND(LEFT(I179,11)="real device",OR(U179="passed",U179="failed",U179="blocked"),OR(K179="",L179="",M179="",N179="",P179="")),"needs device details",IF(AND(OR(U179="passed",U179="failed",U179="blocked"),V179=""),"needs result date","ready"))))))</x:f>
      </x:c>
    </x:row>
    <x:row r="180" s="51" customFormat="1" ht="15" customHeight="1">
      <x:c r="Y180" s="79" t="str">
        <x:f>IF(A180="","",IF(COUNTBLANK(A180:E180)+COUNTBLANK(G180:J180)+COUNTBLANK(Q180:R180)+COUNTBLANK(U180)&gt;0,"needs core fields",IF(AND(OR(I180="previous baseline — desktop manual",I180="browser emulation — manual",LEFT(I180,11)="real device"),S180=""),"needs protocol ref",IF(AND(LEFT(I180,18)="browser automation",T180=""),"needs automation ref",IF(AND(LEFT(I180,11)="real device",OR(U180="passed",U180="failed",U180="blocked"),OR(K180="",L180="",M180="",N180="",P180="")),"needs device details",IF(AND(OR(U180="passed",U180="failed",U180="blocked"),V180=""),"needs result date","ready"))))))</x:f>
      </x:c>
    </x:row>
    <x:row r="181" s="51" customFormat="1" ht="15" customHeight="1">
      <x:c r="Y181" s="79" t="str">
        <x:f>IF(A181="","",IF(COUNTBLANK(A181:E181)+COUNTBLANK(G181:J181)+COUNTBLANK(Q181:R181)+COUNTBLANK(U181)&gt;0,"needs core fields",IF(AND(OR(I181="previous baseline — desktop manual",I181="browser emulation — manual",LEFT(I181,11)="real device"),S181=""),"needs protocol ref",IF(AND(LEFT(I181,18)="browser automation",T181=""),"needs automation ref",IF(AND(LEFT(I181,11)="real device",OR(U181="passed",U181="failed",U181="blocked"),OR(K181="",L181="",M181="",N181="",P181="")),"needs device details",IF(AND(OR(U181="passed",U181="failed",U181="blocked"),V181=""),"needs result date","ready"))))))</x:f>
      </x:c>
    </x:row>
    <x:row r="182" s="51" customFormat="1" ht="15" customHeight="1">
      <x:c r="Y182" s="79" t="str">
        <x:f>IF(A182="","",IF(COUNTBLANK(A182:E182)+COUNTBLANK(G182:J182)+COUNTBLANK(Q182:R182)+COUNTBLANK(U182)&gt;0,"needs core fields",IF(AND(OR(I182="previous baseline — desktop manual",I182="browser emulation — manual",LEFT(I182,11)="real device"),S182=""),"needs protocol ref",IF(AND(LEFT(I182,18)="browser automation",T182=""),"needs automation ref",IF(AND(LEFT(I182,11)="real device",OR(U182="passed",U182="failed",U182="blocked"),OR(K182="",L182="",M182="",N182="",P182="")),"needs device details",IF(AND(OR(U182="passed",U182="failed",U182="blocked"),V182=""),"needs result date","ready"))))))</x:f>
      </x:c>
    </x:row>
    <x:row r="183" s="51" customFormat="1" ht="15" customHeight="1">
      <x:c r="Y183" s="79" t="str">
        <x:f>IF(A183="","",IF(COUNTBLANK(A183:E183)+COUNTBLANK(G183:J183)+COUNTBLANK(Q183:R183)+COUNTBLANK(U183)&gt;0,"needs core fields",IF(AND(OR(I183="previous baseline — desktop manual",I183="browser emulation — manual",LEFT(I183,11)="real device"),S183=""),"needs protocol ref",IF(AND(LEFT(I183,18)="browser automation",T183=""),"needs automation ref",IF(AND(LEFT(I183,11)="real device",OR(U183="passed",U183="failed",U183="blocked"),OR(K183="",L183="",M183="",N183="",P183="")),"needs device details",IF(AND(OR(U183="passed",U183="failed",U183="blocked"),V183=""),"needs result date","ready"))))))</x:f>
      </x:c>
    </x:row>
    <x:row r="184" s="51" customFormat="1" ht="15" customHeight="1">
      <x:c r="Y184" s="79" t="str">
        <x:f>IF(A184="","",IF(COUNTBLANK(A184:E184)+COUNTBLANK(G184:J184)+COUNTBLANK(Q184:R184)+COUNTBLANK(U184)&gt;0,"needs core fields",IF(AND(OR(I184="previous baseline — desktop manual",I184="browser emulation — manual",LEFT(I184,11)="real device"),S184=""),"needs protocol ref",IF(AND(LEFT(I184,18)="browser automation",T184=""),"needs automation ref",IF(AND(LEFT(I184,11)="real device",OR(U184="passed",U184="failed",U184="blocked"),OR(K184="",L184="",M184="",N184="",P184="")),"needs device details",IF(AND(OR(U184="passed",U184="failed",U184="blocked"),V184=""),"needs result date","ready"))))))</x:f>
      </x:c>
    </x:row>
    <x:row r="185" s="51" customFormat="1" ht="15" customHeight="1">
      <x:c r="Y185" s="79" t="str">
        <x:f>IF(A185="","",IF(COUNTBLANK(A185:E185)+COUNTBLANK(G185:J185)+COUNTBLANK(Q185:R185)+COUNTBLANK(U185)&gt;0,"needs core fields",IF(AND(OR(I185="previous baseline — desktop manual",I185="browser emulation — manual",LEFT(I185,11)="real device"),S185=""),"needs protocol ref",IF(AND(LEFT(I185,18)="browser automation",T185=""),"needs automation ref",IF(AND(LEFT(I185,11)="real device",OR(U185="passed",U185="failed",U185="blocked"),OR(K185="",L185="",M185="",N185="",P185="")),"needs device details",IF(AND(OR(U185="passed",U185="failed",U185="blocked"),V185=""),"needs result date","ready"))))))</x:f>
      </x:c>
    </x:row>
    <x:row r="186" s="51" customFormat="1" ht="15" customHeight="1">
      <x:c r="Y186" s="79" t="str">
        <x:f>IF(A186="","",IF(COUNTBLANK(A186:E186)+COUNTBLANK(G186:J186)+COUNTBLANK(Q186:R186)+COUNTBLANK(U186)&gt;0,"needs core fields",IF(AND(OR(I186="previous baseline — desktop manual",I186="browser emulation — manual",LEFT(I186,11)="real device"),S186=""),"needs protocol ref",IF(AND(LEFT(I186,18)="browser automation",T186=""),"needs automation ref",IF(AND(LEFT(I186,11)="real device",OR(U186="passed",U186="failed",U186="blocked"),OR(K186="",L186="",M186="",N186="",P186="")),"needs device details",IF(AND(OR(U186="passed",U186="failed",U186="blocked"),V186=""),"needs result date","ready"))))))</x:f>
      </x:c>
    </x:row>
    <x:row r="187" s="51" customFormat="1" ht="15" customHeight="1">
      <x:c r="Y187" s="79" t="str">
        <x:f>IF(A187="","",IF(COUNTBLANK(A187:E187)+COUNTBLANK(G187:J187)+COUNTBLANK(Q187:R187)+COUNTBLANK(U187)&gt;0,"needs core fields",IF(AND(OR(I187="previous baseline — desktop manual",I187="browser emulation — manual",LEFT(I187,11)="real device"),S187=""),"needs protocol ref",IF(AND(LEFT(I187,18)="browser automation",T187=""),"needs automation ref",IF(AND(LEFT(I187,11)="real device",OR(U187="passed",U187="failed",U187="blocked"),OR(K187="",L187="",M187="",N187="",P187="")),"needs device details",IF(AND(OR(U187="passed",U187="failed",U187="blocked"),V187=""),"needs result date","ready"))))))</x:f>
      </x:c>
    </x:row>
    <x:row r="188" s="51" customFormat="1" ht="15" customHeight="1">
      <x:c r="Y188" s="79" t="str">
        <x:f>IF(A188="","",IF(COUNTBLANK(A188:E188)+COUNTBLANK(G188:J188)+COUNTBLANK(Q188:R188)+COUNTBLANK(U188)&gt;0,"needs core fields",IF(AND(OR(I188="previous baseline — desktop manual",I188="browser emulation — manual",LEFT(I188,11)="real device"),S188=""),"needs protocol ref",IF(AND(LEFT(I188,18)="browser automation",T188=""),"needs automation ref",IF(AND(LEFT(I188,11)="real device",OR(U188="passed",U188="failed",U188="blocked"),OR(K188="",L188="",M188="",N188="",P188="")),"needs device details",IF(AND(OR(U188="passed",U188="failed",U188="blocked"),V188=""),"needs result date","ready"))))))</x:f>
      </x:c>
    </x:row>
    <x:row r="189" s="51" customFormat="1" ht="15" customHeight="1">
      <x:c r="Y189" s="79" t="str">
        <x:f>IF(A189="","",IF(COUNTBLANK(A189:E189)+COUNTBLANK(G189:J189)+COUNTBLANK(Q189:R189)+COUNTBLANK(U189)&gt;0,"needs core fields",IF(AND(OR(I189="previous baseline — desktop manual",I189="browser emulation — manual",LEFT(I189,11)="real device"),S189=""),"needs protocol ref",IF(AND(LEFT(I189,18)="browser automation",T189=""),"needs automation ref",IF(AND(LEFT(I189,11)="real device",OR(U189="passed",U189="failed",U189="blocked"),OR(K189="",L189="",M189="",N189="",P189="")),"needs device details",IF(AND(OR(U189="passed",U189="failed",U189="blocked"),V189=""),"needs result date","ready"))))))</x:f>
      </x:c>
    </x:row>
    <x:row r="190" s="51" customFormat="1" ht="15" customHeight="1">
      <x:c r="Y190" s="79" t="str">
        <x:f>IF(A190="","",IF(COUNTBLANK(A190:E190)+COUNTBLANK(G190:J190)+COUNTBLANK(Q190:R190)+COUNTBLANK(U190)&gt;0,"needs core fields",IF(AND(OR(I190="previous baseline — desktop manual",I190="browser emulation — manual",LEFT(I190,11)="real device"),S190=""),"needs protocol ref",IF(AND(LEFT(I190,18)="browser automation",T190=""),"needs automation ref",IF(AND(LEFT(I190,11)="real device",OR(U190="passed",U190="failed",U190="blocked"),OR(K190="",L190="",M190="",N190="",P190="")),"needs device details",IF(AND(OR(U190="passed",U190="failed",U190="blocked"),V190=""),"needs result date","ready"))))))</x:f>
      </x:c>
    </x:row>
    <x:row r="191" s="51" customFormat="1" ht="15" customHeight="1">
      <x:c r="Y191" s="79" t="str">
        <x:f>IF(A191="","",IF(COUNTBLANK(A191:E191)+COUNTBLANK(G191:J191)+COUNTBLANK(Q191:R191)+COUNTBLANK(U191)&gt;0,"needs core fields",IF(AND(OR(I191="previous baseline — desktop manual",I191="browser emulation — manual",LEFT(I191,11)="real device"),S191=""),"needs protocol ref",IF(AND(LEFT(I191,18)="browser automation",T191=""),"needs automation ref",IF(AND(LEFT(I191,11)="real device",OR(U191="passed",U191="failed",U191="blocked"),OR(K191="",L191="",M191="",N191="",P191="")),"needs device details",IF(AND(OR(U191="passed",U191="failed",U191="blocked"),V191=""),"needs result date","ready"))))))</x:f>
      </x:c>
    </x:row>
    <x:row r="192" s="51" customFormat="1" ht="15" customHeight="1">
      <x:c r="Y192" s="79" t="str">
        <x:f>IF(A192="","",IF(COUNTBLANK(A192:E192)+COUNTBLANK(G192:J192)+COUNTBLANK(Q192:R192)+COUNTBLANK(U192)&gt;0,"needs core fields",IF(AND(OR(I192="previous baseline — desktop manual",I192="browser emulation — manual",LEFT(I192,11)="real device"),S192=""),"needs protocol ref",IF(AND(LEFT(I192,18)="browser automation",T192=""),"needs automation ref",IF(AND(LEFT(I192,11)="real device",OR(U192="passed",U192="failed",U192="blocked"),OR(K192="",L192="",M192="",N192="",P192="")),"needs device details",IF(AND(OR(U192="passed",U192="failed",U192="blocked"),V192=""),"needs result date","ready"))))))</x:f>
      </x:c>
    </x:row>
    <x:row r="193" s="51" customFormat="1" ht="15" customHeight="1">
      <x:c r="Y193" s="79" t="str">
        <x:f>IF(A193="","",IF(COUNTBLANK(A193:E193)+COUNTBLANK(G193:J193)+COUNTBLANK(Q193:R193)+COUNTBLANK(U193)&gt;0,"needs core fields",IF(AND(OR(I193="previous baseline — desktop manual",I193="browser emulation — manual",LEFT(I193,11)="real device"),S193=""),"needs protocol ref",IF(AND(LEFT(I193,18)="browser automation",T193=""),"needs automation ref",IF(AND(LEFT(I193,11)="real device",OR(U193="passed",U193="failed",U193="blocked"),OR(K193="",L193="",M193="",N193="",P193="")),"needs device details",IF(AND(OR(U193="passed",U193="failed",U193="blocked"),V193=""),"needs result date","ready"))))))</x:f>
      </x:c>
    </x:row>
    <x:row r="194" s="51" customFormat="1" ht="15" customHeight="1">
      <x:c r="Y194" s="79" t="str">
        <x:f>IF(A194="","",IF(COUNTBLANK(A194:E194)+COUNTBLANK(G194:J194)+COUNTBLANK(Q194:R194)+COUNTBLANK(U194)&gt;0,"needs core fields",IF(AND(OR(I194="previous baseline — desktop manual",I194="browser emulation — manual",LEFT(I194,11)="real device"),S194=""),"needs protocol ref",IF(AND(LEFT(I194,18)="browser automation",T194=""),"needs automation ref",IF(AND(LEFT(I194,11)="real device",OR(U194="passed",U194="failed",U194="blocked"),OR(K194="",L194="",M194="",N194="",P194="")),"needs device details",IF(AND(OR(U194="passed",U194="failed",U194="blocked"),V194=""),"needs result date","ready"))))))</x:f>
      </x:c>
    </x:row>
    <x:row r="195" s="51" customFormat="1" ht="15" customHeight="1">
      <x:c r="Y195" s="79" t="str">
        <x:f>IF(A195="","",IF(COUNTBLANK(A195:E195)+COUNTBLANK(G195:J195)+COUNTBLANK(Q195:R195)+COUNTBLANK(U195)&gt;0,"needs core fields",IF(AND(OR(I195="previous baseline — desktop manual",I195="browser emulation — manual",LEFT(I195,11)="real device"),S195=""),"needs protocol ref",IF(AND(LEFT(I195,18)="browser automation",T195=""),"needs automation ref",IF(AND(LEFT(I195,11)="real device",OR(U195="passed",U195="failed",U195="blocked"),OR(K195="",L195="",M195="",N195="",P195="")),"needs device details",IF(AND(OR(U195="passed",U195="failed",U195="blocked"),V195=""),"needs result date","ready"))))))</x:f>
      </x:c>
    </x:row>
    <x:row r="196" s="51" customFormat="1" ht="15" customHeight="1">
      <x:c r="Y196" s="79" t="str">
        <x:f>IF(A196="","",IF(COUNTBLANK(A196:E196)+COUNTBLANK(G196:J196)+COUNTBLANK(Q196:R196)+COUNTBLANK(U196)&gt;0,"needs core fields",IF(AND(OR(I196="previous baseline — desktop manual",I196="browser emulation — manual",LEFT(I196,11)="real device"),S196=""),"needs protocol ref",IF(AND(LEFT(I196,18)="browser automation",T196=""),"needs automation ref",IF(AND(LEFT(I196,11)="real device",OR(U196="passed",U196="failed",U196="blocked"),OR(K196="",L196="",M196="",N196="",P196="")),"needs device details",IF(AND(OR(U196="passed",U196="failed",U196="blocked"),V196=""),"needs result date","ready"))))))</x:f>
      </x:c>
    </x:row>
    <x:row r="197" s="51" customFormat="1" ht="15" customHeight="1">
      <x:c r="Y197" s="79" t="str">
        <x:f>IF(A197="","",IF(COUNTBLANK(A197:E197)+COUNTBLANK(G197:J197)+COUNTBLANK(Q197:R197)+COUNTBLANK(U197)&gt;0,"needs core fields",IF(AND(OR(I197="previous baseline — desktop manual",I197="browser emulation — manual",LEFT(I197,11)="real device"),S197=""),"needs protocol ref",IF(AND(LEFT(I197,18)="browser automation",T197=""),"needs automation ref",IF(AND(LEFT(I197,11)="real device",OR(U197="passed",U197="failed",U197="blocked"),OR(K197="",L197="",M197="",N197="",P197="")),"needs device details",IF(AND(OR(U197="passed",U197="failed",U197="blocked"),V197=""),"needs result date","ready"))))))</x:f>
      </x:c>
    </x:row>
    <x:row r="198" s="51" customFormat="1" ht="15" customHeight="1">
      <x:c r="Y198" s="79" t="str">
        <x:f>IF(A198="","",IF(COUNTBLANK(A198:E198)+COUNTBLANK(G198:J198)+COUNTBLANK(Q198:R198)+COUNTBLANK(U198)&gt;0,"needs core fields",IF(AND(OR(I198="previous baseline — desktop manual",I198="browser emulation — manual",LEFT(I198,11)="real device"),S198=""),"needs protocol ref",IF(AND(LEFT(I198,18)="browser automation",T198=""),"needs automation ref",IF(AND(LEFT(I198,11)="real device",OR(U198="passed",U198="failed",U198="blocked"),OR(K198="",L198="",M198="",N198="",P198="")),"needs device details",IF(AND(OR(U198="passed",U198="failed",U198="blocked"),V198=""),"needs result date","ready"))))))</x:f>
      </x:c>
    </x:row>
    <x:row r="199" s="51" customFormat="1" ht="15" customHeight="1">
      <x:c r="Y199" s="79" t="str">
        <x:f>IF(A199="","",IF(COUNTBLANK(A199:E199)+COUNTBLANK(G199:J199)+COUNTBLANK(Q199:R199)+COUNTBLANK(U199)&gt;0,"needs core fields",IF(AND(OR(I199="previous baseline — desktop manual",I199="browser emulation — manual",LEFT(I199,11)="real device"),S199=""),"needs protocol ref",IF(AND(LEFT(I199,18)="browser automation",T199=""),"needs automation ref",IF(AND(LEFT(I199,11)="real device",OR(U199="passed",U199="failed",U199="blocked"),OR(K199="",L199="",M199="",N199="",P199="")),"needs device details",IF(AND(OR(U199="passed",U199="failed",U199="blocked"),V199=""),"needs result date","ready"))))))</x:f>
      </x:c>
    </x:row>
    <x:row r="200" s="51" customFormat="1" ht="15" customHeight="1">
      <x:c r="Y200" s="79" t="str">
        <x:f>IF(A200="","",IF(COUNTBLANK(A200:E200)+COUNTBLANK(G200:J200)+COUNTBLANK(Q200:R200)+COUNTBLANK(U200)&gt;0,"needs core fields",IF(AND(OR(I200="previous baseline — desktop manual",I200="browser emulation — manual",LEFT(I200,11)="real device"),S200=""),"needs protocol ref",IF(AND(LEFT(I200,18)="browser automation",T200=""),"needs automation ref",IF(AND(LEFT(I200,11)="real device",OR(U200="passed",U200="failed",U200="blocked"),OR(K200="",L200="",M200="",N200="",P200="")),"needs device details",IF(AND(OR(U200="passed",U200="failed",U200="blocked"),V200=""),"needs result date","ready"))))))</x:f>
      </x:c>
    </x:row>
  </x:sheetData>
  <x:mergeCells>
    <x:mergeCell ref="A2:Y2"/>
    <x:mergeCell ref="A6:Y6"/>
    <x:mergeCell ref="A1:Y1"/>
  </x:mergeCells>
  <x:conditionalFormatting sqref="U9:U200">
    <x:cfRule type="expression" dxfId="6" priority="2" aboveAverage="0" percent="0" bottom="0" rank="0" equalAverage="0">
      <x:formula>$U9="passed"</x:formula>
    </x:cfRule>
    <x:cfRule type="expression" dxfId="7" priority="3" aboveAverage="0" percent="0" bottom="0" rank="0" equalAverage="0">
      <x:formula>$U9="failed"</x:formula>
    </x:cfRule>
    <x:cfRule type="expression" dxfId="8" priority="4" aboveAverage="0" percent="0" bottom="0" rank="0" equalAverage="0">
      <x:formula>$U9="blocked"</x:formula>
    </x:cfRule>
    <x:cfRule type="expression" dxfId="9" priority="5" aboveAverage="0" percent="0" bottom="0" rank="0" equalAverage="0">
      <x:formula>$U9="not run"</x:formula>
    </x:cfRule>
    <x:cfRule type="expression" dxfId="10" priority="6" aboveAverage="0" percent="0" bottom="0" rank="0" equalAverage="0">
      <x:formula>$U9="not applicable"</x:formula>
    </x:cfRule>
  </x:conditionalFormatting>
  <x:conditionalFormatting sqref="Y9:Y200">
    <x:cfRule type="expression" dxfId="6" priority="7" aboveAverage="0" percent="0" bottom="0" rank="0" equalAverage="0">
      <x:formula>$Y9="ready"</x:formula>
    </x:cfRule>
    <x:cfRule type="expression" dxfId="8" priority="8" aboveAverage="0" percent="0" bottom="0" rank="0" equalAverage="0">
      <x:formula>AND($A9&lt;&gt;"",$Y9&lt;&gt;"ready")</x:formula>
    </x:cfRule>
  </x:conditionalFormatting>
  <x:conditionalFormatting sqref="A9:A200">
    <x:cfRule type="expression" dxfId="7" priority="9" aboveAverage="0" percent="0" bottom="0" rank="0" equalAverage="0">
      <x:formula>AND($A9&lt;&gt;"",COUNTIF($A$9:$A$200,$A9)&gt;1)</x:formula>
    </x:cfRule>
  </x:conditionalFormatting>
  <x:conditionalFormatting sqref="V9:V200">
    <x:cfRule type="expression" dxfId="7" priority="10" aboveAverage="0" percent="0" bottom="0" rank="0" equalAverage="0">
      <x:formula>AND(OR($U9="passed",$U9="failed",$U9="blocked"),$V9="")</x:formula>
    </x:cfRule>
  </x:conditionalFormatting>
  <x:conditionalFormatting sqref="G9:G200">
    <x:cfRule type="expression" dxfId="6" priority="11" aboveAverage="0" percent="0" bottom="0" rank="0" equalAverage="0">
      <x:formula>$G9="preserve verified baseline"</x:formula>
    </x:cfRule>
    <x:cfRule type="expression" dxfId="8" priority="12" aboveAverage="0" percent="0" bottom="0" rank="0" equalAverage="0">
      <x:formula>$G9="narrow unsupported claim"</x:formula>
    </x:cfRule>
    <x:cfRule type="expression" dxfId="7" priority="13" aboveAverage="0" percent="0" bottom="0" rank="0" equalAverage="0">
      <x:formula>$G9="reopen only when approved"</x:formula>
    </x:cfRule>
    <x:cfRule type="expression" dxfId="10" priority="14" aboveAverage="0" percent="0" bottom="0" rank="0" equalAverage="0">
      <x:formula>$G9="new mobile qualification"</x:formula>
    </x:cfRule>
  </x:conditionalFormatting>
  <x:dataValidations count="11"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B9:B1000">
      <x:formula1>$AA$2:$AA$23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C9:C1000">
      <x:formula1>$AB$2:$AB$10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D9:D1000">
      <x:formula1>$AK$2:$AK$66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G9:G1000">
      <x:formula1>$AC$2:$AC$6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H9:H1000">
      <x:formula1>$AD$2:$AD$7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I9:I1000">
      <x:formula1>$AE$2:$AE$12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J9:J1000">
      <x:formula1>$AF$2:$AF$7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L9:L1000">
      <x:formula1>$AJ$2:$AJ$8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O9:O1000">
      <x:formula1>$AG$2:$AG$8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P9:P1000">
      <x:formula1>$AH$2:$AH$6</x:formula1>
      <x:formula2>0</x:formula2>
    </x:dataValidation>
    <x:dataValidation type="list" errorStyle="stop" operator="between" allowBlank="1" showDropDown="0" showInputMessage="0" showErrorMessage="0" errorTitle="Invalid Mobile Readiness value" error="Choose a value from the approved Mobile Readiness vocabulary." promptTitle="Mobile Readiness" prompt="Use the approved Phase 0 tracking vocabulary." sqref="U9:U1000">
      <x:formula1>$AI$2:$AI$6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Accordion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100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protocol</x:t>
        </x:is>
      </x:c>
      <x:c r="H9" s="86" t="inlineStr">
        <x:is>
          <x:t xml:space="preserve">covered</x:t>
        </x:is>
      </x:c>
      <x:c r="I9" s="84" t="inlineStr">
        <x:is>
          <x:t xml:space="preserve">manual-tests/accordion.md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protocol</x:t>
        </x:is>
      </x:c>
      <x:c r="H10" s="86" t="inlineStr">
        <x:is>
          <x:t xml:space="preserve">covered</x:t>
        </x:is>
      </x:c>
      <x:c r="I10" s="84" t="inlineStr">
        <x:is>
          <x:t xml:space="preserve">manual-tests/accordion.md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Accordion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protocol</x:t>
        </x:is>
      </x:c>
      <x:c r="H11" s="86" t="inlineStr">
        <x:is>
          <x:t xml:space="preserve">covered</x:t>
        </x:is>
      </x:c>
      <x:c r="I11" s="84" t="inlineStr">
        <x:is>
          <x:t xml:space="preserve">manual-tests/accordion.md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Accordion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protocol</x:t>
        </x:is>
      </x:c>
      <x:c r="H12" s="86" t="inlineStr">
        <x:is>
          <x:t xml:space="preserve">covered</x:t>
        </x:is>
      </x:c>
      <x:c r="I12" s="84" t="inlineStr">
        <x:is>
          <x:t xml:space="preserve">manual-tests/accordion.md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Accordion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protocol</x:t>
        </x:is>
      </x:c>
      <x:c r="H13" s="86" t="inlineStr">
        <x:is>
          <x:t xml:space="preserve">covered</x:t>
        </x:is>
      </x:c>
      <x:c r="I13" s="84" t="inlineStr">
        <x:is>
          <x:t xml:space="preserve">manual-tests/accordion.md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Accordion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protocol</x:t>
        </x:is>
      </x:c>
      <x:c r="H14" s="86" t="inlineStr">
        <x:is>
          <x:t xml:space="preserve">covered</x:t>
        </x:is>
      </x:c>
      <x:c r="I14" s="84" t="inlineStr">
        <x:is>
          <x:t xml:space="preserve">manual-tests/accordion.md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Accordion</x:t>
        </x:is>
      </x:c>
      <x:c r="D15" s="84" t="inlineStr">
        <x:is>
          <x:t xml:space="preserve">Supports single and multiple expanded items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protocol</x:t>
        </x:is>
      </x:c>
      <x:c r="H15" s="86" t="inlineStr">
        <x:is>
          <x:t xml:space="preserve">covered</x:t>
        </x:is>
      </x:c>
      <x:c r="I15" s="84" t="inlineStr">
        <x:is>
          <x:t xml:space="preserve">manual-tests/accordion.md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Accordion</x:t>
        </x:is>
      </x:c>
      <x:c r="D16" s="84" t="inlineStr">
        <x:is>
          <x:t xml:space="preserve">Supports controlled and uncontrolled state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protocol</x:t>
        </x:is>
      </x:c>
      <x:c r="H16" s="86" t="inlineStr">
        <x:is>
          <x:t xml:space="preserve">covered</x:t>
        </x:is>
      </x:c>
      <x:c r="I16" s="84" t="inlineStr">
        <x:is>
          <x:t xml:space="preserve">manual-tests/accordion.md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Accordion</x:t>
        </x:is>
      </x:c>
      <x:c r="D17" s="84" t="inlineStr">
        <x:is>
          <x:t xml:space="preserve">Supports horizontal and vertical arrow-key navigation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protocol</x:t>
        </x:is>
      </x:c>
      <x:c r="H17" s="86" t="inlineStr">
        <x:is>
          <x:t xml:space="preserve">covered</x:t>
        </x:is>
      </x:c>
      <x:c r="I17" s="84" t="inlineStr">
        <x:is>
          <x:t xml:space="preserve">manual-tests/accordion.md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Accordion</x:t>
        </x:is>
      </x:c>
      <x:c r="D18" s="84" t="inlineStr">
        <x:is>
          <x:t xml:space="preserve">Links each trigger to its content with stable ARIA IDs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protocol</x:t>
        </x:is>
      </x:c>
      <x:c r="H18" s="86" t="inlineStr">
        <x:is>
          <x:t xml:space="preserve">covered</x:t>
        </x:is>
      </x:c>
      <x:c r="I18" s="84" t="inlineStr">
        <x:is>
          <x:t xml:space="preserve">manual-tests/accordion.md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Accordion</x:t>
        </x:is>
      </x:c>
      <x:c r="D19" s="84" t="inlineStr">
        <x:is>
          <x:t xml:space="preserve">Supports mounted and unmounted closed content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protocol</x:t>
        </x:is>
      </x:c>
      <x:c r="H19" s="86" t="inlineStr">
        <x:is>
          <x:t xml:space="preserve">covered</x:t>
        </x:is>
      </x:c>
      <x:c r="I19" s="84" t="inlineStr">
        <x:is>
          <x:t xml:space="preserve">manual-tests/accordion.md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Accordion</x:t>
        </x:is>
      </x:c>
      <x:c r="D20" s="84" t="inlineStr">
        <x:is>
          <x:t xml:space="preserve">Supports `asChild` and `render` on every part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protocol</x:t>
        </x:is>
      </x:c>
      <x:c r="H20" s="86" t="inlineStr">
        <x:is>
          <x:t xml:space="preserve">covered</x:t>
        </x:is>
      </x:c>
      <x:c r="I20" s="84" t="inlineStr">
        <x:is>
          <x:t xml:space="preserve">manual-tests/accordion.md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protocol</x:t>
        </x:is>
      </x:c>
      <x:c r="H21" s="86" t="inlineStr">
        <x:is>
          <x:t xml:space="preserve">covered</x:t>
        </x:is>
      </x:c>
      <x:c r="I21" s="84" t="inlineStr">
        <x:is>
          <x:t xml:space="preserve">manual-tests/accordion.md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protocol</x:t>
        </x:is>
      </x:c>
      <x:c r="H22" s="86" t="inlineStr">
        <x:is>
          <x:t xml:space="preserve">covered</x:t>
        </x:is>
      </x:c>
      <x:c r="I22" s="84" t="inlineStr">
        <x:is>
          <x:t xml:space="preserve">manual-tests/accordion.md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protocol</x:t>
        </x:is>
      </x:c>
      <x:c r="H23" s="86" t="inlineStr">
        <x:is>
          <x:t xml:space="preserve">covered</x:t>
        </x:is>
      </x:c>
      <x:c r="I23" s="84" t="inlineStr">
        <x:is>
          <x:t xml:space="preserve">manual-tests/accordion.md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protocol</x:t>
        </x:is>
      </x:c>
      <x:c r="H24" s="86" t="inlineStr">
        <x:is>
          <x:t xml:space="preserve">covered</x:t>
        </x:is>
      </x:c>
      <x:c r="I24" s="84" t="inlineStr">
        <x:is>
          <x:t xml:space="preserve">manual-tests/accordion.md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protocol</x:t>
        </x:is>
      </x:c>
      <x:c r="H25" s="86" t="inlineStr">
        <x:is>
          <x:t xml:space="preserve">covered</x:t>
        </x:is>
      </x:c>
      <x:c r="I25" s="84" t="inlineStr">
        <x:is>
          <x:t xml:space="preserve">manual-tests/accordion.md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Composition</x:t>
        </x:is>
      </x:c>
      <x:c r="C26" s="84" t="inlineStr">
        <x:is>
          <x:t xml:space="preserve">Root</x:t>
        </x:is>
      </x:c>
      <x:c r="D26" s="84" t="inlineStr">
        <x:is>
          <x:t xml:space="preserve">asChild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protocol</x:t>
        </x:is>
      </x:c>
      <x:c r="H26" s="86" t="inlineStr">
        <x:is>
          <x:t xml:space="preserve">covered</x:t>
        </x:is>
      </x:c>
      <x:c r="I26" s="84" t="inlineStr">
        <x:is>
          <x:t xml:space="preserve">manual-tests/accordion.md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Composition</x:t>
        </x:is>
      </x:c>
      <x:c r="C27" s="84" t="inlineStr">
        <x:is>
          <x:t xml:space="preserve">Root</x:t>
        </x:is>
      </x:c>
      <x:c r="D27" s="84" t="inlineStr">
        <x:is>
          <x:t xml:space="preserve">render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protocol</x:t>
        </x:is>
      </x:c>
      <x:c r="H27" s="86" t="inlineStr">
        <x:is>
          <x:t xml:space="preserve">covered</x:t>
        </x:is>
      </x:c>
      <x:c r="I27" s="84" t="inlineStr">
        <x:is>
          <x:t xml:space="preserve">manual-tests/accordion.md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Public API</x:t>
        </x:is>
      </x:c>
      <x:c r="C28" s="84" t="inlineStr">
        <x:is>
          <x:t xml:space="preserve">Root</x:t>
        </x:is>
      </x:c>
      <x:c r="D28" s="84" t="inlineStr">
        <x:is>
          <x:t xml:space="preserve">type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protocol</x:t>
        </x:is>
      </x:c>
      <x:c r="H28" s="86" t="inlineStr">
        <x:is>
          <x:t xml:space="preserve">covered</x:t>
        </x:is>
      </x:c>
      <x:c r="I28" s="84" t="inlineStr">
        <x:is>
          <x:t xml:space="preserve">manual-tests/accordion.md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value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protocol</x:t>
        </x:is>
      </x:c>
      <x:c r="H29" s="86" t="inlineStr">
        <x:is>
          <x:t xml:space="preserve">covered</x:t>
        </x:is>
      </x:c>
      <x:c r="I29" s="84" t="inlineStr">
        <x:is>
          <x:t xml:space="preserve">manual-tests/accordion.md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defaultValue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protocol</x:t>
        </x:is>
      </x:c>
      <x:c r="H30" s="86" t="inlineStr">
        <x:is>
          <x:t xml:space="preserve">covered</x:t>
        </x:is>
      </x:c>
      <x:c r="I30" s="84" t="inlineStr">
        <x:is>
          <x:t xml:space="preserve">manual-tests/accordion.md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onValueChange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protocol</x:t>
        </x:is>
      </x:c>
      <x:c r="H31" s="86" t="inlineStr">
        <x:is>
          <x:t xml:space="preserve">covered</x:t>
        </x:is>
      </x:c>
      <x:c r="I31" s="84" t="inlineStr">
        <x:is>
          <x:t xml:space="preserve">manual-tests/accordion.md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collapsible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protocol</x:t>
        </x:is>
      </x:c>
      <x:c r="H32" s="86" t="inlineStr">
        <x:is>
          <x:t xml:space="preserve">covered</x:t>
        </x:is>
      </x:c>
      <x:c r="I32" s="84" t="inlineStr">
        <x:is>
          <x:t xml:space="preserve">manual-tests/accordion.md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disabled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protocol</x:t>
        </x:is>
      </x:c>
      <x:c r="H33" s="86" t="inlineStr">
        <x:is>
          <x:t xml:space="preserve">covered</x:t>
        </x:is>
      </x:c>
      <x:c r="I33" s="84" t="inlineStr">
        <x:is>
          <x:t xml:space="preserve">manual-tests/accordion.md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orientation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protocol</x:t>
        </x:is>
      </x:c>
      <x:c r="H34" s="86" t="inlineStr">
        <x:is>
          <x:t xml:space="preserve">covered</x:t>
        </x:is>
      </x:c>
      <x:c r="I34" s="84" t="inlineStr">
        <x:is>
          <x:t xml:space="preserve">manual-tests/accordion.md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[data-slot]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protocol</x:t>
        </x:is>
      </x:c>
      <x:c r="H35" s="86" t="inlineStr">
        <x:is>
          <x:t xml:space="preserve">covered</x:t>
        </x:is>
      </x:c>
      <x:c r="I35" s="84" t="inlineStr">
        <x:is>
          <x:t xml:space="preserve">manual-tests/accordion.md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[data-orientation]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protocol</x:t>
        </x:is>
      </x:c>
      <x:c r="H36" s="86" t="inlineStr">
        <x:is>
          <x:t xml:space="preserve">covered</x:t>
        </x:is>
      </x:c>
      <x:c r="I36" s="84" t="inlineStr">
        <x:is>
          <x:t xml:space="preserve">manual-tests/accordion.md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Root</x:t>
        </x:is>
      </x:c>
      <x:c r="D37" s="84" t="inlineStr">
        <x:is>
          <x:t xml:space="preserve">[data-disabled]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protocol</x:t>
        </x:is>
      </x:c>
      <x:c r="H37" s="86" t="inlineStr">
        <x:is>
          <x:t xml:space="preserve">covered</x:t>
        </x:is>
      </x:c>
      <x:c r="I37" s="84" t="inlineStr">
        <x:is>
          <x:t xml:space="preserve">manual-tests/accordion.md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Anatomy</x:t>
        </x:is>
      </x:c>
      <x:c r="C38" s="84" t="inlineStr">
        <x:is>
          <x:t xml:space="preserve">Trigger</x:t>
        </x:is>
      </x:c>
      <x:c r="D38" s="84" t="inlineStr">
        <x:is>
          <x:t xml:space="preserve">renders correct part when expected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protocol</x:t>
        </x:is>
      </x:c>
      <x:c r="H38" s="86" t="inlineStr">
        <x:is>
          <x:t xml:space="preserve">covered</x:t>
        </x:is>
      </x:c>
      <x:c r="I38" s="84" t="inlineStr">
        <x:is>
          <x:t xml:space="preserve">manual-tests/accordion.md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Anatomy</x:t>
        </x:is>
      </x:c>
      <x:c r="C39" s="84" t="inlineStr">
        <x:is>
          <x:t xml:space="preserve">Trigger</x:t>
        </x:is>
      </x:c>
      <x:c r="D39" s="84" t="inlineStr">
        <x:is>
          <x:t xml:space="preserve">appears in documented order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protocol</x:t>
        </x:is>
      </x:c>
      <x:c r="H39" s="86" t="inlineStr">
        <x:is>
          <x:t xml:space="preserve">covered</x:t>
        </x:is>
      </x:c>
      <x:c r="I39" s="84" t="inlineStr">
        <x:is>
          <x:t xml:space="preserve">manual-tests/accordion.md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Identity</x:t>
        </x:is>
      </x:c>
      <x:c r="C40" s="84" t="inlineStr">
        <x:is>
          <x:t xml:space="preserve">Trigger</x:t>
        </x:is>
      </x:c>
      <x:c r="D40" s="84" t="inlineStr">
        <x:is>
          <x:t xml:space="preserve">default tag is visible in Anatomy/Inspector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protocol</x:t>
        </x:is>
      </x:c>
      <x:c r="H40" s="86" t="inlineStr">
        <x:is>
          <x:t xml:space="preserve">covered</x:t>
        </x:is>
      </x:c>
      <x:c r="I40" s="84" t="inlineStr">
        <x:is>
          <x:t xml:space="preserve">manual-tests/accordion.md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30" customHeight="1">
      <x:c r="A41" s="73" t="n">
        <x:v>33</x:v>
      </x:c>
      <x:c r="B41" s="84" t="inlineStr">
        <x:is>
          <x:t xml:space="preserve">Identity</x:t>
        </x:is>
      </x:c>
      <x:c r="C41" s="84" t="inlineStr">
        <x:is>
          <x:t xml:space="preserve">Trigger</x:t>
        </x:is>
      </x:c>
      <x:c r="D41" s="84" t="inlineStr">
        <x:is>
          <x:t xml:space="preserve">data-slot is present and correct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protocol</x:t>
        </x:is>
      </x:c>
      <x:c r="H41" s="86" t="inlineStr">
        <x:is>
          <x:t xml:space="preserve">covered</x:t>
        </x:is>
      </x:c>
      <x:c r="I41" s="84" t="inlineStr">
        <x:is>
          <x:t xml:space="preserve">manual-tests/accordion.md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Props</x:t>
        </x:is>
      </x:c>
      <x:c r="C42" s="84" t="inlineStr">
        <x:is>
          <x:t xml:space="preserve">Trigger</x:t>
        </x:is>
      </x:c>
      <x:c r="D42" s="84" t="inlineStr">
        <x:is>
          <x:t xml:space="preserve">non-Atom native props pass through with data-prop-check marker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protocol</x:t>
        </x:is>
      </x:c>
      <x:c r="H42" s="86" t="inlineStr">
        <x:is>
          <x:t xml:space="preserve">covered</x:t>
        </x:is>
      </x:c>
      <x:c r="I42" s="84" t="inlineStr">
        <x:is>
          <x:t xml:space="preserve">manual-tests/accordion.md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Composition</x:t>
        </x:is>
      </x:c>
      <x:c r="C43" s="84" t="inlineStr">
        <x:is>
          <x:t xml:space="preserve">Trigger</x:t>
        </x:is>
      </x:c>
      <x:c r="D43" s="84" t="inlineStr">
        <x:is>
          <x:t xml:space="preserve">asChild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protocol</x:t>
        </x:is>
      </x:c>
      <x:c r="H43" s="86" t="inlineStr">
        <x:is>
          <x:t xml:space="preserve">covered</x:t>
        </x:is>
      </x:c>
      <x:c r="I43" s="84" t="inlineStr">
        <x:is>
          <x:t xml:space="preserve">manual-tests/accordion.md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Composition</x:t>
        </x:is>
      </x:c>
      <x:c r="C44" s="84" t="inlineStr">
        <x:is>
          <x:t xml:space="preserve">Trigger</x:t>
        </x:is>
      </x:c>
      <x:c r="D44" s="84" t="inlineStr">
        <x:is>
          <x:t xml:space="preserve">render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protocol</x:t>
        </x:is>
      </x:c>
      <x:c r="H44" s="86" t="inlineStr">
        <x:is>
          <x:t xml:space="preserve">covered</x:t>
        </x:is>
      </x:c>
      <x:c r="I44" s="84" t="inlineStr">
        <x:is>
          <x:t xml:space="preserve">manual-tests/accordion.md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Public API</x:t>
        </x:is>
      </x:c>
      <x:c r="C45" s="84" t="inlineStr">
        <x:is>
          <x:t xml:space="preserve">Trigger</x:t>
        </x:is>
      </x:c>
      <x:c r="D45" s="84" t="inlineStr">
        <x:is>
          <x:t xml:space="preserve">[data-slot]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protocol</x:t>
        </x:is>
      </x:c>
      <x:c r="H45" s="86" t="inlineStr">
        <x:is>
          <x:t xml:space="preserve">covered</x:t>
        </x:is>
      </x:c>
      <x:c r="I45" s="84" t="inlineStr">
        <x:is>
          <x:t xml:space="preserve">manual-tests/accordion.md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Trigger</x:t>
        </x:is>
      </x:c>
      <x:c r="D46" s="84" t="inlineStr">
        <x:is>
          <x:t xml:space="preserve">[data-state]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protocol</x:t>
        </x:is>
      </x:c>
      <x:c r="H46" s="86" t="inlineStr">
        <x:is>
          <x:t xml:space="preserve">covered</x:t>
        </x:is>
      </x:c>
      <x:c r="I46" s="84" t="inlineStr">
        <x:is>
          <x:t xml:space="preserve">manual-tests/accordion.md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State</x:t>
        </x:is>
      </x:c>
      <x:c r="C47" s="84" t="inlineStr">
        <x:is>
          <x:t xml:space="preserve">Trigger</x:t>
        </x:is>
      </x:c>
      <x:c r="D47" s="84" t="inlineStr">
        <x:is>
          <x:t xml:space="preserve">[data-disabled]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protocol</x:t>
        </x:is>
      </x:c>
      <x:c r="H47" s="86" t="inlineStr">
        <x:is>
          <x:t xml:space="preserve">covered</x:t>
        </x:is>
      </x:c>
      <x:c r="I47" s="84" t="inlineStr">
        <x:is>
          <x:t xml:space="preserve">manual-tests/accordion.md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Content</x:t>
        </x:is>
      </x:c>
      <x:c r="D48" s="84" t="inlineStr">
        <x:is>
          <x:t xml:space="preserve">renders correct part when expected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protocol</x:t>
        </x:is>
      </x:c>
      <x:c r="H48" s="86" t="inlineStr">
        <x:is>
          <x:t xml:space="preserve">covered</x:t>
        </x:is>
      </x:c>
      <x:c r="I48" s="84" t="inlineStr">
        <x:is>
          <x:t xml:space="preserve">manual-tests/accordion.md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Anatomy</x:t>
        </x:is>
      </x:c>
      <x:c r="C49" s="84" t="inlineStr">
        <x:is>
          <x:t xml:space="preserve">Content</x:t>
        </x:is>
      </x:c>
      <x:c r="D49" s="84" t="inlineStr">
        <x:is>
          <x:t xml:space="preserve">appears in documented order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protocol</x:t>
        </x:is>
      </x:c>
      <x:c r="H49" s="86" t="inlineStr">
        <x:is>
          <x:t xml:space="preserve">covered</x:t>
        </x:is>
      </x:c>
      <x:c r="I49" s="84" t="inlineStr">
        <x:is>
          <x:t xml:space="preserve">manual-tests/accordion.md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Identity</x:t>
        </x:is>
      </x:c>
      <x:c r="C50" s="84" t="inlineStr">
        <x:is>
          <x:t xml:space="preserve">Content</x:t>
        </x:is>
      </x:c>
      <x:c r="D50" s="84" t="inlineStr">
        <x:is>
          <x:t xml:space="preserve">default tag is visible in Anatomy/Inspector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protocol</x:t>
        </x:is>
      </x:c>
      <x:c r="H50" s="86" t="inlineStr">
        <x:is>
          <x:t xml:space="preserve">covered</x:t>
        </x:is>
      </x:c>
      <x:c r="I50" s="84" t="inlineStr">
        <x:is>
          <x:t xml:space="preserve">manual-tests/accordion.md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Identity</x:t>
        </x:is>
      </x:c>
      <x:c r="C51" s="84" t="inlineStr">
        <x:is>
          <x:t xml:space="preserve">Content</x:t>
        </x:is>
      </x:c>
      <x:c r="D51" s="84" t="inlineStr">
        <x:is>
          <x:t xml:space="preserve">data-slot is present and correct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protocol</x:t>
        </x:is>
      </x:c>
      <x:c r="H51" s="86" t="inlineStr">
        <x:is>
          <x:t xml:space="preserve">covered</x:t>
        </x:is>
      </x:c>
      <x:c r="I51" s="84" t="inlineStr">
        <x:is>
          <x:t xml:space="preserve">manual-tests/accordion.md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30" customHeight="1">
      <x:c r="A52" s="73" t="n">
        <x:v>44</x:v>
      </x:c>
      <x:c r="B52" s="84" t="inlineStr">
        <x:is>
          <x:t xml:space="preserve">Props</x:t>
        </x:is>
      </x:c>
      <x:c r="C52" s="84" t="inlineStr">
        <x:is>
          <x:t xml:space="preserve">Content</x:t>
        </x:is>
      </x:c>
      <x:c r="D52" s="84" t="inlineStr">
        <x:is>
          <x:t xml:space="preserve">non-Atom native props pass through with data-prop-check marker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protocol</x:t>
        </x:is>
      </x:c>
      <x:c r="H52" s="86" t="inlineStr">
        <x:is>
          <x:t xml:space="preserve">covered</x:t>
        </x:is>
      </x:c>
      <x:c r="I52" s="84" t="inlineStr">
        <x:is>
          <x:t xml:space="preserve">manual-tests/accordion.md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Composition</x:t>
        </x:is>
      </x:c>
      <x:c r="C53" s="84" t="inlineStr">
        <x:is>
          <x:t xml:space="preserve">Content</x:t>
        </x:is>
      </x:c>
      <x:c r="D53" s="84" t="inlineStr">
        <x:is>
          <x:t xml:space="preserve">asChild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protocol</x:t>
        </x:is>
      </x:c>
      <x:c r="H53" s="86" t="inlineStr">
        <x:is>
          <x:t xml:space="preserve">covered</x:t>
        </x:is>
      </x:c>
      <x:c r="I53" s="84" t="inlineStr">
        <x:is>
          <x:t xml:space="preserve">manual-tests/accordion.md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Composition</x:t>
        </x:is>
      </x:c>
      <x:c r="C54" s="84" t="inlineStr">
        <x:is>
          <x:t xml:space="preserve">Content</x:t>
        </x:is>
      </x:c>
      <x:c r="D54" s="84" t="inlineStr">
        <x:is>
          <x:t xml:space="preserve">render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protocol</x:t>
        </x:is>
      </x:c>
      <x:c r="H54" s="86" t="inlineStr">
        <x:is>
          <x:t xml:space="preserve">covered</x:t>
        </x:is>
      </x:c>
      <x:c r="I54" s="84" t="inlineStr">
        <x:is>
          <x:t xml:space="preserve">manual-tests/accordion.md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Content</x:t>
        </x:is>
      </x:c>
      <x:c r="D55" s="84" t="inlineStr">
        <x:is>
          <x:t xml:space="preserve">keepMounted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protocol</x:t>
        </x:is>
      </x:c>
      <x:c r="H55" s="86" t="inlineStr">
        <x:is>
          <x:t xml:space="preserve">covered</x:t>
        </x:is>
      </x:c>
      <x:c r="I55" s="84" t="inlineStr">
        <x:is>
          <x:t xml:space="preserve">manual-tests/accordion.md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Content</x:t>
        </x:is>
      </x:c>
      <x:c r="D56" s="84" t="inlineStr">
        <x:is>
          <x:t xml:space="preserve">[data-slot]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protocol</x:t>
        </x:is>
      </x:c>
      <x:c r="H56" s="86" t="inlineStr">
        <x:is>
          <x:t xml:space="preserve">covered</x:t>
        </x:is>
      </x:c>
      <x:c r="I56" s="84" t="inlineStr">
        <x:is>
          <x:t xml:space="preserve">manual-tests/accordion.md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Public API</x:t>
        </x:is>
      </x:c>
      <x:c r="C57" s="84" t="inlineStr">
        <x:is>
          <x:t xml:space="preserve">Content</x:t>
        </x:is>
      </x:c>
      <x:c r="D57" s="84" t="inlineStr">
        <x:is>
          <x:t xml:space="preserve">[data-state]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protocol</x:t>
        </x:is>
      </x:c>
      <x:c r="H57" s="86" t="inlineStr">
        <x:is>
          <x:t xml:space="preserve">covered</x:t>
        </x:is>
      </x:c>
      <x:c r="I57" s="84" t="inlineStr">
        <x:is>
          <x:t xml:space="preserve">manual-tests/accordion.md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Anatomy</x:t>
        </x:is>
      </x:c>
      <x:c r="C58" s="84" t="inlineStr">
        <x:is>
          <x:t xml:space="preserve">Item</x:t>
        </x:is>
      </x:c>
      <x:c r="D58" s="84" t="inlineStr">
        <x:is>
          <x:t xml:space="preserve">renders correct part when expected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protocol</x:t>
        </x:is>
      </x:c>
      <x:c r="H58" s="86" t="inlineStr">
        <x:is>
          <x:t xml:space="preserve">covered</x:t>
        </x:is>
      </x:c>
      <x:c r="I58" s="84" t="inlineStr">
        <x:is>
          <x:t xml:space="preserve">manual-tests/accordion.md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Item</x:t>
        </x:is>
      </x:c>
      <x:c r="D59" s="84" t="inlineStr">
        <x:is>
          <x:t xml:space="preserve">appears in documented order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protocol</x:t>
        </x:is>
      </x:c>
      <x:c r="H59" s="86" t="inlineStr">
        <x:is>
          <x:t xml:space="preserve">covered</x:t>
        </x:is>
      </x:c>
      <x:c r="I59" s="84" t="inlineStr">
        <x:is>
          <x:t xml:space="preserve">manual-tests/accordion.md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Identity</x:t>
        </x:is>
      </x:c>
      <x:c r="C60" s="84" t="inlineStr">
        <x:is>
          <x:t xml:space="preserve">Item</x:t>
        </x:is>
      </x:c>
      <x:c r="D60" s="84" t="inlineStr">
        <x:is>
          <x:t xml:space="preserve">default tag is visible in Anatomy/Inspector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protocol</x:t>
        </x:is>
      </x:c>
      <x:c r="H60" s="86" t="inlineStr">
        <x:is>
          <x:t xml:space="preserve">covered</x:t>
        </x:is>
      </x:c>
      <x:c r="I60" s="84" t="inlineStr">
        <x:is>
          <x:t xml:space="preserve">manual-tests/accordion.md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Item</x:t>
        </x:is>
      </x:c>
      <x:c r="D61" s="84" t="inlineStr">
        <x:is>
          <x:t xml:space="preserve">data-slot is present and correct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protocol</x:t>
        </x:is>
      </x:c>
      <x:c r="H61" s="86" t="inlineStr">
        <x:is>
          <x:t xml:space="preserve">covered</x:t>
        </x:is>
      </x:c>
      <x:c r="I61" s="84" t="inlineStr">
        <x:is>
          <x:t xml:space="preserve">manual-tests/accordion.md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Props</x:t>
        </x:is>
      </x:c>
      <x:c r="C62" s="84" t="inlineStr">
        <x:is>
          <x:t xml:space="preserve">Item</x:t>
        </x:is>
      </x:c>
      <x:c r="D62" s="84" t="inlineStr">
        <x:is>
          <x:t xml:space="preserve">non-Atom native props pass through with data-prop-check marker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protocol</x:t>
        </x:is>
      </x:c>
      <x:c r="H62" s="86" t="inlineStr">
        <x:is>
          <x:t xml:space="preserve">covered</x:t>
        </x:is>
      </x:c>
      <x:c r="I62" s="84" t="inlineStr">
        <x:is>
          <x:t xml:space="preserve">manual-tests/accordion.md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Composition</x:t>
        </x:is>
      </x:c>
      <x:c r="C63" s="84" t="inlineStr">
        <x:is>
          <x:t xml:space="preserve">Item</x:t>
        </x:is>
      </x:c>
      <x:c r="D63" s="84" t="inlineStr">
        <x:is>
          <x:t xml:space="preserve">asChild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protocol</x:t>
        </x:is>
      </x:c>
      <x:c r="H63" s="86" t="inlineStr">
        <x:is>
          <x:t xml:space="preserve">covered</x:t>
        </x:is>
      </x:c>
      <x:c r="I63" s="84" t="inlineStr">
        <x:is>
          <x:t xml:space="preserve">manual-tests/accordion.md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30" customHeight="1">
      <x:c r="A64" s="73" t="n">
        <x:v>56</x:v>
      </x:c>
      <x:c r="B64" s="84" t="inlineStr">
        <x:is>
          <x:t xml:space="preserve">Composition</x:t>
        </x:is>
      </x:c>
      <x:c r="C64" s="84" t="inlineStr">
        <x:is>
          <x:t xml:space="preserve">Item</x:t>
        </x:is>
      </x:c>
      <x:c r="D64" s="84" t="inlineStr">
        <x:is>
          <x:t xml:space="preserve">render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protocol</x:t>
        </x:is>
      </x:c>
      <x:c r="H64" s="86" t="inlineStr">
        <x:is>
          <x:t xml:space="preserve">covered</x:t>
        </x:is>
      </x:c>
      <x:c r="I64" s="84" t="inlineStr">
        <x:is>
          <x:t xml:space="preserve">manual-tests/accordion.md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State</x:t>
        </x:is>
      </x:c>
      <x:c r="C65" s="84" t="inlineStr">
        <x:is>
          <x:t xml:space="preserve">Item</x:t>
        </x:is>
      </x:c>
      <x:c r="D65" s="84" t="inlineStr">
        <x:is>
          <x:t xml:space="preserve">value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protocol</x:t>
        </x:is>
      </x:c>
      <x:c r="H65" s="86" t="inlineStr">
        <x:is>
          <x:t xml:space="preserve">covered</x:t>
        </x:is>
      </x:c>
      <x:c r="I65" s="84" t="inlineStr">
        <x:is>
          <x:t xml:space="preserve">manual-tests/accordion.md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State</x:t>
        </x:is>
      </x:c>
      <x:c r="C66" s="84" t="inlineStr">
        <x:is>
          <x:t xml:space="preserve">Item</x:t>
        </x:is>
      </x:c>
      <x:c r="D66" s="84" t="inlineStr">
        <x:is>
          <x:t xml:space="preserve">disabled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protocol</x:t>
        </x:is>
      </x:c>
      <x:c r="H66" s="86" t="inlineStr">
        <x:is>
          <x:t xml:space="preserve">covered</x:t>
        </x:is>
      </x:c>
      <x:c r="I66" s="84" t="inlineStr">
        <x:is>
          <x:t xml:space="preserve">manual-tests/accordion.md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Item</x:t>
        </x:is>
      </x:c>
      <x:c r="D67" s="84" t="inlineStr">
        <x:is>
          <x:t xml:space="preserve">[data-slot]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protocol</x:t>
        </x:is>
      </x:c>
      <x:c r="H67" s="86" t="inlineStr">
        <x:is>
          <x:t xml:space="preserve">covered</x:t>
        </x:is>
      </x:c>
      <x:c r="I67" s="84" t="inlineStr">
        <x:is>
          <x:t xml:space="preserve">manual-tests/accordion.md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Public API</x:t>
        </x:is>
      </x:c>
      <x:c r="C68" s="84" t="inlineStr">
        <x:is>
          <x:t xml:space="preserve">Item</x:t>
        </x:is>
      </x:c>
      <x:c r="D68" s="84" t="inlineStr">
        <x:is>
          <x:t xml:space="preserve">[data-state]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protocol</x:t>
        </x:is>
      </x:c>
      <x:c r="H68" s="86" t="inlineStr">
        <x:is>
          <x:t xml:space="preserve">covered</x:t>
        </x:is>
      </x:c>
      <x:c r="I68" s="84" t="inlineStr">
        <x:is>
          <x:t xml:space="preserve">manual-tests/accordion.md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State</x:t>
        </x:is>
      </x:c>
      <x:c r="C69" s="84" t="inlineStr">
        <x:is>
          <x:t xml:space="preserve">Item</x:t>
        </x:is>
      </x:c>
      <x:c r="D69" s="84" t="inlineStr">
        <x:is>
          <x:t xml:space="preserve">[data-disabled]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protocol</x:t>
        </x:is>
      </x:c>
      <x:c r="H69" s="86" t="inlineStr">
        <x:is>
          <x:t xml:space="preserve">covered</x:t>
        </x:is>
      </x:c>
      <x:c r="I69" s="84" t="inlineStr">
        <x:is>
          <x:t xml:space="preserve">manual-tests/accordion.md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Anatomy</x:t>
        </x:is>
      </x:c>
      <x:c r="C70" s="84" t="inlineStr">
        <x:is>
          <x:t xml:space="preserve">Header</x:t>
        </x:is>
      </x:c>
      <x:c r="D70" s="84" t="inlineStr">
        <x:is>
          <x:t xml:space="preserve">renders correct part when expected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protocol</x:t>
        </x:is>
      </x:c>
      <x:c r="H70" s="86" t="inlineStr">
        <x:is>
          <x:t xml:space="preserve">covered</x:t>
        </x:is>
      </x:c>
      <x:c r="I70" s="84" t="inlineStr">
        <x:is>
          <x:t xml:space="preserve">manual-tests/accordion.md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Anatomy</x:t>
        </x:is>
      </x:c>
      <x:c r="C71" s="84" t="inlineStr">
        <x:is>
          <x:t xml:space="preserve">Header</x:t>
        </x:is>
      </x:c>
      <x:c r="D71" s="84" t="inlineStr">
        <x:is>
          <x:t xml:space="preserve">appears in documented order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protocol</x:t>
        </x:is>
      </x:c>
      <x:c r="H71" s="86" t="inlineStr">
        <x:is>
          <x:t xml:space="preserve">covered</x:t>
        </x:is>
      </x:c>
      <x:c r="I71" s="84" t="inlineStr">
        <x:is>
          <x:t xml:space="preserve">manual-tests/accordion.md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Identity</x:t>
        </x:is>
      </x:c>
      <x:c r="C72" s="84" t="inlineStr">
        <x:is>
          <x:t xml:space="preserve">Header</x:t>
        </x:is>
      </x:c>
      <x:c r="D72" s="84" t="inlineStr">
        <x:is>
          <x:t xml:space="preserve">default tag is visible in Anatomy/Inspector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protocol</x:t>
        </x:is>
      </x:c>
      <x:c r="H72" s="86" t="inlineStr">
        <x:is>
          <x:t xml:space="preserve">covered</x:t>
        </x:is>
      </x:c>
      <x:c r="I72" s="84" t="inlineStr">
        <x:is>
          <x:t xml:space="preserve">manual-tests/accordion.md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Identity</x:t>
        </x:is>
      </x:c>
      <x:c r="C73" s="84" t="inlineStr">
        <x:is>
          <x:t xml:space="preserve">Header</x:t>
        </x:is>
      </x:c>
      <x:c r="D73" s="84" t="inlineStr">
        <x:is>
          <x:t xml:space="preserve">data-slot is present and correct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protocol</x:t>
        </x:is>
      </x:c>
      <x:c r="H73" s="86" t="inlineStr">
        <x:is>
          <x:t xml:space="preserve">covered</x:t>
        </x:is>
      </x:c>
      <x:c r="I73" s="84" t="inlineStr">
        <x:is>
          <x:t xml:space="preserve">manual-tests/accordion.md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Props</x:t>
        </x:is>
      </x:c>
      <x:c r="C74" s="84" t="inlineStr">
        <x:is>
          <x:t xml:space="preserve">Header</x:t>
        </x:is>
      </x:c>
      <x:c r="D74" s="84" t="inlineStr">
        <x:is>
          <x:t xml:space="preserve">non-Atom native props pass through with data-prop-check marker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protocol</x:t>
        </x:is>
      </x:c>
      <x:c r="H74" s="86" t="inlineStr">
        <x:is>
          <x:t xml:space="preserve">covered</x:t>
        </x:is>
      </x:c>
      <x:c r="I74" s="84" t="inlineStr">
        <x:is>
          <x:t xml:space="preserve">manual-tests/accordion.md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Composition</x:t>
        </x:is>
      </x:c>
      <x:c r="C75" s="84" t="inlineStr">
        <x:is>
          <x:t xml:space="preserve">Header</x:t>
        </x:is>
      </x:c>
      <x:c r="D75" s="84" t="inlineStr">
        <x:is>
          <x:t xml:space="preserve">asChild prop behavior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protocol</x:t>
        </x:is>
      </x:c>
      <x:c r="H75" s="86" t="inlineStr">
        <x:is>
          <x:t xml:space="preserve">covered</x:t>
        </x:is>
      </x:c>
      <x:c r="I75" s="84" t="inlineStr">
        <x:is>
          <x:t xml:space="preserve">manual-tests/accordion.md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Composition</x:t>
        </x:is>
      </x:c>
      <x:c r="C76" s="84" t="inlineStr">
        <x:is>
          <x:t xml:space="preserve">Header</x:t>
        </x:is>
      </x:c>
      <x:c r="D76" s="84" t="inlineStr">
        <x:is>
          <x:t xml:space="preserve">render prop behavior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protocol</x:t>
        </x:is>
      </x:c>
      <x:c r="H76" s="86" t="inlineStr">
        <x:is>
          <x:t xml:space="preserve">covered</x:t>
        </x:is>
      </x:c>
      <x:c r="I76" s="84" t="inlineStr">
        <x:is>
          <x:t xml:space="preserve">manual-tests/accordion.md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30" customHeight="1">
      <x:c r="A77" s="73" t="n">
        <x:v>69</x:v>
      </x:c>
      <x:c r="B77" s="84" t="inlineStr">
        <x:is>
          <x:t xml:space="preserve">Public API</x:t>
        </x:is>
      </x:c>
      <x:c r="C77" s="84" t="inlineStr">
        <x:is>
          <x:t xml:space="preserve">Header</x:t>
        </x:is>
      </x:c>
      <x:c r="D77" s="84" t="inlineStr">
        <x:is>
          <x:t xml:space="preserve">as prop behavior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protocol</x:t>
        </x:is>
      </x:c>
      <x:c r="H77" s="86" t="inlineStr">
        <x:is>
          <x:t xml:space="preserve">covered</x:t>
        </x:is>
      </x:c>
      <x:c r="I77" s="84" t="inlineStr">
        <x:is>
          <x:t xml:space="preserve">manual-tests/accordion.md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Public API</x:t>
        </x:is>
      </x:c>
      <x:c r="C78" s="84" t="inlineStr">
        <x:is>
          <x:t xml:space="preserve">Header</x:t>
        </x:is>
      </x:c>
      <x:c r="D78" s="84" t="inlineStr">
        <x:is>
          <x:t xml:space="preserve">[data-slot] prop behavior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protocol</x:t>
        </x:is>
      </x:c>
      <x:c r="H78" s="86" t="inlineStr">
        <x:is>
          <x:t xml:space="preserve">covered</x:t>
        </x:is>
      </x:c>
      <x:c r="I78" s="84" t="inlineStr">
        <x:is>
          <x:t xml:space="preserve">manual-tests/accordion.md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ARIA</x:t>
        </x:is>
      </x:c>
      <x:c r="C79" s="84" t="inlineStr">
        <x:is>
          <x:t xml:space="preserve">Live DOM</x:t>
        </x:is>
      </x:c>
      <x:c r="D79" s="84" t="inlineStr">
        <x:is>
          <x:t xml:space="preserve">aria-controls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protocol</x:t>
        </x:is>
      </x:c>
      <x:c r="H79" s="86" t="inlineStr">
        <x:is>
          <x:t xml:space="preserve">covered</x:t>
        </x:is>
      </x:c>
      <x:c r="I79" s="84" t="inlineStr">
        <x:is>
          <x:t xml:space="preserve">manual-tests/accordion.md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ARIA</x:t>
        </x:is>
      </x:c>
      <x:c r="C80" s="84" t="inlineStr">
        <x:is>
          <x:t xml:space="preserve">Live DOM</x:t>
        </x:is>
      </x:c>
      <x:c r="D80" s="84" t="inlineStr">
        <x:is>
          <x:t xml:space="preserve">aria-disabled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protocol</x:t>
        </x:is>
      </x:c>
      <x:c r="H80" s="86" t="inlineStr">
        <x:is>
          <x:t xml:space="preserve">covered</x:t>
        </x:is>
      </x:c>
      <x:c r="I80" s="84" t="inlineStr">
        <x:is>
          <x:t xml:space="preserve">manual-tests/accordion.md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ARIA</x:t>
        </x:is>
      </x:c>
      <x:c r="C81" s="84" t="inlineStr">
        <x:is>
          <x:t xml:space="preserve">Live DOM</x:t>
        </x:is>
      </x:c>
      <x:c r="D81" s="84" t="inlineStr">
        <x:is>
          <x:t xml:space="preserve">aria-expanded is present at the correct time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protocol</x:t>
        </x:is>
      </x:c>
      <x:c r="H81" s="86" t="inlineStr">
        <x:is>
          <x:t xml:space="preserve">covered</x:t>
        </x:is>
      </x:c>
      <x:c r="I81" s="84" t="inlineStr">
        <x:is>
          <x:t xml:space="preserve">manual-tests/accordion.md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ARIA</x:t>
        </x:is>
      </x:c>
      <x:c r="C82" s="84" t="inlineStr">
        <x:is>
          <x:t xml:space="preserve">Live DOM</x:t>
        </x:is>
      </x:c>
      <x:c r="D82" s="84" t="inlineStr">
        <x:is>
          <x:t xml:space="preserve">aria-labelledby is present at the correct time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protocol</x:t>
        </x:is>
      </x:c>
      <x:c r="H82" s="86" t="inlineStr">
        <x:is>
          <x:t xml:space="preserve">covered</x:t>
        </x:is>
      </x:c>
      <x:c r="I82" s="84" t="inlineStr">
        <x:is>
          <x:t xml:space="preserve">manual-tests/accordion.md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Data</x:t>
        </x:is>
      </x:c>
      <x:c r="C83" s="84" t="inlineStr">
        <x:is>
          <x:t xml:space="preserve">Live DOM</x:t>
        </x:is>
      </x:c>
      <x:c r="D83" s="84" t="inlineStr">
        <x:is>
          <x:t xml:space="preserve">data-disabled is present at the correct time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protocol</x:t>
        </x:is>
      </x:c>
      <x:c r="H83" s="86" t="inlineStr">
        <x:is>
          <x:t xml:space="preserve">covered</x:t>
        </x:is>
      </x:c>
      <x:c r="I83" s="84" t="inlineStr">
        <x:is>
          <x:t xml:space="preserve">manual-tests/accordion.md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Data</x:t>
        </x:is>
      </x:c>
      <x:c r="C84" s="84" t="inlineStr">
        <x:is>
          <x:t xml:space="preserve">Live DOM</x:t>
        </x:is>
      </x:c>
      <x:c r="D84" s="84" t="inlineStr">
        <x:is>
          <x:t xml:space="preserve">data-orientation is present at the correct time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protocol</x:t>
        </x:is>
      </x:c>
      <x:c r="H84" s="86" t="inlineStr">
        <x:is>
          <x:t xml:space="preserve">covered</x:t>
        </x:is>
      </x:c>
      <x:c r="I84" s="84" t="inlineStr">
        <x:is>
          <x:t xml:space="preserve">manual-tests/accordion.md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Data</x:t>
        </x:is>
      </x:c>
      <x:c r="C85" s="84" t="inlineStr">
        <x:is>
          <x:t xml:space="preserve">Live DOM</x:t>
        </x:is>
      </x:c>
      <x:c r="D85" s="84" t="inlineStr">
        <x:is>
          <x:t xml:space="preserve">data-slot is present at the correct time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protocol</x:t>
        </x:is>
      </x:c>
      <x:c r="H85" s="86" t="inlineStr">
        <x:is>
          <x:t xml:space="preserve">covered</x:t>
        </x:is>
      </x:c>
      <x:c r="I85" s="84" t="inlineStr">
        <x:is>
          <x:t xml:space="preserve">manual-tests/accordion.md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Data</x:t>
        </x:is>
      </x:c>
      <x:c r="C86" s="84" t="inlineStr">
        <x:is>
          <x:t xml:space="preserve">Live DOM</x:t>
        </x:is>
      </x:c>
      <x:c r="D86" s="84" t="inlineStr">
        <x:is>
          <x:t xml:space="preserve">data-state is present at the correct time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protocol</x:t>
        </x:is>
      </x:c>
      <x:c r="H86" s="86" t="inlineStr">
        <x:is>
          <x:t xml:space="preserve">covered</x:t>
        </x:is>
      </x:c>
      <x:c r="I86" s="84" t="inlineStr">
        <x:is>
          <x:t xml:space="preserve">manual-tests/accordion.md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Composition</x:t>
        </x:is>
      </x:c>
      <x:c r="C87" s="84" t="inlineStr">
        <x:is>
          <x:t xml:space="preserve">Accordion</x:t>
        </x:is>
      </x:c>
      <x:c r="D87" s="84" t="inlineStr">
        <x:is>
          <x:t xml:space="preserve">asChild preserves child content without double nesting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protocol</x:t>
        </x:is>
      </x:c>
      <x:c r="H87" s="86" t="inlineStr">
        <x:is>
          <x:t xml:space="preserve">covered</x:t>
        </x:is>
      </x:c>
      <x:c r="I87" s="84" t="inlineStr">
        <x:is>
          <x:t xml:space="preserve">manual-tests/accordion.md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Composition</x:t>
        </x:is>
      </x:c>
      <x:c r="C88" s="84" t="inlineStr">
        <x:is>
          <x:t xml:space="preserve">Accordion</x:t>
        </x:is>
      </x:c>
      <x:c r="D88" s="84" t="inlineStr">
        <x:is>
          <x:t xml:space="preserve">asChild merges Atom props and consumer props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protocol</x:t>
        </x:is>
      </x:c>
      <x:c r="H88" s="86" t="inlineStr">
        <x:is>
          <x:t xml:space="preserve">covered</x:t>
        </x:is>
      </x:c>
      <x:c r="I88" s="84" t="inlineStr">
        <x:is>
          <x:t xml:space="preserve">manual-tests/accordion.md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Composition</x:t>
        </x:is>
      </x:c>
      <x:c r="C89" s="84" t="inlineStr">
        <x:is>
          <x:t xml:space="preserve">Accordion</x:t>
        </x:is>
      </x:c>
      <x:c r="D89" s="84" t="inlineStr">
        <x:is>
          <x:t xml:space="preserve">asChild lets preventDefault block Atom behavior where supported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protocol</x:t>
        </x:is>
      </x:c>
      <x:c r="H89" s="86" t="inlineStr">
        <x:is>
          <x:t xml:space="preserve">covered</x:t>
        </x:is>
      </x:c>
      <x:c r="I89" s="84" t="inlineStr">
        <x:is>
          <x:t xml:space="preserve">manual-tests/accordion.md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Composition</x:t>
        </x:is>
      </x:c>
      <x:c r="C90" s="84" t="inlineStr">
        <x:is>
          <x:t xml:space="preserve">Accordion</x:t>
        </x:is>
      </x:c>
      <x:c r="D90" s="84" t="inlineStr">
        <x:is>
          <x:t xml:space="preserve">render prop renders custom element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protocol</x:t>
        </x:is>
      </x:c>
      <x:c r="H90" s="86" t="inlineStr">
        <x:is>
          <x:t xml:space="preserve">covered</x:t>
        </x:is>
      </x:c>
      <x:c r="I90" s="84" t="inlineStr">
        <x:is>
          <x:t xml:space="preserve">manual-tests/accordion.md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Composition</x:t>
        </x:is>
      </x:c>
      <x:c r="C91" s="84" t="inlineStr">
        <x:is>
          <x:t xml:space="preserve">Accordion</x:t>
        </x:is>
      </x:c>
      <x:c r="D91" s="84" t="inlineStr">
        <x:is>
          <x:t xml:space="preserve">render prop preserves refs and behavior props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protocol</x:t>
        </x:is>
      </x:c>
      <x:c r="H91" s="86" t="inlineStr">
        <x:is>
          <x:t xml:space="preserve">covered</x:t>
        </x:is>
      </x:c>
      <x:c r="I91" s="84" t="inlineStr">
        <x:is>
          <x:t xml:space="preserve">manual-tests/accordion.md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State</x:t>
        </x:is>
      </x:c>
      <x:c r="C92" s="84" t="inlineStr">
        <x:is>
          <x:t xml:space="preserve">Root</x:t>
        </x:is>
      </x:c>
      <x:c r="D92" s="84" t="inlineStr">
        <x:is>
          <x:t xml:space="preserve">controlled state path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protocol</x:t>
        </x:is>
      </x:c>
      <x:c r="H92" s="86" t="inlineStr">
        <x:is>
          <x:t xml:space="preserve">covered</x:t>
        </x:is>
      </x:c>
      <x:c r="I92" s="84" t="inlineStr">
        <x:is>
          <x:t xml:space="preserve">manual-tests/accordion.md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30" customHeight="1">
      <x:c r="A93" s="73" t="n">
        <x:v>85</x:v>
      </x:c>
      <x:c r="B93" s="84" t="inlineStr">
        <x:is>
          <x:t xml:space="preserve">State</x:t>
        </x:is>
      </x:c>
      <x:c r="C93" s="84" t="inlineStr">
        <x:is>
          <x:t xml:space="preserve">Root</x:t>
        </x:is>
      </x:c>
      <x:c r="D93" s="84" t="inlineStr">
        <x:is>
          <x:t xml:space="preserve">uncontrolled default state path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protocol</x:t>
        </x:is>
      </x:c>
      <x:c r="H93" s="86" t="inlineStr">
        <x:is>
          <x:t xml:space="preserve">covered</x:t>
        </x:is>
      </x:c>
      <x:c r="I93" s="84" t="inlineStr">
        <x:is>
          <x:t xml:space="preserve">manual-tests/accordion.md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State</x:t>
        </x:is>
      </x:c>
      <x:c r="C94" s="84" t="inlineStr">
        <x:is>
          <x:t xml:space="preserve">Root</x:t>
        </x:is>
      </x:c>
      <x:c r="D94" s="84" t="inlineStr">
        <x:is>
          <x:t xml:space="preserve">state change callback fires once with correct value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protocol</x:t>
        </x:is>
      </x:c>
      <x:c r="H94" s="86" t="inlineStr">
        <x:is>
          <x:t xml:space="preserve">covered</x:t>
        </x:is>
      </x:c>
      <x:c r="I94" s="84" t="inlineStr">
        <x:is>
          <x:t xml:space="preserve">manual-tests/accordion.md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Interaction</x:t>
        </x:is>
      </x:c>
      <x:c r="C95" s="84" t="inlineStr">
        <x:is>
          <x:t xml:space="preserve">Trigger</x:t>
        </x:is>
      </x:c>
      <x:c r="D95" s="84" t="inlineStr">
        <x:is>
          <x:t xml:space="preserve">mouse click or pointer activation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protocol</x:t>
        </x:is>
      </x:c>
      <x:c r="H95" s="86" t="inlineStr">
        <x:is>
          <x:t xml:space="preserve">covered</x:t>
        </x:is>
      </x:c>
      <x:c r="I95" s="84" t="inlineStr">
        <x:is>
          <x:t xml:space="preserve">manual-tests/accordion.md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Interaction</x:t>
        </x:is>
      </x:c>
      <x:c r="C96" s="84" t="inlineStr">
        <x:is>
          <x:t xml:space="preserve">Trigger</x:t>
        </x:is>
      </x:c>
      <x:c r="D96" s="84" t="inlineStr">
        <x:is>
          <x:t xml:space="preserve">Enter key activation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protocol</x:t>
        </x:is>
      </x:c>
      <x:c r="H96" s="86" t="inlineStr">
        <x:is>
          <x:t xml:space="preserve">covered</x:t>
        </x:is>
      </x:c>
      <x:c r="I96" s="84" t="inlineStr">
        <x:is>
          <x:t xml:space="preserve">manual-tests/accordion.md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Interaction</x:t>
        </x:is>
      </x:c>
      <x:c r="C97" s="84" t="inlineStr">
        <x:is>
          <x:t xml:space="preserve">Trigger</x:t>
        </x:is>
      </x:c>
      <x:c r="D97" s="84" t="inlineStr">
        <x:is>
          <x:t xml:space="preserve">Space key activation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protocol</x:t>
        </x:is>
      </x:c>
      <x:c r="H97" s="86" t="inlineStr">
        <x:is>
          <x:t xml:space="preserve">covered</x:t>
        </x:is>
      </x:c>
      <x:c r="I97" s="84" t="inlineStr">
        <x:is>
          <x:t xml:space="preserve">manual-tests/accordion.md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Interaction</x:t>
        </x:is>
      </x:c>
      <x:c r="C98" s="84" t="inlineStr">
        <x:is>
          <x:t xml:space="preserve">Trigger</x:t>
        </x:is>
      </x:c>
      <x:c r="D98" s="84" t="inlineStr">
        <x:is>
          <x:t xml:space="preserve">disabled trigger blocks pointer and keyboard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protocol</x:t>
        </x:is>
      </x:c>
      <x:c r="H98" s="86" t="inlineStr">
        <x:is>
          <x:t xml:space="preserve">covered</x:t>
        </x:is>
      </x:c>
      <x:c r="I98" s="84" t="inlineStr">
        <x:is>
          <x:t xml:space="preserve">manual-tests/accordion.md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Focus</x:t>
        </x:is>
      </x:c>
      <x:c r="C99" s="84" t="inlineStr">
        <x:is>
          <x:t xml:space="preserve">Trigger</x:t>
        </x:is>
      </x:c>
      <x:c r="D99" s="84" t="inlineStr">
        <x:is>
          <x:t xml:space="preserve">focus ring and focus restoration are correct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protocol</x:t>
        </x:is>
      </x:c>
      <x:c r="H99" s="86" t="inlineStr">
        <x:is>
          <x:t xml:space="preserve">covered</x:t>
        </x:is>
      </x:c>
      <x:c r="I99" s="84" t="inlineStr">
        <x:is>
          <x:t xml:space="preserve">manual-tests/accordion.md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Keyboard</x:t>
        </x:is>
      </x:c>
      <x:c r="C100" s="84" t="inlineStr">
        <x:is>
          <x:t xml:space="preserve">Accordion</x:t>
        </x:is>
      </x:c>
      <x:c r="D100" s="84" t="inlineStr">
        <x:is>
          <x:t xml:space="preserve">End behavior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protocol</x:t>
        </x:is>
      </x:c>
      <x:c r="H100" s="86" t="inlineStr">
        <x:is>
          <x:t xml:space="preserve">covered</x:t>
        </x:is>
      </x:c>
      <x:c r="I100" s="84" t="inlineStr">
        <x:is>
          <x:t xml:space="preserve">manual-tests/accordion.md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Keyboard</x:t>
        </x:is>
      </x:c>
      <x:c r="C101" s="84" t="inlineStr">
        <x:is>
          <x:t xml:space="preserve">Accordion</x:t>
        </x:is>
      </x:c>
      <x:c r="D101" s="84" t="inlineStr">
        <x:is>
          <x:t xml:space="preserve">Home behavior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protocol</x:t>
        </x:is>
      </x:c>
      <x:c r="H101" s="86" t="inlineStr">
        <x:is>
          <x:t xml:space="preserve">covered</x:t>
        </x:is>
      </x:c>
      <x:c r="I101" s="84" t="inlineStr">
        <x:is>
          <x:t xml:space="preserve">manual-tests/accordion.md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Keyboard</x:t>
        </x:is>
      </x:c>
      <x:c r="C102" s="84" t="inlineStr">
        <x:is>
          <x:t xml:space="preserve">Accordion</x:t>
        </x:is>
      </x:c>
      <x:c r="D102" s="84" t="inlineStr">
        <x:is>
          <x:t xml:space="preserve">Arrow key navigation follows documented orientation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protocol</x:t>
        </x:is>
      </x:c>
      <x:c r="H102" s="86" t="inlineStr">
        <x:is>
          <x:t xml:space="preserve">covered</x:t>
        </x:is>
      </x:c>
      <x:c r="I102" s="84" t="inlineStr">
        <x:is>
          <x:t xml:space="preserve">manual-tests/accordion.md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Keyboard</x:t>
        </x:is>
      </x:c>
      <x:c r="C103" s="84" t="inlineStr">
        <x:is>
          <x:t xml:space="preserve">Accordion</x:t>
        </x:is>
      </x:c>
      <x:c r="D103" s="84" t="inlineStr">
        <x:is>
          <x:t xml:space="preserve">Home and End navigation where supported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protocol</x:t>
        </x:is>
      </x:c>
      <x:c r="H103" s="86" t="inlineStr">
        <x:is>
          <x:t xml:space="preserve">covered</x:t>
        </x:is>
      </x:c>
      <x:c r="I103" s="84" t="inlineStr">
        <x:is>
          <x:t xml:space="preserve">manual-tests/accordion.md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Keyboard</x:t>
        </x:is>
      </x:c>
      <x:c r="C104" s="84" t="inlineStr">
        <x:is>
          <x:t xml:space="preserve">Accordion</x:t>
        </x:is>
      </x:c>
      <x:c r="D104" s="84" t="inlineStr">
        <x:is>
          <x:t xml:space="preserve">disabled items are skipped or exposed according to pattern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protocol</x:t>
        </x:is>
      </x:c>
      <x:c r="H104" s="86" t="inlineStr">
        <x:is>
          <x:t xml:space="preserve">covered</x:t>
        </x:is>
      </x:c>
      <x:c r="I104" s="84" t="inlineStr">
        <x:is>
          <x:t xml:space="preserve">manual-tests/accordion.md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Focus</x:t>
        </x:is>
      </x:c>
      <x:c r="C105" s="84" t="inlineStr">
        <x:is>
          <x:t xml:space="preserve">Accordion</x:t>
        </x:is>
      </x:c>
      <x:c r="D105" s="84" t="inlineStr">
        <x:is>
          <x:t xml:space="preserve">roving focus or active descendant state is visible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protocol</x:t>
        </x:is>
      </x:c>
      <x:c r="H105" s="86" t="inlineStr">
        <x:is>
          <x:t xml:space="preserve">covered</x:t>
        </x:is>
      </x:c>
      <x:c r="I105" s="84" t="inlineStr">
        <x:is>
          <x:t xml:space="preserve">manual-tests/accordion.md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Direction</x:t>
        </x:is>
      </x:c>
      <x:c r="C106" s="84" t="inlineStr">
        <x:is>
          <x:t xml:space="preserve">Root</x:t>
        </x:is>
      </x:c>
      <x:c r="D106" s="84" t="inlineStr">
        <x:is>
          <x:t xml:space="preserve">reads Direction.Provider context for horizontal keyboard navigation</x:t>
        </x:is>
      </x:c>
      <x:c r="E106" s="88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protocol</x:t>
        </x:is>
      </x:c>
      <x:c r="H106" s="88" t="inlineStr">
        <x:is>
          <x:t xml:space="preserve">covered</x:t>
        </x:is>
      </x:c>
      <x:c r="I106" s="84" t="inlineStr">
        <x:is>
          <x:t xml:space="preserve">manual-tests/accordion.md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Direction</x:t>
        </x:is>
      </x:c>
      <x:c r="C107" s="84" t="inlineStr">
        <x:is>
          <x:t xml:space="preserve">Root</x:t>
        </x:is>
      </x:c>
      <x:c r="D107" s="84" t="inlineStr">
        <x:is>
          <x:t xml:space="preserve">RTL mirrors horizontal ArrowLeft and ArrowRight navigation</x:t>
        </x:is>
      </x:c>
      <x:c r="E107" s="88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protocol</x:t>
        </x:is>
      </x:c>
      <x:c r="H107" s="88" t="inlineStr">
        <x:is>
          <x:t xml:space="preserve">covered</x:t>
        </x:is>
      </x:c>
      <x:c r="I107" s="84" t="inlineStr">
        <x:is>
          <x:t xml:space="preserve">manual-tests/accordion.md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Playground</x:t>
        </x:is>
      </x:c>
      <x:c r="C108" s="84" t="inlineStr">
        <x:is>
          <x:t xml:space="preserve">Direction controls</x:t>
        </x:is>
      </x:c>
      <x:c r="D108" s="84" t="inlineStr">
        <x:is>
          <x:t xml:space="preserve">scenario exposes provider direction controls</x:t>
        </x:is>
      </x:c>
      <x:c r="E108" s="88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protocol</x:t>
        </x:is>
      </x:c>
      <x:c r="H108" s="88" t="inlineStr">
        <x:is>
          <x:t xml:space="preserve">covered</x:t>
        </x:is>
      </x:c>
      <x:c r="I108" s="84" t="inlineStr">
        <x:is>
          <x:t xml:space="preserve">manual-tests/accordion.md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/>
    <x:row r="110" s="51" customFormat="1" ht="15" customHeight="1"/>
    <x:row r="111" s="51" customFormat="1" ht="30" customHeight="1"/>
    <x:row r="112" s="51" customFormat="1" ht="30" customHeight="1"/>
    <x:row r="113" s="51" customFormat="1" ht="30" customHeight="1"/>
    <x:row r="114" s="51" customFormat="1" ht="30" customHeight="1"/>
    <x:row r="115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AlertDialog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134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AlertDialog</x:t>
        </x:is>
      </x:c>
      <x:c r="D9" s="84" t="inlineStr">
        <x:is>
          <x:t xml:space="preserve">scenario is reachable from top menu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Tester-first AlertDialog manual checklist.</x:t>
        </x:is>
      </x:c>
      <x:c r="J9" s="84" t="n"/>
      <x:c r="K9" s="87" t="n">
        <x:f>IF(AND(E9="yes",F9="yes",H9="covered"),1,IF(H9="partial",0.5,0))</x:f>
        <x:v>1</x:v>
      </x:c>
    </x:row>
    <x:row r="10" s="51" customFormat="1" ht="30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AlertDialog</x:t>
        </x:is>
      </x:c>
      <x:c r="D10" s="84" t="inlineStr">
        <x:is>
          <x:t xml:space="preserve">layout renders Anatomy, Canvas toolbar, Canvas stage, footer, and Inspector in expected order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Tester-first AlertDialog manual checklist.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30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AlertDialog</x:t>
        </x:is>
      </x:c>
      <x:c r="D11" s="84" t="inlineStr">
        <x:is>
          <x:t xml:space="preserve">Canvas toolbar exposes State, Popup, Dismiss, ARIA, Composition, and Props groups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Tester-first AlertDialog manual checklist.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Props</x:t>
        </x:is>
      </x:c>
      <x:c r="D12" s="84" t="inlineStr">
        <x:is>
          <x:t xml:space="preserve">Props toolbar keeps Prop Check off by default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Tester-first AlertDialog manual checklist.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Props</x:t>
        </x:is>
      </x:c>
      <x:c r="D13" s="84" t="inlineStr">
        <x:is>
          <x:t xml:space="preserve">custom slot toggles are off by default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Tester-first AlertDialog manual checklist.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30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AlertDialog</x:t>
        </x:is>
      </x:c>
      <x:c r="D14" s="84" t="inlineStr">
        <x:is>
          <x:t xml:space="preserve">Anatomy uses live DOM Attributes, ARIA, and Data groups for rendered parts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Tester-first AlertDialog manual checklist.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AlertDialog</x:t>
        </x:is>
      </x:c>
      <x:c r="D15" s="84" t="inlineStr">
        <x:is>
          <x:t xml:space="preserve">content forces role="alertdialog"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Content raw ARIA verified role="alertdialog".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AlertDialog</x:t>
        </x:is>
      </x:c>
      <x:c r="D16" s="84" t="inlineStr">
        <x:is>
          <x:t xml:space="preserve">backdrop/overlay click does not dismiss by design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Overlay click logged while AlertDialog stayed open.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AlertDialog</x:t>
        </x:is>
      </x:c>
      <x:c r="D17" s="84" t="inlineStr">
        <x:is>
          <x:t xml:space="preserve">public anatomy parts render in documented order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Anatomy order verified: Root, Trigger, Portal, Overlay, Content, Title, Description, Cancel, Action.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AlertDialog</x:t>
        </x:is>
      </x:c>
      <x:c r="D18" s="84" t="inlineStr">
        <x:is>
          <x:t xml:space="preserve">Cancel autofocus is enabled by default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Initial focus landed on Cancel with Cancel autofocus enabled.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AlertDialog</x:t>
        </x:is>
      </x:c>
      <x:c r="D19" s="84" t="inlineStr">
        <x:is>
          <x:t xml:space="preserve">close reasons distinguish cancel and action flows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Logs verified closed by cancelClick and closed by actionClick.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AlertDialog</x:t>
        </x:is>
      </x:c>
      <x:c r="D20" s="84" t="inlineStr">
        <x:is>
          <x:t xml:space="preserve">Escape dismissal follows closeOnEscape state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Escape closed when enabled and did not close when disabled.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30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AlertDialog</x:t>
        </x:is>
      </x:c>
      <x:c r="D21" s="84" t="inlineStr">
        <x:is>
          <x:t xml:space="preserve">focus containment and focus restore work while open/after close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Focus escape probe stayed inside; close restored focus to Trigger.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Feature</x:t>
        </x:is>
      </x:c>
      <x:c r="C22" s="84" t="inlineStr">
        <x:is>
          <x:t xml:space="preserve">AlertDialog</x:t>
        </x:is>
      </x:c>
      <x:c r="D22" s="84" t="inlineStr">
        <x:is>
          <x:t xml:space="preserve">nested overlay Escape order closes nested layer before parent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Nested Select closed on first Escape; AlertDialog closed on second Escape.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State</x:t>
        </x:is>
      </x:c>
      <x:c r="C23" s="84" t="inlineStr">
        <x:is>
          <x:t xml:space="preserve">Root</x:t>
        </x:is>
      </x:c>
      <x:c r="D23" s="84" t="inlineStr">
        <x:is>
          <x:t xml:space="preserve">provider has no DOM identity row to inspect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Root verified as behavior-only provider; no Root tag or data-slot expected.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State</x:t>
        </x:is>
      </x:c>
      <x:c r="C24" s="84" t="inlineStr">
        <x:is>
          <x:t xml:space="preserve">Root</x:t>
        </x:is>
      </x:c>
      <x:c r="D24" s="84" t="inlineStr">
        <x:is>
          <x:t xml:space="preserve">uncontrolled default starts closed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Default Canvas starts closed with Trigger data-state="closed".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State</x:t>
        </x:is>
      </x:c>
      <x:c r="C25" s="84" t="inlineStr">
        <x:is>
          <x:t xml:space="preserve">Root</x:t>
        </x:is>
      </x:c>
      <x:c r="D25" s="84" t="inlineStr">
        <x:is>
          <x:t xml:space="preserve">controlled open prop updates visible open state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Controlled Open/Close controls opened and closed AlertDialog.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30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onOpenChange reports open, cancelClick, actionClick, and Escape close changes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Logs verified open and close reasons from manual interactions.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disabled prop prevents trigger activation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Disabled Trigger blocked pointer, Enter, and Space activation.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keepMounted keeps Overlay and Content mounted after close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Overlay and Content remained mounted with data-state="closed".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closeOnEscape=false prevents Escape dismissal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Escape did not close while Dismiss &gt; Escape closes was off.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backdrop dismissal remains disabled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Anatomy Root Backdrop closes row stayed no; overlay click did not close.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Anatomy</x:t>
        </x:is>
      </x:c>
      <x:c r="C31" s="84" t="inlineStr">
        <x:is>
          <x:t xml:space="preserve">Trigger</x:t>
        </x:is>
      </x:c>
      <x:c r="D31" s="84" t="inlineStr">
        <x:is>
          <x:t xml:space="preserve">appears after Root in public anatomy order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Tester-first AlertDialog manual checklist.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Identity</x:t>
        </x:is>
      </x:c>
      <x:c r="C32" s="84" t="inlineStr">
        <x:is>
          <x:t xml:space="preserve">Trigger</x:t>
        </x:is>
      </x:c>
      <x:c r="D32" s="84" t="inlineStr">
        <x:is>
          <x:t xml:space="preserve">default tag is button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Trigger raw Attributes verified button tag.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Identity</x:t>
        </x:is>
      </x:c>
      <x:c r="C33" s="84" t="inlineStr">
        <x:is>
          <x:t xml:space="preserve">Trigger</x:t>
        </x:is>
      </x:c>
      <x:c r="D33" s="84" t="inlineStr">
        <x:is>
          <x:t xml:space="preserve">consumer ref evidence records button in Anatomy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Anatomy Trigger Ref verified button.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Data</x:t>
        </x:is>
      </x:c>
      <x:c r="C34" s="84" t="inlineStr">
        <x:is>
          <x:t xml:space="preserve">Trigger</x:t>
        </x:is>
      </x:c>
      <x:c r="D34" s="84" t="inlineStr">
        <x:is>
          <x:t xml:space="preserve">default data-slot is alert-dialog-trigger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Trigger raw Data verified data-slot="alert-dialog-trigger".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Data</x:t>
        </x:is>
      </x:c>
      <x:c r="C35" s="84" t="inlineStr">
        <x:is>
          <x:t xml:space="preserve">Trigger</x:t>
        </x:is>
      </x:c>
      <x:c r="D35" s="84" t="inlineStr">
        <x:is>
          <x:t xml:space="preserve">closed state uses data-state="closed"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Trigger raw Data verified closed state.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Data</x:t>
        </x:is>
      </x:c>
      <x:c r="C36" s="84" t="inlineStr">
        <x:is>
          <x:t xml:space="preserve">Trigger</x:t>
        </x:is>
      </x:c>
      <x:c r="D36" s="84" t="inlineStr">
        <x:is>
          <x:t xml:space="preserve">open state uses data-state="open"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Trigger raw Data verified open state.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ARIA</x:t>
        </x:is>
      </x:c>
      <x:c r="C37" s="84" t="inlineStr">
        <x:is>
          <x:t xml:space="preserve">Trigger</x:t>
        </x:is>
      </x:c>
      <x:c r="D37" s="84" t="inlineStr">
        <x:is>
          <x:t xml:space="preserve">closed state uses aria-expanded="false"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Trigger raw ARIA verified aria-expanded="false".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ARIA</x:t>
        </x:is>
      </x:c>
      <x:c r="C38" s="84" t="inlineStr">
        <x:is>
          <x:t xml:space="preserve">Trigger</x:t>
        </x:is>
      </x:c>
      <x:c r="D38" s="84" t="inlineStr">
        <x:is>
          <x:t xml:space="preserve">open state uses aria-expanded="true"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Trigger raw ARIA verified aria-expanded="true".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ARIA</x:t>
        </x:is>
      </x:c>
      <x:c r="C39" s="84" t="inlineStr">
        <x:is>
          <x:t xml:space="preserve">Trigger</x:t>
        </x:is>
      </x:c>
      <x:c r="D39" s="84" t="inlineStr">
        <x:is>
          <x:t xml:space="preserve">aria-controls matches current Content id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Trigger aria-controls matched generated Content id.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State</x:t>
        </x:is>
      </x:c>
      <x:c r="C40" s="84" t="inlineStr">
        <x:is>
          <x:t xml:space="preserve">Trigger</x:t>
        </x:is>
      </x:c>
      <x:c r="D40" s="84" t="inlineStr">
        <x:is>
          <x:t xml:space="preserve">disabled state blocks pointer and keyboard activation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Disabled Trigger probes blocked click, Enter, and Space.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Props</x:t>
        </x:is>
      </x:c>
      <x:c r="C41" s="84" t="inlineStr">
        <x:is>
          <x:t xml:space="preserve">Trigger</x:t>
        </x:is>
      </x:c>
      <x:c r="D41" s="84" t="inlineStr">
        <x:is>
          <x:t xml:space="preserve">Prop Check emits data-prop-check="trigger"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Trigger raw Data verified data-prop-check="trigger".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Slots</x:t>
        </x:is>
      </x:c>
      <x:c r="C42" s="84" t="inlineStr">
        <x:is>
          <x:t xml:space="preserve">Trigger</x:t>
        </x:is>
      </x:c>
      <x:c r="D42" s="84" t="inlineStr">
        <x:is>
          <x:t xml:space="preserve">custom slot emits data-slot="alert-dialog-trigger-custom"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Trigger custom slot raw Data verified.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30" customHeight="1">
      <x:c r="A43" s="73" t="n">
        <x:v>35</x:v>
      </x:c>
      <x:c r="B43" s="84" t="inlineStr">
        <x:is>
          <x:t xml:space="preserve">Composition</x:t>
        </x:is>
      </x:c>
      <x:c r="C43" s="84" t="inlineStr">
        <x:is>
          <x:t xml:space="preserve">Trigger</x:t>
        </x:is>
      </x:c>
      <x:c r="D43" s="84" t="inlineStr">
        <x:is>
          <x:t xml:space="preserve">Default mode renders button and opens on click, Enter, and Space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Tester-first AlertDialog manual checklist.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30" customHeight="1">
      <x:c r="A44" s="73" t="n">
        <x:v>36</x:v>
      </x:c>
      <x:c r="B44" s="84" t="inlineStr">
        <x:is>
          <x:t xml:space="preserve">Composition</x:t>
        </x:is>
      </x:c>
      <x:c r="C44" s="84" t="inlineStr">
        <x:is>
          <x:t xml:space="preserve">Trigger</x:t>
        </x:is>
      </x:c>
      <x:c r="D44" s="84" t="inlineStr">
        <x:is>
          <x:t xml:space="preserve">As Child mode merges Trigger props into single child without duplicate control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Tester-first AlertDialog manual checklist.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30" customHeight="1">
      <x:c r="A45" s="73" t="n">
        <x:v>37</x:v>
      </x:c>
      <x:c r="B45" s="84" t="inlineStr">
        <x:is>
          <x:t xml:space="preserve">Composition</x:t>
        </x:is>
      </x:c>
      <x:c r="C45" s="84" t="inlineStr">
        <x:is>
          <x:t xml:space="preserve">Trigger</x:t>
        </x:is>
      </x:c>
      <x:c r="D45" s="84" t="inlineStr">
        <x:is>
          <x:t xml:space="preserve">Render mode renders button through render={(props) =&gt; &lt;button {...props} /&gt;}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Tester-first AlertDialog manual checklist.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30" customHeight="1">
      <x:c r="A46" s="73" t="n">
        <x:v>38</x:v>
      </x:c>
      <x:c r="B46" s="84" t="inlineStr">
        <x:is>
          <x:t xml:space="preserve">Interaction</x:t>
        </x:is>
      </x:c>
      <x:c r="C46" s="84" t="inlineStr">
        <x:is>
          <x:t xml:space="preserve">Trigger</x:t>
        </x:is>
      </x:c>
      <x:c r="D46" s="84" t="inlineStr">
        <x:is>
          <x:t xml:space="preserve">preventDefault handler blocks Trigger open when Block trigger event is enabled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Block trigger event kept dialog closed and logged blocked trigger text.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Focus</x:t>
        </x:is>
      </x:c>
      <x:c r="C47" s="84" t="inlineStr">
        <x:is>
          <x:t xml:space="preserve">Trigger</x:t>
        </x:is>
      </x:c>
      <x:c r="D47" s="84" t="inlineStr">
        <x:is>
          <x:t xml:space="preserve">focus is restored to Trigger after close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Focus restored after Cancel, Action, and Escape closes.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Portal</x:t>
        </x:is>
      </x:c>
      <x:c r="D48" s="84" t="inlineStr">
        <x:is>
          <x:t xml:space="preserve">appears after Trigger in public anatomy order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Tester-first AlertDialog manual checklist.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Portal</x:t>
        </x:is>
      </x:c>
      <x:c r="C49" s="84" t="inlineStr">
        <x:is>
          <x:t xml:space="preserve">Portal</x:t>
        </x:is>
      </x:c>
      <x:c r="D49" s="84" t="inlineStr">
        <x:is>
          <x:t xml:space="preserve">provider has no DOM identity row to inspect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Portal verified as behavior-only portal; no Portal tag or data-slot expected.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Portal</x:t>
        </x:is>
      </x:c>
      <x:c r="C50" s="84" t="inlineStr">
        <x:is>
          <x:t xml:space="preserve">Portal</x:t>
        </x:is>
      </x:c>
      <x:c r="D50" s="84" t="inlineStr">
        <x:is>
          <x:t xml:space="preserve">default portal renders Content outside .canvas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Anatomy Portal Inside canvas verified no by default.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Portal</x:t>
        </x:is>
      </x:c>
      <x:c r="C51" s="84" t="inlineStr">
        <x:is>
          <x:t xml:space="preserve">Portal</x:t>
        </x:is>
      </x:c>
      <x:c r="D51" s="84" t="inlineStr">
        <x:is>
          <x:t xml:space="preserve">disabled portal renders Content inside .canvas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Popup &gt; Disable portal changed Inside canvas to yes.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Anatomy</x:t>
        </x:is>
      </x:c>
      <x:c r="C52" s="84" t="inlineStr">
        <x:is>
          <x:t xml:space="preserve">Overlay</x:t>
        </x:is>
      </x:c>
      <x:c r="D52" s="84" t="inlineStr">
        <x:is>
          <x:t xml:space="preserve">appears after Portal in public anatomy order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Tester-first AlertDialog manual checklist.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Identity</x:t>
        </x:is>
      </x:c>
      <x:c r="C53" s="84" t="inlineStr">
        <x:is>
          <x:t xml:space="preserve">Overlay</x:t>
        </x:is>
      </x:c>
      <x:c r="D53" s="84" t="inlineStr">
        <x:is>
          <x:t xml:space="preserve">default tag is div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Overlay raw Attributes verified div tag.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Identity</x:t>
        </x:is>
      </x:c>
      <x:c r="C54" s="84" t="inlineStr">
        <x:is>
          <x:t xml:space="preserve">Overlay</x:t>
        </x:is>
      </x:c>
      <x:c r="D54" s="84" t="inlineStr">
        <x:is>
          <x:t xml:space="preserve">consumer ref evidence records div in Anatomy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Anatomy Overlay Ref verified div.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Data</x:t>
        </x:is>
      </x:c>
      <x:c r="C55" s="84" t="inlineStr">
        <x:is>
          <x:t xml:space="preserve">Overlay</x:t>
        </x:is>
      </x:c>
      <x:c r="D55" s="84" t="inlineStr">
        <x:is>
          <x:t xml:space="preserve">default data-slot is alert-dialog-overlay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Overlay raw Data verified data-slot="alert-dialog-overlay".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Data</x:t>
        </x:is>
      </x:c>
      <x:c r="C56" s="84" t="inlineStr">
        <x:is>
          <x:t xml:space="preserve">Overlay</x:t>
        </x:is>
      </x:c>
      <x:c r="D56" s="84" t="inlineStr">
        <x:is>
          <x:t xml:space="preserve">open state uses data-state="open" after positioning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Overlay raw Data verified open state.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Data</x:t>
        </x:is>
      </x:c>
      <x:c r="C57" s="84" t="inlineStr">
        <x:is>
          <x:t xml:space="preserve">Overlay</x:t>
        </x:is>
      </x:c>
      <x:c r="D57" s="84" t="inlineStr">
        <x:is>
          <x:t xml:space="preserve">closed keepMounted state uses data-state="closed"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Overlay raw Data verified closed state after close with keepMounted.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Data</x:t>
        </x:is>
      </x:c>
      <x:c r="C58" s="84" t="inlineStr">
        <x:is>
          <x:t xml:space="preserve">Overlay</x:t>
        </x:is>
      </x:c>
      <x:c r="D58" s="84" t="inlineStr">
        <x:is>
          <x:t xml:space="preserve">data-positioned appears after positioning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Overlay raw Data verified data-positioned present.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ARIA</x:t>
        </x:is>
      </x:c>
      <x:c r="C59" s="84" t="inlineStr">
        <x:is>
          <x:t xml:space="preserve">Overlay</x:t>
        </x:is>
      </x:c>
      <x:c r="D59" s="84" t="inlineStr">
        <x:is>
          <x:t xml:space="preserve">aria-hidden="true" is present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Overlay raw ARIA verified aria-hidden="true".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Props</x:t>
        </x:is>
      </x:c>
      <x:c r="C60" s="84" t="inlineStr">
        <x:is>
          <x:t xml:space="preserve">Overlay</x:t>
        </x:is>
      </x:c>
      <x:c r="D60" s="84" t="inlineStr">
        <x:is>
          <x:t xml:space="preserve">Prop Check emits data-prop-check="overlay"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Overlay raw Data verified data-prop-check="overlay".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30" customHeight="1">
      <x:c r="A61" s="73" t="n">
        <x:v>53</x:v>
      </x:c>
      <x:c r="B61" s="84" t="inlineStr">
        <x:is>
          <x:t xml:space="preserve">Props</x:t>
        </x:is>
      </x:c>
      <x:c r="C61" s="84" t="inlineStr">
        <x:is>
          <x:t xml:space="preserve">Overlay</x:t>
        </x:is>
      </x:c>
      <x:c r="D61" s="84" t="inlineStr">
        <x:is>
          <x:t xml:space="preserve">disabled prop is exposed without enabling AlertDialog dismissal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Popup &gt; Disable overlay updated Anatomy/Source; overlay click still did not close.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Slots</x:t>
        </x:is>
      </x:c>
      <x:c r="C62" s="84" t="inlineStr">
        <x:is>
          <x:t xml:space="preserve">Overlay</x:t>
        </x:is>
      </x:c>
      <x:c r="D62" s="84" t="inlineStr">
        <x:is>
          <x:t xml:space="preserve">custom slot emits data-slot="alert-dialog-overlay-custom"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Overlay custom slot raw Data verified.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Interaction</x:t>
        </x:is>
      </x:c>
      <x:c r="C63" s="84" t="inlineStr">
        <x:is>
          <x:t xml:space="preserve">Overlay</x:t>
        </x:is>
      </x:c>
      <x:c r="D63" s="84" t="inlineStr">
        <x:is>
          <x:t xml:space="preserve">click logs overlay click and does not close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Overlay click logged and AlertDialog stayed open.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Anatomy</x:t>
        </x:is>
      </x:c>
      <x:c r="C64" s="84" t="inlineStr">
        <x:is>
          <x:t xml:space="preserve">Content</x:t>
        </x:is>
      </x:c>
      <x:c r="D64" s="84" t="inlineStr">
        <x:is>
          <x:t xml:space="preserve">appears after Overlay in public anatomy order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Tester-first AlertDialog manual checklist.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Identity</x:t>
        </x:is>
      </x:c>
      <x:c r="C65" s="84" t="inlineStr">
        <x:is>
          <x:t xml:space="preserve">Content</x:t>
        </x:is>
      </x:c>
      <x:c r="D65" s="84" t="inlineStr">
        <x:is>
          <x:t xml:space="preserve">default tag is div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Content raw Attributes verified div tag.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Identity</x:t>
        </x:is>
      </x:c>
      <x:c r="C66" s="84" t="inlineStr">
        <x:is>
          <x:t xml:space="preserve">Content</x:t>
        </x:is>
      </x:c>
      <x:c r="D66" s="84" t="inlineStr">
        <x:is>
          <x:t xml:space="preserve">consumer ref evidence records div in Anatomy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Anatomy Content Ref verified div.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Identity</x:t>
        </x:is>
      </x:c>
      <x:c r="C67" s="84" t="inlineStr">
        <x:is>
          <x:t xml:space="preserve">Content</x:t>
        </x:is>
      </x:c>
      <x:c r="D67" s="84" t="inlineStr">
        <x:is>
          <x:t xml:space="preserve">generated id remains stable while mounted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Content id stayed stable for mounted instance.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Data</x:t>
        </x:is>
      </x:c>
      <x:c r="C68" s="84" t="inlineStr">
        <x:is>
          <x:t xml:space="preserve">Content</x:t>
        </x:is>
      </x:c>
      <x:c r="D68" s="84" t="inlineStr">
        <x:is>
          <x:t xml:space="preserve">default data-slot is alert-dialog-content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Content raw Data verified data-slot="alert-dialog-content".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Data</x:t>
        </x:is>
      </x:c>
      <x:c r="C69" s="84" t="inlineStr">
        <x:is>
          <x:t xml:space="preserve">Content</x:t>
        </x:is>
      </x:c>
      <x:c r="D69" s="84" t="inlineStr">
        <x:is>
          <x:t xml:space="preserve">open state uses data-state="open" after positioning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Content raw Data verified open state.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Data</x:t>
        </x:is>
      </x:c>
      <x:c r="C70" s="84" t="inlineStr">
        <x:is>
          <x:t xml:space="preserve">Content</x:t>
        </x:is>
      </x:c>
      <x:c r="D70" s="84" t="inlineStr">
        <x:is>
          <x:t xml:space="preserve">closed keepMounted state uses data-state="closed"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Content raw Data verified closed state after close with keepMounted.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Data</x:t>
        </x:is>
      </x:c>
      <x:c r="C71" s="84" t="inlineStr">
        <x:is>
          <x:t xml:space="preserve">Content</x:t>
        </x:is>
      </x:c>
      <x:c r="D71" s="84" t="inlineStr">
        <x:is>
          <x:t xml:space="preserve">data-positioned appears after positioning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Content raw Data verified data-positioned present.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ARIA</x:t>
        </x:is>
      </x:c>
      <x:c r="C72" s="84" t="inlineStr">
        <x:is>
          <x:t xml:space="preserve">Content</x:t>
        </x:is>
      </x:c>
      <x:c r="D72" s="84" t="inlineStr">
        <x:is>
          <x:t xml:space="preserve">role is alertdialog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Content raw ARIA verified role="alertdialog".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ARIA</x:t>
        </x:is>
      </x:c>
      <x:c r="C73" s="84" t="inlineStr">
        <x:is>
          <x:t xml:space="preserve">Content</x:t>
        </x:is>
      </x:c>
      <x:c r="D73" s="84" t="inlineStr">
        <x:is>
          <x:t xml:space="preserve">aria-modal is true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Content raw ARIA verified aria-modal="true".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ARIA</x:t>
        </x:is>
      </x:c>
      <x:c r="C74" s="84" t="inlineStr">
        <x:is>
          <x:t xml:space="preserve">Content</x:t>
        </x:is>
      </x:c>
      <x:c r="D74" s="84" t="inlineStr">
        <x:is>
          <x:t xml:space="preserve">aria-labelledby matches rendered Title id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Content aria-labelledby matched generated Title id.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ARIA</x:t>
        </x:is>
      </x:c>
      <x:c r="C75" s="84" t="inlineStr">
        <x:is>
          <x:t xml:space="preserve">Content</x:t>
        </x:is>
      </x:c>
      <x:c r="D75" s="84" t="inlineStr">
        <x:is>
          <x:t xml:space="preserve">aria-describedby matches rendered Description id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Content aria-describedby matched generated Description id.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30" customHeight="1">
      <x:c r="A76" s="73" t="n">
        <x:v>68</x:v>
      </x:c>
      <x:c r="B76" s="84" t="inlineStr">
        <x:is>
          <x:t xml:space="preserve">ARIA</x:t>
        </x:is>
      </x:c>
      <x:c r="C76" s="84" t="inlineStr">
        <x:is>
          <x:t xml:space="preserve">Content</x:t>
        </x:is>
      </x:c>
      <x:c r="D76" s="84" t="inlineStr">
        <x:is>
          <x:t xml:space="preserve">ariaLabel mode uses aria-label="Delete project confirmation" and omits Title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ARIA &gt; Use ariaLabel verified aria-label and Title not rendered.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Props</x:t>
        </x:is>
      </x:c>
      <x:c r="C77" s="84" t="inlineStr">
        <x:is>
          <x:t xml:space="preserve">Content</x:t>
        </x:is>
      </x:c>
      <x:c r="D77" s="84" t="inlineStr">
        <x:is>
          <x:t xml:space="preserve">Prop Check emits data-prop-check="content"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Content raw Data verified data-prop-check="content".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Slots</x:t>
        </x:is>
      </x:c>
      <x:c r="C78" s="84" t="inlineStr">
        <x:is>
          <x:t xml:space="preserve">Content</x:t>
        </x:is>
      </x:c>
      <x:c r="D78" s="84" t="inlineStr">
        <x:is>
          <x:t xml:space="preserve">custom slot emits data-slot="alert-dialog-content-custom"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Content custom slot raw Data verified.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Focus</x:t>
        </x:is>
      </x:c>
      <x:c r="C79" s="84" t="inlineStr">
        <x:is>
          <x:t xml:space="preserve">Content</x:t>
        </x:is>
      </x:c>
      <x:c r="D79" s="84" t="inlineStr">
        <x:is>
          <x:t xml:space="preserve">focus escape probe remains inside AlertDialog content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Test focus escape logged focus stayed inside alert dialog: yes.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Anatomy</x:t>
        </x:is>
      </x:c>
      <x:c r="C80" s="84" t="inlineStr">
        <x:is>
          <x:t xml:space="preserve">Title</x:t>
        </x:is>
      </x:c>
      <x:c r="D80" s="84" t="inlineStr">
        <x:is>
          <x:t xml:space="preserve">appears after Content in public anatomy order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Tester-first AlertDialog manual checklist.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Identity</x:t>
        </x:is>
      </x:c>
      <x:c r="C81" s="84" t="inlineStr">
        <x:is>
          <x:t xml:space="preserve">Title</x:t>
        </x:is>
      </x:c>
      <x:c r="D81" s="84" t="inlineStr">
        <x:is>
          <x:t xml:space="preserve">default tag is h2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Title raw Attributes verified h2 by default.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Identity</x:t>
        </x:is>
      </x:c>
      <x:c r="C82" s="84" t="inlineStr">
        <x:is>
          <x:t xml:space="preserve">Title</x:t>
        </x:is>
      </x:c>
      <x:c r="D82" s="84" t="inlineStr">
        <x:is>
          <x:t xml:space="preserve">as prop renders h1 through h6 when selected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ARIA &gt; Title as verified h1-h6 tags.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30" customHeight="1">
      <x:c r="A83" s="73" t="n">
        <x:v>75</x:v>
      </x:c>
      <x:c r="B83" s="84" t="inlineStr">
        <x:is>
          <x:t xml:space="preserve">Identity</x:t>
        </x:is>
      </x:c>
      <x:c r="C83" s="84" t="inlineStr">
        <x:is>
          <x:t xml:space="preserve">Title</x:t>
        </x:is>
      </x:c>
      <x:c r="D83" s="84" t="inlineStr">
        <x:is>
          <x:t xml:space="preserve">consumer ref evidence records selected heading tag in Anatomy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Anatomy Title Ref matched selected heading tag.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Identity</x:t>
        </x:is>
      </x:c>
      <x:c r="C84" s="84" t="inlineStr">
        <x:is>
          <x:t xml:space="preserve">Title</x:t>
        </x:is>
      </x:c>
      <x:c r="D84" s="84" t="inlineStr">
        <x:is>
          <x:t xml:space="preserve">generated id remains stable while mounted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Title id stayed stable for mounted instance.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Data</x:t>
        </x:is>
      </x:c>
      <x:c r="C85" s="84" t="inlineStr">
        <x:is>
          <x:t xml:space="preserve">Title</x:t>
        </x:is>
      </x:c>
      <x:c r="D85" s="84" t="inlineStr">
        <x:is>
          <x:t xml:space="preserve">default data-slot is alert-dialog-title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Title raw Data verified data-slot="alert-dialog-title".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ARIA</x:t>
        </x:is>
      </x:c>
      <x:c r="C86" s="84" t="inlineStr">
        <x:is>
          <x:t xml:space="preserve">Title</x:t>
        </x:is>
      </x:c>
      <x:c r="D86" s="84" t="inlineStr">
        <x:is>
          <x:t xml:space="preserve">Content aria-labelledby matches Title id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Content aria-labelledby matched generated Title id.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ARIA</x:t>
        </x:is>
      </x:c>
      <x:c r="C87" s="84" t="inlineStr">
        <x:is>
          <x:t xml:space="preserve">Title</x:t>
        </x:is>
      </x:c>
      <x:c r="D87" s="84" t="inlineStr">
        <x:is>
          <x:t xml:space="preserve">Title is omitted when Content ariaLabel is used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ARIA &gt; Use ariaLabel removed Title from DOM/Anatomy.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30" customHeight="1">
      <x:c r="A88" s="73" t="n">
        <x:v>80</x:v>
      </x:c>
      <x:c r="B88" s="84" t="inlineStr">
        <x:is>
          <x:t xml:space="preserve">Props</x:t>
        </x:is>
      </x:c>
      <x:c r="C88" s="84" t="inlineStr">
        <x:is>
          <x:t xml:space="preserve">Title</x:t>
        </x:is>
      </x:c>
      <x:c r="D88" s="84" t="inlineStr">
        <x:is>
          <x:t xml:space="preserve">Prop Check emits data-prop-check="title" when Title renders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Title raw Data verified data-prop-check="title".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30" customHeight="1">
      <x:c r="A89" s="73" t="n">
        <x:v>81</x:v>
      </x:c>
      <x:c r="B89" s="84" t="inlineStr">
        <x:is>
          <x:t xml:space="preserve">Slots</x:t>
        </x:is>
      </x:c>
      <x:c r="C89" s="84" t="inlineStr">
        <x:is>
          <x:t xml:space="preserve">Title</x:t>
        </x:is>
      </x:c>
      <x:c r="D89" s="84" t="inlineStr">
        <x:is>
          <x:t xml:space="preserve">custom slot emits data-slot="alert-dialog-title-custom" when Title renders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Title custom slot raw Data verified.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Anatomy</x:t>
        </x:is>
      </x:c>
      <x:c r="C90" s="84" t="inlineStr">
        <x:is>
          <x:t xml:space="preserve">Description</x:t>
        </x:is>
      </x:c>
      <x:c r="D90" s="84" t="inlineStr">
        <x:is>
          <x:t xml:space="preserve">appears after Title in public anatomy order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Tester-first AlertDialog manual checklist.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Identity</x:t>
        </x:is>
      </x:c>
      <x:c r="C91" s="84" t="inlineStr">
        <x:is>
          <x:t xml:space="preserve">Description</x:t>
        </x:is>
      </x:c>
      <x:c r="D91" s="84" t="inlineStr">
        <x:is>
          <x:t xml:space="preserve">default tag is p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Description raw Attributes verified p tag.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Identity</x:t>
        </x:is>
      </x:c>
      <x:c r="C92" s="84" t="inlineStr">
        <x:is>
          <x:t xml:space="preserve">Description</x:t>
        </x:is>
      </x:c>
      <x:c r="D92" s="84" t="inlineStr">
        <x:is>
          <x:t xml:space="preserve">consumer ref evidence records p in Anatomy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Anatomy Description Ref verified p.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Identity</x:t>
        </x:is>
      </x:c>
      <x:c r="C93" s="84" t="inlineStr">
        <x:is>
          <x:t xml:space="preserve">Description</x:t>
        </x:is>
      </x:c>
      <x:c r="D93" s="84" t="inlineStr">
        <x:is>
          <x:t xml:space="preserve">generated id remains stable while mounted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Description id stayed stable for mounted instance.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Data</x:t>
        </x:is>
      </x:c>
      <x:c r="C94" s="84" t="inlineStr">
        <x:is>
          <x:t xml:space="preserve">Description</x:t>
        </x:is>
      </x:c>
      <x:c r="D94" s="84" t="inlineStr">
        <x:is>
          <x:t xml:space="preserve">default data-slot is alert-dialog-description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Description raw Data verified data-slot="alert-dialog-description".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ARIA</x:t>
        </x:is>
      </x:c>
      <x:c r="C95" s="84" t="inlineStr">
        <x:is>
          <x:t xml:space="preserve">Description</x:t>
        </x:is>
      </x:c>
      <x:c r="D95" s="84" t="inlineStr">
        <x:is>
          <x:t xml:space="preserve">Content aria-describedby matches Description id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Content aria-describedby matched generated Description id.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Props</x:t>
        </x:is>
      </x:c>
      <x:c r="C96" s="84" t="inlineStr">
        <x:is>
          <x:t xml:space="preserve">Description</x:t>
        </x:is>
      </x:c>
      <x:c r="D96" s="84" t="inlineStr">
        <x:is>
          <x:t xml:space="preserve">Prop Check emits data-prop-check="description"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Description raw Data verified data-prop-check="description".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30" customHeight="1">
      <x:c r="A97" s="73" t="n">
        <x:v>89</x:v>
      </x:c>
      <x:c r="B97" s="84" t="inlineStr">
        <x:is>
          <x:t xml:space="preserve">Slots</x:t>
        </x:is>
      </x:c>
      <x:c r="C97" s="84" t="inlineStr">
        <x:is>
          <x:t xml:space="preserve">Description</x:t>
        </x:is>
      </x:c>
      <x:c r="D97" s="84" t="inlineStr">
        <x:is>
          <x:t xml:space="preserve">custom slot emits data-slot="alert-dialog-description-custom"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Description custom slot raw Data verified.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Anatomy</x:t>
        </x:is>
      </x:c>
      <x:c r="C98" s="84" t="inlineStr">
        <x:is>
          <x:t xml:space="preserve">Cancel</x:t>
        </x:is>
      </x:c>
      <x:c r="D98" s="84" t="inlineStr">
        <x:is>
          <x:t xml:space="preserve">appears after Description in public anatomy order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Tester-first AlertDialog manual checklist.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Identity</x:t>
        </x:is>
      </x:c>
      <x:c r="C99" s="84" t="inlineStr">
        <x:is>
          <x:t xml:space="preserve">Cancel</x:t>
        </x:is>
      </x:c>
      <x:c r="D99" s="84" t="inlineStr">
        <x:is>
          <x:t xml:space="preserve">default tag is button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Cancel raw Attributes verified button tag.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Identity</x:t>
        </x:is>
      </x:c>
      <x:c r="C100" s="84" t="inlineStr">
        <x:is>
          <x:t xml:space="preserve">Cancel</x:t>
        </x:is>
      </x:c>
      <x:c r="D100" s="84" t="inlineStr">
        <x:is>
          <x:t xml:space="preserve">default/render mode has type="button"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Cancel raw Attributes verified type="button" in default/render modes.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Identity</x:t>
        </x:is>
      </x:c>
      <x:c r="C101" s="84" t="inlineStr">
        <x:is>
          <x:t xml:space="preserve">Cancel</x:t>
        </x:is>
      </x:c>
      <x:c r="D101" s="84" t="inlineStr">
        <x:is>
          <x:t xml:space="preserve">consumer ref evidence records button in Anatomy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Anatomy Cancel Ref verified button in default mode.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Data</x:t>
        </x:is>
      </x:c>
      <x:c r="C102" s="84" t="inlineStr">
        <x:is>
          <x:t xml:space="preserve">Cancel</x:t>
        </x:is>
      </x:c>
      <x:c r="D102" s="84" t="inlineStr">
        <x:is>
          <x:t xml:space="preserve">default data-slot is alert-dialog-cancel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Cancel raw Data verified data-slot="alert-dialog-cancel".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Props</x:t>
        </x:is>
      </x:c>
      <x:c r="C103" s="84" t="inlineStr">
        <x:is>
          <x:t xml:space="preserve">Cancel</x:t>
        </x:is>
      </x:c>
      <x:c r="D103" s="84" t="inlineStr">
        <x:is>
          <x:t xml:space="preserve">Prop Check emits data-prop-check="cancel"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Cancel raw Data verified data-prop-check="cancel".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Slots</x:t>
        </x:is>
      </x:c>
      <x:c r="C104" s="84" t="inlineStr">
        <x:is>
          <x:t xml:space="preserve">Cancel</x:t>
        </x:is>
      </x:c>
      <x:c r="D104" s="84" t="inlineStr">
        <x:is>
          <x:t xml:space="preserve">custom slot emits data-slot="alert-dialog-cancel-custom"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6" t="inlineStr">
        <x:is>
          <x:t xml:space="preserve">covered</x:t>
        </x:is>
      </x:c>
      <x:c r="I104" s="84" t="inlineStr">
        <x:is>
          <x:t xml:space="preserve">Cancel custom slot raw Data verified.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Composition</x:t>
        </x:is>
      </x:c>
      <x:c r="C105" s="84" t="inlineStr">
        <x:is>
          <x:t xml:space="preserve">Cancel</x:t>
        </x:is>
      </x:c>
      <x:c r="D105" s="84" t="inlineStr">
        <x:is>
          <x:t xml:space="preserve">Default mode renders button and closes with cancelClick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6" t="inlineStr">
        <x:is>
          <x:t xml:space="preserve">covered</x:t>
        </x:is>
      </x:c>
      <x:c r="I105" s="84" t="inlineStr">
        <x:is>
          <x:t xml:space="preserve">Tester-first AlertDialog manual checklist.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30" customHeight="1">
      <x:c r="A106" s="73" t="n">
        <x:v>98</x:v>
      </x:c>
      <x:c r="B106" s="84" t="inlineStr">
        <x:is>
          <x:t xml:space="preserve">Composition</x:t>
        </x:is>
      </x:c>
      <x:c r="C106" s="84" t="inlineStr">
        <x:is>
          <x:t xml:space="preserve">Cancel</x:t>
        </x:is>
      </x:c>
      <x:c r="D106" s="84" t="inlineStr">
        <x:is>
          <x:t xml:space="preserve">As Child mode merges Cancel props into single child without duplicate control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6" t="inlineStr">
        <x:is>
          <x:t xml:space="preserve">covered</x:t>
        </x:is>
      </x:c>
      <x:c r="I106" s="84" t="inlineStr">
        <x:is>
          <x:t xml:space="preserve">Tester-first AlertDialog manual checklist.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30" customHeight="1">
      <x:c r="A107" s="73" t="n">
        <x:v>99</x:v>
      </x:c>
      <x:c r="B107" s="84" t="inlineStr">
        <x:is>
          <x:t xml:space="preserve">Composition</x:t>
        </x:is>
      </x:c>
      <x:c r="C107" s="84" t="inlineStr">
        <x:is>
          <x:t xml:space="preserve">Cancel</x:t>
        </x:is>
      </x:c>
      <x:c r="D107" s="84" t="inlineStr">
        <x:is>
          <x:t xml:space="preserve">Render mode renders button and receives type="button" through spread props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test</x:t>
        </x:is>
      </x:c>
      <x:c r="H107" s="86" t="inlineStr">
        <x:is>
          <x:t xml:space="preserve">covered</x:t>
        </x:is>
      </x:c>
      <x:c r="I107" s="84" t="inlineStr">
        <x:is>
          <x:t xml:space="preserve">Tester-first AlertDialog manual checklist.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Focus</x:t>
        </x:is>
      </x:c>
      <x:c r="C108" s="84" t="inlineStr">
        <x:is>
          <x:t xml:space="preserve">Cancel</x:t>
        </x:is>
      </x:c>
      <x:c r="D108" s="84" t="inlineStr">
        <x:is>
          <x:t xml:space="preserve">autoFocus defaults to true and initially focuses Cancel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test</x:t>
        </x:is>
      </x:c>
      <x:c r="H108" s="86" t="inlineStr">
        <x:is>
          <x:t xml:space="preserve">covered</x:t>
        </x:is>
      </x:c>
      <x:c r="I108" s="84" t="inlineStr">
        <x:is>
          <x:t xml:space="preserve">Initial focus landed on Cancel with Cancel autofocus on.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Interaction</x:t>
        </x:is>
      </x:c>
      <x:c r="C109" s="84" t="inlineStr">
        <x:is>
          <x:t xml:space="preserve">Cancel</x:t>
        </x:is>
      </x:c>
      <x:c r="D109" s="84" t="inlineStr">
        <x:is>
          <x:t xml:space="preserve">click closes and logs cancelClick reason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test</x:t>
        </x:is>
      </x:c>
      <x:c r="H109" s="86" t="inlineStr">
        <x:is>
          <x:t xml:space="preserve">covered</x:t>
        </x:is>
      </x:c>
      <x:c r="I109" s="84" t="inlineStr">
        <x:is>
          <x:t xml:space="preserve">Cancel click closed and log included closed by cancelClick.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30" customHeight="1">
      <x:c r="A110" s="73" t="n">
        <x:v>102</x:v>
      </x:c>
      <x:c r="B110" s="84" t="inlineStr">
        <x:is>
          <x:t xml:space="preserve">Interaction</x:t>
        </x:is>
      </x:c>
      <x:c r="C110" s="84" t="inlineStr">
        <x:is>
          <x:t xml:space="preserve">Cancel</x:t>
        </x:is>
      </x:c>
      <x:c r="D110" s="84" t="inlineStr">
        <x:is>
          <x:t xml:space="preserve">preventDefault handler blocks close when Block cancel close is enabled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manual test</x:t>
        </x:is>
      </x:c>
      <x:c r="H110" s="86" t="inlineStr">
        <x:is>
          <x:t xml:space="preserve">covered</x:t>
        </x:is>
      </x:c>
      <x:c r="I110" s="84" t="inlineStr">
        <x:is>
          <x:t xml:space="preserve">Block cancel close kept dialog open and logged blocked cancel text.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Anatomy</x:t>
        </x:is>
      </x:c>
      <x:c r="C111" s="84" t="inlineStr">
        <x:is>
          <x:t xml:space="preserve">Action</x:t>
        </x:is>
      </x:c>
      <x:c r="D111" s="84" t="inlineStr">
        <x:is>
          <x:t xml:space="preserve">appears after Cancel in public anatomy order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 manual test</x:t>
        </x:is>
      </x:c>
      <x:c r="H111" s="86" t="inlineStr">
        <x:is>
          <x:t xml:space="preserve">covered</x:t>
        </x:is>
      </x:c>
      <x:c r="I111" s="84" t="inlineStr">
        <x:is>
          <x:t xml:space="preserve">Tester-first AlertDialog manual checklist.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Identity</x:t>
        </x:is>
      </x:c>
      <x:c r="C112" s="84" t="inlineStr">
        <x:is>
          <x:t xml:space="preserve">Action</x:t>
        </x:is>
      </x:c>
      <x:c r="D112" s="84" t="inlineStr">
        <x:is>
          <x:t xml:space="preserve">default tag is button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 manual test</x:t>
        </x:is>
      </x:c>
      <x:c r="H112" s="86" t="inlineStr">
        <x:is>
          <x:t xml:space="preserve">covered</x:t>
        </x:is>
      </x:c>
      <x:c r="I112" s="84" t="inlineStr">
        <x:is>
          <x:t xml:space="preserve">Action raw Attributes verified button tag.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15" customHeight="1">
      <x:c r="A113" s="73" t="n">
        <x:v>105</x:v>
      </x:c>
      <x:c r="B113" s="84" t="inlineStr">
        <x:is>
          <x:t xml:space="preserve">Identity</x:t>
        </x:is>
      </x:c>
      <x:c r="C113" s="84" t="inlineStr">
        <x:is>
          <x:t xml:space="preserve">Action</x:t>
        </x:is>
      </x:c>
      <x:c r="D113" s="84" t="inlineStr">
        <x:is>
          <x:t xml:space="preserve">default/render mode has type="button"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 manual test</x:t>
        </x:is>
      </x:c>
      <x:c r="H113" s="86" t="inlineStr">
        <x:is>
          <x:t xml:space="preserve">covered</x:t>
        </x:is>
      </x:c>
      <x:c r="I113" s="84" t="inlineStr">
        <x:is>
          <x:t xml:space="preserve">Action raw Attributes verified type="button" in default/render modes.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15" customHeight="1">
      <x:c r="A114" s="73" t="n">
        <x:v>106</x:v>
      </x:c>
      <x:c r="B114" s="84" t="inlineStr">
        <x:is>
          <x:t xml:space="preserve">Identity</x:t>
        </x:is>
      </x:c>
      <x:c r="C114" s="84" t="inlineStr">
        <x:is>
          <x:t xml:space="preserve">Action</x:t>
        </x:is>
      </x:c>
      <x:c r="D114" s="84" t="inlineStr">
        <x:is>
          <x:t xml:space="preserve">consumer ref evidence records button in Anatomy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 manual test</x:t>
        </x:is>
      </x:c>
      <x:c r="H114" s="86" t="inlineStr">
        <x:is>
          <x:t xml:space="preserve">covered</x:t>
        </x:is>
      </x:c>
      <x:c r="I114" s="84" t="inlineStr">
        <x:is>
          <x:t xml:space="preserve">Anatomy Action Ref verified button in default mode.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15" customHeight="1">
      <x:c r="A115" s="73" t="n">
        <x:v>107</x:v>
      </x:c>
      <x:c r="B115" s="84" t="inlineStr">
        <x:is>
          <x:t xml:space="preserve">Data</x:t>
        </x:is>
      </x:c>
      <x:c r="C115" s="84" t="inlineStr">
        <x:is>
          <x:t xml:space="preserve">Action</x:t>
        </x:is>
      </x:c>
      <x:c r="D115" s="84" t="inlineStr">
        <x:is>
          <x:t xml:space="preserve">default data-slot is alert-dialog-action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 manual test</x:t>
        </x:is>
      </x:c>
      <x:c r="H115" s="86" t="inlineStr">
        <x:is>
          <x:t xml:space="preserve">covered</x:t>
        </x:is>
      </x:c>
      <x:c r="I115" s="84" t="inlineStr">
        <x:is>
          <x:t xml:space="preserve">Action raw Data verified data-slot="alert-dialog-action".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Props</x:t>
        </x:is>
      </x:c>
      <x:c r="C116" s="84" t="inlineStr">
        <x:is>
          <x:t xml:space="preserve">Action</x:t>
        </x:is>
      </x:c>
      <x:c r="D116" s="84" t="inlineStr">
        <x:is>
          <x:t xml:space="preserve">Prop Check emits data-prop-check="action"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 manual test</x:t>
        </x:is>
      </x:c>
      <x:c r="H116" s="86" t="inlineStr">
        <x:is>
          <x:t xml:space="preserve">covered</x:t>
        </x:is>
      </x:c>
      <x:c r="I116" s="84" t="inlineStr">
        <x:is>
          <x:t xml:space="preserve">Action raw Data verified data-prop-check="action".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Slots</x:t>
        </x:is>
      </x:c>
      <x:c r="C117" s="84" t="inlineStr">
        <x:is>
          <x:t xml:space="preserve">Action</x:t>
        </x:is>
      </x:c>
      <x:c r="D117" s="84" t="inlineStr">
        <x:is>
          <x:t xml:space="preserve">custom slot emits data-slot="alert-dialog-action-custom"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 manual test</x:t>
        </x:is>
      </x:c>
      <x:c r="H117" s="86" t="inlineStr">
        <x:is>
          <x:t xml:space="preserve">covered</x:t>
        </x:is>
      </x:c>
      <x:c r="I117" s="84" t="inlineStr">
        <x:is>
          <x:t xml:space="preserve">Action custom slot raw Data verified.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15" customHeight="1">
      <x:c r="A118" s="73" t="n">
        <x:v>110</x:v>
      </x:c>
      <x:c r="B118" s="84" t="inlineStr">
        <x:is>
          <x:t xml:space="preserve">Composition</x:t>
        </x:is>
      </x:c>
      <x:c r="C118" s="84" t="inlineStr">
        <x:is>
          <x:t xml:space="preserve">Action</x:t>
        </x:is>
      </x:c>
      <x:c r="D118" s="84" t="inlineStr">
        <x:is>
          <x:t xml:space="preserve">Default mode renders button and closes with actionClick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 manual test</x:t>
        </x:is>
      </x:c>
      <x:c r="H118" s="86" t="inlineStr">
        <x:is>
          <x:t xml:space="preserve">covered</x:t>
        </x:is>
      </x:c>
      <x:c r="I118" s="84" t="inlineStr">
        <x:is>
          <x:t xml:space="preserve">Tester-first AlertDialog manual checklist.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30" customHeight="1">
      <x:c r="A119" s="73" t="n">
        <x:v>111</x:v>
      </x:c>
      <x:c r="B119" s="84" t="inlineStr">
        <x:is>
          <x:t xml:space="preserve">Composition</x:t>
        </x:is>
      </x:c>
      <x:c r="C119" s="84" t="inlineStr">
        <x:is>
          <x:t xml:space="preserve">Action</x:t>
        </x:is>
      </x:c>
      <x:c r="D119" s="84" t="inlineStr">
        <x:is>
          <x:t xml:space="preserve">As Child mode merges Action props into single child without duplicate control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 manual test</x:t>
        </x:is>
      </x:c>
      <x:c r="H119" s="86" t="inlineStr">
        <x:is>
          <x:t xml:space="preserve">covered</x:t>
        </x:is>
      </x:c>
      <x:c r="I119" s="84" t="inlineStr">
        <x:is>
          <x:t xml:space="preserve">Tester-first AlertDialog manual checklist.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30" customHeight="1">
      <x:c r="A120" s="73" t="n">
        <x:v>112</x:v>
      </x:c>
      <x:c r="B120" s="84" t="inlineStr">
        <x:is>
          <x:t xml:space="preserve">Composition</x:t>
        </x:is>
      </x:c>
      <x:c r="C120" s="84" t="inlineStr">
        <x:is>
          <x:t xml:space="preserve">Action</x:t>
        </x:is>
      </x:c>
      <x:c r="D120" s="84" t="inlineStr">
        <x:is>
          <x:t xml:space="preserve">Render mode renders button and receives type="button" through spread props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 manual test</x:t>
        </x:is>
      </x:c>
      <x:c r="H120" s="86" t="inlineStr">
        <x:is>
          <x:t xml:space="preserve">covered</x:t>
        </x:is>
      </x:c>
      <x:c r="I120" s="84" t="inlineStr">
        <x:is>
          <x:t xml:space="preserve">Tester-first AlertDialog manual checklist.</x:t>
        </x:is>
      </x:c>
      <x:c r="J120" s="84" t="n"/>
      <x:c r="K120" s="87" t="n">
        <x:f>IF(AND(E120="yes",F120="yes",H120="covered"),1,IF(H120="partial",0.5,0))</x:f>
        <x:v>1</x:v>
      </x:c>
    </x:row>
    <x:row r="121" s="51" customFormat="1" ht="15" customHeight="1">
      <x:c r="A121" s="73" t="n">
        <x:v>113</x:v>
      </x:c>
      <x:c r="B121" s="84" t="inlineStr">
        <x:is>
          <x:t xml:space="preserve">Interaction</x:t>
        </x:is>
      </x:c>
      <x:c r="C121" s="84" t="inlineStr">
        <x:is>
          <x:t xml:space="preserve">Action</x:t>
        </x:is>
      </x:c>
      <x:c r="D121" s="84" t="inlineStr">
        <x:is>
          <x:t xml:space="preserve">click closes and logs actionClick reason</x:t>
        </x:is>
      </x:c>
      <x:c r="E121" s="76" t="inlineStr">
        <x:is>
          <x:t xml:space="preserve">yes</x:t>
        </x:is>
      </x:c>
      <x:c r="F121" s="85" t="inlineStr">
        <x:is>
          <x:t xml:space="preserve">yes</x:t>
        </x:is>
      </x:c>
      <x:c r="G121" s="73" t="inlineStr">
        <x:is>
          <x:t xml:space="preserve">passed manual test</x:t>
        </x:is>
      </x:c>
      <x:c r="H121" s="86" t="inlineStr">
        <x:is>
          <x:t xml:space="preserve">covered</x:t>
        </x:is>
      </x:c>
      <x:c r="I121" s="84" t="inlineStr">
        <x:is>
          <x:t xml:space="preserve">Action click closed and log included closed by actionClick.</x:t>
        </x:is>
      </x:c>
      <x:c r="J121" s="84" t="n"/>
      <x:c r="K121" s="87" t="n">
        <x:f>IF(AND(E121="yes",F121="yes",H121="covered"),1,IF(H121="partial",0.5,0))</x:f>
        <x:v>1</x:v>
      </x:c>
    </x:row>
    <x:row r="122" s="51" customFormat="1" ht="30" customHeight="1">
      <x:c r="A122" s="73" t="n">
        <x:v>114</x:v>
      </x:c>
      <x:c r="B122" s="84" t="inlineStr">
        <x:is>
          <x:t xml:space="preserve">Interaction</x:t>
        </x:is>
      </x:c>
      <x:c r="C122" s="84" t="inlineStr">
        <x:is>
          <x:t xml:space="preserve">Action</x:t>
        </x:is>
      </x:c>
      <x:c r="D122" s="84" t="inlineStr">
        <x:is>
          <x:t xml:space="preserve">preventDefault handler blocks close when Block action close is enabled</x:t>
        </x:is>
      </x:c>
      <x:c r="E122" s="76" t="inlineStr">
        <x:is>
          <x:t xml:space="preserve">yes</x:t>
        </x:is>
      </x:c>
      <x:c r="F122" s="85" t="inlineStr">
        <x:is>
          <x:t xml:space="preserve">yes</x:t>
        </x:is>
      </x:c>
      <x:c r="G122" s="73" t="inlineStr">
        <x:is>
          <x:t xml:space="preserve">passed manual test</x:t>
        </x:is>
      </x:c>
      <x:c r="H122" s="86" t="inlineStr">
        <x:is>
          <x:t xml:space="preserve">covered</x:t>
        </x:is>
      </x:c>
      <x:c r="I122" s="84" t="inlineStr">
        <x:is>
          <x:t xml:space="preserve">Block action close kept dialog open and logged blocked action text.</x:t>
        </x:is>
      </x:c>
      <x:c r="J122" s="84" t="n"/>
      <x:c r="K122" s="87" t="n">
        <x:f>IF(AND(E122="yes",F122="yes",H122="covered"),1,IF(H122="partial",0.5,0))</x:f>
        <x:v>1</x:v>
      </x:c>
    </x:row>
    <x:row r="123" s="51" customFormat="1" ht="30" customHeight="1">
      <x:c r="A123" s="73" t="n">
        <x:v>115</x:v>
      </x:c>
      <x:c r="B123" s="84" t="inlineStr">
        <x:is>
          <x:t xml:space="preserve">Source</x:t>
        </x:is>
      </x:c>
      <x:c r="C123" s="84" t="inlineStr">
        <x:is>
          <x:t xml:space="preserve">AlertDialog</x:t>
        </x:is>
      </x:c>
      <x:c r="D123" s="84" t="inlineStr">
        <x:is>
          <x:t xml:space="preserve">default Source omits false/default props</x:t>
        </x:is>
      </x:c>
      <x:c r="E123" s="76" t="inlineStr">
        <x:is>
          <x:t xml:space="preserve">yes</x:t>
        </x:is>
      </x:c>
      <x:c r="F123" s="85" t="inlineStr">
        <x:is>
          <x:t xml:space="preserve">yes</x:t>
        </x:is>
      </x:c>
      <x:c r="G123" s="73" t="inlineStr">
        <x:is>
          <x:t xml:space="preserve">passed manual test</x:t>
        </x:is>
      </x:c>
      <x:c r="H123" s="86" t="inlineStr">
        <x:is>
          <x:t xml:space="preserve">covered</x:t>
        </x:is>
      </x:c>
      <x:c r="I123" s="84" t="inlineStr">
        <x:is>
          <x:t xml:space="preserve">Source omitted disabled={false}, keepMounted={false}, and default false booleans.</x:t>
        </x:is>
      </x:c>
      <x:c r="J123" s="84" t="n"/>
      <x:c r="K123" s="87" t="n">
        <x:f>IF(AND(E123="yes",F123="yes",H123="covered"),1,IF(H123="partial",0.5,0))</x:f>
        <x:v>1</x:v>
      </x:c>
    </x:row>
    <x:row r="124" s="51" customFormat="1" ht="15" customHeight="1">
      <x:c r="A124" s="73" t="n">
        <x:v>116</x:v>
      </x:c>
      <x:c r="B124" s="84" t="inlineStr">
        <x:is>
          <x:t xml:space="preserve">Source</x:t>
        </x:is>
      </x:c>
      <x:c r="C124" s="84" t="inlineStr">
        <x:is>
          <x:t xml:space="preserve">Root</x:t>
        </x:is>
      </x:c>
      <x:c r="D124" s="84" t="inlineStr">
        <x:is>
          <x:t xml:space="preserve">controlled mode Source shows open={open}</x:t>
        </x:is>
      </x:c>
      <x:c r="E124" s="76" t="inlineStr">
        <x:is>
          <x:t xml:space="preserve">yes</x:t>
        </x:is>
      </x:c>
      <x:c r="F124" s="85" t="inlineStr">
        <x:is>
          <x:t xml:space="preserve">yes</x:t>
        </x:is>
      </x:c>
      <x:c r="G124" s="73" t="inlineStr">
        <x:is>
          <x:t xml:space="preserve">passed manual test</x:t>
        </x:is>
      </x:c>
      <x:c r="H124" s="86" t="inlineStr">
        <x:is>
          <x:t xml:space="preserve">covered</x:t>
        </x:is>
      </x:c>
      <x:c r="I124" s="84" t="inlineStr">
        <x:is>
          <x:t xml:space="preserve">Source verified controlled open prop appears only in controlled mode.</x:t>
        </x:is>
      </x:c>
      <x:c r="J124" s="84" t="n"/>
      <x:c r="K124" s="87" t="n">
        <x:f>IF(AND(E124="yes",F124="yes",H124="covered"),1,IF(H124="partial",0.5,0))</x:f>
        <x:v>1</x:v>
      </x:c>
    </x:row>
    <x:row r="125" s="51" customFormat="1" ht="30" customHeight="1">
      <x:c r="A125" s="73" t="n">
        <x:v>117</x:v>
      </x:c>
      <x:c r="B125" s="84" t="inlineStr">
        <x:is>
          <x:t xml:space="preserve">Source</x:t>
        </x:is>
      </x:c>
      <x:c r="C125" s="84" t="inlineStr">
        <x:is>
          <x:t xml:space="preserve">Root</x:t>
        </x:is>
      </x:c>
      <x:c r="D125" s="84" t="inlineStr">
        <x:is>
          <x:t xml:space="preserve">disabled, keepMounted, and closeOnEscape={false} appear only when active</x:t>
        </x:is>
      </x:c>
      <x:c r="E125" s="76" t="inlineStr">
        <x:is>
          <x:t xml:space="preserve">yes</x:t>
        </x:is>
      </x:c>
      <x:c r="F125" s="85" t="inlineStr">
        <x:is>
          <x:t xml:space="preserve">yes</x:t>
        </x:is>
      </x:c>
      <x:c r="G125" s="73" t="inlineStr">
        <x:is>
          <x:t xml:space="preserve">passed manual test</x:t>
        </x:is>
      </x:c>
      <x:c r="H125" s="86" t="inlineStr">
        <x:is>
          <x:t xml:space="preserve">covered</x:t>
        </x:is>
      </x:c>
      <x:c r="I125" s="84" t="inlineStr">
        <x:is>
          <x:t xml:space="preserve">Tester-first AlertDialog manual checklist.</x:t>
        </x:is>
      </x:c>
      <x:c r="J125" s="84" t="n"/>
      <x:c r="K125" s="87" t="n">
        <x:f>IF(AND(E125="yes",F125="yes",H125="covered"),1,IF(H125="partial",0.5,0))</x:f>
        <x:v>1</x:v>
      </x:c>
    </x:row>
    <x:row r="126" s="51" customFormat="1" ht="15" customHeight="1">
      <x:c r="A126" s="73" t="n">
        <x:v>118</x:v>
      </x:c>
      <x:c r="B126" s="84" t="inlineStr">
        <x:is>
          <x:t xml:space="preserve">Source</x:t>
        </x:is>
      </x:c>
      <x:c r="C126" s="84" t="inlineStr">
        <x:is>
          <x:t xml:space="preserve">Portal</x:t>
        </x:is>
      </x:c>
      <x:c r="D126" s="84" t="inlineStr">
        <x:is>
          <x:t xml:space="preserve">disabled portal Source shows &lt;AlertDialog.Portal disabled&gt;</x:t>
        </x:is>
      </x:c>
      <x:c r="E126" s="76" t="inlineStr">
        <x:is>
          <x:t xml:space="preserve">yes</x:t>
        </x:is>
      </x:c>
      <x:c r="F126" s="85" t="inlineStr">
        <x:is>
          <x:t xml:space="preserve">yes</x:t>
        </x:is>
      </x:c>
      <x:c r="G126" s="73" t="inlineStr">
        <x:is>
          <x:t xml:space="preserve">passed manual test</x:t>
        </x:is>
      </x:c>
      <x:c r="H126" s="86" t="inlineStr">
        <x:is>
          <x:t xml:space="preserve">covered</x:t>
        </x:is>
      </x:c>
      <x:c r="I126" s="84" t="inlineStr">
        <x:is>
          <x:t xml:space="preserve">Tester-first AlertDialog manual checklist.</x:t>
        </x:is>
      </x:c>
      <x:c r="J126" s="84" t="n"/>
      <x:c r="K126" s="87" t="n">
        <x:f>IF(AND(E126="yes",F126="yes",H126="covered"),1,IF(H126="partial",0.5,0))</x:f>
        <x:v>1</x:v>
      </x:c>
    </x:row>
    <x:row r="127" s="51" customFormat="1" ht="30" customHeight="1">
      <x:c r="A127" s="73" t="n">
        <x:v>119</x:v>
      </x:c>
      <x:c r="B127" s="84" t="inlineStr">
        <x:is>
          <x:t xml:space="preserve">Source</x:t>
        </x:is>
      </x:c>
      <x:c r="C127" s="84" t="inlineStr">
        <x:is>
          <x:t xml:space="preserve">Overlay</x:t>
        </x:is>
      </x:c>
      <x:c r="D127" s="84" t="inlineStr">
        <x:is>
          <x:t xml:space="preserve">disabled overlay Source shows disabled on AlertDialog.Overlay</x:t>
        </x:is>
      </x:c>
      <x:c r="E127" s="76" t="inlineStr">
        <x:is>
          <x:t xml:space="preserve">yes</x:t>
        </x:is>
      </x:c>
      <x:c r="F127" s="85" t="inlineStr">
        <x:is>
          <x:t xml:space="preserve">yes</x:t>
        </x:is>
      </x:c>
      <x:c r="G127" s="73" t="inlineStr">
        <x:is>
          <x:t xml:space="preserve">passed manual test</x:t>
        </x:is>
      </x:c>
      <x:c r="H127" s="86" t="inlineStr">
        <x:is>
          <x:t xml:space="preserve">covered</x:t>
        </x:is>
      </x:c>
      <x:c r="I127" s="84" t="inlineStr">
        <x:is>
          <x:t xml:space="preserve">Tester-first AlertDialog manual checklist.</x:t>
        </x:is>
      </x:c>
      <x:c r="J127" s="84" t="n"/>
      <x:c r="K127" s="87" t="n">
        <x:f>IF(AND(E127="yes",F127="yes",H127="covered"),1,IF(H127="partial",0.5,0))</x:f>
        <x:v>1</x:v>
      </x:c>
    </x:row>
    <x:row r="128" s="51" customFormat="1" ht="30" customHeight="1">
      <x:c r="A128" s="73" t="n">
        <x:v>120</x:v>
      </x:c>
      <x:c r="B128" s="84" t="inlineStr">
        <x:is>
          <x:t xml:space="preserve">Source</x:t>
        </x:is>
      </x:c>
      <x:c r="C128" s="84" t="inlineStr">
        <x:is>
          <x:t xml:space="preserve">Content</x:t>
        </x:is>
      </x:c>
      <x:c r="D128" s="84" t="inlineStr">
        <x:is>
          <x:t xml:space="preserve">ariaLabel Source omits Title and shows ariaLabel="Delete project confirmation"</x:t>
        </x:is>
      </x:c>
      <x:c r="E128" s="76" t="inlineStr">
        <x:is>
          <x:t xml:space="preserve">yes</x:t>
        </x:is>
      </x:c>
      <x:c r="F128" s="85" t="inlineStr">
        <x:is>
          <x:t xml:space="preserve">yes</x:t>
        </x:is>
      </x:c>
      <x:c r="G128" s="73" t="inlineStr">
        <x:is>
          <x:t xml:space="preserve">passed manual test</x:t>
        </x:is>
      </x:c>
      <x:c r="H128" s="86" t="inlineStr">
        <x:is>
          <x:t xml:space="preserve">covered</x:t>
        </x:is>
      </x:c>
      <x:c r="I128" s="84" t="inlineStr">
        <x:is>
          <x:t xml:space="preserve">Tester-first AlertDialog manual checklist.</x:t>
        </x:is>
      </x:c>
      <x:c r="J128" s="84" t="n"/>
      <x:c r="K128" s="87" t="n">
        <x:f>IF(AND(E128="yes",F128="yes",H128="covered"),1,IF(H128="partial",0.5,0))</x:f>
        <x:v>1</x:v>
      </x:c>
    </x:row>
    <x:row r="129" s="51" customFormat="1" ht="15" customHeight="1">
      <x:c r="A129" s="73" t="n">
        <x:v>121</x:v>
      </x:c>
      <x:c r="B129" s="84" t="inlineStr">
        <x:is>
          <x:t xml:space="preserve">Source</x:t>
        </x:is>
      </x:c>
      <x:c r="C129" s="84" t="inlineStr">
        <x:is>
          <x:t xml:space="preserve">Title</x:t>
        </x:is>
      </x:c>
      <x:c r="D129" s="84" t="inlineStr">
        <x:is>
          <x:t xml:space="preserve">heading Source shows selected as="h1" through as="h6"</x:t>
        </x:is>
      </x:c>
      <x:c r="E129" s="76" t="inlineStr">
        <x:is>
          <x:t xml:space="preserve">yes</x:t>
        </x:is>
      </x:c>
      <x:c r="F129" s="85" t="inlineStr">
        <x:is>
          <x:t xml:space="preserve">yes</x:t>
        </x:is>
      </x:c>
      <x:c r="G129" s="73" t="inlineStr">
        <x:is>
          <x:t xml:space="preserve">passed manual test</x:t>
        </x:is>
      </x:c>
      <x:c r="H129" s="86" t="inlineStr">
        <x:is>
          <x:t xml:space="preserve">covered</x:t>
        </x:is>
      </x:c>
      <x:c r="I129" s="84" t="inlineStr">
        <x:is>
          <x:t xml:space="preserve">Tester-first AlertDialog manual checklist.</x:t>
        </x:is>
      </x:c>
      <x:c r="J129" s="84" t="n"/>
      <x:c r="K129" s="87" t="n">
        <x:f>IF(AND(E129="yes",F129="yes",H129="covered"),1,IF(H129="partial",0.5,0))</x:f>
        <x:v>1</x:v>
      </x:c>
    </x:row>
    <x:row r="130" s="51" customFormat="1" ht="30" customHeight="1">
      <x:c r="A130" s="73" t="n">
        <x:v>122</x:v>
      </x:c>
      <x:c r="B130" s="84" t="inlineStr">
        <x:is>
          <x:t xml:space="preserve">Source</x:t>
        </x:is>
      </x:c>
      <x:c r="C130" s="84" t="inlineStr">
        <x:is>
          <x:t xml:space="preserve">Props</x:t>
        </x:is>
      </x:c>
      <x:c r="D130" s="84" t="inlineStr">
        <x:is>
          <x:t xml:space="preserve">Prop Check Source shows exact data-prop-check values for rendered parts</x:t>
        </x:is>
      </x:c>
      <x:c r="E130" s="76" t="inlineStr">
        <x:is>
          <x:t xml:space="preserve">yes</x:t>
        </x:is>
      </x:c>
      <x:c r="F130" s="85" t="inlineStr">
        <x:is>
          <x:t xml:space="preserve">yes</x:t>
        </x:is>
      </x:c>
      <x:c r="G130" s="73" t="inlineStr">
        <x:is>
          <x:t xml:space="preserve">passed manual test</x:t>
        </x:is>
      </x:c>
      <x:c r="H130" s="86" t="inlineStr">
        <x:is>
          <x:t xml:space="preserve">covered</x:t>
        </x:is>
      </x:c>
      <x:c r="I130" s="84" t="inlineStr">
        <x:is>
          <x:t xml:space="preserve">Tester-first AlertDialog manual checklist.</x:t>
        </x:is>
      </x:c>
      <x:c r="J130" s="84" t="n"/>
      <x:c r="K130" s="87" t="n">
        <x:f>IF(AND(E130="yes",F130="yes",H130="covered"),1,IF(H130="partial",0.5,0))</x:f>
        <x:v>1</x:v>
      </x:c>
    </x:row>
    <x:row r="131" s="51" customFormat="1" ht="30" customHeight="1">
      <x:c r="A131" s="73" t="n">
        <x:v>123</x:v>
      </x:c>
      <x:c r="B131" s="84" t="inlineStr">
        <x:is>
          <x:t xml:space="preserve">Source</x:t>
        </x:is>
      </x:c>
      <x:c r="C131" s="84" t="inlineStr">
        <x:is>
          <x:t xml:space="preserve">Slots</x:t>
        </x:is>
      </x:c>
      <x:c r="D131" s="84" t="inlineStr">
        <x:is>
          <x:t xml:space="preserve">custom slot Source shows exact custom data-slot values for rendered parts</x:t>
        </x:is>
      </x:c>
      <x:c r="E131" s="76" t="inlineStr">
        <x:is>
          <x:t xml:space="preserve">yes</x:t>
        </x:is>
      </x:c>
      <x:c r="F131" s="85" t="inlineStr">
        <x:is>
          <x:t xml:space="preserve">yes</x:t>
        </x:is>
      </x:c>
      <x:c r="G131" s="73" t="inlineStr">
        <x:is>
          <x:t xml:space="preserve">passed manual test</x:t>
        </x:is>
      </x:c>
      <x:c r="H131" s="86" t="inlineStr">
        <x:is>
          <x:t xml:space="preserve">covered</x:t>
        </x:is>
      </x:c>
      <x:c r="I131" s="84" t="inlineStr">
        <x:is>
          <x:t xml:space="preserve">Tester-first AlertDialog manual checklist.</x:t>
        </x:is>
      </x:c>
      <x:c r="J131" s="84" t="n"/>
      <x:c r="K131" s="87" t="n">
        <x:f>IF(AND(E131="yes",F131="yes",H131="covered"),1,IF(H131="partial",0.5,0))</x:f>
        <x:v>1</x:v>
      </x:c>
    </x:row>
    <x:row r="132" s="51" customFormat="1" ht="30" customHeight="1">
      <x:c r="A132" s="73" t="n">
        <x:v>124</x:v>
      </x:c>
      <x:c r="B132" s="84" t="inlineStr">
        <x:is>
          <x:t xml:space="preserve">Source</x:t>
        </x:is>
      </x:c>
      <x:c r="C132" s="84" t="inlineStr">
        <x:is>
          <x:t xml:space="preserve">Composition</x:t>
        </x:is>
      </x:c>
      <x:c r="D132" s="84" t="inlineStr">
        <x:is>
          <x:t xml:space="preserve">render composition Source uses render={(props) =&gt; &lt;button {...props} /&gt;} for Trigger, Cancel, and Action</x:t>
        </x:is>
      </x:c>
      <x:c r="E132" s="76" t="inlineStr">
        <x:is>
          <x:t xml:space="preserve">yes</x:t>
        </x:is>
      </x:c>
      <x:c r="F132" s="85" t="inlineStr">
        <x:is>
          <x:t xml:space="preserve">yes</x:t>
        </x:is>
      </x:c>
      <x:c r="G132" s="73" t="inlineStr">
        <x:is>
          <x:t xml:space="preserve">passed manual test</x:t>
        </x:is>
      </x:c>
      <x:c r="H132" s="86" t="inlineStr">
        <x:is>
          <x:t xml:space="preserve">covered</x:t>
        </x:is>
      </x:c>
      <x:c r="I132" s="84" t="inlineStr">
        <x:is>
          <x:t xml:space="preserve">Tester-first AlertDialog manual checklist.</x:t>
        </x:is>
      </x:c>
      <x:c r="J132" s="84" t="n"/>
      <x:c r="K132" s="87" t="n">
        <x:f>IF(AND(E132="yes",F132="yes",H132="covered"),1,IF(H132="partial",0.5,0))</x:f>
        <x:v>1</x:v>
      </x:c>
    </x:row>
    <x:row r="133" s="51" customFormat="1" ht="30" customHeight="1">
      <x:c r="A133" s="73" t="n">
        <x:v>125</x:v>
      </x:c>
      <x:c r="B133" s="84" t="inlineStr">
        <x:is>
          <x:t xml:space="preserve">Source</x:t>
        </x:is>
      </x:c>
      <x:c r="C133" s="84" t="inlineStr">
        <x:is>
          <x:t xml:space="preserve">Dismiss</x:t>
        </x:is>
      </x:c>
      <x:c r="D133" s="84" t="inlineStr">
        <x:is>
          <x:t xml:space="preserve">blocked event Source shows preventDefault handlers for Trigger, Cancel, and Action</x:t>
        </x:is>
      </x:c>
      <x:c r="E133" s="76" t="inlineStr">
        <x:is>
          <x:t xml:space="preserve">yes</x:t>
        </x:is>
      </x:c>
      <x:c r="F133" s="85" t="inlineStr">
        <x:is>
          <x:t xml:space="preserve">yes</x:t>
        </x:is>
      </x:c>
      <x:c r="G133" s="73" t="inlineStr">
        <x:is>
          <x:t xml:space="preserve">passed manual test</x:t>
        </x:is>
      </x:c>
      <x:c r="H133" s="86" t="inlineStr">
        <x:is>
          <x:t xml:space="preserve">covered</x:t>
        </x:is>
      </x:c>
      <x:c r="I133" s="84" t="inlineStr">
        <x:is>
          <x:t xml:space="preserve">Tester-first AlertDialog manual checklist.</x:t>
        </x:is>
      </x:c>
      <x:c r="J133" s="84" t="n"/>
      <x:c r="K133" s="87" t="n">
        <x:f>IF(AND(E133="yes",F133="yes",H133="covered"),1,IF(H133="partial",0.5,0))</x:f>
        <x:v>1</x:v>
      </x:c>
    </x:row>
    <x:row r="134" s="51" customFormat="1" ht="30" customHeight="1">
      <x:c r="A134" s="73" t="n">
        <x:v>126</x:v>
      </x:c>
      <x:c r="B134" s="84" t="inlineStr">
        <x:is>
          <x:t xml:space="preserve">Source</x:t>
        </x:is>
      </x:c>
      <x:c r="C134" s="84" t="inlineStr">
        <x:is>
          <x:t xml:space="preserve">Nested Select</x:t>
        </x:is>
      </x:c>
      <x:c r="D134" s="84" t="inlineStr">
        <x:is>
          <x:t xml:space="preserve">nested Select Source includes Select.Root, Trigger, Content, Viewport, Item, and ItemText</x:t>
        </x:is>
      </x:c>
      <x:c r="E134" s="76" t="inlineStr">
        <x:is>
          <x:t xml:space="preserve">yes</x:t>
        </x:is>
      </x:c>
      <x:c r="F134" s="85" t="inlineStr">
        <x:is>
          <x:t xml:space="preserve">yes</x:t>
        </x:is>
      </x:c>
      <x:c r="G134" s="73" t="inlineStr">
        <x:is>
          <x:t xml:space="preserve">passed manual test</x:t>
        </x:is>
      </x:c>
      <x:c r="H134" s="86" t="inlineStr">
        <x:is>
          <x:t xml:space="preserve">covered</x:t>
        </x:is>
      </x:c>
      <x:c r="I134" s="84" t="inlineStr">
        <x:is>
          <x:t xml:space="preserve">Tester-first AlertDialog manual checklist.</x:t>
        </x:is>
      </x:c>
      <x:c r="J134" s="84" t="n"/>
      <x:c r="K134" s="87" t="n">
        <x:f>IF(AND(E134="yes",F134="yes",H134="covered"),1,IF(H134="partial",0.5,0))</x:f>
        <x:v>1</x:v>
      </x:c>
    </x:row>
    <x:row r="135" s="51" customFormat="1" ht="30" customHeight="1">
      <x:c r="A135" s="73" t="n">
        <x:v>127</x:v>
      </x:c>
      <x:c r="B135" s="84" t="inlineStr">
        <x:is>
          <x:t xml:space="preserve">Inspector</x:t>
        </x:is>
      </x:c>
      <x:c r="C135" s="84" t="inlineStr">
        <x:is>
          <x:t xml:space="preserve">Selected</x:t>
        </x:is>
      </x:c>
      <x:c r="D135" s="84" t="inlineStr">
        <x:is>
          <x:t xml:space="preserve">clicking rendered parts updates Selected raw Attributes, ARIA, and Data</x:t>
        </x:is>
      </x:c>
      <x:c r="E135" s="76" t="inlineStr">
        <x:is>
          <x:t xml:space="preserve">yes</x:t>
        </x:is>
      </x:c>
      <x:c r="F135" s="85" t="inlineStr">
        <x:is>
          <x:t xml:space="preserve">yes</x:t>
        </x:is>
      </x:c>
      <x:c r="G135" s="73" t="inlineStr">
        <x:is>
          <x:t xml:space="preserve">passed manual test</x:t>
        </x:is>
      </x:c>
      <x:c r="H135" s="86" t="inlineStr">
        <x:is>
          <x:t xml:space="preserve">covered</x:t>
        </x:is>
      </x:c>
      <x:c r="I135" s="84" t="inlineStr">
        <x:is>
          <x:t xml:space="preserve">Tester-first AlertDialog manual checklist.</x:t>
        </x:is>
      </x:c>
      <x:c r="J135" s="84" t="n"/>
      <x:c r="K135" s="87" t="n">
        <x:f>IF(AND(E135="yes",F135="yes",H135="covered"),1,IF(H135="partial",0.5,0))</x:f>
        <x:v>1</x:v>
      </x:c>
    </x:row>
    <x:row r="136" s="51" customFormat="1" ht="30" customHeight="1">
      <x:c r="A136" s="73" t="n">
        <x:v>128</x:v>
      </x:c>
      <x:c r="B136" s="84" t="inlineStr">
        <x:is>
          <x:t xml:space="preserve">Inspector</x:t>
        </x:is>
      </x:c>
      <x:c r="C136" s="84" t="inlineStr">
        <x:is>
          <x:t xml:space="preserve">Focused</x:t>
        </x:is>
      </x:c>
      <x:c r="D136" s="84" t="inlineStr">
        <x:is>
          <x:t xml:space="preserve">focusing controls updates Focused raw Attributes, ARIA, and Data</x:t>
        </x:is>
      </x:c>
      <x:c r="E136" s="76" t="inlineStr">
        <x:is>
          <x:t xml:space="preserve">yes</x:t>
        </x:is>
      </x:c>
      <x:c r="F136" s="85" t="inlineStr">
        <x:is>
          <x:t xml:space="preserve">yes</x:t>
        </x:is>
      </x:c>
      <x:c r="G136" s="73" t="inlineStr">
        <x:is>
          <x:t xml:space="preserve">passed manual test</x:t>
        </x:is>
      </x:c>
      <x:c r="H136" s="86" t="inlineStr">
        <x:is>
          <x:t xml:space="preserve">covered</x:t>
        </x:is>
      </x:c>
      <x:c r="I136" s="84" t="inlineStr">
        <x:is>
          <x:t xml:space="preserve">Tester-first AlertDialog manual checklist.</x:t>
        </x:is>
      </x:c>
      <x:c r="J136" s="84" t="n"/>
      <x:c r="K136" s="87" t="n">
        <x:f>IF(AND(E136="yes",F136="yes",H136="covered"),1,IF(H136="partial",0.5,0))</x:f>
        <x:v>1</x:v>
      </x:c>
    </x:row>
    <x:row r="137" s="51" customFormat="1" ht="30" customHeight="1">
      <x:c r="A137" s="73" t="n">
        <x:v>129</x:v>
      </x:c>
      <x:c r="B137" s="84" t="inlineStr">
        <x:is>
          <x:t xml:space="preserve">Logs</x:t>
        </x:is>
      </x:c>
      <x:c r="C137" s="84" t="inlineStr">
        <x:is>
          <x:t xml:space="preserve">AlertDialog</x:t>
        </x:is>
      </x:c>
      <x:c r="D137" s="84" t="inlineStr">
        <x:is>
          <x:t xml:space="preserve">logs record trigger click/key, overlay, cancel, action, blocked events, and controlled open/close</x:t>
        </x:is>
      </x:c>
      <x:c r="E137" s="76" t="inlineStr">
        <x:is>
          <x:t xml:space="preserve">yes</x:t>
        </x:is>
      </x:c>
      <x:c r="F137" s="85" t="inlineStr">
        <x:is>
          <x:t xml:space="preserve">yes</x:t>
        </x:is>
      </x:c>
      <x:c r="G137" s="73" t="inlineStr">
        <x:is>
          <x:t xml:space="preserve">passed manual test</x:t>
        </x:is>
      </x:c>
      <x:c r="H137" s="86" t="inlineStr">
        <x:is>
          <x:t xml:space="preserve">covered</x:t>
        </x:is>
      </x:c>
      <x:c r="I137" s="84" t="inlineStr">
        <x:is>
          <x:t xml:space="preserve">Tester-first AlertDialog manual checklist.</x:t>
        </x:is>
      </x:c>
      <x:c r="J137" s="84" t="n"/>
      <x:c r="K137" s="87" t="n">
        <x:f>IF(AND(E137="yes",F137="yes",H137="covered"),1,IF(H137="partial",0.5,0))</x:f>
        <x:v>1</x:v>
      </x:c>
    </x:row>
    <x:row r="138" s="51" customFormat="1" ht="15" customHeight="1">
      <x:c r="A138" s="73" t="n">
        <x:v>130</x:v>
      </x:c>
      <x:c r="B138" s="84" t="inlineStr">
        <x:is>
          <x:t xml:space="preserve">Logs</x:t>
        </x:is>
      </x:c>
      <x:c r="C138" s="84" t="inlineStr">
        <x:is>
          <x:t xml:space="preserve">AlertDialog</x:t>
        </x:is>
      </x:c>
      <x:c r="D138" s="84" t="inlineStr">
        <x:is>
          <x:t xml:space="preserve">logs persist after AlertDialog closes</x:t>
        </x:is>
      </x:c>
      <x:c r="E138" s="76" t="inlineStr">
        <x:is>
          <x:t xml:space="preserve">yes</x:t>
        </x:is>
      </x:c>
      <x:c r="F138" s="85" t="inlineStr">
        <x:is>
          <x:t xml:space="preserve">yes</x:t>
        </x:is>
      </x:c>
      <x:c r="G138" s="73" t="inlineStr">
        <x:is>
          <x:t xml:space="preserve">passed manual test</x:t>
        </x:is>
      </x:c>
      <x:c r="H138" s="86" t="inlineStr">
        <x:is>
          <x:t xml:space="preserve">covered</x:t>
        </x:is>
      </x:c>
      <x:c r="I138" s="84" t="inlineStr">
        <x:is>
          <x:t xml:space="preserve">Tester-first AlertDialog manual checklist.</x:t>
        </x:is>
      </x:c>
      <x:c r="J138" s="84" t="n"/>
      <x:c r="K138" s="87" t="n">
        <x:f>IF(AND(E138="yes",F138="yes",H138="covered"),1,IF(H138="partial",0.5,0))</x:f>
        <x:v>1</x:v>
      </x:c>
    </x:row>
    <x:row r="139" s="51" customFormat="1" ht="15" customHeight="1">
      <x:c r="A139" s="73" t="n">
        <x:v>131</x:v>
      </x:c>
      <x:c r="B139" s="84" t="inlineStr">
        <x:is>
          <x:t xml:space="preserve">Logs</x:t>
        </x:is>
      </x:c>
      <x:c r="C139" s="84" t="inlineStr">
        <x:is>
          <x:t xml:space="preserve">AlertDialog</x:t>
        </x:is>
      </x:c>
      <x:c r="D139" s="84" t="inlineStr">
        <x:is>
          <x:t xml:space="preserve">logs use compact timestamp rows</x:t>
        </x:is>
      </x:c>
      <x:c r="E139" s="76" t="inlineStr">
        <x:is>
          <x:t xml:space="preserve">yes</x:t>
        </x:is>
      </x:c>
      <x:c r="F139" s="85" t="inlineStr">
        <x:is>
          <x:t xml:space="preserve">yes</x:t>
        </x:is>
      </x:c>
      <x:c r="G139" s="73" t="inlineStr">
        <x:is>
          <x:t xml:space="preserve">passed manual test</x:t>
        </x:is>
      </x:c>
      <x:c r="H139" s="86" t="inlineStr">
        <x:is>
          <x:t xml:space="preserve">covered</x:t>
        </x:is>
      </x:c>
      <x:c r="I139" s="84" t="inlineStr">
        <x:is>
          <x:t xml:space="preserve">Tester-first AlertDialog manual checklist.</x:t>
        </x:is>
      </x:c>
      <x:c r="J139" s="84" t="n"/>
      <x:c r="K139" s="87" t="n">
        <x:f>IF(AND(E139="yes",F139="yes",H139="covered"),1,IF(H139="partial",0.5,0))</x:f>
        <x:v>1</x:v>
      </x:c>
    </x:row>
    <x:row r="140" s="51" customFormat="1" ht="30" customHeight="1">
      <x:c r="A140" s="73" t="n">
        <x:v>132</x:v>
      </x:c>
      <x:c r="B140" s="84" t="inlineStr">
        <x:is>
          <x:t xml:space="preserve">Portal</x:t>
        </x:is>
      </x:c>
      <x:c r="C140" s="84" t="inlineStr">
        <x:is>
          <x:t xml:space="preserve">AlertDialog</x:t>
        </x:is>
      </x:c>
      <x:c r="D140" s="84" t="inlineStr">
        <x:is>
          <x:t xml:space="preserve">default portal path and disabled portal path are both manually verified</x:t>
        </x:is>
      </x:c>
      <x:c r="E140" s="76" t="inlineStr">
        <x:is>
          <x:t xml:space="preserve">yes</x:t>
        </x:is>
      </x:c>
      <x:c r="F140" s="85" t="inlineStr">
        <x:is>
          <x:t xml:space="preserve">yes</x:t>
        </x:is>
      </x:c>
      <x:c r="G140" s="73" t="inlineStr">
        <x:is>
          <x:t xml:space="preserve">passed manual test</x:t>
        </x:is>
      </x:c>
      <x:c r="H140" s="86" t="inlineStr">
        <x:is>
          <x:t xml:space="preserve">covered</x:t>
        </x:is>
      </x:c>
      <x:c r="I140" s="84" t="inlineStr">
        <x:is>
          <x:t xml:space="preserve">Tester-first AlertDialog manual checklist.</x:t>
        </x:is>
      </x:c>
      <x:c r="J140" s="84" t="n"/>
      <x:c r="K140" s="87" t="n">
        <x:f>IF(AND(E140="yes",F140="yes",H140="covered"),1,IF(H140="partial",0.5,0))</x:f>
        <x:v>1</x:v>
      </x:c>
    </x:row>
    <x:row r="141" s="51" customFormat="1" ht="15" customHeight="1">
      <x:c r="A141" s="73" t="n">
        <x:v>133</x:v>
      </x:c>
      <x:c r="B141" s="84" t="inlineStr">
        <x:is>
          <x:t xml:space="preserve">Nesting</x:t>
        </x:is>
      </x:c>
      <x:c r="C141" s="84" t="inlineStr">
        <x:is>
          <x:t xml:space="preserve">AlertDialog</x:t>
        </x:is>
      </x:c>
      <x:c r="D141" s="84" t="inlineStr">
        <x:is>
          <x:t xml:space="preserve">Nested Select remains within AlertDialog layer stack</x:t>
        </x:is>
      </x:c>
      <x:c r="E141" s="76" t="inlineStr">
        <x:is>
          <x:t xml:space="preserve">yes</x:t>
        </x:is>
      </x:c>
      <x:c r="F141" s="85" t="inlineStr">
        <x:is>
          <x:t xml:space="preserve">yes</x:t>
        </x:is>
      </x:c>
      <x:c r="G141" s="73" t="inlineStr">
        <x:is>
          <x:t xml:space="preserve">passed manual test</x:t>
        </x:is>
      </x:c>
      <x:c r="H141" s="86" t="inlineStr">
        <x:is>
          <x:t xml:space="preserve">covered</x:t>
        </x:is>
      </x:c>
      <x:c r="I141" s="84" t="inlineStr">
        <x:is>
          <x:t xml:space="preserve">Tester-first AlertDialog manual checklist.</x:t>
        </x:is>
      </x:c>
      <x:c r="J141" s="84" t="n"/>
      <x:c r="K141" s="87" t="n">
        <x:f>IF(AND(E141="yes",F141="yes",H141="covered"),1,IF(H141="partial",0.5,0))</x:f>
        <x:v>1</x:v>
      </x:c>
    </x:row>
    <x:row r="142" s="51" customFormat="1" ht="15" customHeight="1">
      <x:c r="A142" s="73" t="n">
        <x:v>134</x:v>
      </x:c>
      <x:c r="B142" s="84" t="inlineStr">
        <x:is>
          <x:t xml:space="preserve">Dismiss</x:t>
        </x:is>
      </x:c>
      <x:c r="C142" s="84" t="inlineStr">
        <x:is>
          <x:t xml:space="preserve">AlertDialog</x:t>
        </x:is>
      </x:c>
      <x:c r="D142" s="84" t="inlineStr">
        <x:is>
          <x:t xml:space="preserve">Escape closes Nested Select before parent AlertDialog</x:t>
        </x:is>
      </x:c>
      <x:c r="E142" s="76" t="inlineStr">
        <x:is>
          <x:t xml:space="preserve">yes</x:t>
        </x:is>
      </x:c>
      <x:c r="F142" s="85" t="inlineStr">
        <x:is>
          <x:t xml:space="preserve">yes</x:t>
        </x:is>
      </x:c>
      <x:c r="G142" s="73" t="inlineStr">
        <x:is>
          <x:t xml:space="preserve">passed manual test</x:t>
        </x:is>
      </x:c>
      <x:c r="H142" s="86" t="inlineStr">
        <x:is>
          <x:t xml:space="preserve">covered</x:t>
        </x:is>
      </x:c>
      <x:c r="I142" s="84" t="inlineStr">
        <x:is>
          <x:t xml:space="preserve">Tester-first AlertDialog manual checklist.</x:t>
        </x:is>
      </x:c>
      <x:c r="J142" s="84" t="n"/>
      <x:c r="K142" s="87" t="n">
        <x:f>IF(AND(E142="yes",F142="yes",H142="covered"),1,IF(H142="partial",0.5,0))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AppBar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68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manual-tests/app-bar.md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manual-tests/app-bar.md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AppBar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manual-tests/app-bar.md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AppBar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manual-tests/app-bar.md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AppBar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manual-tests/app-bar.md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AppBar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manual-tests/app-bar.md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AppBar</x:t>
        </x:is>
      </x:c>
      <x:c r="D15" s="84" t="inlineStr">
        <x:is>
          <x:t xml:space="preserve">Renders a native `header` root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manual-tests/app-bar.md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AppBar</x:t>
        </x:is>
      </x:c>
      <x:c r="D16" s="84" t="inlineStr">
        <x:is>
          <x:t xml:space="preserve">Provides toolbar, start, center, and end structural slots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manual-tests/app-bar.md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AppBar</x:t>
        </x:is>
      </x:c>
      <x:c r="D17" s="84" t="inlineStr">
        <x:is>
          <x:t xml:space="preserve">Exposes root position and toolbar density through data attributes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manual-tests/app-bar.md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AppBar</x:t>
        </x:is>
      </x:c>
      <x:c r="D18" s="84" t="inlineStr">
        <x:is>
          <x:t xml:space="preserve">Does not add ARIA toolbar behavior unless consumers compose a real `Toolbar`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manual-tests/app-bar.md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AppBar</x:t>
        </x:is>
      </x:c>
      <x:c r="D19" s="84" t="inlineStr">
        <x:is>
          <x:t xml:space="preserve">Supports `asChild` and `render` on every part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manual-tests/app-bar.md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manual-tests/app-bar.md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manual-tests/app-bar.md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manual-tests/app-bar.md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manual-tests/app-bar.md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manual-tests/app-bar.md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manual-tests/app-bar.md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Composition</x:t>
        </x:is>
      </x:c>
      <x:c r="C26" s="84" t="inlineStr">
        <x:is>
          <x:t xml:space="preserve">Root</x:t>
        </x:is>
      </x:c>
      <x:c r="D26" s="84" t="inlineStr">
        <x:is>
          <x:t xml:space="preserve">asChild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manual-tests/app-bar.md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Composition</x:t>
        </x:is>
      </x:c>
      <x:c r="C27" s="84" t="inlineStr">
        <x:is>
          <x:t xml:space="preserve">Root</x:t>
        </x:is>
      </x:c>
      <x:c r="D27" s="84" t="inlineStr">
        <x:is>
          <x:t xml:space="preserve">render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manual-tests/app-bar.md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Public API</x:t>
        </x:is>
      </x:c>
      <x:c r="C28" s="84" t="inlineStr">
        <x:is>
          <x:t xml:space="preserve">Root</x:t>
        </x:is>
      </x:c>
      <x:c r="D28" s="84" t="inlineStr">
        <x:is>
          <x:t xml:space="preserve">position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manual-tests/app-bar.md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[data-slot]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manual-tests/app-bar.md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[data-position]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manual-tests/app-bar.md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Anatomy</x:t>
        </x:is>
      </x:c>
      <x:c r="C31" s="84" t="inlineStr">
        <x:is>
          <x:t xml:space="preserve">Center</x:t>
        </x:is>
      </x:c>
      <x:c r="D31" s="84" t="inlineStr">
        <x:is>
          <x:t xml:space="preserve">renders correct part when expected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manual-tests/app-bar.md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Anatomy</x:t>
        </x:is>
      </x:c>
      <x:c r="C32" s="84" t="inlineStr">
        <x:is>
          <x:t xml:space="preserve">Center</x:t>
        </x:is>
      </x:c>
      <x:c r="D32" s="84" t="inlineStr">
        <x:is>
          <x:t xml:space="preserve">appears in documented order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manual-tests/app-bar.md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30" customHeight="1">
      <x:c r="A33" s="73" t="n">
        <x:v>25</x:v>
      </x:c>
      <x:c r="B33" s="84" t="inlineStr">
        <x:is>
          <x:t xml:space="preserve">Identity</x:t>
        </x:is>
      </x:c>
      <x:c r="C33" s="84" t="inlineStr">
        <x:is>
          <x:t xml:space="preserve">Center</x:t>
        </x:is>
      </x:c>
      <x:c r="D33" s="84" t="inlineStr">
        <x:is>
          <x:t xml:space="preserve">default tag is visible in Anatomy/Inspector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manual-tests/app-bar.md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Identity</x:t>
        </x:is>
      </x:c>
      <x:c r="C34" s="84" t="inlineStr">
        <x:is>
          <x:t xml:space="preserve">Center</x:t>
        </x:is>
      </x:c>
      <x:c r="D34" s="84" t="inlineStr">
        <x:is>
          <x:t xml:space="preserve">data-slot is present and correct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manual-tests/app-bar.md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Props</x:t>
        </x:is>
      </x:c>
      <x:c r="C35" s="84" t="inlineStr">
        <x:is>
          <x:t xml:space="preserve">Center</x:t>
        </x:is>
      </x:c>
      <x:c r="D35" s="84" t="inlineStr">
        <x:is>
          <x:t xml:space="preserve">non-Atom native props pass through with data-prop-check marker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manual-tests/app-bar.md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Refs</x:t>
        </x:is>
      </x:c>
      <x:c r="C36" s="84" t="inlineStr">
        <x:is>
          <x:t xml:space="preserve">Center</x:t>
        </x:is>
      </x:c>
      <x:c r="D36" s="84" t="inlineStr">
        <x:is>
          <x:t xml:space="preserve">consumer ref receives the rendered element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manual-tests/app-bar.md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Composition</x:t>
        </x:is>
      </x:c>
      <x:c r="C37" s="84" t="inlineStr">
        <x:is>
          <x:t xml:space="preserve">Center</x:t>
        </x:is>
      </x:c>
      <x:c r="D37" s="84" t="inlineStr">
        <x:is>
          <x:t xml:space="preserve">asChild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manual-tests/app-bar.md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Composition</x:t>
        </x:is>
      </x:c>
      <x:c r="C38" s="84" t="inlineStr">
        <x:is>
          <x:t xml:space="preserve">Center</x:t>
        </x:is>
      </x:c>
      <x:c r="D38" s="84" t="inlineStr">
        <x:is>
          <x:t xml:space="preserve">render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manual-tests/app-bar.md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30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Center</x:t>
        </x:is>
      </x:c>
      <x:c r="D39" s="84" t="inlineStr">
        <x:is>
          <x:t xml:space="preserve">[data-slot]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manual-tests/app-bar.md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Anatomy</x:t>
        </x:is>
      </x:c>
      <x:c r="C40" s="84" t="inlineStr">
        <x:is>
          <x:t xml:space="preserve">End</x:t>
        </x:is>
      </x:c>
      <x:c r="D40" s="84" t="inlineStr">
        <x:is>
          <x:t xml:space="preserve">renders correct part when expected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manual-tests/app-bar.md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Anatomy</x:t>
        </x:is>
      </x:c>
      <x:c r="C41" s="84" t="inlineStr">
        <x:is>
          <x:t xml:space="preserve">End</x:t>
        </x:is>
      </x:c>
      <x:c r="D41" s="84" t="inlineStr">
        <x:is>
          <x:t xml:space="preserve">appears in documented order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manual-tests/app-bar.md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Identity</x:t>
        </x:is>
      </x:c>
      <x:c r="C42" s="84" t="inlineStr">
        <x:is>
          <x:t xml:space="preserve">End</x:t>
        </x:is>
      </x:c>
      <x:c r="D42" s="84" t="inlineStr">
        <x:is>
          <x:t xml:space="preserve">default tag is visible in Anatomy/Inspector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manual-tests/app-bar.md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Identity</x:t>
        </x:is>
      </x:c>
      <x:c r="C43" s="84" t="inlineStr">
        <x:is>
          <x:t xml:space="preserve">End</x:t>
        </x:is>
      </x:c>
      <x:c r="D43" s="84" t="inlineStr">
        <x:is>
          <x:t xml:space="preserve">data-slot is present and correct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manual-tests/app-bar.md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Props</x:t>
        </x:is>
      </x:c>
      <x:c r="C44" s="84" t="inlineStr">
        <x:is>
          <x:t xml:space="preserve">End</x:t>
        </x:is>
      </x:c>
      <x:c r="D44" s="84" t="inlineStr">
        <x:is>
          <x:t xml:space="preserve">non-Atom native props pass through with data-prop-check marker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manual-tests/app-bar.md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30" customHeight="1">
      <x:c r="A45" s="73" t="n">
        <x:v>37</x:v>
      </x:c>
      <x:c r="B45" s="84" t="inlineStr">
        <x:is>
          <x:t xml:space="preserve">Refs</x:t>
        </x:is>
      </x:c>
      <x:c r="C45" s="84" t="inlineStr">
        <x:is>
          <x:t xml:space="preserve">End</x:t>
        </x:is>
      </x:c>
      <x:c r="D45" s="84" t="inlineStr">
        <x:is>
          <x:t xml:space="preserve">consumer ref receives the rendered element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manual-tests/app-bar.md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Composition</x:t>
        </x:is>
      </x:c>
      <x:c r="C46" s="84" t="inlineStr">
        <x:is>
          <x:t xml:space="preserve">End</x:t>
        </x:is>
      </x:c>
      <x:c r="D46" s="84" t="inlineStr">
        <x:is>
          <x:t xml:space="preserve">asChild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manual-tests/app-bar.md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Composition</x:t>
        </x:is>
      </x:c>
      <x:c r="C47" s="84" t="inlineStr">
        <x:is>
          <x:t xml:space="preserve">End</x:t>
        </x:is>
      </x:c>
      <x:c r="D47" s="84" t="inlineStr">
        <x:is>
          <x:t xml:space="preserve">render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manual-tests/app-bar.md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Public API</x:t>
        </x:is>
      </x:c>
      <x:c r="C48" s="84" t="inlineStr">
        <x:is>
          <x:t xml:space="preserve">End</x:t>
        </x:is>
      </x:c>
      <x:c r="D48" s="84" t="inlineStr">
        <x:is>
          <x:t xml:space="preserve">[data-slot]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manual-tests/app-bar.md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Anatomy</x:t>
        </x:is>
      </x:c>
      <x:c r="C49" s="84" t="inlineStr">
        <x:is>
          <x:t xml:space="preserve">Start</x:t>
        </x:is>
      </x:c>
      <x:c r="D49" s="84" t="inlineStr">
        <x:is>
          <x:t xml:space="preserve">renders correct part when expected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manual-tests/app-bar.md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Anatomy</x:t>
        </x:is>
      </x:c>
      <x:c r="C50" s="84" t="inlineStr">
        <x:is>
          <x:t xml:space="preserve">Start</x:t>
        </x:is>
      </x:c>
      <x:c r="D50" s="84" t="inlineStr">
        <x:is>
          <x:t xml:space="preserve">appears in documented order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manual-tests/app-bar.md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Identity</x:t>
        </x:is>
      </x:c>
      <x:c r="C51" s="84" t="inlineStr">
        <x:is>
          <x:t xml:space="preserve">Start</x:t>
        </x:is>
      </x:c>
      <x:c r="D51" s="84" t="inlineStr">
        <x:is>
          <x:t xml:space="preserve">default tag is visible in Anatomy/Inspector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manual-tests/app-bar.md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Identity</x:t>
        </x:is>
      </x:c>
      <x:c r="C52" s="84" t="inlineStr">
        <x:is>
          <x:t xml:space="preserve">Start</x:t>
        </x:is>
      </x:c>
      <x:c r="D52" s="84" t="inlineStr">
        <x:is>
          <x:t xml:space="preserve">data-slot is present and correct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manual-tests/app-bar.md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Props</x:t>
        </x:is>
      </x:c>
      <x:c r="C53" s="84" t="inlineStr">
        <x:is>
          <x:t xml:space="preserve">Start</x:t>
        </x:is>
      </x:c>
      <x:c r="D53" s="84" t="inlineStr">
        <x:is>
          <x:t xml:space="preserve">non-Atom native props pass through with data-prop-check marker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manual-tests/app-bar.md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30" customHeight="1">
      <x:c r="A54" s="73" t="n">
        <x:v>46</x:v>
      </x:c>
      <x:c r="B54" s="84" t="inlineStr">
        <x:is>
          <x:t xml:space="preserve">Refs</x:t>
        </x:is>
      </x:c>
      <x:c r="C54" s="84" t="inlineStr">
        <x:is>
          <x:t xml:space="preserve">Start</x:t>
        </x:is>
      </x:c>
      <x:c r="D54" s="84" t="inlineStr">
        <x:is>
          <x:t xml:space="preserve">consumer ref receives the rendered element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manual-tests/app-bar.md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Composition</x:t>
        </x:is>
      </x:c>
      <x:c r="C55" s="84" t="inlineStr">
        <x:is>
          <x:t xml:space="preserve">Start</x:t>
        </x:is>
      </x:c>
      <x:c r="D55" s="84" t="inlineStr">
        <x:is>
          <x:t xml:space="preserve">asChild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manual-tests/app-bar.md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Composition</x:t>
        </x:is>
      </x:c>
      <x:c r="C56" s="84" t="inlineStr">
        <x:is>
          <x:t xml:space="preserve">Start</x:t>
        </x:is>
      </x:c>
      <x:c r="D56" s="84" t="inlineStr">
        <x:is>
          <x:t xml:space="preserve">render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manual-tests/app-bar.md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Public API</x:t>
        </x:is>
      </x:c>
      <x:c r="C57" s="84" t="inlineStr">
        <x:is>
          <x:t xml:space="preserve">Start</x:t>
        </x:is>
      </x:c>
      <x:c r="D57" s="84" t="inlineStr">
        <x:is>
          <x:t xml:space="preserve">[data-slot]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manual-tests/app-bar.md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Anatomy</x:t>
        </x:is>
      </x:c>
      <x:c r="C58" s="84" t="inlineStr">
        <x:is>
          <x:t xml:space="preserve">Toolbar</x:t>
        </x:is>
      </x:c>
      <x:c r="D58" s="84" t="inlineStr">
        <x:is>
          <x:t xml:space="preserve">renders correct part when expected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manual-tests/app-bar.md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Toolbar</x:t>
        </x:is>
      </x:c>
      <x:c r="D59" s="84" t="inlineStr">
        <x:is>
          <x:t xml:space="preserve">appears in documented order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manual-tests/app-bar.md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Identity</x:t>
        </x:is>
      </x:c>
      <x:c r="C60" s="84" t="inlineStr">
        <x:is>
          <x:t xml:space="preserve">Toolbar</x:t>
        </x:is>
      </x:c>
      <x:c r="D60" s="84" t="inlineStr">
        <x:is>
          <x:t xml:space="preserve">default tag is visible in Anatomy/Inspector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manual-tests/app-bar.md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Toolbar</x:t>
        </x:is>
      </x:c>
      <x:c r="D61" s="84" t="inlineStr">
        <x:is>
          <x:t xml:space="preserve">data-slot is present and correct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manual-tests/app-bar.md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Props</x:t>
        </x:is>
      </x:c>
      <x:c r="C62" s="84" t="inlineStr">
        <x:is>
          <x:t xml:space="preserve">Toolbar</x:t>
        </x:is>
      </x:c>
      <x:c r="D62" s="84" t="inlineStr">
        <x:is>
          <x:t xml:space="preserve">non-Atom native props pass through with data-prop-check marker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manual-tests/app-bar.md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30" customHeight="1">
      <x:c r="A63" s="73" t="n">
        <x:v>55</x:v>
      </x:c>
      <x:c r="B63" s="84" t="inlineStr">
        <x:is>
          <x:t xml:space="preserve">Refs</x:t>
        </x:is>
      </x:c>
      <x:c r="C63" s="84" t="inlineStr">
        <x:is>
          <x:t xml:space="preserve">Toolbar</x:t>
        </x:is>
      </x:c>
      <x:c r="D63" s="84" t="inlineStr">
        <x:is>
          <x:t xml:space="preserve">consumer ref receives the rendered element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manual-tests/app-bar.md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Composition</x:t>
        </x:is>
      </x:c>
      <x:c r="C64" s="84" t="inlineStr">
        <x:is>
          <x:t xml:space="preserve">Toolbar</x:t>
        </x:is>
      </x:c>
      <x:c r="D64" s="84" t="inlineStr">
        <x:is>
          <x:t xml:space="preserve">asChild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manual-tests/app-bar.md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Composition</x:t>
        </x:is>
      </x:c>
      <x:c r="C65" s="84" t="inlineStr">
        <x:is>
          <x:t xml:space="preserve">Toolbar</x:t>
        </x:is>
      </x:c>
      <x:c r="D65" s="84" t="inlineStr">
        <x:is>
          <x:t xml:space="preserve">render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manual-tests/app-bar.md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Public API</x:t>
        </x:is>
      </x:c>
      <x:c r="C66" s="84" t="inlineStr">
        <x:is>
          <x:t xml:space="preserve">Toolbar</x:t>
        </x:is>
      </x:c>
      <x:c r="D66" s="84" t="inlineStr">
        <x:is>
          <x:t xml:space="preserve">density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manual-tests/app-bar.md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Toolbar</x:t>
        </x:is>
      </x:c>
      <x:c r="D67" s="84" t="inlineStr">
        <x:is>
          <x:t xml:space="preserve">[data-slot]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manual-tests/app-bar.md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Public API</x:t>
        </x:is>
      </x:c>
      <x:c r="C68" s="84" t="inlineStr">
        <x:is>
          <x:t xml:space="preserve">Toolbar</x:t>
        </x:is>
      </x:c>
      <x:c r="D68" s="84" t="inlineStr">
        <x:is>
          <x:t xml:space="preserve">[data-density]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manual-tests/app-bar.md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30" customHeight="1">
      <x:c r="A69" s="73" t="n">
        <x:v>61</x:v>
      </x:c>
      <x:c r="B69" s="84" t="inlineStr">
        <x:is>
          <x:t xml:space="preserve">ARIA</x:t>
        </x:is>
      </x:c>
      <x:c r="C69" s="84" t="inlineStr">
        <x:is>
          <x:t xml:space="preserve">Live DOM</x:t>
        </x:is>
      </x:c>
      <x:c r="D69" s="84" t="inlineStr">
        <x:is>
          <x:t xml:space="preserve">aria-label is present at the correct time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manual-tests/app-bar.md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Data</x:t>
        </x:is>
      </x:c>
      <x:c r="C70" s="84" t="inlineStr">
        <x:is>
          <x:t xml:space="preserve">Live DOM</x:t>
        </x:is>
      </x:c>
      <x:c r="D70" s="84" t="inlineStr">
        <x:is>
          <x:t xml:space="preserve">data-density is present at the correct time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manual-tests/app-bar.md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Data</x:t>
        </x:is>
      </x:c>
      <x:c r="C71" s="84" t="inlineStr">
        <x:is>
          <x:t xml:space="preserve">Live DOM</x:t>
        </x:is>
      </x:c>
      <x:c r="D71" s="84" t="inlineStr">
        <x:is>
          <x:t xml:space="preserve">data-position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manual-tests/app-bar.md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Data</x:t>
        </x:is>
      </x:c>
      <x:c r="C72" s="84" t="inlineStr">
        <x:is>
          <x:t xml:space="preserve">Live DOM</x:t>
        </x:is>
      </x:c>
      <x:c r="D72" s="84" t="inlineStr">
        <x:is>
          <x:t xml:space="preserve">data-slot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manual-tests/app-bar.md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Composition</x:t>
        </x:is>
      </x:c>
      <x:c r="C73" s="84" t="inlineStr">
        <x:is>
          <x:t xml:space="preserve">AppBar</x:t>
        </x:is>
      </x:c>
      <x:c r="D73" s="84" t="inlineStr">
        <x:is>
          <x:t xml:space="preserve">asChild preserves child content without double nesting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manual-tests/app-bar.md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Composition</x:t>
        </x:is>
      </x:c>
      <x:c r="C74" s="84" t="inlineStr">
        <x:is>
          <x:t xml:space="preserve">AppBar</x:t>
        </x:is>
      </x:c>
      <x:c r="D74" s="84" t="inlineStr">
        <x:is>
          <x:t xml:space="preserve">asChild merges Atom props and consumer props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manual-tests/app-bar.md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Composition</x:t>
        </x:is>
      </x:c>
      <x:c r="C75" s="84" t="inlineStr">
        <x:is>
          <x:t xml:space="preserve">AppBar</x:t>
        </x:is>
      </x:c>
      <x:c r="D75" s="84" t="inlineStr">
        <x:is>
          <x:t xml:space="preserve">render prop renders custom element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manual-tests/app-bar.md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Composition</x:t>
        </x:is>
      </x:c>
      <x:c r="C76" s="84" t="inlineStr">
        <x:is>
          <x:t xml:space="preserve">AppBar</x:t>
        </x:is>
      </x:c>
      <x:c r="D76" s="84" t="inlineStr">
        <x:is>
          <x:t xml:space="preserve">render prop preserves refs and behavior props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manual-tests/app-bar.md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/>
    <x:row r="78" s="51" customFormat="1" ht="30" customHeight="1"/>
    <x:row r="79" s="51" customFormat="1" ht="15" customHeight="1"/>
    <x:row r="80" s="51" customFormat="1" ht="15" customHeight="1"/>
    <x:row r="81" s="51" customFormat="1" ht="15" customHeight="1"/>
    <x:row r="82" s="51" customFormat="1" ht="15" customHeight="1"/>
    <x:row r="83" s="51" customFormat="1" ht="15" customHeight="1"/>
    <x:row r="84" s="51" customFormat="1" ht="15" customHeight="1"/>
    <x:row r="85" s="51" customFormat="1" ht="15" customHeight="1"/>
    <x:row r="86" s="51" customFormat="1" ht="15" customHeight="1"/>
    <x:row r="87" s="51" customFormat="1" ht="15" customHeight="1"/>
    <x:row r="88" s="51" customFormat="1" ht="15" customHeight="1"/>
    <x:row r="89" s="51" customFormat="1" ht="15" customHeight="1"/>
    <x:row r="90" s="51" customFormat="1" ht="15" customHeight="1"/>
    <x:row r="91" s="51" customFormat="1" ht="30" customHeight="1"/>
    <x:row r="92" s="51" customFormat="1" ht="15" customHeight="1"/>
    <x:row r="93" s="51" customFormat="1" ht="15" customHeight="1"/>
    <x:row r="94" s="51" customFormat="1" ht="15" customHeight="1"/>
    <x:row r="95" s="51" customFormat="1" ht="1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AspectRatio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28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AspectRatio props manual verification.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AspectRatio props manual verification.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89" t="n">
        <x:v>3</x:v>
      </x:c>
      <x:c r="B11" s="90" t="inlineStr">
        <x:is>
          <x:t xml:space="preserve">Playground</x:t>
        </x:is>
      </x:c>
      <x:c r="C11" s="90" t="inlineStr">
        <x:is>
          <x:t xml:space="preserve">AspectRatio</x:t>
        </x:is>
      </x:c>
      <x:c r="D11" s="90" t="inlineStr">
        <x:is>
          <x:t xml:space="preserve">scenario is reachable from top menu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Aspect Ratio playground scenario.</x:t>
        </x:is>
      </x:c>
      <x:c r="J11" s="90" t="n"/>
      <x:c r="K11" s="91" t="n">
        <x:f>IF(H11="covered",1,IF(H11="partial",0.5,0))</x:f>
        <x:v>1</x:v>
      </x:c>
    </x:row>
    <x:row r="12" s="51" customFormat="1" ht="15" customHeight="1">
      <x:c r="A12" s="89" t="n">
        <x:v>4</x:v>
      </x:c>
      <x:c r="B12" s="90" t="inlineStr">
        <x:is>
          <x:t xml:space="preserve">Playground</x:t>
        </x:is>
      </x:c>
      <x:c r="C12" s="90" t="inlineStr">
        <x:is>
          <x:t xml:space="preserve">AspectRatio</x:t>
        </x:is>
      </x:c>
      <x:c r="D12" s="90" t="inlineStr">
        <x:is>
          <x:t xml:space="preserve">canvas source reflects current toggles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Aspect Ratio playground scenario.</x:t>
        </x:is>
      </x:c>
      <x:c r="J12" s="90" t="n"/>
      <x:c r="K12" s="91" t="n">
        <x:f>IF(H12="covered",1,IF(H12="partial",0.5,0))</x:f>
        <x:v>1</x:v>
      </x:c>
    </x:row>
    <x:row r="13" s="51" customFormat="1" ht="15" customHeight="1">
      <x:c r="A13" s="89" t="n">
        <x:v>5</x:v>
      </x:c>
      <x:c r="B13" s="90" t="inlineStr">
        <x:is>
          <x:t xml:space="preserve">Playground</x:t>
        </x:is>
      </x:c>
      <x:c r="C13" s="90" t="inlineStr">
        <x:is>
          <x:t xml:space="preserve">AspectRatio</x:t>
        </x:is>
      </x:c>
      <x:c r="D13" s="90" t="inlineStr">
        <x:is>
          <x:t xml:space="preserve">anatomy uses live DOM attributes, ARIA, and data groups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Aspect Ratio playground scenario.</x:t>
        </x:is>
      </x:c>
      <x:c r="J13" s="90" t="n"/>
      <x:c r="K13" s="91" t="n">
        <x:f>IF(H13="covered",1,IF(H13="partial",0.5,0))</x:f>
        <x:v>1</x:v>
      </x:c>
    </x:row>
    <x:row r="14" s="51" customFormat="1" ht="15" customHeight="1">
      <x:c r="A14" s="89" t="n">
        <x:v>6</x:v>
      </x:c>
      <x:c r="B14" s="90" t="inlineStr">
        <x:is>
          <x:t xml:space="preserve">Playground</x:t>
        </x:is>
      </x:c>
      <x:c r="C14" s="90" t="inlineStr">
        <x:is>
          <x:t xml:space="preserve">AspectRatio</x:t>
        </x:is>
      </x:c>
      <x:c r="D14" s="90" t="inlineStr">
        <x:is>
          <x:t xml:space="preserve">inspector selected/focused/logs work for this scenario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Aspect Ratio playground scenario.</x:t>
        </x:is>
      </x:c>
      <x:c r="J14" s="90" t="n"/>
      <x:c r="K14" s="91" t="n">
        <x:f>IF(H14="covered",1,IF(H14="partial",0.5,0))</x:f>
        <x:v>1</x:v>
      </x:c>
    </x:row>
    <x:row r="15" s="51" customFormat="1" ht="30" customHeight="1">
      <x:c r="A15" s="89" t="n">
        <x:v>7</x:v>
      </x:c>
      <x:c r="B15" s="90" t="inlineStr">
        <x:is>
          <x:t xml:space="preserve">Feature</x:t>
        </x:is>
      </x:c>
      <x:c r="C15" s="90" t="inlineStr">
        <x:is>
          <x:t xml:space="preserve">AspectRatio</x:t>
        </x:is>
      </x:c>
      <x:c r="D15" s="90" t="inlineStr">
        <x:is>
          <x:t xml:space="preserve">Applies an authoritative `aspect-ratio` inline style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Aspect Ratio playground scenario.</x:t>
        </x:is>
      </x:c>
      <x:c r="J15" s="90" t="n"/>
      <x:c r="K15" s="91" t="n">
        <x:f>IF(H15="covered",1,IF(H15="partial",0.5,0))</x:f>
        <x:v>1</x:v>
      </x:c>
    </x:row>
    <x:row r="16" s="51" customFormat="1" ht="15" customHeight="1">
      <x:c r="A16" s="89" t="n">
        <x:v>8</x:v>
      </x:c>
      <x:c r="B16" s="90" t="inlineStr">
        <x:is>
          <x:t xml:space="preserve">Feature</x:t>
        </x:is>
      </x:c>
      <x:c r="C16" s="90" t="inlineStr">
        <x:is>
          <x:t xml:space="preserve">AspectRatio</x:t>
        </x:is>
      </x:c>
      <x:c r="D16" s="90" t="inlineStr">
        <x:is>
          <x:t xml:space="preserve">Normalizes invalid ratios back to `16 / 9`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Aspect Ratio playground scenario.</x:t>
        </x:is>
      </x:c>
      <x:c r="J16" s="90" t="n"/>
      <x:c r="K16" s="91" t="n">
        <x:f>IF(H16="covered",1,IF(H16="partial",0.5,0))</x:f>
        <x:v>1</x:v>
      </x:c>
    </x:row>
    <x:row r="17" s="51" customFormat="1" ht="15" customHeight="1">
      <x:c r="A17" s="89" t="n">
        <x:v>9</x:v>
      </x:c>
      <x:c r="B17" s="90" t="inlineStr">
        <x:is>
          <x:t xml:space="preserve">Feature</x:t>
        </x:is>
      </x:c>
      <x:c r="C17" s="90" t="inlineStr">
        <x:is>
          <x:t xml:space="preserve">AspectRatio</x:t>
        </x:is>
      </x:c>
      <x:c r="D17" s="90" t="inlineStr">
        <x:is>
          <x:t xml:space="preserve">Preserves native DOM props and consumer styles outside the owned ratio style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Aspect Ratio playground scenario.</x:t>
        </x:is>
      </x:c>
      <x:c r="J17" s="90" t="n"/>
      <x:c r="K17" s="91" t="n">
        <x:f>IF(H17="covered",1,IF(H17="partial",0.5,0))</x:f>
        <x:v>1</x:v>
      </x:c>
    </x:row>
    <x:row r="18" s="51" customFormat="1" ht="15" customHeight="1">
      <x:c r="A18" s="89" t="n">
        <x:v>10</x:v>
      </x:c>
      <x:c r="B18" s="90" t="inlineStr">
        <x:is>
          <x:t xml:space="preserve">Feature</x:t>
        </x:is>
      </x:c>
      <x:c r="C18" s="90" t="inlineStr">
        <x:is>
          <x:t xml:space="preserve">AspectRatio</x:t>
        </x:is>
      </x:c>
      <x:c r="D18" s="90" t="inlineStr">
        <x:is>
          <x:t xml:space="preserve">Supports `asChild` and `render`</x:t>
        </x:is>
      </x:c>
      <x:c r="E18" s="89" t="inlineStr">
        <x:is>
          <x:t xml:space="preserve">yes</x:t>
        </x:is>
      </x:c>
      <x:c r="F18" s="89" t="inlineStr">
        <x:is>
          <x:t xml:space="preserve">yes</x:t>
        </x:is>
      </x:c>
      <x:c r="G18" s="89" t="inlineStr">
        <x:is>
          <x:t xml:space="preserve">passed</x:t>
        </x:is>
      </x:c>
      <x:c r="H18" s="89" t="inlineStr">
        <x:is>
          <x:t xml:space="preserve">covered</x:t>
        </x:is>
      </x:c>
      <x:c r="I18" s="90" t="inlineStr">
        <x:is>
          <x:t xml:space="preserve">Aspect Ratio playground scenario.</x:t>
        </x:is>
      </x:c>
      <x:c r="J18" s="90" t="n"/>
      <x:c r="K18" s="91" t="n">
        <x:f>IF(H18="covered",1,IF(H18="partial",0.5,0))</x:f>
        <x:v>1</x:v>
      </x:c>
    </x:row>
    <x:row r="19" s="51" customFormat="1" ht="15" customHeight="1">
      <x:c r="A19" s="89" t="n">
        <x:v>11</x:v>
      </x:c>
      <x:c r="B19" s="90" t="inlineStr">
        <x:is>
          <x:t xml:space="preserve">Anatomy</x:t>
        </x:is>
      </x:c>
      <x:c r="C19" s="90" t="inlineStr">
        <x:is>
          <x:t xml:space="preserve">Root</x:t>
        </x:is>
      </x:c>
      <x:c r="D19" s="90" t="inlineStr">
        <x:is>
          <x:t xml:space="preserve">renders correct part when expected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Aspect Ratio playground scenario.</x:t>
        </x:is>
      </x:c>
      <x:c r="J19" s="90" t="n"/>
      <x:c r="K19" s="91" t="n">
        <x:f>IF(H19="covered",1,IF(H19="partial",0.5,0))</x:f>
        <x:v>1</x:v>
      </x:c>
    </x:row>
    <x:row r="20" s="51" customFormat="1" ht="15" customHeight="1">
      <x:c r="A20" s="89" t="n">
        <x:v>12</x:v>
      </x:c>
      <x:c r="B20" s="90" t="inlineStr">
        <x:is>
          <x:t xml:space="preserve">Anatomy</x:t>
        </x:is>
      </x:c>
      <x:c r="C20" s="90" t="inlineStr">
        <x:is>
          <x:t xml:space="preserve">Root</x:t>
        </x:is>
      </x:c>
      <x:c r="D20" s="90" t="inlineStr">
        <x:is>
          <x:t xml:space="preserve">appears in documented order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Aspect Ratio playground scenario.</x:t>
        </x:is>
      </x:c>
      <x:c r="J20" s="90" t="n"/>
      <x:c r="K20" s="91" t="n">
        <x:f>IF(H20="covered",1,IF(H20="partial",0.5,0))</x:f>
        <x:v>1</x:v>
      </x:c>
    </x:row>
    <x:row r="21" s="51" customFormat="1" ht="30" customHeight="1">
      <x:c r="A21" s="89" t="n">
        <x:v>13</x:v>
      </x:c>
      <x:c r="B21" s="90" t="inlineStr">
        <x:is>
          <x:t xml:space="preserve">Identity</x:t>
        </x:is>
      </x:c>
      <x:c r="C21" s="90" t="inlineStr">
        <x:is>
          <x:t xml:space="preserve">Root</x:t>
        </x:is>
      </x:c>
      <x:c r="D21" s="90" t="inlineStr">
        <x:is>
          <x:t xml:space="preserve">default tag is visible in Anatomy/Inspector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Aspect Ratio playground scenario.</x:t>
        </x:is>
      </x:c>
      <x:c r="J21" s="90" t="n"/>
      <x:c r="K21" s="91" t="n">
        <x:f>IF(H21="covered",1,IF(H21="partial",0.5,0))</x:f>
        <x:v>1</x:v>
      </x:c>
    </x:row>
    <x:row r="22" s="51" customFormat="1" ht="15" customHeight="1">
      <x:c r="A22" s="89" t="n">
        <x:v>14</x:v>
      </x:c>
      <x:c r="B22" s="90" t="inlineStr">
        <x:is>
          <x:t xml:space="preserve">Identity</x:t>
        </x:is>
      </x:c>
      <x:c r="C22" s="90" t="inlineStr">
        <x:is>
          <x:t xml:space="preserve">Root</x:t>
        </x:is>
      </x:c>
      <x:c r="D22" s="90" t="inlineStr">
        <x:is>
          <x:t xml:space="preserve">data-slot is present and correct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Aspect Ratio playground scenario.</x:t>
        </x:is>
      </x:c>
      <x:c r="J22" s="90" t="n"/>
      <x:c r="K22" s="91" t="n">
        <x:f>IF(H22="covered",1,IF(H22="partial",0.5,0))</x:f>
        <x:v>1</x:v>
      </x:c>
    </x:row>
    <x:row r="23" s="51" customFormat="1" ht="15" customHeight="1">
      <x:c r="A23" s="89" t="n">
        <x:v>15</x:v>
      </x:c>
      <x:c r="B23" s="90" t="inlineStr">
        <x:is>
          <x:t xml:space="preserve">Props</x:t>
        </x:is>
      </x:c>
      <x:c r="C23" s="90" t="inlineStr">
        <x:is>
          <x:t xml:space="preserve">Root</x:t>
        </x:is>
      </x:c>
      <x:c r="D23" s="90" t="inlineStr">
        <x:is>
          <x:t xml:space="preserve">non-Atom native props pass through with data-prop-check marker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Aspect Ratio playground scenario.</x:t>
        </x:is>
      </x:c>
      <x:c r="J23" s="90" t="n"/>
      <x:c r="K23" s="91" t="n">
        <x:f>IF(H23="covered",1,IF(H23="partial",0.5,0))</x:f>
        <x:v>1</x:v>
      </x:c>
    </x:row>
    <x:row r="24" s="51" customFormat="1" ht="15" customHeight="1">
      <x:c r="A24" s="89" t="n">
        <x:v>16</x:v>
      </x:c>
      <x:c r="B24" s="90" t="inlineStr">
        <x:is>
          <x:t xml:space="preserve">Refs</x:t>
        </x:is>
      </x:c>
      <x:c r="C24" s="90" t="inlineStr">
        <x:is>
          <x:t xml:space="preserve">Root</x:t>
        </x:is>
      </x:c>
      <x:c r="D24" s="90" t="inlineStr">
        <x:is>
          <x:t xml:space="preserve">consumer ref receives the rendered element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Aspect Ratio playground scenario.</x:t>
        </x:is>
      </x:c>
      <x:c r="J24" s="90" t="n"/>
      <x:c r="K24" s="91" t="n">
        <x:f>IF(H24="covered",1,IF(H24="partial",0.5,0))</x:f>
        <x:v>1</x:v>
      </x:c>
    </x:row>
    <x:row r="25" s="51" customFormat="1" ht="15" customHeight="1">
      <x:c r="A25" s="89" t="n">
        <x:v>17</x:v>
      </x:c>
      <x:c r="B25" s="90" t="inlineStr">
        <x:is>
          <x:t xml:space="preserve">Composition</x:t>
        </x:is>
      </x:c>
      <x:c r="C25" s="90" t="inlineStr">
        <x:is>
          <x:t xml:space="preserve">Root</x:t>
        </x:is>
      </x:c>
      <x:c r="D25" s="90" t="inlineStr">
        <x:is>
          <x:t xml:space="preserve">asChild prop behavior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Aspect Ratio playground scenario.</x:t>
        </x:is>
      </x:c>
      <x:c r="J25" s="90" t="n"/>
      <x:c r="K25" s="91" t="n">
        <x:f>IF(H25="covered",1,IF(H25="partial",0.5,0))</x:f>
        <x:v>1</x:v>
      </x:c>
    </x:row>
    <x:row r="26" s="51" customFormat="1" ht="15" customHeight="1">
      <x:c r="A26" s="89" t="n">
        <x:v>18</x:v>
      </x:c>
      <x:c r="B26" s="90" t="inlineStr">
        <x:is>
          <x:t xml:space="preserve">Composition</x:t>
        </x:is>
      </x:c>
      <x:c r="C26" s="90" t="inlineStr">
        <x:is>
          <x:t xml:space="preserve">Root</x:t>
        </x:is>
      </x:c>
      <x:c r="D26" s="90" t="inlineStr">
        <x:is>
          <x:t xml:space="preserve">render prop behavior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Aspect Ratio playground scenario.</x:t>
        </x:is>
      </x:c>
      <x:c r="J26" s="90" t="n"/>
      <x:c r="K26" s="91" t="n">
        <x:f>IF(H26="covered",1,IF(H26="partial",0.5,0))</x:f>
        <x:v>1</x:v>
      </x:c>
    </x:row>
    <x:row r="27" s="51" customFormat="1" ht="15" customHeight="1">
      <x:c r="A27" s="89" t="n">
        <x:v>19</x:v>
      </x:c>
      <x:c r="B27" s="90" t="inlineStr">
        <x:is>
          <x:t xml:space="preserve">Public API</x:t>
        </x:is>
      </x:c>
      <x:c r="C27" s="90" t="inlineStr">
        <x:is>
          <x:t xml:space="preserve">Root</x:t>
        </x:is>
      </x:c>
      <x:c r="D27" s="90" t="inlineStr">
        <x:is>
          <x:t xml:space="preserve">ratio prop behavior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Aspect Ratio playground scenario.</x:t>
        </x:is>
      </x:c>
      <x:c r="J27" s="90" t="n"/>
      <x:c r="K27" s="91" t="n">
        <x:f>IF(H27="covered",1,IF(H27="partial",0.5,0))</x:f>
        <x:v>1</x:v>
      </x:c>
    </x:row>
    <x:row r="28" s="51" customFormat="1" ht="15" customHeight="1">
      <x:c r="A28" s="89" t="n">
        <x:v>20</x:v>
      </x:c>
      <x:c r="B28" s="90" t="inlineStr">
        <x:is>
          <x:t xml:space="preserve">Public API</x:t>
        </x:is>
      </x:c>
      <x:c r="C28" s="90" t="inlineStr">
        <x:is>
          <x:t xml:space="preserve">Root</x:t>
        </x:is>
      </x:c>
      <x:c r="D28" s="90" t="inlineStr">
        <x:is>
          <x:t xml:space="preserve">[data-slot] prop behavior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Aspect Ratio playground scenario.</x:t>
        </x:is>
      </x:c>
      <x:c r="J28" s="90" t="n"/>
      <x:c r="K28" s="91" t="n">
        <x:f>IF(H28="covered",1,IF(H28="partial",0.5,0))</x:f>
        <x:v>1</x:v>
      </x:c>
    </x:row>
    <x:row r="29" s="51" customFormat="1" ht="15" customHeight="1">
      <x:c r="A29" s="89" t="n">
        <x:v>21</x:v>
      </x:c>
      <x:c r="B29" s="90" t="inlineStr">
        <x:is>
          <x:t xml:space="preserve">Data</x:t>
        </x:is>
      </x:c>
      <x:c r="C29" s="90" t="inlineStr">
        <x:is>
          <x:t xml:space="preserve">Live DOM</x:t>
        </x:is>
      </x:c>
      <x:c r="D29" s="90" t="inlineStr">
        <x:is>
          <x:t xml:space="preserve">data-slot is present at the correct time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Aspect Ratio playground scenario.</x:t>
        </x:is>
      </x:c>
      <x:c r="J29" s="90" t="n"/>
      <x:c r="K29" s="91" t="n">
        <x:f>IF(H29="covered",1,IF(H29="partial",0.5,0))</x:f>
        <x:v>1</x:v>
      </x:c>
    </x:row>
    <x:row r="30" s="51" customFormat="1" ht="30" customHeight="1">
      <x:c r="A30" s="89" t="n">
        <x:v>22</x:v>
      </x:c>
      <x:c r="B30" s="90" t="inlineStr">
        <x:is>
          <x:t xml:space="preserve">Composition</x:t>
        </x:is>
      </x:c>
      <x:c r="C30" s="90" t="inlineStr">
        <x:is>
          <x:t xml:space="preserve">AspectRatio</x:t>
        </x:is>
      </x:c>
      <x:c r="D30" s="90" t="inlineStr">
        <x:is>
          <x:t xml:space="preserve">asChild preserves child content without double nesting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Aspect Ratio playground scenario.</x:t>
        </x:is>
      </x:c>
      <x:c r="J30" s="90" t="n"/>
      <x:c r="K30" s="91" t="n">
        <x:f>IF(H30="covered",1,IF(H30="partial",0.5,0))</x:f>
        <x:v>1</x:v>
      </x:c>
    </x:row>
    <x:row r="31" s="51" customFormat="1" ht="15" customHeight="1">
      <x:c r="A31" s="89" t="n">
        <x:v>23</x:v>
      </x:c>
      <x:c r="B31" s="90" t="inlineStr">
        <x:is>
          <x:t xml:space="preserve">Composition</x:t>
        </x:is>
      </x:c>
      <x:c r="C31" s="90" t="inlineStr">
        <x:is>
          <x:t xml:space="preserve">AspectRatio</x:t>
        </x:is>
      </x:c>
      <x:c r="D31" s="90" t="inlineStr">
        <x:is>
          <x:t xml:space="preserve">asChild merges Atom props and consumer props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Aspect Ratio playground scenario.</x:t>
        </x:is>
      </x:c>
      <x:c r="J31" s="90" t="n"/>
      <x:c r="K31" s="91" t="n">
        <x:f>IF(H31="covered",1,IF(H31="partial",0.5,0))</x:f>
        <x:v>1</x:v>
      </x:c>
    </x:row>
    <x:row r="32" s="51" customFormat="1" ht="15" customHeight="1">
      <x:c r="A32" s="89" t="n">
        <x:v>24</x:v>
      </x:c>
      <x:c r="B32" s="90" t="inlineStr">
        <x:is>
          <x:t xml:space="preserve">Composition</x:t>
        </x:is>
      </x:c>
      <x:c r="C32" s="90" t="inlineStr">
        <x:is>
          <x:t xml:space="preserve">AspectRatio</x:t>
        </x:is>
      </x:c>
      <x:c r="D32" s="90" t="inlineStr">
        <x:is>
          <x:t xml:space="preserve">asChild lets preventDefault block Atom behavior where supported</x:t>
        </x:is>
      </x:c>
      <x:c r="E32" s="89" t="inlineStr">
        <x:is>
          <x:t xml:space="preserve">yes</x:t>
        </x:is>
      </x:c>
      <x:c r="F32" s="89" t="inlineStr">
        <x:is>
          <x:t xml:space="preserve">yes</x:t>
        </x:is>
      </x:c>
      <x:c r="G32" s="89" t="inlineStr">
        <x:is>
          <x:t xml:space="preserve">passed</x:t>
        </x:is>
      </x:c>
      <x:c r="H32" s="89" t="inlineStr">
        <x:is>
          <x:t xml:space="preserve">covered</x:t>
        </x:is>
      </x:c>
      <x:c r="I32" s="90" t="inlineStr">
        <x:is>
          <x:t xml:space="preserve">Aspect Ratio playground scenario.</x:t>
        </x:is>
      </x:c>
      <x:c r="J32" s="90" t="n"/>
      <x:c r="K32" s="91" t="n">
        <x:f>IF(H32="covered",1,IF(H32="partial",0.5,0))</x:f>
        <x:v>1</x:v>
      </x:c>
    </x:row>
    <x:row r="33" s="51" customFormat="1" ht="15" customHeight="1">
      <x:c r="A33" s="89" t="n">
        <x:v>25</x:v>
      </x:c>
      <x:c r="B33" s="90" t="inlineStr">
        <x:is>
          <x:t xml:space="preserve">Composition</x:t>
        </x:is>
      </x:c>
      <x:c r="C33" s="90" t="inlineStr">
        <x:is>
          <x:t xml:space="preserve">AspectRatio</x:t>
        </x:is>
      </x:c>
      <x:c r="D33" s="90" t="inlineStr">
        <x:is>
          <x:t xml:space="preserve">render prop renders custom element</x:t>
        </x:is>
      </x:c>
      <x:c r="E33" s="89" t="inlineStr">
        <x:is>
          <x:t xml:space="preserve">yes</x:t>
        </x:is>
      </x:c>
      <x:c r="F33" s="89" t="inlineStr">
        <x:is>
          <x:t xml:space="preserve">yes</x:t>
        </x:is>
      </x:c>
      <x:c r="G33" s="89" t="inlineStr">
        <x:is>
          <x:t xml:space="preserve">passed</x:t>
        </x:is>
      </x:c>
      <x:c r="H33" s="89" t="inlineStr">
        <x:is>
          <x:t xml:space="preserve">covered</x:t>
        </x:is>
      </x:c>
      <x:c r="I33" s="90" t="inlineStr">
        <x:is>
          <x:t xml:space="preserve">Aspect Ratio playground scenario.</x:t>
        </x:is>
      </x:c>
      <x:c r="J33" s="90" t="n"/>
      <x:c r="K33" s="91" t="n">
        <x:f>IF(H33="covered",1,IF(H33="partial",0.5,0))</x:f>
        <x:v>1</x:v>
      </x:c>
    </x:row>
    <x:row r="34" s="51" customFormat="1" ht="15" customHeight="1">
      <x:c r="A34" s="89" t="n">
        <x:v>26</x:v>
      </x:c>
      <x:c r="B34" s="90" t="inlineStr">
        <x:is>
          <x:t xml:space="preserve">Composition</x:t>
        </x:is>
      </x:c>
      <x:c r="C34" s="90" t="inlineStr">
        <x:is>
          <x:t xml:space="preserve">AspectRatio</x:t>
        </x:is>
      </x:c>
      <x:c r="D34" s="90" t="inlineStr">
        <x:is>
          <x:t xml:space="preserve">render prop preserves refs and behavior props</x:t>
        </x:is>
      </x:c>
      <x:c r="E34" s="89" t="inlineStr">
        <x:is>
          <x:t xml:space="preserve">yes</x:t>
        </x:is>
      </x:c>
      <x:c r="F34" s="89" t="inlineStr">
        <x:is>
          <x:t xml:space="preserve">yes</x:t>
        </x:is>
      </x:c>
      <x:c r="G34" s="89" t="inlineStr">
        <x:is>
          <x:t xml:space="preserve">passed</x:t>
        </x:is>
      </x:c>
      <x:c r="H34" s="89" t="inlineStr">
        <x:is>
          <x:t xml:space="preserve">covered</x:t>
        </x:is>
      </x:c>
      <x:c r="I34" s="90" t="inlineStr">
        <x:is>
          <x:t xml:space="preserve">Aspect Ratio playground scenario.</x:t>
        </x:is>
      </x:c>
      <x:c r="J34" s="90" t="n"/>
      <x:c r="K34" s="91" t="n">
        <x:f>IF(H34="covered",1,IF(H34="partial",0.5,0))</x:f>
        <x:v>1</x:v>
      </x:c>
    </x:row>
    <x:row r="35" s="51" customFormat="1" ht="15" customHeight="1">
      <x:c r="A35" s="89" t="n">
        <x:v>27</x:v>
      </x:c>
      <x:c r="B35" s="90" t="inlineStr">
        <x:is>
          <x:t xml:space="preserve">Utility</x:t>
        </x:is>
      </x:c>
      <x:c r="C35" s="90" t="inlineStr">
        <x:is>
          <x:t xml:space="preserve">AspectRatio</x:t>
        </x:is>
      </x:c>
      <x:c r="D35" s="90" t="inlineStr">
        <x:is>
          <x:t xml:space="preserve">ratio style is calculated correctly</x:t>
        </x:is>
      </x:c>
      <x:c r="E35" s="89" t="inlineStr">
        <x:is>
          <x:t xml:space="preserve">yes</x:t>
        </x:is>
      </x:c>
      <x:c r="F35" s="89" t="inlineStr">
        <x:is>
          <x:t xml:space="preserve">yes</x:t>
        </x:is>
      </x:c>
      <x:c r="G35" s="89" t="inlineStr">
        <x:is>
          <x:t xml:space="preserve">passed</x:t>
        </x:is>
      </x:c>
      <x:c r="H35" s="89" t="inlineStr">
        <x:is>
          <x:t xml:space="preserve">covered</x:t>
        </x:is>
      </x:c>
      <x:c r="I35" s="90" t="inlineStr">
        <x:is>
          <x:t xml:space="preserve">Aspect Ratio playground scenario.</x:t>
        </x:is>
      </x:c>
      <x:c r="J35" s="90" t="n"/>
      <x:c r="K35" s="91" t="n">
        <x:f>IF(H35="covered",1,IF(H35="partial",0.5,0))</x:f>
        <x:v>1</x:v>
      </x:c>
    </x:row>
    <x:row r="36" s="51" customFormat="1" ht="15" customHeight="1">
      <x:c r="A36" s="89" t="n">
        <x:v>28</x:v>
      </x:c>
      <x:c r="B36" s="90" t="inlineStr">
        <x:is>
          <x:t xml:space="preserve">Utility</x:t>
        </x:is>
      </x:c>
      <x:c r="C36" s="90" t="inlineStr">
        <x:is>
          <x:t xml:space="preserve">AspectRatio</x:t>
        </x:is>
      </x:c>
      <x:c r="D36" s="90" t="inlineStr">
        <x:is>
          <x:t xml:space="preserve">invalid ratios normalize safely</x:t>
        </x:is>
      </x:c>
      <x:c r="E36" s="89" t="inlineStr">
        <x:is>
          <x:t xml:space="preserve">yes</x:t>
        </x:is>
      </x:c>
      <x:c r="F36" s="89" t="inlineStr">
        <x:is>
          <x:t xml:space="preserve">yes</x:t>
        </x:is>
      </x:c>
      <x:c r="G36" s="89" t="inlineStr">
        <x:is>
          <x:t xml:space="preserve">passed</x:t>
        </x:is>
      </x:c>
      <x:c r="H36" s="89" t="inlineStr">
        <x:is>
          <x:t xml:space="preserve">covered</x:t>
        </x:is>
      </x:c>
      <x:c r="I36" s="90" t="inlineStr">
        <x:is>
          <x:t xml:space="preserve">Aspect Ratio playground scenario.</x:t>
        </x:is>
      </x:c>
      <x:c r="J36" s="90" t="n"/>
      <x:c r="K36" s="91" t="n">
        <x:f>IF(H36="covered",1,IF(H36="partial",0.5,0))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Avatar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IFERROR(SUM(K9:K66)/COUNTA(A9:A66),0)</x:f>
        <x:v>1</x:v>
      </x:c>
      <x:c r="C4" s="70" t="inlineStr">
        <x:is>
          <x:t xml:space="preserve">Covered</x:t>
        </x:is>
      </x:c>
      <x:c r="D4" s="82" t="n">
        <x:f>COUNTIF(H9:H66,"covered")</x:f>
        <x:v>58</x:v>
      </x:c>
      <x:c r="E4" s="70" t="inlineStr">
        <x:is>
          <x:t xml:space="preserve">Partial</x:t>
        </x:is>
      </x:c>
      <x:c r="F4" s="82" t="n">
        <x:f>COUNTIF(H9:H66,"partial")</x:f>
        <x:v>0</x:v>
      </x:c>
      <x:c r="G4" s="70" t="inlineStr">
        <x:is>
          <x:t xml:space="preserve">Missing</x:t>
        </x:is>
      </x:c>
      <x:c r="H4" s="82" t="n">
        <x:f>COUNTIF(H9:H66,"missing")</x:f>
        <x:v>0</x:v>
      </x:c>
      <x:c r="I4" s="70" t="inlineStr">
        <x:is>
          <x:t xml:space="preserve">Untested</x:t>
        </x:is>
      </x:c>
      <x:c r="J4" s="82" t="n">
        <x:f>COUNTIF(F9:F66,"no")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76" t="inlineStr">
        <x:is>
          <x:t xml:space="preserve">yes</x:t>
        </x:is>
      </x:c>
      <x:c r="G9" s="73" t="inlineStr">
        <x:is>
          <x:t xml:space="preserve">passed</x:t>
        </x:is>
      </x:c>
      <x:c r="H9" s="92" t="inlineStr">
        <x:is>
          <x:t xml:space="preserve">covered</x:t>
        </x:is>
      </x:c>
      <x:c r="I9" s="84" t="inlineStr">
        <x:is>
          <x:t xml:space="preserve">Avatar props manual verification.</x:t>
        </x:is>
      </x:c>
      <x:c r="J9" s="84" t="n"/>
      <x:c r="K9" s="87" t="n">
        <x:f>IF(AND(E9="yes",F9="yes",H9="covered"),1,IF(AND(E9="yes",H9="partial"),0.5,0))</x:f>
        <x:v>1</x:v>
      </x:c>
    </x:row>
    <x:row r="10" s="51" customFormat="1" ht="30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76" t="inlineStr">
        <x:is>
          <x:t xml:space="preserve">yes</x:t>
        </x:is>
      </x:c>
      <x:c r="G10" s="73" t="inlineStr">
        <x:is>
          <x:t xml:space="preserve">passed</x:t>
        </x:is>
      </x:c>
      <x:c r="H10" s="92" t="inlineStr">
        <x:is>
          <x:t xml:space="preserve">covered</x:t>
        </x:is>
      </x:c>
      <x:c r="I10" s="84" t="inlineStr">
        <x:is>
          <x:t xml:space="preserve">Avatar props manual verification.</x:t>
        </x:is>
      </x:c>
      <x:c r="J10" s="84" t="n"/>
      <x:c r="K10" s="87" t="n">
        <x:f>IF(AND(E10="yes",F10="yes",H10="covered"),1,IF(AND(E10="yes",H10="partial"),0.5,0))</x:f>
        <x:v>1</x:v>
      </x:c>
    </x:row>
    <x:row r="11" s="51" customFormat="1" ht="4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Avatar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76" t="inlineStr">
        <x:is>
          <x:t xml:space="preserve">yes</x:t>
        </x:is>
      </x:c>
      <x:c r="G11" s="73" t="inlineStr">
        <x:is>
          <x:t xml:space="preserve">passed</x:t>
        </x:is>
      </x:c>
      <x:c r="H11" s="92" t="inlineStr">
        <x:is>
          <x:t xml:space="preserve">covered</x:t>
        </x:is>
      </x:c>
      <x:c r="I11" s="84" t="inlineStr">
        <x:is>
          <x:t xml:space="preserve">Avatar page is reachable from Display &gt; Avatar.</x:t>
        </x:is>
      </x:c>
      <x:c r="J11" s="84" t="n"/>
      <x:c r="K11" s="87" t="n">
        <x:f>IF(AND(E11="yes",F11="yes",H11="covered"),1,IF(AND(E11="yes",H11="partial"),0.5,0))</x:f>
        <x:v>1</x:v>
      </x:c>
    </x:row>
    <x:row r="12" s="51" customFormat="1" ht="30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Avatar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76" t="inlineStr">
        <x:is>
          <x:t xml:space="preserve">yes</x:t>
        </x:is>
      </x:c>
      <x:c r="G12" s="73" t="inlineStr">
        <x:is>
          <x:t xml:space="preserve">passed</x:t>
        </x:is>
      </x:c>
      <x:c r="H12" s="92" t="inlineStr">
        <x:is>
          <x:t xml:space="preserve">covered</x:t>
        </x:is>
      </x:c>
      <x:c r="I12" s="84" t="inlineStr">
        <x:is>
          <x:t xml:space="preserve">Source updates for image source, alt mode, and fallback delay were manually verified.</x:t>
        </x:is>
      </x:c>
      <x:c r="J12" s="84" t="n"/>
      <x:c r="K12" s="87" t="n">
        <x:f>IF(AND(E12="yes",F12="yes",H12="covered"),1,IF(AND(E12="yes",H12="partial"),0.5,0))</x:f>
        <x:v>1</x:v>
      </x:c>
    </x:row>
    <x:row r="13" s="51" customFormat="1" ht="30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Avatar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76" t="inlineStr">
        <x:is>
          <x:t xml:space="preserve">yes</x:t>
        </x:is>
      </x:c>
      <x:c r="G13" s="73" t="inlineStr">
        <x:is>
          <x:t xml:space="preserve">passed</x:t>
        </x:is>
      </x:c>
      <x:c r="H13" s="92" t="inlineStr">
        <x:is>
          <x:t xml:space="preserve">covered</x:t>
        </x:is>
      </x:c>
      <x:c r="I13" s="84" t="inlineStr">
        <x:is>
          <x:t xml:space="preserve">Avatar anatomy and inspector expose live attributes, ARIA, and data groups for image state changes.</x:t>
        </x:is>
      </x:c>
      <x:c r="J13" s="84" t="n"/>
      <x:c r="K13" s="87" t="n">
        <x:f>IF(AND(E13="yes",F13="yes",H13="covered"),1,IF(AND(E13="yes",H13="partial"),0.5,0))</x:f>
        <x:v>1</x:v>
      </x:c>
    </x:row>
    <x:row r="14" s="51" customFormat="1" ht="30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Avatar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76" t="inlineStr">
        <x:is>
          <x:t xml:space="preserve">yes</x:t>
        </x:is>
      </x:c>
      <x:c r="G14" s="73" t="inlineStr">
        <x:is>
          <x:t xml:space="preserve">passed</x:t>
        </x:is>
      </x:c>
      <x:c r="H14" s="92" t="inlineStr">
        <x:is>
          <x:t xml:space="preserve">covered</x:t>
        </x:is>
      </x:c>
      <x:c r="I14" s="84" t="inlineStr">
        <x:is>
          <x:t xml:space="preserve">Inspector selected image updates live for src/alt changes and logs show useful image status events.</x:t>
        </x:is>
      </x:c>
      <x:c r="J14" s="84" t="n"/>
      <x:c r="K14" s="87" t="n">
        <x:f>IF(AND(E14="yes",F14="yes",H14="covered"),1,IF(AND(E14="yes",H14="partial"),0.5,0))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Avatar</x:t>
        </x:is>
      </x:c>
      <x:c r="D15" s="84" t="inlineStr">
        <x:is>
          <x:t xml:space="preserve">Tracks image loading status</x:t>
        </x:is>
      </x:c>
      <x:c r="E15" s="76" t="inlineStr">
        <x:is>
          <x:t xml:space="preserve">yes</x:t>
        </x:is>
      </x:c>
      <x:c r="F15" s="76" t="inlineStr">
        <x:is>
          <x:t xml:space="preserve">yes</x:t>
        </x:is>
      </x:c>
      <x:c r="G15" s="73" t="inlineStr">
        <x:is>
          <x:t xml:space="preserve">passed</x:t>
        </x:is>
      </x:c>
      <x:c r="H15" s="92" t="inlineStr">
        <x:is>
          <x:t xml:space="preserve">covered</x:t>
        </x:is>
      </x:c>
      <x:c r="I15" s="84" t="inlineStr">
        <x:is>
          <x:t xml:space="preserve">Image loading status was manually verified for loaded, broken, and loading/idle modes.</x:t>
        </x:is>
      </x:c>
      <x:c r="J15" s="84" t="n"/>
      <x:c r="K15" s="87" t="n">
        <x:f>IF(AND(E15="yes",F15="yes",H15="covered"),1,IF(AND(E15="yes",H15="partial"),0.5,0))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Avatar</x:t>
        </x:is>
      </x:c>
      <x:c r="D16" s="84" t="inlineStr">
        <x:is>
          <x:t xml:space="preserve">Renders fallback content while the image is missing, loading, or errored</x:t>
        </x:is>
      </x:c>
      <x:c r="E16" s="76" t="inlineStr">
        <x:is>
          <x:t xml:space="preserve">yes</x:t>
        </x:is>
      </x:c>
      <x:c r="F16" s="76" t="inlineStr">
        <x:is>
          <x:t xml:space="preserve">yes</x:t>
        </x:is>
      </x:c>
      <x:c r="G16" s="73" t="inlineStr">
        <x:is>
          <x:t xml:space="preserve">passed</x:t>
        </x:is>
      </x:c>
      <x:c r="H16" s="92" t="inlineStr">
        <x:is>
          <x:t xml:space="preserve">covered</x:t>
        </x:is>
      </x:c>
      <x:c r="I16" s="84" t="inlineStr">
        <x:is>
          <x:t xml:space="preserve">Fallback rendering was manually verified when the image is broken or not loaded.</x:t>
        </x:is>
      </x:c>
      <x:c r="J16" s="84" t="n"/>
      <x:c r="K16" s="87" t="n">
        <x:f>IF(AND(E16="yes",F16="yes",H16="covered"),1,IF(AND(E16="yes",H16="partial"),0.5,0))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Avatar</x:t>
        </x:is>
      </x:c>
      <x:c r="D17" s="84" t="inlineStr">
        <x:is>
          <x:t xml:space="preserve">Supports delayed fallback rendering to avoid loading flashes</x:t>
        </x:is>
      </x:c>
      <x:c r="E17" s="76" t="inlineStr">
        <x:is>
          <x:t xml:space="preserve">yes</x:t>
        </x:is>
      </x:c>
      <x:c r="F17" s="76" t="inlineStr">
        <x:is>
          <x:t xml:space="preserve">yes</x:t>
        </x:is>
      </x:c>
      <x:c r="G17" s="73" t="inlineStr">
        <x:is>
          <x:t xml:space="preserve">passed</x:t>
        </x:is>
      </x:c>
      <x:c r="H17" s="92" t="inlineStr">
        <x:is>
          <x:t xml:space="preserve">covered</x:t>
        </x:is>
      </x:c>
      <x:c r="I17" s="84" t="inlineStr">
        <x:is>
          <x:t xml:space="preserve">Delayed fallback source output was manually verified with delayMs={600}.</x:t>
        </x:is>
      </x:c>
      <x:c r="J17" s="84" t="n"/>
      <x:c r="K17" s="87" t="n">
        <x:f>IF(AND(E17="yes",F17="yes",H17="covered"),1,IF(AND(E17="yes",H17="partial"),0.5,0))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Avatar</x:t>
        </x:is>
      </x:c>
      <x:c r="D18" s="84" t="inlineStr">
        <x:is>
          <x:t xml:space="preserve">Provides a group wrapper for stacked or clustered avatars</x:t>
        </x:is>
      </x:c>
      <x:c r="E18" s="76" t="inlineStr">
        <x:is>
          <x:t xml:space="preserve">yes</x:t>
        </x:is>
      </x:c>
      <x:c r="F18" s="76" t="inlineStr">
        <x:is>
          <x:t xml:space="preserve">yes</x:t>
        </x:is>
      </x:c>
      <x:c r="G18" s="73" t="inlineStr">
        <x:is>
          <x:t xml:space="preserve">passed</x:t>
        </x:is>
      </x:c>
      <x:c r="H18" s="92" t="inlineStr">
        <x:is>
          <x:t xml:space="preserve">covered</x:t>
        </x:is>
      </x:c>
      <x:c r="I18" s="84" t="inlineStr">
        <x:is>
          <x:t xml:space="preserve">Avatar Group wrapper was manually verified with a primary avatar and secondary fallback avatar.</x:t>
        </x:is>
      </x:c>
      <x:c r="J18" s="84" t="n"/>
      <x:c r="K18" s="87" t="n">
        <x:f>IF(AND(E18="yes",F18="yes",H18="covered"),1,IF(AND(E18="yes",H18="partial"),0.5,0))</x:f>
        <x:v>1</x:v>
      </x:c>
    </x:row>
    <x:row r="19" s="51" customFormat="1" ht="30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Avatar</x:t>
        </x:is>
      </x:c>
      <x:c r="D19" s="84" t="inlineStr">
        <x:is>
          <x:t xml:space="preserve">Supports `asChild` and `render` on every part</x:t>
        </x:is>
      </x:c>
      <x:c r="E19" s="76" t="inlineStr">
        <x:is>
          <x:t xml:space="preserve">yes</x:t>
        </x:is>
      </x:c>
      <x:c r="F19" s="76" t="inlineStr">
        <x:is>
          <x:t xml:space="preserve">yes</x:t>
        </x:is>
      </x:c>
      <x:c r="G19" s="73" t="inlineStr">
        <x:is>
          <x:t xml:space="preserve">passed</x:t>
        </x:is>
      </x:c>
      <x:c r="H19" s="92" t="inlineStr">
        <x:is>
          <x:t xml:space="preserve">covered</x:t>
        </x:is>
      </x:c>
      <x:c r="I19" s="84" t="inlineStr">
        <x:is>
          <x:t xml:space="preserve">Avatar Image asChild and render composition were manually verified.</x:t>
        </x:is>
      </x:c>
      <x:c r="J19" s="84" t="n"/>
      <x:c r="K19" s="87" t="n">
        <x:f>IF(AND(E19="yes",F19="yes",H19="covered"),1,IF(AND(E19="yes",H19="partial"),0.5,0))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76" t="inlineStr">
        <x:is>
          <x:t xml:space="preserve">yes</x:t>
        </x:is>
      </x:c>
      <x:c r="G20" s="73" t="inlineStr">
        <x:is>
          <x:t xml:space="preserve">passed</x:t>
        </x:is>
      </x:c>
      <x:c r="H20" s="92" t="inlineStr">
        <x:is>
          <x:t xml:space="preserve">covered</x:t>
        </x:is>
      </x:c>
      <x:c r="I20" s="84" t="inlineStr">
        <x:is>
          <x:t xml:space="preserve">Root renders in the Avatar scenario and remains present while image/fallback state changes.</x:t>
        </x:is>
      </x:c>
      <x:c r="J20" s="84" t="n"/>
      <x:c r="K20" s="87" t="n">
        <x:f>IF(AND(E20="yes",F20="yes",H20="covered"),1,IF(AND(E20="yes",H20="partial"),0.5,0))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76" t="inlineStr">
        <x:is>
          <x:t xml:space="preserve">yes</x:t>
        </x:is>
      </x:c>
      <x:c r="G21" s="73" t="inlineStr">
        <x:is>
          <x:t xml:space="preserve">passed</x:t>
        </x:is>
      </x:c>
      <x:c r="H21" s="92" t="inlineStr">
        <x:is>
          <x:t xml:space="preserve">covered</x:t>
        </x:is>
      </x:c>
      <x:c r="I21" s="84" t="inlineStr">
        <x:is>
          <x:t xml:space="preserve">Root anatomy order was verified during Avatar Root composition tests.</x:t>
        </x:is>
      </x:c>
      <x:c r="J21" s="84" t="n"/>
      <x:c r="K21" s="87" t="n">
        <x:f>IF(AND(E21="yes",F21="yes",H21="covered"),1,IF(AND(E21="yes",H21="partial"),0.5,0))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76" t="inlineStr">
        <x:is>
          <x:t xml:space="preserve">yes</x:t>
        </x:is>
      </x:c>
      <x:c r="G22" s="73" t="inlineStr">
        <x:is>
          <x:t xml:space="preserve">passed</x:t>
        </x:is>
      </x:c>
      <x:c r="H22" s="92" t="inlineStr">
        <x:is>
          <x:t xml:space="preserve">covered</x:t>
        </x:is>
      </x:c>
      <x:c r="I22" s="84" t="inlineStr">
        <x:is>
          <x:t xml:space="preserve">Root default tag was verified as span.</x:t>
        </x:is>
      </x:c>
      <x:c r="J22" s="84" t="n"/>
      <x:c r="K22" s="87" t="n">
        <x:f>IF(AND(E22="yes",F22="yes",H22="covered"),1,IF(AND(E22="yes",H22="partial"),0.5,0))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76" t="inlineStr">
        <x:is>
          <x:t xml:space="preserve">yes</x:t>
        </x:is>
      </x:c>
      <x:c r="G23" s="73" t="inlineStr">
        <x:is>
          <x:t xml:space="preserve">passed</x:t>
        </x:is>
      </x:c>
      <x:c r="H23" s="92" t="inlineStr">
        <x:is>
          <x:t xml:space="preserve">covered</x:t>
        </x:is>
      </x:c>
      <x:c r="I23" s="84" t="inlineStr">
        <x:is>
          <x:t xml:space="preserve">Root data-slot was verified as avatar-root.</x:t>
        </x:is>
      </x:c>
      <x:c r="J23" s="84" t="n"/>
      <x:c r="K23" s="87" t="n">
        <x:f>IF(AND(E23="yes",F23="yes",H23="covered"),1,IF(AND(E23="yes",H23="partial"),0.5,0))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76" t="inlineStr">
        <x:is>
          <x:t xml:space="preserve">yes</x:t>
        </x:is>
      </x:c>
      <x:c r="G24" s="73" t="inlineStr">
        <x:is>
          <x:t xml:space="preserve">passed</x:t>
        </x:is>
      </x:c>
      <x:c r="H24" s="92" t="inlineStr">
        <x:is>
          <x:t xml:space="preserve">covered</x:t>
        </x:is>
      </x:c>
      <x:c r="I24" s="84" t="inlineStr">
        <x:is>
          <x:t xml:space="preserve">Root prop passthrough marker was verified in Anatomy/Inspector.</x:t>
        </x:is>
      </x:c>
      <x:c r="J24" s="84" t="n"/>
      <x:c r="K24" s="87" t="n">
        <x:f>IF(AND(E24="yes",F24="yes",H24="covered"),1,IF(AND(E24="yes",H24="partial"),0.5,0))</x:f>
        <x:v>1</x:v>
      </x:c>
    </x:row>
    <x:row r="25" s="51" customFormat="1" ht="30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76" t="inlineStr">
        <x:is>
          <x:t xml:space="preserve">yes</x:t>
        </x:is>
      </x:c>
      <x:c r="G25" s="73" t="inlineStr">
        <x:is>
          <x:t xml:space="preserve">passed</x:t>
        </x:is>
      </x:c>
      <x:c r="H25" s="92" t="inlineStr">
        <x:is>
          <x:t xml:space="preserve">covered</x:t>
        </x:is>
      </x:c>
      <x:c r="I25" s="84" t="inlineStr">
        <x:is>
          <x:t xml:space="preserve">Root ref target was verified in Anatomy.</x:t>
        </x:is>
      </x:c>
      <x:c r="J25" s="84" t="n"/>
      <x:c r="K25" s="87" t="n">
        <x:f>IF(AND(E25="yes",F25="yes",H25="covered"),1,IF(AND(E25="yes",H25="partial"),0.5,0))</x:f>
        <x:v>1</x:v>
      </x:c>
    </x:row>
    <x:row r="26" s="51" customFormat="1" ht="30" customHeight="1">
      <x:c r="A26" s="73" t="n">
        <x:v>18</x:v>
      </x:c>
      <x:c r="B26" s="84" t="inlineStr">
        <x:is>
          <x:t xml:space="preserve">Composition</x:t>
        </x:is>
      </x:c>
      <x:c r="C26" s="84" t="inlineStr">
        <x:is>
          <x:t xml:space="preserve">Root</x:t>
        </x:is>
      </x:c>
      <x:c r="D26" s="84" t="inlineStr">
        <x:is>
          <x:t xml:space="preserve">asChild prop behavior</x:t>
        </x:is>
      </x:c>
      <x:c r="E26" s="76" t="inlineStr">
        <x:is>
          <x:t xml:space="preserve">yes</x:t>
        </x:is>
      </x:c>
      <x:c r="F26" s="76" t="inlineStr">
        <x:is>
          <x:t xml:space="preserve">yes</x:t>
        </x:is>
      </x:c>
      <x:c r="G26" s="73" t="inlineStr">
        <x:is>
          <x:t xml:space="preserve">passed</x:t>
        </x:is>
      </x:c>
      <x:c r="H26" s="92" t="inlineStr">
        <x:is>
          <x:t xml:space="preserve">covered</x:t>
        </x:is>
      </x:c>
      <x:c r="I26" s="84" t="inlineStr">
        <x:is>
          <x:t xml:space="preserve">Root asChild behavior was manually verified.</x:t>
        </x:is>
      </x:c>
      <x:c r="J26" s="84" t="n"/>
      <x:c r="K26" s="87" t="n">
        <x:f>IF(AND(E26="yes",F26="yes",H26="covered"),1,IF(AND(E26="yes",H26="partial"),0.5,0))</x:f>
        <x:v>1</x:v>
      </x:c>
    </x:row>
    <x:row r="27" s="51" customFormat="1" ht="30" customHeight="1">
      <x:c r="A27" s="73" t="n">
        <x:v>19</x:v>
      </x:c>
      <x:c r="B27" s="84" t="inlineStr">
        <x:is>
          <x:t xml:space="preserve">Composition</x:t>
        </x:is>
      </x:c>
      <x:c r="C27" s="84" t="inlineStr">
        <x:is>
          <x:t xml:space="preserve">Root</x:t>
        </x:is>
      </x:c>
      <x:c r="D27" s="84" t="inlineStr">
        <x:is>
          <x:t xml:space="preserve">render prop behavior</x:t>
        </x:is>
      </x:c>
      <x:c r="E27" s="76" t="inlineStr">
        <x:is>
          <x:t xml:space="preserve">yes</x:t>
        </x:is>
      </x:c>
      <x:c r="F27" s="76" t="inlineStr">
        <x:is>
          <x:t xml:space="preserve">yes</x:t>
        </x:is>
      </x:c>
      <x:c r="G27" s="73" t="inlineStr">
        <x:is>
          <x:t xml:space="preserve">passed</x:t>
        </x:is>
      </x:c>
      <x:c r="H27" s="92" t="inlineStr">
        <x:is>
          <x:t xml:space="preserve">covered</x:t>
        </x:is>
      </x:c>
      <x:c r="I27" s="84" t="inlineStr">
        <x:is>
          <x:t xml:space="preserve">Root render behavior was manually verified after correcting the playground render pattern.</x:t>
        </x:is>
      </x:c>
      <x:c r="J27" s="84" t="n"/>
      <x:c r="K27" s="87" t="n">
        <x:f>IF(AND(E27="yes",F27="yes",H27="covered"),1,IF(AND(E27="yes",H27="partial"),0.5,0))</x:f>
        <x:v>1</x:v>
      </x:c>
    </x:row>
    <x:row r="28" s="51" customFormat="1" ht="30" customHeight="1">
      <x:c r="A28" s="73" t="n">
        <x:v>20</x:v>
      </x:c>
      <x:c r="B28" s="84" t="inlineStr">
        <x:is>
          <x:t xml:space="preserve">Public API</x:t>
        </x:is>
      </x:c>
      <x:c r="C28" s="84" t="inlineStr">
        <x:is>
          <x:t xml:space="preserve">Root</x:t>
        </x:is>
      </x:c>
      <x:c r="D28" s="84" t="inlineStr">
        <x:is>
          <x:t xml:space="preserve">src prop behavior</x:t>
        </x:is>
      </x:c>
      <x:c r="E28" s="76" t="inlineStr">
        <x:is>
          <x:t xml:space="preserve">yes</x:t>
        </x:is>
      </x:c>
      <x:c r="F28" s="76" t="inlineStr">
        <x:is>
          <x:t xml:space="preserve">yes</x:t>
        </x:is>
      </x:c>
      <x:c r="G28" s="73" t="inlineStr">
        <x:is>
          <x:t xml:space="preserve">passed</x:t>
        </x:is>
      </x:c>
      <x:c r="H28" s="92" t="inlineStr">
        <x:is>
          <x:t xml:space="preserve">covered</x:t>
        </x:is>
      </x:c>
      <x:c r="I28" s="84" t="inlineStr">
        <x:is>
          <x:t xml:space="preserve">Root src behavior was verified through loaded, broken, and loading source modes.</x:t>
        </x:is>
      </x:c>
      <x:c r="J28" s="84" t="n"/>
      <x:c r="K28" s="87" t="n">
        <x:f>IF(AND(E28="yes",F28="yes",H28="covered"),1,IF(AND(E28="yes",H28="partial"),0.5,0))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onLoadingStatusChange prop behavior</x:t>
        </x:is>
      </x:c>
      <x:c r="E29" s="76" t="inlineStr">
        <x:is>
          <x:t xml:space="preserve">yes</x:t>
        </x:is>
      </x:c>
      <x:c r="F29" s="76" t="inlineStr">
        <x:is>
          <x:t xml:space="preserve">yes</x:t>
        </x:is>
      </x:c>
      <x:c r="G29" s="73" t="inlineStr">
        <x:is>
          <x:t xml:space="preserve">passed</x:t>
        </x:is>
      </x:c>
      <x:c r="H29" s="92" t="inlineStr">
        <x:is>
          <x:t xml:space="preserve">covered</x:t>
        </x:is>
      </x:c>
      <x:c r="I29" s="84" t="inlineStr">
        <x:is>
          <x:t xml:space="preserve">Root loading status callback was verified through the playground log/status state.</x:t>
        </x:is>
      </x:c>
      <x:c r="J29" s="84" t="n"/>
      <x:c r="K29" s="87" t="n">
        <x:f>IF(AND(E29="yes",F29="yes",H29="covered"),1,IF(AND(E29="yes",H29="partial"),0.5,0))</x:f>
        <x:v>1</x:v>
      </x:c>
    </x:row>
    <x:row r="30" s="51" customFormat="1" ht="30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[data-slot] prop behavior</x:t>
        </x:is>
      </x:c>
      <x:c r="E30" s="76" t="inlineStr">
        <x:is>
          <x:t xml:space="preserve">yes</x:t>
        </x:is>
      </x:c>
      <x:c r="F30" s="76" t="inlineStr">
        <x:is>
          <x:t xml:space="preserve">yes</x:t>
        </x:is>
      </x:c>
      <x:c r="G30" s="73" t="inlineStr">
        <x:is>
          <x:t xml:space="preserve">passed</x:t>
        </x:is>
      </x:c>
      <x:c r="H30" s="92" t="inlineStr">
        <x:is>
          <x:t xml:space="preserve">covered</x:t>
        </x:is>
      </x:c>
      <x:c r="I30" s="84" t="inlineStr">
        <x:is>
          <x:t xml:space="preserve">Root data-slot behavior was verified through data-slot="avatar-root".</x:t>
        </x:is>
      </x:c>
      <x:c r="J30" s="84" t="n"/>
      <x:c r="K30" s="87" t="n">
        <x:f>IF(AND(E30="yes",F30="yes",H30="covered"),1,IF(AND(E30="yes",H30="partial"),0.5,0))</x:f>
        <x:v>1</x:v>
      </x:c>
    </x:row>
    <x:row r="31" s="51" customFormat="1" ht="30" customHeight="1">
      <x:c r="A31" s="73" t="n">
        <x:v>23</x:v>
      </x:c>
      <x:c r="B31" s="84" t="inlineStr">
        <x:is>
          <x:t xml:space="preserve">Anatomy</x:t>
        </x:is>
      </x:c>
      <x:c r="C31" s="84" t="inlineStr">
        <x:is>
          <x:t xml:space="preserve">Group</x:t>
        </x:is>
      </x:c>
      <x:c r="D31" s="84" t="inlineStr">
        <x:is>
          <x:t xml:space="preserve">renders correct part when expected</x:t>
        </x:is>
      </x:c>
      <x:c r="E31" s="76" t="inlineStr">
        <x:is>
          <x:t xml:space="preserve">yes</x:t>
        </x:is>
      </x:c>
      <x:c r="F31" s="76" t="inlineStr">
        <x:is>
          <x:t xml:space="preserve">yes</x:t>
        </x:is>
      </x:c>
      <x:c r="G31" s="73" t="inlineStr">
        <x:is>
          <x:t xml:space="preserve">passed</x:t>
        </x:is>
      </x:c>
      <x:c r="H31" s="92" t="inlineStr">
        <x:is>
          <x:t xml:space="preserve">covered</x:t>
        </x:is>
      </x:c>
      <x:c r="I31" s="84" t="inlineStr">
        <x:is>
          <x:t xml:space="preserve">Group renders when State &gt; Group is enabled.</x:t>
        </x:is>
      </x:c>
      <x:c r="J31" s="84" t="n"/>
      <x:c r="K31" s="87" t="n">
        <x:f>IF(AND(E31="yes",F31="yes",H31="covered"),1,IF(AND(E31="yes",H31="partial"),0.5,0))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Anatomy</x:t>
        </x:is>
      </x:c>
      <x:c r="C32" s="84" t="inlineStr">
        <x:is>
          <x:t xml:space="preserve">Group</x:t>
        </x:is>
      </x:c>
      <x:c r="D32" s="84" t="inlineStr">
        <x:is>
          <x:t xml:space="preserve">appears in documented order</x:t>
        </x:is>
      </x:c>
      <x:c r="E32" s="76" t="inlineStr">
        <x:is>
          <x:t xml:space="preserve">yes</x:t>
        </x:is>
      </x:c>
      <x:c r="F32" s="76" t="inlineStr">
        <x:is>
          <x:t xml:space="preserve">yes</x:t>
        </x:is>
      </x:c>
      <x:c r="G32" s="73" t="inlineStr">
        <x:is>
          <x:t xml:space="preserve">passed</x:t>
        </x:is>
      </x:c>
      <x:c r="H32" s="92" t="inlineStr">
        <x:is>
          <x:t xml:space="preserve">covered</x:t>
        </x:is>
      </x:c>
      <x:c r="I32" s="84" t="inlineStr">
        <x:is>
          <x:t xml:space="preserve">Group appears in the expected Avatar anatomy order.</x:t>
        </x:is>
      </x:c>
      <x:c r="J32" s="84" t="n"/>
      <x:c r="K32" s="87" t="n">
        <x:f>IF(AND(E32="yes",F32="yes",H32="covered"),1,IF(AND(E32="yes",H32="partial"),0.5,0))</x:f>
        <x:v>1</x:v>
      </x:c>
    </x:row>
    <x:row r="33" s="51" customFormat="1" ht="30" customHeight="1">
      <x:c r="A33" s="73" t="n">
        <x:v>25</x:v>
      </x:c>
      <x:c r="B33" s="84" t="inlineStr">
        <x:is>
          <x:t xml:space="preserve">Identity</x:t>
        </x:is>
      </x:c>
      <x:c r="C33" s="84" t="inlineStr">
        <x:is>
          <x:t xml:space="preserve">Group</x:t>
        </x:is>
      </x:c>
      <x:c r="D33" s="84" t="inlineStr">
        <x:is>
          <x:t xml:space="preserve">default tag is visible in Anatomy/Inspector</x:t>
        </x:is>
      </x:c>
      <x:c r="E33" s="76" t="inlineStr">
        <x:is>
          <x:t xml:space="preserve">yes</x:t>
        </x:is>
      </x:c>
      <x:c r="F33" s="76" t="inlineStr">
        <x:is>
          <x:t xml:space="preserve">yes</x:t>
        </x:is>
      </x:c>
      <x:c r="G33" s="73" t="inlineStr">
        <x:is>
          <x:t xml:space="preserve">passed</x:t>
        </x:is>
      </x:c>
      <x:c r="H33" s="92" t="inlineStr">
        <x:is>
          <x:t xml:space="preserve">covered</x:t>
        </x:is>
      </x:c>
      <x:c r="I33" s="84" t="inlineStr">
        <x:is>
          <x:t xml:space="preserve">Group default tag was verified as div in Anatomy/Inspector.</x:t>
        </x:is>
      </x:c>
      <x:c r="J33" s="84" t="n"/>
      <x:c r="K33" s="87" t="n">
        <x:f>IF(AND(E33="yes",F33="yes",H33="covered"),1,IF(AND(E33="yes",H33="partial"),0.5,0))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Identity</x:t>
        </x:is>
      </x:c>
      <x:c r="C34" s="84" t="inlineStr">
        <x:is>
          <x:t xml:space="preserve">Group</x:t>
        </x:is>
      </x:c>
      <x:c r="D34" s="84" t="inlineStr">
        <x:is>
          <x:t xml:space="preserve">data-slot is present and correct</x:t>
        </x:is>
      </x:c>
      <x:c r="E34" s="76" t="inlineStr">
        <x:is>
          <x:t xml:space="preserve">yes</x:t>
        </x:is>
      </x:c>
      <x:c r="F34" s="76" t="inlineStr">
        <x:is>
          <x:t xml:space="preserve">yes</x:t>
        </x:is>
      </x:c>
      <x:c r="G34" s="73" t="inlineStr">
        <x:is>
          <x:t xml:space="preserve">passed</x:t>
        </x:is>
      </x:c>
      <x:c r="H34" s="92" t="inlineStr">
        <x:is>
          <x:t xml:space="preserve">covered</x:t>
        </x:is>
      </x:c>
      <x:c r="I34" s="84" t="inlineStr">
        <x:is>
          <x:t xml:space="preserve">Group data-slot was verified as avatar-group.</x:t>
        </x:is>
      </x:c>
      <x:c r="J34" s="84" t="n"/>
      <x:c r="K34" s="87" t="n">
        <x:f>IF(AND(E34="yes",F34="yes",H34="covered"),1,IF(AND(E34="yes",H34="partial"),0.5,0))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Props</x:t>
        </x:is>
      </x:c>
      <x:c r="C35" s="84" t="inlineStr">
        <x:is>
          <x:t xml:space="preserve">Group</x:t>
        </x:is>
      </x:c>
      <x:c r="D35" s="84" t="inlineStr">
        <x:is>
          <x:t xml:space="preserve">non-Atom native props pass through with data-prop-check marker</x:t>
        </x:is>
      </x:c>
      <x:c r="E35" s="76" t="inlineStr">
        <x:is>
          <x:t xml:space="preserve">yes</x:t>
        </x:is>
      </x:c>
      <x:c r="F35" s="76" t="inlineStr">
        <x:is>
          <x:t xml:space="preserve">yes</x:t>
        </x:is>
      </x:c>
      <x:c r="G35" s="73" t="inlineStr">
        <x:is>
          <x:t xml:space="preserve">passed</x:t>
        </x:is>
      </x:c>
      <x:c r="H35" s="92" t="inlineStr">
        <x:is>
          <x:t xml:space="preserve">covered</x:t>
        </x:is>
      </x:c>
      <x:c r="I35" s="84" t="inlineStr">
        <x:is>
          <x:t xml:space="preserve">Group prop passthrough marker was verified in Inspector.</x:t>
        </x:is>
      </x:c>
      <x:c r="J35" s="84" t="n"/>
      <x:c r="K35" s="87" t="n">
        <x:f>IF(AND(E35="yes",F35="yes",H35="covered"),1,IF(AND(E35="yes",H35="partial"),0.5,0))</x:f>
        <x:v>1</x:v>
      </x:c>
    </x:row>
    <x:row r="36" s="51" customFormat="1" ht="30" customHeight="1">
      <x:c r="A36" s="73" t="n">
        <x:v>28</x:v>
      </x:c>
      <x:c r="B36" s="84" t="inlineStr">
        <x:is>
          <x:t xml:space="preserve">Refs</x:t>
        </x:is>
      </x:c>
      <x:c r="C36" s="84" t="inlineStr">
        <x:is>
          <x:t xml:space="preserve">Group</x:t>
        </x:is>
      </x:c>
      <x:c r="D36" s="84" t="inlineStr">
        <x:is>
          <x:t xml:space="preserve">consumer ref receives the rendered element</x:t>
        </x:is>
      </x:c>
      <x:c r="E36" s="76" t="inlineStr">
        <x:is>
          <x:t xml:space="preserve">yes</x:t>
        </x:is>
      </x:c>
      <x:c r="F36" s="76" t="inlineStr">
        <x:is>
          <x:t xml:space="preserve">yes</x:t>
        </x:is>
      </x:c>
      <x:c r="G36" s="73" t="inlineStr">
        <x:is>
          <x:t xml:space="preserve">passed</x:t>
        </x:is>
      </x:c>
      <x:c r="H36" s="92" t="inlineStr">
        <x:is>
          <x:t xml:space="preserve">covered</x:t>
        </x:is>
      </x:c>
      <x:c r="I36" s="84" t="inlineStr">
        <x:is>
          <x:t xml:space="preserve">Group ref target was verified as div in Anatomy.</x:t>
        </x:is>
      </x:c>
      <x:c r="J36" s="84" t="n"/>
      <x:c r="K36" s="87" t="n">
        <x:f>IF(AND(E36="yes",F36="yes",H36="covered"),1,IF(AND(E36="yes",H36="partial"),0.5,0))</x:f>
        <x:v>1</x:v>
      </x:c>
    </x:row>
    <x:row r="37" s="51" customFormat="1" ht="30" customHeight="1">
      <x:c r="A37" s="73" t="n">
        <x:v>29</x:v>
      </x:c>
      <x:c r="B37" s="84" t="inlineStr">
        <x:is>
          <x:t xml:space="preserve">Composition</x:t>
        </x:is>
      </x:c>
      <x:c r="C37" s="84" t="inlineStr">
        <x:is>
          <x:t xml:space="preserve">Group</x:t>
        </x:is>
      </x:c>
      <x:c r="D37" s="84" t="inlineStr">
        <x:is>
          <x:t xml:space="preserve">asChild prop behavior</x:t>
        </x:is>
      </x:c>
      <x:c r="E37" s="76" t="inlineStr">
        <x:is>
          <x:t xml:space="preserve">yes</x:t>
        </x:is>
      </x:c>
      <x:c r="F37" s="76" t="inlineStr">
        <x:is>
          <x:t xml:space="preserve">yes</x:t>
        </x:is>
      </x:c>
      <x:c r="G37" s="73" t="inlineStr">
        <x:is>
          <x:t xml:space="preserve">passed</x:t>
        </x:is>
      </x:c>
      <x:c r="H37" s="92" t="inlineStr">
        <x:is>
          <x:t xml:space="preserve">covered</x:t>
        </x:is>
      </x:c>
      <x:c r="I37" s="84" t="inlineStr">
        <x:is>
          <x:t xml:space="preserve">Group asChild behavior was manually verified.</x:t>
        </x:is>
      </x:c>
      <x:c r="J37" s="84" t="n"/>
      <x:c r="K37" s="87" t="n">
        <x:f>IF(AND(E37="yes",F37="yes",H37="covered"),1,IF(AND(E37="yes",H37="partial"),0.5,0))</x:f>
        <x:v>1</x:v>
      </x:c>
    </x:row>
    <x:row r="38" s="51" customFormat="1" ht="30" customHeight="1">
      <x:c r="A38" s="73" t="n">
        <x:v>30</x:v>
      </x:c>
      <x:c r="B38" s="84" t="inlineStr">
        <x:is>
          <x:t xml:space="preserve">Composition</x:t>
        </x:is>
      </x:c>
      <x:c r="C38" s="84" t="inlineStr">
        <x:is>
          <x:t xml:space="preserve">Group</x:t>
        </x:is>
      </x:c>
      <x:c r="D38" s="84" t="inlineStr">
        <x:is>
          <x:t xml:space="preserve">render prop behavior</x:t>
        </x:is>
      </x:c>
      <x:c r="E38" s="76" t="inlineStr">
        <x:is>
          <x:t xml:space="preserve">yes</x:t>
        </x:is>
      </x:c>
      <x:c r="F38" s="76" t="inlineStr">
        <x:is>
          <x:t xml:space="preserve">yes</x:t>
        </x:is>
      </x:c>
      <x:c r="G38" s="73" t="inlineStr">
        <x:is>
          <x:t xml:space="preserve">passed</x:t>
        </x:is>
      </x:c>
      <x:c r="H38" s="92" t="inlineStr">
        <x:is>
          <x:t xml:space="preserve">covered</x:t>
        </x:is>
      </x:c>
      <x:c r="I38" s="84" t="inlineStr">
        <x:is>
          <x:t xml:space="preserve">Group render behavior was manually verified with section output.</x:t>
        </x:is>
      </x:c>
      <x:c r="J38" s="84" t="n"/>
      <x:c r="K38" s="87" t="n">
        <x:f>IF(AND(E38="yes",F38="yes",H38="covered"),1,IF(AND(E38="yes",H38="partial"),0.5,0))</x:f>
        <x:v>1</x:v>
      </x:c>
    </x:row>
    <x:row r="39" s="51" customFormat="1" ht="30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Group</x:t>
        </x:is>
      </x:c>
      <x:c r="D39" s="84" t="inlineStr">
        <x:is>
          <x:t xml:space="preserve">[data-slot] prop behavior</x:t>
        </x:is>
      </x:c>
      <x:c r="E39" s="76" t="inlineStr">
        <x:is>
          <x:t xml:space="preserve">yes</x:t>
        </x:is>
      </x:c>
      <x:c r="F39" s="76" t="inlineStr">
        <x:is>
          <x:t xml:space="preserve">yes</x:t>
        </x:is>
      </x:c>
      <x:c r="G39" s="73" t="inlineStr">
        <x:is>
          <x:t xml:space="preserve">passed</x:t>
        </x:is>
      </x:c>
      <x:c r="H39" s="92" t="inlineStr">
        <x:is>
          <x:t xml:space="preserve">covered</x:t>
        </x:is>
      </x:c>
      <x:c r="I39" s="84" t="inlineStr">
        <x:is>
          <x:t xml:space="preserve">Group data-slot behavior was verified through data-slot="avatar-group".</x:t>
        </x:is>
      </x:c>
      <x:c r="J39" s="84" t="n"/>
      <x:c r="K39" s="87" t="n">
        <x:f>IF(AND(E39="yes",F39="yes",H39="covered"),1,IF(AND(E39="yes",H39="partial"),0.5,0))</x:f>
        <x:v>1</x:v>
      </x:c>
    </x:row>
    <x:row r="40" s="51" customFormat="1" ht="30" customHeight="1">
      <x:c r="A40" s="73" t="n">
        <x:v>32</x:v>
      </x:c>
      <x:c r="B40" s="84" t="inlineStr">
        <x:is>
          <x:t xml:space="preserve">Anatomy</x:t>
        </x:is>
      </x:c>
      <x:c r="C40" s="84" t="inlineStr">
        <x:is>
          <x:t xml:space="preserve">Fallback</x:t>
        </x:is>
      </x:c>
      <x:c r="D40" s="84" t="inlineStr">
        <x:is>
          <x:t xml:space="preserve">renders correct part when expected</x:t>
        </x:is>
      </x:c>
      <x:c r="E40" s="76" t="inlineStr">
        <x:is>
          <x:t xml:space="preserve">yes</x:t>
        </x:is>
      </x:c>
      <x:c r="F40" s="76" t="inlineStr">
        <x:is>
          <x:t xml:space="preserve">yes</x:t>
        </x:is>
      </x:c>
      <x:c r="G40" s="73" t="inlineStr">
        <x:is>
          <x:t xml:space="preserve">passed</x:t>
        </x:is>
      </x:c>
      <x:c r="H40" s="92" t="inlineStr">
        <x:is>
          <x:t xml:space="preserve">covered</x:t>
        </x:is>
      </x:c>
      <x:c r="I40" s="84" t="inlineStr">
        <x:is>
          <x:t xml:space="preserve">Fallback renders when the image is broken or loading/idle and is absent when the image is loaded.</x:t>
        </x:is>
      </x:c>
      <x:c r="J40" s="84" t="n"/>
      <x:c r="K40" s="87" t="n">
        <x:f>IF(AND(E40="yes",F40="yes",H40="covered"),1,IF(AND(E40="yes",H40="partial"),0.5,0))</x:f>
        <x:v>1</x:v>
      </x:c>
    </x:row>
    <x:row r="41" s="51" customFormat="1" ht="30" customHeight="1">
      <x:c r="A41" s="73" t="n">
        <x:v>33</x:v>
      </x:c>
      <x:c r="B41" s="84" t="inlineStr">
        <x:is>
          <x:t xml:space="preserve">Anatomy</x:t>
        </x:is>
      </x:c>
      <x:c r="C41" s="84" t="inlineStr">
        <x:is>
          <x:t xml:space="preserve">Fallback</x:t>
        </x:is>
      </x:c>
      <x:c r="D41" s="84" t="inlineStr">
        <x:is>
          <x:t xml:space="preserve">appears in documented order</x:t>
        </x:is>
      </x:c>
      <x:c r="E41" s="76" t="inlineStr">
        <x:is>
          <x:t xml:space="preserve">yes</x:t>
        </x:is>
      </x:c>
      <x:c r="F41" s="76" t="inlineStr">
        <x:is>
          <x:t xml:space="preserve">yes</x:t>
        </x:is>
      </x:c>
      <x:c r="G41" s="73" t="inlineStr">
        <x:is>
          <x:t xml:space="preserve">passed</x:t>
        </x:is>
      </x:c>
      <x:c r="H41" s="92" t="inlineStr">
        <x:is>
          <x:t xml:space="preserve">covered</x:t>
        </x:is>
      </x:c>
      <x:c r="I41" s="84" t="inlineStr">
        <x:is>
          <x:t xml:space="preserve">Fallback appears in the expected Avatar anatomy order after Image.</x:t>
        </x:is>
      </x:c>
      <x:c r="J41" s="84" t="n"/>
      <x:c r="K41" s="87" t="n">
        <x:f>IF(AND(E41="yes",F41="yes",H41="covered"),1,IF(AND(E41="yes",H41="partial"),0.5,0))</x:f>
        <x:v>1</x:v>
      </x:c>
    </x:row>
    <x:row r="42" s="51" customFormat="1" ht="30" customHeight="1">
      <x:c r="A42" s="73" t="n">
        <x:v>34</x:v>
      </x:c>
      <x:c r="B42" s="84" t="inlineStr">
        <x:is>
          <x:t xml:space="preserve">Identity</x:t>
        </x:is>
      </x:c>
      <x:c r="C42" s="84" t="inlineStr">
        <x:is>
          <x:t xml:space="preserve">Fallback</x:t>
        </x:is>
      </x:c>
      <x:c r="D42" s="84" t="inlineStr">
        <x:is>
          <x:t xml:space="preserve">default tag is visible in Anatomy/Inspector</x:t>
        </x:is>
      </x:c>
      <x:c r="E42" s="76" t="inlineStr">
        <x:is>
          <x:t xml:space="preserve">yes</x:t>
        </x:is>
      </x:c>
      <x:c r="F42" s="76" t="inlineStr">
        <x:is>
          <x:t xml:space="preserve">yes</x:t>
        </x:is>
      </x:c>
      <x:c r="G42" s="73" t="inlineStr">
        <x:is>
          <x:t xml:space="preserve">passed</x:t>
        </x:is>
      </x:c>
      <x:c r="H42" s="92" t="inlineStr">
        <x:is>
          <x:t xml:space="preserve">covered</x:t>
        </x:is>
      </x:c>
      <x:c r="I42" s="84" t="inlineStr">
        <x:is>
          <x:t xml:space="preserve">Fallback default tag was verified when fallback is rendered.</x:t>
        </x:is>
      </x:c>
      <x:c r="J42" s="84" t="n"/>
      <x:c r="K42" s="87" t="n">
        <x:f>IF(AND(E42="yes",F42="yes",H42="covered"),1,IF(AND(E42="yes",H42="partial"),0.5,0))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Identity</x:t>
        </x:is>
      </x:c>
      <x:c r="C43" s="84" t="inlineStr">
        <x:is>
          <x:t xml:space="preserve">Fallback</x:t>
        </x:is>
      </x:c>
      <x:c r="D43" s="84" t="inlineStr">
        <x:is>
          <x:t xml:space="preserve">data-slot is present and correct</x:t>
        </x:is>
      </x:c>
      <x:c r="E43" s="76" t="inlineStr">
        <x:is>
          <x:t xml:space="preserve">yes</x:t>
        </x:is>
      </x:c>
      <x:c r="F43" s="76" t="inlineStr">
        <x:is>
          <x:t xml:space="preserve">yes</x:t>
        </x:is>
      </x:c>
      <x:c r="G43" s="73" t="inlineStr">
        <x:is>
          <x:t xml:space="preserve">passed</x:t>
        </x:is>
      </x:c>
      <x:c r="H43" s="92" t="inlineStr">
        <x:is>
          <x:t xml:space="preserve">covered</x:t>
        </x:is>
      </x:c>
      <x:c r="I43" s="84" t="inlineStr">
        <x:is>
          <x:t xml:space="preserve">Fallback data-slot was verified when fallback is rendered.</x:t>
        </x:is>
      </x:c>
      <x:c r="J43" s="84" t="n"/>
      <x:c r="K43" s="87" t="n">
        <x:f>IF(AND(E43="yes",F43="yes",H43="covered"),1,IF(AND(E43="yes",H43="partial"),0.5,0))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Props</x:t>
        </x:is>
      </x:c>
      <x:c r="C44" s="84" t="inlineStr">
        <x:is>
          <x:t xml:space="preserve">Fallback</x:t>
        </x:is>
      </x:c>
      <x:c r="D44" s="84" t="inlineStr">
        <x:is>
          <x:t xml:space="preserve">non-Atom native props pass through with data-prop-check marker</x:t>
        </x:is>
      </x:c>
      <x:c r="E44" s="76" t="inlineStr">
        <x:is>
          <x:t xml:space="preserve">yes</x:t>
        </x:is>
      </x:c>
      <x:c r="F44" s="76" t="inlineStr">
        <x:is>
          <x:t xml:space="preserve">yes</x:t>
        </x:is>
      </x:c>
      <x:c r="G44" s="73" t="inlineStr">
        <x:is>
          <x:t xml:space="preserve">passed</x:t>
        </x:is>
      </x:c>
      <x:c r="H44" s="92" t="inlineStr">
        <x:is>
          <x:t xml:space="preserve">covered</x:t>
        </x:is>
      </x:c>
      <x:c r="I44" s="84" t="inlineStr">
        <x:is>
          <x:t xml:space="preserve">Fallback native/data prop passthrough marker was verified in Inspector.</x:t>
        </x:is>
      </x:c>
      <x:c r="J44" s="84" t="n"/>
      <x:c r="K44" s="87" t="n">
        <x:f>IF(AND(E44="yes",F44="yes",H44="covered"),1,IF(AND(E44="yes",H44="partial"),0.5,0))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Refs</x:t>
        </x:is>
      </x:c>
      <x:c r="C45" s="84" t="inlineStr">
        <x:is>
          <x:t xml:space="preserve">Fallback</x:t>
        </x:is>
      </x:c>
      <x:c r="D45" s="84" t="inlineStr">
        <x:is>
          <x:t xml:space="preserve">consumer ref receives the rendered element</x:t>
        </x:is>
      </x:c>
      <x:c r="E45" s="76" t="inlineStr">
        <x:is>
          <x:t xml:space="preserve">yes</x:t>
        </x:is>
      </x:c>
      <x:c r="F45" s="76" t="inlineStr">
        <x:is>
          <x:t xml:space="preserve">yes</x:t>
        </x:is>
      </x:c>
      <x:c r="G45" s="73" t="inlineStr">
        <x:is>
          <x:t xml:space="preserve">passed</x:t>
        </x:is>
      </x:c>
      <x:c r="H45" s="92" t="inlineStr">
        <x:is>
          <x:t xml:space="preserve">covered</x:t>
        </x:is>
      </x:c>
      <x:c r="I45" s="84" t="inlineStr">
        <x:is>
          <x:t xml:space="preserve">Fallback ref target was verified as span in Anatomy.</x:t>
        </x:is>
      </x:c>
      <x:c r="J45" s="84" t="n"/>
      <x:c r="K45" s="87" t="n">
        <x:f>IF(AND(E45="yes",F45="yes",H45="covered"),1,IF(AND(E45="yes",H45="partial"),0.5,0))</x:f>
        <x:v>1</x:v>
      </x:c>
    </x:row>
    <x:row r="46" s="51" customFormat="1" ht="30" customHeight="1">
      <x:c r="A46" s="73" t="n">
        <x:v>38</x:v>
      </x:c>
      <x:c r="B46" s="84" t="inlineStr">
        <x:is>
          <x:t xml:space="preserve">Composition</x:t>
        </x:is>
      </x:c>
      <x:c r="C46" s="84" t="inlineStr">
        <x:is>
          <x:t xml:space="preserve">Fallback</x:t>
        </x:is>
      </x:c>
      <x:c r="D46" s="84" t="inlineStr">
        <x:is>
          <x:t xml:space="preserve">asChild prop behavior</x:t>
        </x:is>
      </x:c>
      <x:c r="E46" s="76" t="inlineStr">
        <x:is>
          <x:t xml:space="preserve">yes</x:t>
        </x:is>
      </x:c>
      <x:c r="F46" s="76" t="inlineStr">
        <x:is>
          <x:t xml:space="preserve">yes</x:t>
        </x:is>
      </x:c>
      <x:c r="G46" s="73" t="inlineStr">
        <x:is>
          <x:t xml:space="preserve">passed</x:t>
        </x:is>
      </x:c>
      <x:c r="H46" s="92" t="inlineStr">
        <x:is>
          <x:t xml:space="preserve">covered</x:t>
        </x:is>
      </x:c>
      <x:c r="I46" s="84" t="inlineStr">
        <x:is>
          <x:t xml:space="preserve">Fallback asChild behavior was manually verified.</x:t>
        </x:is>
      </x:c>
      <x:c r="J46" s="84" t="n"/>
      <x:c r="K46" s="87" t="n">
        <x:f>IF(AND(E46="yes",F46="yes",H46="covered"),1,IF(AND(E46="yes",H46="partial"),0.5,0))</x:f>
        <x:v>1</x:v>
      </x:c>
    </x:row>
    <x:row r="47" s="51" customFormat="1" ht="30" customHeight="1">
      <x:c r="A47" s="73" t="n">
        <x:v>39</x:v>
      </x:c>
      <x:c r="B47" s="84" t="inlineStr">
        <x:is>
          <x:t xml:space="preserve">Composition</x:t>
        </x:is>
      </x:c>
      <x:c r="C47" s="84" t="inlineStr">
        <x:is>
          <x:t xml:space="preserve">Fallback</x:t>
        </x:is>
      </x:c>
      <x:c r="D47" s="84" t="inlineStr">
        <x:is>
          <x:t xml:space="preserve">render prop behavior</x:t>
        </x:is>
      </x:c>
      <x:c r="E47" s="76" t="inlineStr">
        <x:is>
          <x:t xml:space="preserve">yes</x:t>
        </x:is>
      </x:c>
      <x:c r="F47" s="76" t="inlineStr">
        <x:is>
          <x:t xml:space="preserve">yes</x:t>
        </x:is>
      </x:c>
      <x:c r="G47" s="73" t="inlineStr">
        <x:is>
          <x:t xml:space="preserve">passed</x:t>
        </x:is>
      </x:c>
      <x:c r="H47" s="92" t="inlineStr">
        <x:is>
          <x:t xml:space="preserve">covered</x:t>
        </x:is>
      </x:c>
      <x:c r="I47" s="84" t="inlineStr">
        <x:is>
          <x:t xml:space="preserve">Fallback render behavior was manually verified.</x:t>
        </x:is>
      </x:c>
      <x:c r="J47" s="84" t="n"/>
      <x:c r="K47" s="87" t="n">
        <x:f>IF(AND(E47="yes",F47="yes",H47="covered"),1,IF(AND(E47="yes",H47="partial"),0.5,0))</x:f>
        <x:v>1</x:v>
      </x:c>
    </x:row>
    <x:row r="48" s="51" customFormat="1" ht="30" customHeight="1">
      <x:c r="A48" s="73" t="n">
        <x:v>40</x:v>
      </x:c>
      <x:c r="B48" s="84" t="inlineStr">
        <x:is>
          <x:t xml:space="preserve">Public API</x:t>
        </x:is>
      </x:c>
      <x:c r="C48" s="84" t="inlineStr">
        <x:is>
          <x:t xml:space="preserve">Fallback</x:t>
        </x:is>
      </x:c>
      <x:c r="D48" s="84" t="inlineStr">
        <x:is>
          <x:t xml:space="preserve">delayMs prop behavior</x:t>
        </x:is>
      </x:c>
      <x:c r="E48" s="76" t="inlineStr">
        <x:is>
          <x:t xml:space="preserve">yes</x:t>
        </x:is>
      </x:c>
      <x:c r="F48" s="76" t="inlineStr">
        <x:is>
          <x:t xml:space="preserve">yes</x:t>
        </x:is>
      </x:c>
      <x:c r="G48" s="73" t="inlineStr">
        <x:is>
          <x:t xml:space="preserve">passed</x:t>
        </x:is>
      </x:c>
      <x:c r="H48" s="92" t="inlineStr">
        <x:is>
          <x:t xml:space="preserve">covered</x:t>
        </x:is>
      </x:c>
      <x:c r="I48" s="84" t="inlineStr">
        <x:is>
          <x:t xml:space="preserve">Fallback delayMs behavior is represented in Source and verified with Delay fallback on.</x:t>
        </x:is>
      </x:c>
      <x:c r="J48" s="84" t="n"/>
      <x:c r="K48" s="87" t="n">
        <x:f>IF(AND(E48="yes",F48="yes",H48="covered"),1,IF(AND(E48="yes",H48="partial"),0.5,0))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Public API</x:t>
        </x:is>
      </x:c>
      <x:c r="C49" s="84" t="inlineStr">
        <x:is>
          <x:t xml:space="preserve">Fallback</x:t>
        </x:is>
      </x:c>
      <x:c r="D49" s="84" t="inlineStr">
        <x:is>
          <x:t xml:space="preserve">[data-slot] prop behavior</x:t>
        </x:is>
      </x:c>
      <x:c r="E49" s="76" t="inlineStr">
        <x:is>
          <x:t xml:space="preserve">yes</x:t>
        </x:is>
      </x:c>
      <x:c r="F49" s="76" t="inlineStr">
        <x:is>
          <x:t xml:space="preserve">yes</x:t>
        </x:is>
      </x:c>
      <x:c r="G49" s="73" t="inlineStr">
        <x:is>
          <x:t xml:space="preserve">passed</x:t>
        </x:is>
      </x:c>
      <x:c r="H49" s="92" t="inlineStr">
        <x:is>
          <x:t xml:space="preserve">covered</x:t>
        </x:is>
      </x:c>
      <x:c r="I49" s="84" t="inlineStr">
        <x:is>
          <x:t xml:space="preserve">Fallback data-slot behavior was verified through data-slot="avatar-fallback".</x:t>
        </x:is>
      </x:c>
      <x:c r="J49" s="84" t="n"/>
      <x:c r="K49" s="87" t="n">
        <x:f>IF(AND(E49="yes",F49="yes",H49="covered"),1,IF(AND(E49="yes",H49="partial"),0.5,0))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Anatomy</x:t>
        </x:is>
      </x:c>
      <x:c r="C50" s="84" t="inlineStr">
        <x:is>
          <x:t xml:space="preserve">Image</x:t>
        </x:is>
      </x:c>
      <x:c r="D50" s="84" t="inlineStr">
        <x:is>
          <x:t xml:space="preserve">renders correct part when expected</x:t>
        </x:is>
      </x:c>
      <x:c r="E50" s="76" t="inlineStr">
        <x:is>
          <x:t xml:space="preserve">yes</x:t>
        </x:is>
      </x:c>
      <x:c r="F50" s="76" t="inlineStr">
        <x:is>
          <x:t xml:space="preserve">yes</x:t>
        </x:is>
      </x:c>
      <x:c r="G50" s="73" t="inlineStr">
        <x:is>
          <x:t xml:space="preserve">passed</x:t>
        </x:is>
      </x:c>
      <x:c r="H50" s="92" t="inlineStr">
        <x:is>
          <x:t xml:space="preserve">covered</x:t>
        </x:is>
      </x:c>
      <x:c r="I50" s="84" t="inlineStr">
        <x:is>
          <x:t xml:space="preserve">Image renders when loaded and is absent when broken/loading.</x:t>
        </x:is>
      </x:c>
      <x:c r="J50" s="84" t="n"/>
      <x:c r="K50" s="87" t="n">
        <x:f>IF(AND(E50="yes",F50="yes",H50="covered"),1,IF(AND(E50="yes",H50="partial"),0.5,0))</x:f>
        <x:v>1</x:v>
      </x:c>
    </x:row>
    <x:row r="51" s="51" customFormat="1" ht="30" customHeight="1">
      <x:c r="A51" s="73" t="n">
        <x:v>43</x:v>
      </x:c>
      <x:c r="B51" s="84" t="inlineStr">
        <x:is>
          <x:t xml:space="preserve">Anatomy</x:t>
        </x:is>
      </x:c>
      <x:c r="C51" s="84" t="inlineStr">
        <x:is>
          <x:t xml:space="preserve">Image</x:t>
        </x:is>
      </x:c>
      <x:c r="D51" s="84" t="inlineStr">
        <x:is>
          <x:t xml:space="preserve">appears in documented order</x:t>
        </x:is>
      </x:c>
      <x:c r="E51" s="76" t="inlineStr">
        <x:is>
          <x:t xml:space="preserve">yes</x:t>
        </x:is>
      </x:c>
      <x:c r="F51" s="76" t="inlineStr">
        <x:is>
          <x:t xml:space="preserve">yes</x:t>
        </x:is>
      </x:c>
      <x:c r="G51" s="73" t="inlineStr">
        <x:is>
          <x:t xml:space="preserve">passed</x:t>
        </x:is>
      </x:c>
      <x:c r="H51" s="92" t="inlineStr">
        <x:is>
          <x:t xml:space="preserve">covered</x:t>
        </x:is>
      </x:c>
      <x:c r="I51" s="84" t="inlineStr">
        <x:is>
          <x:t xml:space="preserve">Image appears in the expected Avatar anatomy order.</x:t>
        </x:is>
      </x:c>
      <x:c r="J51" s="84" t="n"/>
      <x:c r="K51" s="87" t="n">
        <x:f>IF(AND(E51="yes",F51="yes",H51="covered"),1,IF(AND(E51="yes",H51="partial"),0.5,0))</x:f>
        <x:v>1</x:v>
      </x:c>
    </x:row>
    <x:row r="52" s="51" customFormat="1" ht="30" customHeight="1">
      <x:c r="A52" s="73" t="n">
        <x:v>44</x:v>
      </x:c>
      <x:c r="B52" s="84" t="inlineStr">
        <x:is>
          <x:t xml:space="preserve">Identity</x:t>
        </x:is>
      </x:c>
      <x:c r="C52" s="84" t="inlineStr">
        <x:is>
          <x:t xml:space="preserve">Image</x:t>
        </x:is>
      </x:c>
      <x:c r="D52" s="84" t="inlineStr">
        <x:is>
          <x:t xml:space="preserve">default tag is visible in Anatomy/Inspector</x:t>
        </x:is>
      </x:c>
      <x:c r="E52" s="76" t="inlineStr">
        <x:is>
          <x:t xml:space="preserve">yes</x:t>
        </x:is>
      </x:c>
      <x:c r="F52" s="76" t="inlineStr">
        <x:is>
          <x:t xml:space="preserve">yes</x:t>
        </x:is>
      </x:c>
      <x:c r="G52" s="73" t="inlineStr">
        <x:is>
          <x:t xml:space="preserve">passed</x:t>
        </x:is>
      </x:c>
      <x:c r="H52" s="92" t="inlineStr">
        <x:is>
          <x:t xml:space="preserve">covered</x:t>
        </x:is>
      </x:c>
      <x:c r="I52" s="84" t="inlineStr">
        <x:is>
          <x:t xml:space="preserve">Image default tag was verified as img when loaded.</x:t>
        </x:is>
      </x:c>
      <x:c r="J52" s="84" t="n"/>
      <x:c r="K52" s="87" t="n">
        <x:f>IF(AND(E52="yes",F52="yes",H52="covered"),1,IF(AND(E52="yes",H52="partial"),0.5,0))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Identity</x:t>
        </x:is>
      </x:c>
      <x:c r="C53" s="84" t="inlineStr">
        <x:is>
          <x:t xml:space="preserve">Image</x:t>
        </x:is>
      </x:c>
      <x:c r="D53" s="84" t="inlineStr">
        <x:is>
          <x:t xml:space="preserve">data-slot is present and correct</x:t>
        </x:is>
      </x:c>
      <x:c r="E53" s="76" t="inlineStr">
        <x:is>
          <x:t xml:space="preserve">yes</x:t>
        </x:is>
      </x:c>
      <x:c r="F53" s="76" t="inlineStr">
        <x:is>
          <x:t xml:space="preserve">yes</x:t>
        </x:is>
      </x:c>
      <x:c r="G53" s="73" t="inlineStr">
        <x:is>
          <x:t xml:space="preserve">passed</x:t>
        </x:is>
      </x:c>
      <x:c r="H53" s="92" t="inlineStr">
        <x:is>
          <x:t xml:space="preserve">covered</x:t>
        </x:is>
      </x:c>
      <x:c r="I53" s="84" t="inlineStr">
        <x:is>
          <x:t xml:space="preserve">Image data-slot was verified as avatar-image when loaded.</x:t>
        </x:is>
      </x:c>
      <x:c r="J53" s="84" t="n"/>
      <x:c r="K53" s="87" t="n">
        <x:f>IF(AND(E53="yes",F53="yes",H53="covered"),1,IF(AND(E53="yes",H53="partial"),0.5,0))</x:f>
        <x:v>1</x:v>
      </x:c>
    </x:row>
    <x:row r="54" s="51" customFormat="1" ht="30" customHeight="1">
      <x:c r="A54" s="73" t="n">
        <x:v>46</x:v>
      </x:c>
      <x:c r="B54" s="84" t="inlineStr">
        <x:is>
          <x:t xml:space="preserve">Props</x:t>
        </x:is>
      </x:c>
      <x:c r="C54" s="84" t="inlineStr">
        <x:is>
          <x:t xml:space="preserve">Image</x:t>
        </x:is>
      </x:c>
      <x:c r="D54" s="84" t="inlineStr">
        <x:is>
          <x:t xml:space="preserve">non-Atom native props pass through with data-prop-check marker</x:t>
        </x:is>
      </x:c>
      <x:c r="E54" s="76" t="inlineStr">
        <x:is>
          <x:t xml:space="preserve">yes</x:t>
        </x:is>
      </x:c>
      <x:c r="F54" s="76" t="inlineStr">
        <x:is>
          <x:t xml:space="preserve">yes</x:t>
        </x:is>
      </x:c>
      <x:c r="G54" s="73" t="inlineStr">
        <x:is>
          <x:t xml:space="preserve">passed</x:t>
        </x:is>
      </x:c>
      <x:c r="H54" s="92" t="inlineStr">
        <x:is>
          <x:t xml:space="preserve">covered</x:t>
        </x:is>
      </x:c>
      <x:c r="I54" s="84" t="inlineStr">
        <x:is>
          <x:t xml:space="preserve">Image native/data prop passthrough marker was verified in Inspector.</x:t>
        </x:is>
      </x:c>
      <x:c r="J54" s="84" t="n"/>
      <x:c r="K54" s="87" t="n">
        <x:f>IF(AND(E54="yes",F54="yes",H54="covered"),1,IF(AND(E54="yes",H54="partial"),0.5,0))</x:f>
        <x:v>1</x:v>
      </x:c>
    </x:row>
    <x:row r="55" s="51" customFormat="1" ht="30" customHeight="1">
      <x:c r="A55" s="73" t="n">
        <x:v>47</x:v>
      </x:c>
      <x:c r="B55" s="84" t="inlineStr">
        <x:is>
          <x:t xml:space="preserve">Refs</x:t>
        </x:is>
      </x:c>
      <x:c r="C55" s="84" t="inlineStr">
        <x:is>
          <x:t xml:space="preserve">Image</x:t>
        </x:is>
      </x:c>
      <x:c r="D55" s="84" t="inlineStr">
        <x:is>
          <x:t xml:space="preserve">consumer ref receives the rendered element</x:t>
        </x:is>
      </x:c>
      <x:c r="E55" s="76" t="inlineStr">
        <x:is>
          <x:t xml:space="preserve">yes</x:t>
        </x:is>
      </x:c>
      <x:c r="F55" s="76" t="inlineStr">
        <x:is>
          <x:t xml:space="preserve">yes</x:t>
        </x:is>
      </x:c>
      <x:c r="G55" s="73" t="inlineStr">
        <x:is>
          <x:t xml:space="preserve">passed</x:t>
        </x:is>
      </x:c>
      <x:c r="H55" s="92" t="inlineStr">
        <x:is>
          <x:t xml:space="preserve">covered</x:t>
        </x:is>
      </x:c>
      <x:c r="I55" s="84" t="inlineStr">
        <x:is>
          <x:t xml:space="preserve">Image ref target was verified as img in Anatomy.</x:t>
        </x:is>
      </x:c>
      <x:c r="J55" s="84" t="n"/>
      <x:c r="K55" s="87" t="n">
        <x:f>IF(AND(E55="yes",F55="yes",H55="covered"),1,IF(AND(E55="yes",H55="partial"),0.5,0))</x:f>
        <x:v>1</x:v>
      </x:c>
    </x:row>
    <x:row r="56" s="51" customFormat="1" ht="30" customHeight="1">
      <x:c r="A56" s="73" t="n">
        <x:v>48</x:v>
      </x:c>
      <x:c r="B56" s="84" t="inlineStr">
        <x:is>
          <x:t xml:space="preserve">Composition</x:t>
        </x:is>
      </x:c>
      <x:c r="C56" s="84" t="inlineStr">
        <x:is>
          <x:t xml:space="preserve">Image</x:t>
        </x:is>
      </x:c>
      <x:c r="D56" s="84" t="inlineStr">
        <x:is>
          <x:t xml:space="preserve">asChild prop behavior</x:t>
        </x:is>
      </x:c>
      <x:c r="E56" s="76" t="inlineStr">
        <x:is>
          <x:t xml:space="preserve">yes</x:t>
        </x:is>
      </x:c>
      <x:c r="F56" s="76" t="inlineStr">
        <x:is>
          <x:t xml:space="preserve">yes</x:t>
        </x:is>
      </x:c>
      <x:c r="G56" s="73" t="inlineStr">
        <x:is>
          <x:t xml:space="preserve">passed</x:t>
        </x:is>
      </x:c>
      <x:c r="H56" s="92" t="inlineStr">
        <x:is>
          <x:t xml:space="preserve">covered</x:t>
        </x:is>
      </x:c>
      <x:c r="I56" s="84" t="inlineStr">
        <x:is>
          <x:t xml:space="preserve">Image asChild behavior was manually verified with live alt/data updates.</x:t>
        </x:is>
      </x:c>
      <x:c r="J56" s="84" t="n"/>
      <x:c r="K56" s="87" t="n">
        <x:f>IF(AND(E56="yes",F56="yes",H56="covered"),1,IF(AND(E56="yes",H56="partial"),0.5,0))</x:f>
        <x:v>1</x:v>
      </x:c>
    </x:row>
    <x:row r="57" s="51" customFormat="1" ht="30" customHeight="1">
      <x:c r="A57" s="73" t="n">
        <x:v>49</x:v>
      </x:c>
      <x:c r="B57" s="84" t="inlineStr">
        <x:is>
          <x:t xml:space="preserve">Composition</x:t>
        </x:is>
      </x:c>
      <x:c r="C57" s="84" t="inlineStr">
        <x:is>
          <x:t xml:space="preserve">Image</x:t>
        </x:is>
      </x:c>
      <x:c r="D57" s="84" t="inlineStr">
        <x:is>
          <x:t xml:space="preserve">render prop behavior</x:t>
        </x:is>
      </x:c>
      <x:c r="E57" s="76" t="inlineStr">
        <x:is>
          <x:t xml:space="preserve">yes</x:t>
        </x:is>
      </x:c>
      <x:c r="F57" s="76" t="inlineStr">
        <x:is>
          <x:t xml:space="preserve">yes</x:t>
        </x:is>
      </x:c>
      <x:c r="G57" s="73" t="inlineStr">
        <x:is>
          <x:t xml:space="preserve">passed</x:t>
        </x:is>
      </x:c>
      <x:c r="H57" s="92" t="inlineStr">
        <x:is>
          <x:t xml:space="preserve">covered</x:t>
        </x:is>
      </x:c>
      <x:c r="I57" s="84" t="inlineStr">
        <x:is>
          <x:t xml:space="preserve">Image render behavior was manually verified with live alt/data updates.</x:t>
        </x:is>
      </x:c>
      <x:c r="J57" s="84" t="n"/>
      <x:c r="K57" s="87" t="n">
        <x:f>IF(AND(E57="yes",F57="yes",H57="covered"),1,IF(AND(E57="yes",H57="partial"),0.5,0))</x:f>
        <x:v>1</x:v>
      </x:c>
    </x:row>
    <x:row r="58" s="51" customFormat="1" ht="30" customHeight="1">
      <x:c r="A58" s="73" t="n">
        <x:v>50</x:v>
      </x:c>
      <x:c r="B58" s="84" t="inlineStr">
        <x:is>
          <x:t xml:space="preserve">Public API</x:t>
        </x:is>
      </x:c>
      <x:c r="C58" s="84" t="inlineStr">
        <x:is>
          <x:t xml:space="preserve">Image</x:t>
        </x:is>
      </x:c>
      <x:c r="D58" s="84" t="inlineStr">
        <x:is>
          <x:t xml:space="preserve">src prop behavior</x:t>
        </x:is>
      </x:c>
      <x:c r="E58" s="76" t="inlineStr">
        <x:is>
          <x:t xml:space="preserve">yes</x:t>
        </x:is>
      </x:c>
      <x:c r="F58" s="76" t="inlineStr">
        <x:is>
          <x:t xml:space="preserve">yes</x:t>
        </x:is>
      </x:c>
      <x:c r="G58" s="73" t="inlineStr">
        <x:is>
          <x:t xml:space="preserve">passed</x:t>
        </x:is>
      </x:c>
      <x:c r="H58" s="92" t="inlineStr">
        <x:is>
          <x:t xml:space="preserve">covered</x:t>
        </x:is>
      </x:c>
      <x:c r="I58" s="84" t="inlineStr">
        <x:is>
          <x:t xml:space="preserve">Image src behavior was verified through loaded, broken, and loading source modes.</x:t>
        </x:is>
      </x:c>
      <x:c r="J58" s="84" t="n"/>
      <x:c r="K58" s="87" t="n">
        <x:f>IF(AND(E58="yes",F58="yes",H58="covered"),1,IF(AND(E58="yes",H58="partial"),0.5,0))</x:f>
        <x:v>1</x:v>
      </x:c>
    </x:row>
    <x:row r="59" s="51" customFormat="1" ht="30" customHeight="1">
      <x:c r="A59" s="73" t="n">
        <x:v>51</x:v>
      </x:c>
      <x:c r="B59" s="84" t="inlineStr">
        <x:is>
          <x:t xml:space="preserve">Public API</x:t>
        </x:is>
      </x:c>
      <x:c r="C59" s="84" t="inlineStr">
        <x:is>
          <x:t xml:space="preserve">Image</x:t>
        </x:is>
      </x:c>
      <x:c r="D59" s="84" t="inlineStr">
        <x:is>
          <x:t xml:space="preserve">alt prop behavior</x:t>
        </x:is>
      </x:c>
      <x:c r="E59" s="76" t="inlineStr">
        <x:is>
          <x:t xml:space="preserve">yes</x:t>
        </x:is>
      </x:c>
      <x:c r="F59" s="76" t="inlineStr">
        <x:is>
          <x:t xml:space="preserve">yes</x:t>
        </x:is>
      </x:c>
      <x:c r="G59" s="73" t="inlineStr">
        <x:is>
          <x:t xml:space="preserve">passed</x:t>
        </x:is>
      </x:c>
      <x:c r="H59" s="92" t="inlineStr">
        <x:is>
          <x:t xml:space="preserve">covered</x:t>
        </x:is>
      </x:c>
      <x:c r="I59" s="84" t="inlineStr">
        <x:is>
          <x:t xml:space="preserve">Image alt behavior was verified for meaningful alt text and decorative alt="".</x:t>
        </x:is>
      </x:c>
      <x:c r="J59" s="84" t="n"/>
      <x:c r="K59" s="87" t="n">
        <x:f>IF(AND(E59="yes",F59="yes",H59="covered"),1,IF(AND(E59="yes",H59="partial"),0.5,0))</x:f>
        <x:v>1</x:v>
      </x:c>
    </x:row>
    <x:row r="60" s="51" customFormat="1" ht="30" customHeight="1">
      <x:c r="A60" s="73" t="n">
        <x:v>52</x:v>
      </x:c>
      <x:c r="B60" s="84" t="inlineStr">
        <x:is>
          <x:t xml:space="preserve">Public API</x:t>
        </x:is>
      </x:c>
      <x:c r="C60" s="84" t="inlineStr">
        <x:is>
          <x:t xml:space="preserve">Image</x:t>
        </x:is>
      </x:c>
      <x:c r="D60" s="84" t="inlineStr">
        <x:is>
          <x:t xml:space="preserve">[data-slot] prop behavior</x:t>
        </x:is>
      </x:c>
      <x:c r="E60" s="76" t="inlineStr">
        <x:is>
          <x:t xml:space="preserve">yes</x:t>
        </x:is>
      </x:c>
      <x:c r="F60" s="76" t="inlineStr">
        <x:is>
          <x:t xml:space="preserve">yes</x:t>
        </x:is>
      </x:c>
      <x:c r="G60" s="73" t="inlineStr">
        <x:is>
          <x:t xml:space="preserve">passed</x:t>
        </x:is>
      </x:c>
      <x:c r="H60" s="92" t="inlineStr">
        <x:is>
          <x:t xml:space="preserve">covered</x:t>
        </x:is>
      </x:c>
      <x:c r="I60" s="84" t="inlineStr">
        <x:is>
          <x:t xml:space="preserve">Image data-slot override/default behavior was verified through data-slot="avatar-image".</x:t>
        </x:is>
      </x:c>
      <x:c r="J60" s="84" t="n"/>
      <x:c r="K60" s="87" t="n">
        <x:f>IF(AND(E60="yes",F60="yes",H60="covered"),1,IF(AND(E60="yes",H60="partial"),0.5,0))</x:f>
        <x:v>1</x:v>
      </x:c>
    </x:row>
    <x:row r="61" s="51" customFormat="1" ht="30" customHeight="1">
      <x:c r="A61" s="73" t="n">
        <x:v>53</x:v>
      </x:c>
      <x:c r="B61" s="84" t="inlineStr">
        <x:is>
          <x:t xml:space="preserve">Data</x:t>
        </x:is>
      </x:c>
      <x:c r="C61" s="84" t="inlineStr">
        <x:is>
          <x:t xml:space="preserve">Live DOM</x:t>
        </x:is>
      </x:c>
      <x:c r="D61" s="84" t="inlineStr">
        <x:is>
          <x:t xml:space="preserve">data-slot is present at the correct time</x:t>
        </x:is>
      </x:c>
      <x:c r="E61" s="76" t="inlineStr">
        <x:is>
          <x:t xml:space="preserve">yes</x:t>
        </x:is>
      </x:c>
      <x:c r="F61" s="76" t="inlineStr">
        <x:is>
          <x:t xml:space="preserve">yes</x:t>
        </x:is>
      </x:c>
      <x:c r="G61" s="73" t="inlineStr">
        <x:is>
          <x:t xml:space="preserve">passed</x:t>
        </x:is>
      </x:c>
      <x:c r="H61" s="92" t="inlineStr">
        <x:is>
          <x:t xml:space="preserve">covered</x:t>
        </x:is>
      </x:c>
      <x:c r="I61" s="84" t="inlineStr">
        <x:is>
          <x:t xml:space="preserve">Live data-slot and data attributes were verified in Anatomy/Inspector for the rendered Avatar parts.</x:t>
        </x:is>
      </x:c>
      <x:c r="J61" s="84" t="n"/>
      <x:c r="K61" s="87" t="n">
        <x:f>IF(AND(E61="yes",F61="yes",H61="covered"),1,IF(AND(E61="yes",H61="partial"),0.5,0))</x:f>
        <x:v>1</x:v>
      </x:c>
    </x:row>
    <x:row r="62" s="51" customFormat="1" ht="30" customHeight="1">
      <x:c r="A62" s="73" t="n">
        <x:v>54</x:v>
      </x:c>
      <x:c r="B62" s="84" t="inlineStr">
        <x:is>
          <x:t xml:space="preserve">Composition</x:t>
        </x:is>
      </x:c>
      <x:c r="C62" s="84" t="inlineStr">
        <x:is>
          <x:t xml:space="preserve">Avatar</x:t>
        </x:is>
      </x:c>
      <x:c r="D62" s="84" t="inlineStr">
        <x:is>
          <x:t xml:space="preserve">asChild preserves child content without double nesting</x:t>
        </x:is>
      </x:c>
      <x:c r="E62" s="76" t="inlineStr">
        <x:is>
          <x:t xml:space="preserve">yes</x:t>
        </x:is>
      </x:c>
      <x:c r="F62" s="76" t="inlineStr">
        <x:is>
          <x:t xml:space="preserve">yes</x:t>
        </x:is>
      </x:c>
      <x:c r="G62" s="73" t="inlineStr">
        <x:is>
          <x:t xml:space="preserve">passed</x:t>
        </x:is>
      </x:c>
      <x:c r="H62" s="92" t="inlineStr">
        <x:is>
          <x:t xml:space="preserve">covered</x:t>
        </x:is>
      </x:c>
      <x:c r="I62" s="84" t="inlineStr">
        <x:is>
          <x:t xml:space="preserve">Avatar asChild composition preserved child image rendering without duplicate nesting.</x:t>
        </x:is>
      </x:c>
      <x:c r="J62" s="84" t="n"/>
      <x:c r="K62" s="87" t="n">
        <x:f>IF(AND(E62="yes",F62="yes",H62="covered"),1,IF(AND(E62="yes",H62="partial"),0.5,0))</x:f>
        <x:v>1</x:v>
      </x:c>
    </x:row>
    <x:row r="63" s="51" customFormat="1" ht="30" customHeight="1">
      <x:c r="A63" s="73" t="n">
        <x:v>55</x:v>
      </x:c>
      <x:c r="B63" s="84" t="inlineStr">
        <x:is>
          <x:t xml:space="preserve">Composition</x:t>
        </x:is>
      </x:c>
      <x:c r="C63" s="84" t="inlineStr">
        <x:is>
          <x:t xml:space="preserve">Avatar</x:t>
        </x:is>
      </x:c>
      <x:c r="D63" s="84" t="inlineStr">
        <x:is>
          <x:t xml:space="preserve">asChild merges Atom props and consumer props</x:t>
        </x:is>
      </x:c>
      <x:c r="E63" s="76" t="inlineStr">
        <x:is>
          <x:t xml:space="preserve">yes</x:t>
        </x:is>
      </x:c>
      <x:c r="F63" s="76" t="inlineStr">
        <x:is>
          <x:t xml:space="preserve">yes</x:t>
        </x:is>
      </x:c>
      <x:c r="G63" s="73" t="inlineStr">
        <x:is>
          <x:t xml:space="preserve">passed</x:t>
        </x:is>
      </x:c>
      <x:c r="H63" s="92" t="inlineStr">
        <x:is>
          <x:t xml:space="preserve">covered</x:t>
        </x:is>
      </x:c>
      <x:c r="I63" s="84" t="inlineStr">
        <x:is>
          <x:t xml:space="preserve">Avatar asChild composition merged Atom image props and consumer data props.</x:t>
        </x:is>
      </x:c>
      <x:c r="J63" s="84" t="n"/>
      <x:c r="K63" s="87" t="n">
        <x:f>IF(AND(E63="yes",F63="yes",H63="covered"),1,IF(AND(E63="yes",H63="partial"),0.5,0))</x:f>
        <x:v>1</x:v>
      </x:c>
    </x:row>
    <x:row r="64" s="51" customFormat="1" ht="30" customHeight="1">
      <x:c r="A64" s="73" t="n">
        <x:v>56</x:v>
      </x:c>
      <x:c r="B64" s="84" t="inlineStr">
        <x:is>
          <x:t xml:space="preserve">Composition</x:t>
        </x:is>
      </x:c>
      <x:c r="C64" s="84" t="inlineStr">
        <x:is>
          <x:t xml:space="preserve">Avatar</x:t>
        </x:is>
      </x:c>
      <x:c r="D64" s="84" t="inlineStr">
        <x:is>
          <x:t xml:space="preserve">render prop renders custom element</x:t>
        </x:is>
      </x:c>
      <x:c r="E64" s="76" t="inlineStr">
        <x:is>
          <x:t xml:space="preserve">yes</x:t>
        </x:is>
      </x:c>
      <x:c r="F64" s="76" t="inlineStr">
        <x:is>
          <x:t xml:space="preserve">yes</x:t>
        </x:is>
      </x:c>
      <x:c r="G64" s="73" t="inlineStr">
        <x:is>
          <x:t xml:space="preserve">passed</x:t>
        </x:is>
      </x:c>
      <x:c r="H64" s="92" t="inlineStr">
        <x:is>
          <x:t xml:space="preserve">covered</x:t>
        </x:is>
      </x:c>
      <x:c r="I64" s="84" t="inlineStr">
        <x:is>
          <x:t xml:space="preserve">Avatar render composition rendered the custom image element.</x:t>
        </x:is>
      </x:c>
      <x:c r="J64" s="84" t="n"/>
      <x:c r="K64" s="87" t="n">
        <x:f>IF(AND(E64="yes",F64="yes",H64="covered"),1,IF(AND(E64="yes",H64="partial"),0.5,0))</x:f>
        <x:v>1</x:v>
      </x:c>
    </x:row>
    <x:row r="65" s="51" customFormat="1" ht="30" customHeight="1">
      <x:c r="A65" s="73" t="n">
        <x:v>57</x:v>
      </x:c>
      <x:c r="B65" s="84" t="inlineStr">
        <x:is>
          <x:t xml:space="preserve">Composition</x:t>
        </x:is>
      </x:c>
      <x:c r="C65" s="84" t="inlineStr">
        <x:is>
          <x:t xml:space="preserve">Avatar</x:t>
        </x:is>
      </x:c>
      <x:c r="D65" s="84" t="inlineStr">
        <x:is>
          <x:t xml:space="preserve">render prop preserves refs and behavior props</x:t>
        </x:is>
      </x:c>
      <x:c r="E65" s="76" t="inlineStr">
        <x:is>
          <x:t xml:space="preserve">yes</x:t>
        </x:is>
      </x:c>
      <x:c r="F65" s="76" t="inlineStr">
        <x:is>
          <x:t xml:space="preserve">yes</x:t>
        </x:is>
      </x:c>
      <x:c r="G65" s="73" t="inlineStr">
        <x:is>
          <x:t xml:space="preserve">passed</x:t>
        </x:is>
      </x:c>
      <x:c r="H65" s="92" t="inlineStr">
        <x:is>
          <x:t xml:space="preserve">covered</x:t>
        </x:is>
      </x:c>
      <x:c r="I65" s="84" t="inlineStr">
        <x:is>
          <x:t xml:space="preserve">Avatar render composition preserved refs and behavior props on the image.</x:t>
        </x:is>
      </x:c>
      <x:c r="J65" s="84" t="n"/>
      <x:c r="K65" s="87" t="n">
        <x:f>IF(AND(E65="yes",F65="yes",H65="covered"),1,IF(AND(E65="yes",H65="partial"),0.5,0))</x:f>
        <x:v>1</x:v>
      </x:c>
    </x:row>
    <x:row r="66" s="51" customFormat="1" ht="30" customHeight="1">
      <x:c r="A66" s="73" t="n">
        <x:v>58</x:v>
      </x:c>
      <x:c r="B66" s="84" t="inlineStr">
        <x:is>
          <x:t xml:space="preserve">State</x:t>
        </x:is>
      </x:c>
      <x:c r="C66" s="84" t="inlineStr">
        <x:is>
          <x:t xml:space="preserve">Root</x:t>
        </x:is>
      </x:c>
      <x:c r="D66" s="84" t="inlineStr">
        <x:is>
          <x:t xml:space="preserve">state change callback fires once with correct value</x:t>
        </x:is>
      </x:c>
      <x:c r="E66" s="76" t="inlineStr">
        <x:is>
          <x:t xml:space="preserve">yes</x:t>
        </x:is>
      </x:c>
      <x:c r="F66" s="76" t="inlineStr">
        <x:is>
          <x:t xml:space="preserve">yes</x:t>
        </x:is>
      </x:c>
      <x:c r="G66" s="73" t="inlineStr">
        <x:is>
          <x:t xml:space="preserve">passed</x:t>
        </x:is>
      </x:c>
      <x:c r="H66" s="92" t="inlineStr">
        <x:is>
          <x:t xml:space="preserve">covered</x:t>
        </x:is>
      </x:c>
      <x:c r="I66" s="84" t="inlineStr">
        <x:is>
          <x:t xml:space="preserve">Status change logging was verified without duplicate consecutive loading events.</x:t>
        </x:is>
      </x:c>
      <x:c r="J66" s="84" t="n"/>
      <x:c r="K66" s="87" t="n">
        <x:f>IF(AND(E66="yes",F66="yes",H66="covered"),1,IF(AND(E66="yes",H66="partial"),0.5,0))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Badge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IFERROR(SUM(K9:K33)/COUNTA(A9:A33),0)</x:f>
        <x:v>1</x:v>
      </x:c>
      <x:c r="C4" s="70" t="inlineStr">
        <x:is>
          <x:t xml:space="preserve">Covered</x:t>
        </x:is>
      </x:c>
      <x:c r="D4" s="82" t="n">
        <x:f>COUNTIF(H9:H33,"covered")</x:f>
        <x:v>25</x:v>
      </x:c>
      <x:c r="E4" s="70" t="inlineStr">
        <x:is>
          <x:t xml:space="preserve">Partial</x:t>
        </x:is>
      </x:c>
      <x:c r="F4" s="82" t="n">
        <x:f>COUNTIF(H9:H33,"partial")</x:f>
        <x:v>0</x:v>
      </x:c>
      <x:c r="G4" s="70" t="inlineStr">
        <x:is>
          <x:t xml:space="preserve">Missing</x:t>
        </x:is>
      </x:c>
      <x:c r="H4" s="82" t="n">
        <x:f>COUNTIF(H9:H33,"missing")</x:f>
        <x:v>0</x:v>
      </x:c>
      <x:c r="I4" s="70" t="inlineStr">
        <x:is>
          <x:t xml:space="preserve">Untested</x:t>
        </x:is>
      </x:c>
      <x:c r="J4" s="82" t="n">
        <x:f>COUNTIF(F9:F33,"no")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76" t="inlineStr">
        <x:is>
          <x:t xml:space="preserve">yes</x:t>
        </x:is>
      </x:c>
      <x:c r="G9" s="73" t="inlineStr">
        <x:is>
          <x:t xml:space="preserve">passed</x:t>
        </x:is>
      </x:c>
      <x:c r="H9" s="92" t="inlineStr">
        <x:is>
          <x:t xml:space="preserve">covered</x:t>
        </x:is>
      </x:c>
      <x:c r="I9" s="84" t="inlineStr">
        <x:is>
          <x:t xml:space="preserve">Badge props manual verification.</x:t>
        </x:is>
      </x:c>
      <x:c r="J9" s="84" t="n"/>
      <x:c r="K9" s="87" t="n">
        <x:f>IF(AND(E9="yes",F9="yes",H9="covered"),1,IF(AND(E9="yes",H9="partial"),0.5,0))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76" t="inlineStr">
        <x:is>
          <x:t xml:space="preserve">yes</x:t>
        </x:is>
      </x:c>
      <x:c r="G10" s="73" t="inlineStr">
        <x:is>
          <x:t xml:space="preserve">passed</x:t>
        </x:is>
      </x:c>
      <x:c r="H10" s="92" t="inlineStr">
        <x:is>
          <x:t xml:space="preserve">covered</x:t>
        </x:is>
      </x:c>
      <x:c r="I10" s="84" t="inlineStr">
        <x:is>
          <x:t xml:space="preserve">Badge props manual verification.</x:t>
        </x:is>
      </x:c>
      <x:c r="J10" s="84" t="n"/>
      <x:c r="K10" s="87" t="n">
        <x:f>IF(AND(E10="yes",F10="yes",H10="covered"),1,IF(AND(E10="yes",H10="partial"),0.5,0))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Badge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76" t="inlineStr">
        <x:is>
          <x:t xml:space="preserve">yes</x:t>
        </x:is>
      </x:c>
      <x:c r="G11" s="73" t="inlineStr">
        <x:is>
          <x:t xml:space="preserve">passed</x:t>
        </x:is>
      </x:c>
      <x:c r="H11" s="92" t="inlineStr">
        <x:is>
          <x:t xml:space="preserve">covered</x:t>
        </x:is>
      </x:c>
      <x:c r="I11" s="84" t="inlineStr">
        <x:is>
          <x:t xml:space="preserve">Badge playground manual verification.</x:t>
        </x:is>
      </x:c>
      <x:c r="J11" s="84" t="n"/>
      <x:c r="K11" s="87" t="n">
        <x:f>IF(AND(E11="yes",F11="yes",H11="covered"),1,IF(AND(E11="yes",H11="partial"),0.5,0))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Badge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76" t="inlineStr">
        <x:is>
          <x:t xml:space="preserve">yes</x:t>
        </x:is>
      </x:c>
      <x:c r="G12" s="73" t="inlineStr">
        <x:is>
          <x:t xml:space="preserve">passed</x:t>
        </x:is>
      </x:c>
      <x:c r="H12" s="92" t="inlineStr">
        <x:is>
          <x:t xml:space="preserve">covered</x:t>
        </x:is>
      </x:c>
      <x:c r="I12" s="84" t="inlineStr">
        <x:is>
          <x:t xml:space="preserve">Badge playground manual verification.</x:t>
        </x:is>
      </x:c>
      <x:c r="J12" s="84" t="n"/>
      <x:c r="K12" s="87" t="n">
        <x:f>IF(AND(E12="yes",F12="yes",H12="covered"),1,IF(AND(E12="yes",H12="partial"),0.5,0))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Badge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76" t="inlineStr">
        <x:is>
          <x:t xml:space="preserve">yes</x:t>
        </x:is>
      </x:c>
      <x:c r="G13" s="73" t="inlineStr">
        <x:is>
          <x:t xml:space="preserve">passed</x:t>
        </x:is>
      </x:c>
      <x:c r="H13" s="92" t="inlineStr">
        <x:is>
          <x:t xml:space="preserve">covered</x:t>
        </x:is>
      </x:c>
      <x:c r="I13" s="84" t="inlineStr">
        <x:is>
          <x:t xml:space="preserve">Badge playground manual verification.</x:t>
        </x:is>
      </x:c>
      <x:c r="J13" s="84" t="n"/>
      <x:c r="K13" s="87" t="n">
        <x:f>IF(AND(E13="yes",F13="yes",H13="covered"),1,IF(AND(E13="yes",H13="partial"),0.5,0))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Badge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76" t="inlineStr">
        <x:is>
          <x:t xml:space="preserve">yes</x:t>
        </x:is>
      </x:c>
      <x:c r="G14" s="73" t="inlineStr">
        <x:is>
          <x:t xml:space="preserve">passed</x:t>
        </x:is>
      </x:c>
      <x:c r="H14" s="92" t="inlineStr">
        <x:is>
          <x:t xml:space="preserve">covered</x:t>
        </x:is>
      </x:c>
      <x:c r="I14" s="84" t="inlineStr">
        <x:is>
          <x:t xml:space="preserve">Badge playground manual verification.</x:t>
        </x:is>
      </x:c>
      <x:c r="J14" s="84" t="n"/>
      <x:c r="K14" s="87" t="n">
        <x:f>IF(AND(E14="yes",F14="yes",H14="covered"),1,IF(AND(E14="yes",H14="partial"),0.5,0))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Badge</x:t>
        </x:is>
      </x:c>
      <x:c r="D15" s="84" t="inlineStr">
        <x:is>
          <x:t xml:space="preserve">Renders a native `span`</x:t>
        </x:is>
      </x:c>
      <x:c r="E15" s="76" t="inlineStr">
        <x:is>
          <x:t xml:space="preserve">yes</x:t>
        </x:is>
      </x:c>
      <x:c r="F15" s="76" t="inlineStr">
        <x:is>
          <x:t xml:space="preserve">yes</x:t>
        </x:is>
      </x:c>
      <x:c r="G15" s="73" t="inlineStr">
        <x:is>
          <x:t xml:space="preserve">passed</x:t>
        </x:is>
      </x:c>
      <x:c r="H15" s="92" t="inlineStr">
        <x:is>
          <x:t xml:space="preserve">covered</x:t>
        </x:is>
      </x:c>
      <x:c r="I15" s="84" t="inlineStr">
        <x:is>
          <x:t xml:space="preserve">Badge playground manual verification.</x:t>
        </x:is>
      </x:c>
      <x:c r="J15" s="84" t="n"/>
      <x:c r="K15" s="87" t="n">
        <x:f>IF(AND(E15="yes",F15="yes",H15="covered"),1,IF(AND(E15="yes",H15="partial"),0.5,0))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Badge</x:t>
        </x:is>
      </x:c>
      <x:c r="D16" s="84" t="inlineStr">
        <x:is>
          <x:t xml:space="preserve">Keeps text content in the accessibility tree</x:t>
        </x:is>
      </x:c>
      <x:c r="E16" s="76" t="inlineStr">
        <x:is>
          <x:t xml:space="preserve">yes</x:t>
        </x:is>
      </x:c>
      <x:c r="F16" s="76" t="inlineStr">
        <x:is>
          <x:t xml:space="preserve">yes</x:t>
        </x:is>
      </x:c>
      <x:c r="G16" s="73" t="inlineStr">
        <x:is>
          <x:t xml:space="preserve">passed</x:t>
        </x:is>
      </x:c>
      <x:c r="H16" s="92" t="inlineStr">
        <x:is>
          <x:t xml:space="preserve">covered</x:t>
        </x:is>
      </x:c>
      <x:c r="I16" s="84" t="inlineStr">
        <x:is>
          <x:t xml:space="preserve">Badge playground manual verification.</x:t>
        </x:is>
      </x:c>
      <x:c r="J16" s="84" t="n"/>
      <x:c r="K16" s="87" t="n">
        <x:f>IF(AND(E16="yes",F16="yes",H16="covered"),1,IF(AND(E16="yes",H16="partial"),0.5,0))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Badge</x:t>
        </x:is>
      </x:c>
      <x:c r="D17" s="84" t="inlineStr">
        <x:is>
          <x:t xml:space="preserve">Supports native span props</x:t>
        </x:is>
      </x:c>
      <x:c r="E17" s="76" t="inlineStr">
        <x:is>
          <x:t xml:space="preserve">yes</x:t>
        </x:is>
      </x:c>
      <x:c r="F17" s="76" t="inlineStr">
        <x:is>
          <x:t xml:space="preserve">yes</x:t>
        </x:is>
      </x:c>
      <x:c r="G17" s="73" t="inlineStr">
        <x:is>
          <x:t xml:space="preserve">passed</x:t>
        </x:is>
      </x:c>
      <x:c r="H17" s="92" t="inlineStr">
        <x:is>
          <x:t xml:space="preserve">covered</x:t>
        </x:is>
      </x:c>
      <x:c r="I17" s="84" t="inlineStr">
        <x:is>
          <x:t xml:space="preserve">Badge playground manual verification.</x:t>
        </x:is>
      </x:c>
      <x:c r="J17" s="84" t="n"/>
      <x:c r="K17" s="87" t="n">
        <x:f>IF(AND(E17="yes",F17="yes",H17="covered"),1,IF(AND(E17="yes",H17="partial"),0.5,0))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Badge</x:t>
        </x:is>
      </x:c>
      <x:c r="D18" s="84" t="inlineStr">
        <x:is>
          <x:t xml:space="preserve">Supports `asChild` and `render`</x:t>
        </x:is>
      </x:c>
      <x:c r="E18" s="76" t="inlineStr">
        <x:is>
          <x:t xml:space="preserve">yes</x:t>
        </x:is>
      </x:c>
      <x:c r="F18" s="76" t="inlineStr">
        <x:is>
          <x:t xml:space="preserve">yes</x:t>
        </x:is>
      </x:c>
      <x:c r="G18" s="73" t="inlineStr">
        <x:is>
          <x:t xml:space="preserve">passed</x:t>
        </x:is>
      </x:c>
      <x:c r="H18" s="92" t="inlineStr">
        <x:is>
          <x:t xml:space="preserve">covered</x:t>
        </x:is>
      </x:c>
      <x:c r="I18" s="84" t="inlineStr">
        <x:is>
          <x:t xml:space="preserve">Badge playground manual verification.</x:t>
        </x:is>
      </x:c>
      <x:c r="J18" s="84" t="n"/>
      <x:c r="K18" s="87" t="n">
        <x:f>IF(AND(E18="yes",F18="yes",H18="covered"),1,IF(AND(E18="yes",H18="partial"),0.5,0))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Anatomy</x:t>
        </x:is>
      </x:c>
      <x:c r="C19" s="84" t="inlineStr">
        <x:is>
          <x:t xml:space="preserve">Root</x:t>
        </x:is>
      </x:c>
      <x:c r="D19" s="84" t="inlineStr">
        <x:is>
          <x:t xml:space="preserve">renders correct part when expected</x:t>
        </x:is>
      </x:c>
      <x:c r="E19" s="76" t="inlineStr">
        <x:is>
          <x:t xml:space="preserve">yes</x:t>
        </x:is>
      </x:c>
      <x:c r="F19" s="76" t="inlineStr">
        <x:is>
          <x:t xml:space="preserve">yes</x:t>
        </x:is>
      </x:c>
      <x:c r="G19" s="73" t="inlineStr">
        <x:is>
          <x:t xml:space="preserve">passed</x:t>
        </x:is>
      </x:c>
      <x:c r="H19" s="92" t="inlineStr">
        <x:is>
          <x:t xml:space="preserve">covered</x:t>
        </x:is>
      </x:c>
      <x:c r="I19" s="84" t="inlineStr">
        <x:is>
          <x:t xml:space="preserve">Badge playground manual verification.</x:t>
        </x:is>
      </x:c>
      <x:c r="J19" s="84" t="n"/>
      <x:c r="K19" s="87" t="n">
        <x:f>IF(AND(E19="yes",F19="yes",H19="covered"),1,IF(AND(E19="yes",H19="partial"),0.5,0))</x:f>
        <x:v>1</x:v>
      </x:c>
    </x:row>
    <x:row r="20" s="51" customFormat="1" ht="30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appears in documented order</x:t>
        </x:is>
      </x:c>
      <x:c r="E20" s="76" t="inlineStr">
        <x:is>
          <x:t xml:space="preserve">yes</x:t>
        </x:is>
      </x:c>
      <x:c r="F20" s="76" t="inlineStr">
        <x:is>
          <x:t xml:space="preserve">yes</x:t>
        </x:is>
      </x:c>
      <x:c r="G20" s="73" t="inlineStr">
        <x:is>
          <x:t xml:space="preserve">passed</x:t>
        </x:is>
      </x:c>
      <x:c r="H20" s="92" t="inlineStr">
        <x:is>
          <x:t xml:space="preserve">covered</x:t>
        </x:is>
      </x:c>
      <x:c r="I20" s="84" t="inlineStr">
        <x:is>
          <x:t xml:space="preserve">Badge playground manual verification.</x:t>
        </x:is>
      </x:c>
      <x:c r="J20" s="84" t="n"/>
      <x:c r="K20" s="87" t="n">
        <x:f>IF(AND(E20="yes",F20="yes",H20="covered"),1,IF(AND(E20="yes",H20="partial"),0.5,0))</x:f>
        <x:v>1</x:v>
      </x:c>
    </x:row>
    <x:row r="21" s="51" customFormat="1" ht="30" customHeight="1">
      <x:c r="A21" s="73" t="n">
        <x:v>13</x:v>
      </x:c>
      <x:c r="B21" s="84" t="inlineStr">
        <x:is>
          <x:t xml:space="preserve">Identity</x:t>
        </x:is>
      </x:c>
      <x:c r="C21" s="84" t="inlineStr">
        <x:is>
          <x:t xml:space="preserve">Root</x:t>
        </x:is>
      </x:c>
      <x:c r="D21" s="84" t="inlineStr">
        <x:is>
          <x:t xml:space="preserve">default tag is visible in Anatomy/Inspector</x:t>
        </x:is>
      </x:c>
      <x:c r="E21" s="76" t="inlineStr">
        <x:is>
          <x:t xml:space="preserve">yes</x:t>
        </x:is>
      </x:c>
      <x:c r="F21" s="76" t="inlineStr">
        <x:is>
          <x:t xml:space="preserve">yes</x:t>
        </x:is>
      </x:c>
      <x:c r="G21" s="73" t="inlineStr">
        <x:is>
          <x:t xml:space="preserve">passed</x:t>
        </x:is>
      </x:c>
      <x:c r="H21" s="92" t="inlineStr">
        <x:is>
          <x:t xml:space="preserve">covered</x:t>
        </x:is>
      </x:c>
      <x:c r="I21" s="84" t="inlineStr">
        <x:is>
          <x:t xml:space="preserve">Badge playground manual verification.</x:t>
        </x:is>
      </x:c>
      <x:c r="J21" s="84" t="n"/>
      <x:c r="K21" s="87" t="n">
        <x:f>IF(AND(E21="yes",F21="yes",H21="covered"),1,IF(AND(E21="yes",H21="partial"),0.5,0))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data-slot is present and correct</x:t>
        </x:is>
      </x:c>
      <x:c r="E22" s="76" t="inlineStr">
        <x:is>
          <x:t xml:space="preserve">yes</x:t>
        </x:is>
      </x:c>
      <x:c r="F22" s="76" t="inlineStr">
        <x:is>
          <x:t xml:space="preserve">yes</x:t>
        </x:is>
      </x:c>
      <x:c r="G22" s="73" t="inlineStr">
        <x:is>
          <x:t xml:space="preserve">passed</x:t>
        </x:is>
      </x:c>
      <x:c r="H22" s="92" t="inlineStr">
        <x:is>
          <x:t xml:space="preserve">covered</x:t>
        </x:is>
      </x:c>
      <x:c r="I22" s="84" t="inlineStr">
        <x:is>
          <x:t xml:space="preserve">Badge playground manual verification; data-slot is badge and empty data markers render bare.</x:t>
        </x:is>
      </x:c>
      <x:c r="J22" s="84" t="n"/>
      <x:c r="K22" s="87" t="n">
        <x:f>IF(AND(E22="yes",F22="yes",H22="covered"),1,IF(AND(E22="yes",H22="partial"),0.5,0))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Props</x:t>
        </x:is>
      </x:c>
      <x:c r="C23" s="84" t="inlineStr">
        <x:is>
          <x:t xml:space="preserve">Root</x:t>
        </x:is>
      </x:c>
      <x:c r="D23" s="84" t="inlineStr">
        <x:is>
          <x:t xml:space="preserve">non-Atom native props pass through with data-prop-check marker</x:t>
        </x:is>
      </x:c>
      <x:c r="E23" s="76" t="inlineStr">
        <x:is>
          <x:t xml:space="preserve">yes</x:t>
        </x:is>
      </x:c>
      <x:c r="F23" s="76" t="inlineStr">
        <x:is>
          <x:t xml:space="preserve">yes</x:t>
        </x:is>
      </x:c>
      <x:c r="G23" s="73" t="inlineStr">
        <x:is>
          <x:t xml:space="preserve">passed</x:t>
        </x:is>
      </x:c>
      <x:c r="H23" s="92" t="inlineStr">
        <x:is>
          <x:t xml:space="preserve">covered</x:t>
        </x:is>
      </x:c>
      <x:c r="I23" s="84" t="inlineStr">
        <x:is>
          <x:t xml:space="preserve">Badge playground manual verification.</x:t>
        </x:is>
      </x:c>
      <x:c r="J23" s="84" t="n"/>
      <x:c r="K23" s="87" t="n">
        <x:f>IF(AND(E23="yes",F23="yes",H23="covered"),1,IF(AND(E23="yes",H23="partial"),0.5,0))</x:f>
        <x:v>1</x:v>
      </x:c>
    </x:row>
    <x:row r="24" s="51" customFormat="1" ht="30" customHeight="1">
      <x:c r="A24" s="73" t="n">
        <x:v>16</x:v>
      </x:c>
      <x:c r="B24" s="84" t="inlineStr">
        <x:is>
          <x:t xml:space="preserve">Refs</x:t>
        </x:is>
      </x:c>
      <x:c r="C24" s="84" t="inlineStr">
        <x:is>
          <x:t xml:space="preserve">Root</x:t>
        </x:is>
      </x:c>
      <x:c r="D24" s="84" t="inlineStr">
        <x:is>
          <x:t xml:space="preserve">consumer ref receives the rendered element</x:t>
        </x:is>
      </x:c>
      <x:c r="E24" s="76" t="inlineStr">
        <x:is>
          <x:t xml:space="preserve">yes</x:t>
        </x:is>
      </x:c>
      <x:c r="F24" s="76" t="inlineStr">
        <x:is>
          <x:t xml:space="preserve">yes</x:t>
        </x:is>
      </x:c>
      <x:c r="G24" s="73" t="inlineStr">
        <x:is>
          <x:t xml:space="preserve">passed</x:t>
        </x:is>
      </x:c>
      <x:c r="H24" s="92" t="inlineStr">
        <x:is>
          <x:t xml:space="preserve">covered</x:t>
        </x:is>
      </x:c>
      <x:c r="I24" s="84" t="inlineStr">
        <x:is>
          <x:t xml:space="preserve">Badge playground manual verification.</x:t>
        </x:is>
      </x:c>
      <x:c r="J24" s="84" t="n"/>
      <x:c r="K24" s="87" t="n">
        <x:f>IF(AND(E24="yes",F24="yes",H24="covered"),1,IF(AND(E24="yes",H24="partial"),0.5,0))</x:f>
        <x:v>1</x:v>
      </x:c>
    </x:row>
    <x:row r="25" s="51" customFormat="1" ht="30" customHeight="1">
      <x:c r="A25" s="73" t="n">
        <x:v>17</x:v>
      </x:c>
      <x:c r="B25" s="84" t="inlineStr">
        <x:is>
          <x:t xml:space="preserve">Composition</x:t>
        </x:is>
      </x:c>
      <x:c r="C25" s="84" t="inlineStr">
        <x:is>
          <x:t xml:space="preserve">Root</x:t>
        </x:is>
      </x:c>
      <x:c r="D25" s="84" t="inlineStr">
        <x:is>
          <x:t xml:space="preserve">asChild prop behavior</x:t>
        </x:is>
      </x:c>
      <x:c r="E25" s="76" t="inlineStr">
        <x:is>
          <x:t xml:space="preserve">yes</x:t>
        </x:is>
      </x:c>
      <x:c r="F25" s="76" t="inlineStr">
        <x:is>
          <x:t xml:space="preserve">yes</x:t>
        </x:is>
      </x:c>
      <x:c r="G25" s="73" t="inlineStr">
        <x:is>
          <x:t xml:space="preserve">passed</x:t>
        </x:is>
      </x:c>
      <x:c r="H25" s="92" t="inlineStr">
        <x:is>
          <x:t xml:space="preserve">covered</x:t>
        </x:is>
      </x:c>
      <x:c r="I25" s="84" t="inlineStr">
        <x:is>
          <x:t xml:space="preserve">Badge playground manual verification; asChild/render use strong custom element.</x:t>
        </x:is>
      </x:c>
      <x:c r="J25" s="84" t="n"/>
      <x:c r="K25" s="87" t="n">
        <x:f>IF(AND(E25="yes",F25="yes",H25="covered"),1,IF(AND(E25="yes",H25="partial"),0.5,0))</x:f>
        <x:v>1</x:v>
      </x:c>
    </x:row>
    <x:row r="26" s="51" customFormat="1" ht="30" customHeight="1">
      <x:c r="A26" s="73" t="n">
        <x:v>18</x:v>
      </x:c>
      <x:c r="B26" s="84" t="inlineStr">
        <x:is>
          <x:t xml:space="preserve">Composition</x:t>
        </x:is>
      </x:c>
      <x:c r="C26" s="84" t="inlineStr">
        <x:is>
          <x:t xml:space="preserve">Root</x:t>
        </x:is>
      </x:c>
      <x:c r="D26" s="84" t="inlineStr">
        <x:is>
          <x:t xml:space="preserve">render prop behavior</x:t>
        </x:is>
      </x:c>
      <x:c r="E26" s="76" t="inlineStr">
        <x:is>
          <x:t xml:space="preserve">yes</x:t>
        </x:is>
      </x:c>
      <x:c r="F26" s="76" t="inlineStr">
        <x:is>
          <x:t xml:space="preserve">yes</x:t>
        </x:is>
      </x:c>
      <x:c r="G26" s="73" t="inlineStr">
        <x:is>
          <x:t xml:space="preserve">passed</x:t>
        </x:is>
      </x:c>
      <x:c r="H26" s="92" t="inlineStr">
        <x:is>
          <x:t xml:space="preserve">covered</x:t>
        </x:is>
      </x:c>
      <x:c r="I26" s="84" t="inlineStr">
        <x:is>
          <x:t xml:space="preserve">Badge playground manual verification; asChild/render use strong custom element.</x:t>
        </x:is>
      </x:c>
      <x:c r="J26" s="84" t="n"/>
      <x:c r="K26" s="87" t="n">
        <x:f>IF(AND(E26="yes",F26="yes",H26="covered"),1,IF(AND(E26="yes",H26="partial"),0.5,0))</x:f>
        <x:v>1</x:v>
      </x:c>
    </x:row>
    <x:row r="27" s="51" customFormat="1" ht="30" customHeight="1">
      <x:c r="A27" s="73" t="n">
        <x:v>19</x:v>
      </x:c>
      <x:c r="B27" s="84" t="inlineStr">
        <x:is>
          <x:t xml:space="preserve">Public API</x:t>
        </x:is>
      </x:c>
      <x:c r="C27" s="84" t="inlineStr">
        <x:is>
          <x:t xml:space="preserve">Root</x:t>
        </x:is>
      </x:c>
      <x:c r="D27" s="84" t="inlineStr">
        <x:is>
          <x:t xml:space="preserve">[data-slot] prop behavior</x:t>
        </x:is>
      </x:c>
      <x:c r="E27" s="76" t="inlineStr">
        <x:is>
          <x:t xml:space="preserve">yes</x:t>
        </x:is>
      </x:c>
      <x:c r="F27" s="76" t="inlineStr">
        <x:is>
          <x:t xml:space="preserve">yes</x:t>
        </x:is>
      </x:c>
      <x:c r="G27" s="73" t="inlineStr">
        <x:is>
          <x:t xml:space="preserve">passed</x:t>
        </x:is>
      </x:c>
      <x:c r="H27" s="92" t="inlineStr">
        <x:is>
          <x:t xml:space="preserve">covered</x:t>
        </x:is>
      </x:c>
      <x:c r="I27" s="84" t="inlineStr">
        <x:is>
          <x:t xml:space="preserve">Badge playground manual verification; data-slot is badge and empty data markers render bare.</x:t>
        </x:is>
      </x:c>
      <x:c r="J27" s="84" t="n"/>
      <x:c r="K27" s="87" t="n">
        <x:f>IF(AND(E27="yes",F27="yes",H27="covered"),1,IF(AND(E27="yes",H27="partial"),0.5,0))</x:f>
        <x:v>1</x:v>
      </x:c>
    </x:row>
    <x:row r="28" s="51" customFormat="1" ht="30" customHeight="1">
      <x:c r="A28" s="73" t="n">
        <x:v>20</x:v>
      </x:c>
      <x:c r="B28" s="84" t="inlineStr">
        <x:is>
          <x:t xml:space="preserve">Data</x:t>
        </x:is>
      </x:c>
      <x:c r="C28" s="84" t="inlineStr">
        <x:is>
          <x:t xml:space="preserve">Live DOM</x:t>
        </x:is>
      </x:c>
      <x:c r="D28" s="84" t="inlineStr">
        <x:is>
          <x:t xml:space="preserve">data-slot is present at the correct time</x:t>
        </x:is>
      </x:c>
      <x:c r="E28" s="76" t="inlineStr">
        <x:is>
          <x:t xml:space="preserve">yes</x:t>
        </x:is>
      </x:c>
      <x:c r="F28" s="76" t="inlineStr">
        <x:is>
          <x:t xml:space="preserve">yes</x:t>
        </x:is>
      </x:c>
      <x:c r="G28" s="73" t="inlineStr">
        <x:is>
          <x:t xml:space="preserve">passed</x:t>
        </x:is>
      </x:c>
      <x:c r="H28" s="92" t="inlineStr">
        <x:is>
          <x:t xml:space="preserve">covered</x:t>
        </x:is>
      </x:c>
      <x:c r="I28" s="84" t="inlineStr">
        <x:is>
          <x:t xml:space="preserve">Badge playground manual verification; data-slot is badge and empty data markers render bare.</x:t>
        </x:is>
      </x:c>
      <x:c r="J28" s="84" t="n"/>
      <x:c r="K28" s="87" t="n">
        <x:f>IF(AND(E28="yes",F28="yes",H28="covered"),1,IF(AND(E28="yes",H28="partial"),0.5,0))</x:f>
        <x:v>1</x:v>
      </x:c>
    </x:row>
    <x:row r="29" s="51" customFormat="1" ht="30" customHeight="1">
      <x:c r="A29" s="73" t="n">
        <x:v>21</x:v>
      </x:c>
      <x:c r="B29" s="84" t="inlineStr">
        <x:is>
          <x:t xml:space="preserve">Composition</x:t>
        </x:is>
      </x:c>
      <x:c r="C29" s="84" t="inlineStr">
        <x:is>
          <x:t xml:space="preserve">Badge</x:t>
        </x:is>
      </x:c>
      <x:c r="D29" s="84" t="inlineStr">
        <x:is>
          <x:t xml:space="preserve">asChild preserves child content without double nesting</x:t>
        </x:is>
      </x:c>
      <x:c r="E29" s="76" t="inlineStr">
        <x:is>
          <x:t xml:space="preserve">yes</x:t>
        </x:is>
      </x:c>
      <x:c r="F29" s="76" t="inlineStr">
        <x:is>
          <x:t xml:space="preserve">yes</x:t>
        </x:is>
      </x:c>
      <x:c r="G29" s="73" t="inlineStr">
        <x:is>
          <x:t xml:space="preserve">passed</x:t>
        </x:is>
      </x:c>
      <x:c r="H29" s="92" t="inlineStr">
        <x:is>
          <x:t xml:space="preserve">covered</x:t>
        </x:is>
      </x:c>
      <x:c r="I29" s="84" t="inlineStr">
        <x:is>
          <x:t xml:space="preserve">Badge playground manual verification; asChild/render use strong custom element.</x:t>
        </x:is>
      </x:c>
      <x:c r="J29" s="84" t="n"/>
      <x:c r="K29" s="87" t="n">
        <x:f>IF(AND(E29="yes",F29="yes",H29="covered"),1,IF(AND(E29="yes",H29="partial"),0.5,0))</x:f>
        <x:v>1</x:v>
      </x:c>
    </x:row>
    <x:row r="30" s="51" customFormat="1" ht="30" customHeight="1">
      <x:c r="A30" s="73" t="n">
        <x:v>22</x:v>
      </x:c>
      <x:c r="B30" s="84" t="inlineStr">
        <x:is>
          <x:t xml:space="preserve">Composition</x:t>
        </x:is>
      </x:c>
      <x:c r="C30" s="84" t="inlineStr">
        <x:is>
          <x:t xml:space="preserve">Badge</x:t>
        </x:is>
      </x:c>
      <x:c r="D30" s="84" t="inlineStr">
        <x:is>
          <x:t xml:space="preserve">asChild merges Atom props and consumer props</x:t>
        </x:is>
      </x:c>
      <x:c r="E30" s="76" t="inlineStr">
        <x:is>
          <x:t xml:space="preserve">yes</x:t>
        </x:is>
      </x:c>
      <x:c r="F30" s="76" t="inlineStr">
        <x:is>
          <x:t xml:space="preserve">yes</x:t>
        </x:is>
      </x:c>
      <x:c r="G30" s="73" t="inlineStr">
        <x:is>
          <x:t xml:space="preserve">passed</x:t>
        </x:is>
      </x:c>
      <x:c r="H30" s="92" t="inlineStr">
        <x:is>
          <x:t xml:space="preserve">covered</x:t>
        </x:is>
      </x:c>
      <x:c r="I30" s="84" t="inlineStr">
        <x:is>
          <x:t xml:space="preserve">Badge playground manual verification; asChild/render use strong custom element.</x:t>
        </x:is>
      </x:c>
      <x:c r="J30" s="84" t="n"/>
      <x:c r="K30" s="87" t="n">
        <x:f>IF(AND(E30="yes",F30="yes",H30="covered"),1,IF(AND(E30="yes",H30="partial"),0.5,0))</x:f>
        <x:v>1</x:v>
      </x:c>
    </x:row>
    <x:row r="31" s="51" customFormat="1" ht="30" customHeight="1">
      <x:c r="A31" s="73" t="n">
        <x:v>23</x:v>
      </x:c>
      <x:c r="B31" s="84" t="inlineStr">
        <x:is>
          <x:t xml:space="preserve">Composition</x:t>
        </x:is>
      </x:c>
      <x:c r="C31" s="84" t="inlineStr">
        <x:is>
          <x:t xml:space="preserve">Badge</x:t>
        </x:is>
      </x:c>
      <x:c r="D31" s="84" t="inlineStr">
        <x:is>
          <x:t xml:space="preserve">asChild lets preventDefault block Atom behavior where supported</x:t>
        </x:is>
      </x:c>
      <x:c r="E31" s="76" t="inlineStr">
        <x:is>
          <x:t xml:space="preserve">yes</x:t>
        </x:is>
      </x:c>
      <x:c r="F31" s="76" t="inlineStr">
        <x:is>
          <x:t xml:space="preserve">yes</x:t>
        </x:is>
      </x:c>
      <x:c r="G31" s="73" t="inlineStr">
        <x:is>
          <x:t xml:space="preserve">passed</x:t>
        </x:is>
      </x:c>
      <x:c r="H31" s="92" t="inlineStr">
        <x:is>
          <x:t xml:space="preserve">covered</x:t>
        </x:is>
      </x:c>
      <x:c r="I31" s="84" t="inlineStr">
        <x:is>
          <x:t xml:space="preserve">Badge playground manual verification.</x:t>
        </x:is>
      </x:c>
      <x:c r="J31" s="84" t="n"/>
      <x:c r="K31" s="87" t="n">
        <x:f>IF(AND(E31="yes",F31="yes",H31="covered"),1,IF(AND(E31="yes",H31="partial"),0.5,0))</x:f>
        <x:v>1</x:v>
      </x:c>
    </x:row>
    <x:row r="32" s="51" customFormat="1" ht="30" customHeight="1">
      <x:c r="A32" s="73" t="n">
        <x:v>24</x:v>
      </x:c>
      <x:c r="B32" s="84" t="inlineStr">
        <x:is>
          <x:t xml:space="preserve">Composition</x:t>
        </x:is>
      </x:c>
      <x:c r="C32" s="84" t="inlineStr">
        <x:is>
          <x:t xml:space="preserve">Badge</x:t>
        </x:is>
      </x:c>
      <x:c r="D32" s="84" t="inlineStr">
        <x:is>
          <x:t xml:space="preserve">render prop renders custom element</x:t>
        </x:is>
      </x:c>
      <x:c r="E32" s="76" t="inlineStr">
        <x:is>
          <x:t xml:space="preserve">yes</x:t>
        </x:is>
      </x:c>
      <x:c r="F32" s="76" t="inlineStr">
        <x:is>
          <x:t xml:space="preserve">yes</x:t>
        </x:is>
      </x:c>
      <x:c r="G32" s="73" t="inlineStr">
        <x:is>
          <x:t xml:space="preserve">passed</x:t>
        </x:is>
      </x:c>
      <x:c r="H32" s="92" t="inlineStr">
        <x:is>
          <x:t xml:space="preserve">covered</x:t>
        </x:is>
      </x:c>
      <x:c r="I32" s="84" t="inlineStr">
        <x:is>
          <x:t xml:space="preserve">Badge playground manual verification; asChild/render use strong custom element.</x:t>
        </x:is>
      </x:c>
      <x:c r="J32" s="84" t="n"/>
      <x:c r="K32" s="87" t="n">
        <x:f>IF(AND(E32="yes",F32="yes",H32="covered"),1,IF(AND(E32="yes",H32="partial"),0.5,0))</x:f>
        <x:v>1</x:v>
      </x:c>
    </x:row>
    <x:row r="33" s="51" customFormat="1" ht="30" customHeight="1">
      <x:c r="A33" s="73" t="n">
        <x:v>25</x:v>
      </x:c>
      <x:c r="B33" s="84" t="inlineStr">
        <x:is>
          <x:t xml:space="preserve">Composition</x:t>
        </x:is>
      </x:c>
      <x:c r="C33" s="84" t="inlineStr">
        <x:is>
          <x:t xml:space="preserve">Badge</x:t>
        </x:is>
      </x:c>
      <x:c r="D33" s="84" t="inlineStr">
        <x:is>
          <x:t xml:space="preserve">render prop preserves refs and behavior props</x:t>
        </x:is>
      </x:c>
      <x:c r="E33" s="76" t="inlineStr">
        <x:is>
          <x:t xml:space="preserve">yes</x:t>
        </x:is>
      </x:c>
      <x:c r="F33" s="76" t="inlineStr">
        <x:is>
          <x:t xml:space="preserve">yes</x:t>
        </x:is>
      </x:c>
      <x:c r="G33" s="73" t="inlineStr">
        <x:is>
          <x:t xml:space="preserve">passed</x:t>
        </x:is>
      </x:c>
      <x:c r="H33" s="92" t="inlineStr">
        <x:is>
          <x:t xml:space="preserve">covered</x:t>
        </x:is>
      </x:c>
      <x:c r="I33" s="84" t="inlineStr">
        <x:is>
          <x:t xml:space="preserve">Badge playground manual verification; asChild/render use strong custom element.</x:t>
        </x:is>
      </x:c>
      <x:c r="J33" s="84" t="n"/>
      <x:c r="K33" s="87" t="n">
        <x:f>IF(AND(E33="yes",F33="yes",H33="covered"),1,IF(AND(E33="yes",H33="partial"),0.5,0))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BottomNavigation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0.8970588235294118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61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7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protocol</x:t>
        </x:is>
      </x:c>
      <x:c r="H9" s="86" t="inlineStr">
        <x:is>
          <x:t xml:space="preserve">covered</x:t>
        </x:is>
      </x:c>
      <x:c r="I9" s="84" t="inlineStr">
        <x:is>
          <x:t xml:space="preserve">manual-tests/bottom-navigation.md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protocol</x:t>
        </x:is>
      </x:c>
      <x:c r="H10" s="86" t="inlineStr">
        <x:is>
          <x:t xml:space="preserve">covered</x:t>
        </x:is>
      </x:c>
      <x:c r="I10" s="84" t="inlineStr">
        <x:is>
          <x:t xml:space="preserve">manual-tests/bottom-navigation.md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BottomNavigation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protocol</x:t>
        </x:is>
      </x:c>
      <x:c r="H11" s="86" t="inlineStr">
        <x:is>
          <x:t xml:space="preserve">covered</x:t>
        </x:is>
      </x:c>
      <x:c r="I11" s="84" t="inlineStr">
        <x:is>
          <x:t xml:space="preserve">manual-tests/bottom-navigation.md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BottomNavigation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protocol</x:t>
        </x:is>
      </x:c>
      <x:c r="H12" s="86" t="inlineStr">
        <x:is>
          <x:t xml:space="preserve">covered</x:t>
        </x:is>
      </x:c>
      <x:c r="I12" s="84" t="inlineStr">
        <x:is>
          <x:t xml:space="preserve">manual-tests/bottom-navigation.md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BottomNavigation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protocol</x:t>
        </x:is>
      </x:c>
      <x:c r="H13" s="86" t="inlineStr">
        <x:is>
          <x:t xml:space="preserve">covered</x:t>
        </x:is>
      </x:c>
      <x:c r="I13" s="84" t="inlineStr">
        <x:is>
          <x:t xml:space="preserve">manual-tests/bottom-navigation.md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BottomNavigation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protocol</x:t>
        </x:is>
      </x:c>
      <x:c r="H14" s="86" t="inlineStr">
        <x:is>
          <x:t xml:space="preserve">covered</x:t>
        </x:is>
      </x:c>
      <x:c r="I14" s="84" t="inlineStr">
        <x:is>
          <x:t xml:space="preserve">manual-tests/bottom-navigation.md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BottomNavigation</x:t>
        </x:is>
      </x:c>
      <x:c r="D15" s="84" t="inlineStr">
        <x:is>
          <x:t xml:space="preserve">Renders a named `nav` landmark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protocol</x:t>
        </x:is>
      </x:c>
      <x:c r="H15" s="86" t="inlineStr">
        <x:is>
          <x:t xml:space="preserve">covered</x:t>
        </x:is>
      </x:c>
      <x:c r="I15" s="84" t="inlineStr">
        <x:is>
          <x:t xml:space="preserve">manual-tests/bottom-navigation.md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BottomNavigation</x:t>
        </x:is>
      </x:c>
      <x:c r="D16" s="84" t="inlineStr">
        <x:is>
          <x:t xml:space="preserve">Supports link destinations and button destinations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protocol</x:t>
        </x:is>
      </x:c>
      <x:c r="H16" s="86" t="inlineStr">
        <x:is>
          <x:t xml:space="preserve">covered</x:t>
        </x:is>
      </x:c>
      <x:c r="I16" s="84" t="inlineStr">
        <x:is>
          <x:t xml:space="preserve">manual-tests/bottom-navigation.md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BottomNavigation</x:t>
        </x:is>
      </x:c>
      <x:c r="D17" s="84" t="inlineStr">
        <x:is>
          <x:t xml:space="preserve">Supports controlled and uncontrolled active value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protocol</x:t>
        </x:is>
      </x:c>
      <x:c r="H17" s="86" t="inlineStr">
        <x:is>
          <x:t xml:space="preserve">covered</x:t>
        </x:is>
      </x:c>
      <x:c r="I17" s="84" t="inlineStr">
        <x:is>
          <x:t xml:space="preserve">manual-tests/bottom-navigation.md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BottomNavigation</x:t>
        </x:is>
      </x:c>
      <x:c r="D18" s="84" t="inlineStr">
        <x:is>
          <x:t xml:space="preserve">Exposes active, disabled, and label-visibility state through data attributes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protocol</x:t>
        </x:is>
      </x:c>
      <x:c r="H18" s="86" t="inlineStr">
        <x:is>
          <x:t xml:space="preserve">covered</x:t>
        </x:is>
      </x:c>
      <x:c r="I18" s="84" t="inlineStr">
        <x:is>
          <x:t xml:space="preserve">manual-tests/bottom-navigation.md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BottomNavigation</x:t>
        </x:is>
      </x:c>
      <x:c r="D19" s="84" t="inlineStr">
        <x:is>
          <x:t xml:space="preserve">Supports `asChild` and `render` on every part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protocol</x:t>
        </x:is>
      </x:c>
      <x:c r="H19" s="86" t="inlineStr">
        <x:is>
          <x:t xml:space="preserve">covered</x:t>
        </x:is>
      </x:c>
      <x:c r="I19" s="84" t="inlineStr">
        <x:is>
          <x:t xml:space="preserve">manual-tests/bottom-navigation.md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protocol</x:t>
        </x:is>
      </x:c>
      <x:c r="H20" s="86" t="inlineStr">
        <x:is>
          <x:t xml:space="preserve">covered</x:t>
        </x:is>
      </x:c>
      <x:c r="I20" s="84" t="inlineStr">
        <x:is>
          <x:t xml:space="preserve">manual-tests/bottom-navigation.md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protocol</x:t>
        </x:is>
      </x:c>
      <x:c r="H21" s="86" t="inlineStr">
        <x:is>
          <x:t xml:space="preserve">covered</x:t>
        </x:is>
      </x:c>
      <x:c r="I21" s="84" t="inlineStr">
        <x:is>
          <x:t xml:space="preserve">manual-tests/bottom-navigation.md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protocol</x:t>
        </x:is>
      </x:c>
      <x:c r="H22" s="86" t="inlineStr">
        <x:is>
          <x:t xml:space="preserve">covered</x:t>
        </x:is>
      </x:c>
      <x:c r="I22" s="84" t="inlineStr">
        <x:is>
          <x:t xml:space="preserve">manual-tests/bottom-navigation.md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protocol</x:t>
        </x:is>
      </x:c>
      <x:c r="H23" s="86" t="inlineStr">
        <x:is>
          <x:t xml:space="preserve">covered</x:t>
        </x:is>
      </x:c>
      <x:c r="I23" s="84" t="inlineStr">
        <x:is>
          <x:t xml:space="preserve">manual-tests/bottom-navigation.md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protocol</x:t>
        </x:is>
      </x:c>
      <x:c r="H24" s="86" t="inlineStr">
        <x:is>
          <x:t xml:space="preserve">covered</x:t>
        </x:is>
      </x:c>
      <x:c r="I24" s="84" t="inlineStr">
        <x:is>
          <x:t xml:space="preserve">manual-tests/bottom-navigation.md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protocol</x:t>
        </x:is>
      </x:c>
      <x:c r="H25" s="86" t="inlineStr">
        <x:is>
          <x:t xml:space="preserve">covered</x:t>
        </x:is>
      </x:c>
      <x:c r="I25" s="84" t="inlineStr">
        <x:is>
          <x:t xml:space="preserve">manual-tests/bottom-navigation.md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Composition</x:t>
        </x:is>
      </x:c>
      <x:c r="C26" s="84" t="inlineStr">
        <x:is>
          <x:t xml:space="preserve">Root</x:t>
        </x:is>
      </x:c>
      <x:c r="D26" s="84" t="inlineStr">
        <x:is>
          <x:t xml:space="preserve">asChild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protocol</x:t>
        </x:is>
      </x:c>
      <x:c r="H26" s="86" t="inlineStr">
        <x:is>
          <x:t xml:space="preserve">covered</x:t>
        </x:is>
      </x:c>
      <x:c r="I26" s="84" t="inlineStr">
        <x:is>
          <x:t xml:space="preserve">manual-tests/bottom-navigation.md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Composition</x:t>
        </x:is>
      </x:c>
      <x:c r="C27" s="84" t="inlineStr">
        <x:is>
          <x:t xml:space="preserve">Root</x:t>
        </x:is>
      </x:c>
      <x:c r="D27" s="84" t="inlineStr">
        <x:is>
          <x:t xml:space="preserve">render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protocol</x:t>
        </x:is>
      </x:c>
      <x:c r="H27" s="86" t="inlineStr">
        <x:is>
          <x:t xml:space="preserve">covered</x:t>
        </x:is>
      </x:c>
      <x:c r="I27" s="84" t="inlineStr">
        <x:is>
          <x:t xml:space="preserve">manual-tests/bottom-navigation.md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protocol</x:t>
        </x:is>
      </x:c>
      <x:c r="H28" s="86" t="inlineStr">
        <x:is>
          <x:t xml:space="preserve">covered</x:t>
        </x:is>
      </x:c>
      <x:c r="I28" s="84" t="inlineStr">
        <x:is>
          <x:t xml:space="preserve">manual-tests/bottom-navigation.md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defaultValue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protocol</x:t>
        </x:is>
      </x:c>
      <x:c r="H29" s="86" t="inlineStr">
        <x:is>
          <x:t xml:space="preserve">covered</x:t>
        </x:is>
      </x:c>
      <x:c r="I29" s="84" t="inlineStr">
        <x:is>
          <x:t xml:space="preserve">manual-tests/bottom-navigation.md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onChange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protocol</x:t>
        </x:is>
      </x:c>
      <x:c r="H30" s="86" t="inlineStr">
        <x:is>
          <x:t xml:space="preserve">covered</x:t>
        </x:is>
      </x:c>
      <x:c r="I30" s="84" t="inlineStr">
        <x:is>
          <x:t xml:space="preserve">manual-tests/bottom-navigation.md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Deprecated showLabels compatibility maps true to always and false to active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protocol</x:t>
        </x:is>
      </x:c>
      <x:c r="H31" s="86" t="inlineStr">
        <x:is>
          <x:t xml:space="preserve">covered</x:t>
        </x:is>
      </x:c>
      <x:c r="I31" s="84" t="inlineStr">
        <x:is>
          <x:t xml:space="preserve">manual-tests/bottom-navigation.md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Accessibility</x:t>
        </x:is>
      </x:c>
      <x:c r="C32" s="84" t="inlineStr">
        <x:is>
          <x:t xml:space="preserve">Root</x:t>
        </x:is>
      </x:c>
      <x:c r="D32" s="84" t="inlineStr">
        <x:is>
          <x:t xml:space="preserve">aria-label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protocol</x:t>
        </x:is>
      </x:c>
      <x:c r="H32" s="86" t="inlineStr">
        <x:is>
          <x:t xml:space="preserve">covered</x:t>
        </x:is>
      </x:c>
      <x:c r="I32" s="84" t="inlineStr">
        <x:is>
          <x:t xml:space="preserve">manual-tests/bottom-navigation.md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[data-slot]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protocol</x:t>
        </x:is>
      </x:c>
      <x:c r="H33" s="86" t="inlineStr">
        <x:is>
          <x:t xml:space="preserve">covered</x:t>
        </x:is>
      </x:c>
      <x:c r="I33" s="84" t="inlineStr">
        <x:is>
          <x:t xml:space="preserve">manual-tests/bottom-navigation.md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Anatomy</x:t>
        </x:is>
      </x:c>
      <x:c r="C34" s="84" t="inlineStr">
        <x:is>
          <x:t xml:space="preserve">Item</x:t>
        </x:is>
      </x:c>
      <x:c r="D34" s="84" t="inlineStr">
        <x:is>
          <x:t xml:space="preserve">renders correct part when expected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protocol</x:t>
        </x:is>
      </x:c>
      <x:c r="H34" s="86" t="inlineStr">
        <x:is>
          <x:t xml:space="preserve">covered</x:t>
        </x:is>
      </x:c>
      <x:c r="I34" s="84" t="inlineStr">
        <x:is>
          <x:t xml:space="preserve">manual-tests/bottom-navigation.md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Anatomy</x:t>
        </x:is>
      </x:c>
      <x:c r="C35" s="84" t="inlineStr">
        <x:is>
          <x:t xml:space="preserve">Item</x:t>
        </x:is>
      </x:c>
      <x:c r="D35" s="84" t="inlineStr">
        <x:is>
          <x:t xml:space="preserve">appears in documented order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protocol</x:t>
        </x:is>
      </x:c>
      <x:c r="H35" s="86" t="inlineStr">
        <x:is>
          <x:t xml:space="preserve">covered</x:t>
        </x:is>
      </x:c>
      <x:c r="I35" s="84" t="inlineStr">
        <x:is>
          <x:t xml:space="preserve">manual-tests/bottom-navigation.md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30" customHeight="1">
      <x:c r="A36" s="73" t="n">
        <x:v>28</x:v>
      </x:c>
      <x:c r="B36" s="84" t="inlineStr">
        <x:is>
          <x:t xml:space="preserve">Identity</x:t>
        </x:is>
      </x:c>
      <x:c r="C36" s="84" t="inlineStr">
        <x:is>
          <x:t xml:space="preserve">Item</x:t>
        </x:is>
      </x:c>
      <x:c r="D36" s="84" t="inlineStr">
        <x:is>
          <x:t xml:space="preserve">default tag is visible in Anatomy/Inspector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protocol</x:t>
        </x:is>
      </x:c>
      <x:c r="H36" s="86" t="inlineStr">
        <x:is>
          <x:t xml:space="preserve">covered</x:t>
        </x:is>
      </x:c>
      <x:c r="I36" s="84" t="inlineStr">
        <x:is>
          <x:t xml:space="preserve">manual-tests/bottom-navigation.md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Identity</x:t>
        </x:is>
      </x:c>
      <x:c r="C37" s="84" t="inlineStr">
        <x:is>
          <x:t xml:space="preserve">Item</x:t>
        </x:is>
      </x:c>
      <x:c r="D37" s="84" t="inlineStr">
        <x:is>
          <x:t xml:space="preserve">data-slot is present and correct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protocol</x:t>
        </x:is>
      </x:c>
      <x:c r="H37" s="86" t="inlineStr">
        <x:is>
          <x:t xml:space="preserve">covered</x:t>
        </x:is>
      </x:c>
      <x:c r="I37" s="84" t="inlineStr">
        <x:is>
          <x:t xml:space="preserve">manual-tests/bottom-navigation.md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Props</x:t>
        </x:is>
      </x:c>
      <x:c r="C38" s="84" t="inlineStr">
        <x:is>
          <x:t xml:space="preserve">Item</x:t>
        </x:is>
      </x:c>
      <x:c r="D38" s="84" t="inlineStr">
        <x:is>
          <x:t xml:space="preserve">non-Atom native props pass through with data-prop-check marker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protocol</x:t>
        </x:is>
      </x:c>
      <x:c r="H38" s="86" t="inlineStr">
        <x:is>
          <x:t xml:space="preserve">covered</x:t>
        </x:is>
      </x:c>
      <x:c r="I38" s="84" t="inlineStr">
        <x:is>
          <x:t xml:space="preserve">manual-tests/bottom-navigation.md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Refs</x:t>
        </x:is>
      </x:c>
      <x:c r="C39" s="84" t="inlineStr">
        <x:is>
          <x:t xml:space="preserve">Item</x:t>
        </x:is>
      </x:c>
      <x:c r="D39" s="84" t="inlineStr">
        <x:is>
          <x:t xml:space="preserve">consumer ref receives the rendered element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protocol</x:t>
        </x:is>
      </x:c>
      <x:c r="H39" s="86" t="inlineStr">
        <x:is>
          <x:t xml:space="preserve">covered</x:t>
        </x:is>
      </x:c>
      <x:c r="I39" s="84" t="inlineStr">
        <x:is>
          <x:t xml:space="preserve">manual-tests/bottom-navigation.md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Composition</x:t>
        </x:is>
      </x:c>
      <x:c r="C40" s="84" t="inlineStr">
        <x:is>
          <x:t xml:space="preserve">Item</x:t>
        </x:is>
      </x:c>
      <x:c r="D40" s="84" t="inlineStr">
        <x:is>
          <x:t xml:space="preserve">asChild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protocol</x:t>
        </x:is>
      </x:c>
      <x:c r="H40" s="86" t="inlineStr">
        <x:is>
          <x:t xml:space="preserve">covered</x:t>
        </x:is>
      </x:c>
      <x:c r="I40" s="84" t="inlineStr">
        <x:is>
          <x:t xml:space="preserve">manual-tests/bottom-navigation.md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Composition</x:t>
        </x:is>
      </x:c>
      <x:c r="C41" s="84" t="inlineStr">
        <x:is>
          <x:t xml:space="preserve">Item</x:t>
        </x:is>
      </x:c>
      <x:c r="D41" s="84" t="inlineStr">
        <x:is>
          <x:t xml:space="preserve">render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protocol</x:t>
        </x:is>
      </x:c>
      <x:c r="H41" s="86" t="inlineStr">
        <x:is>
          <x:t xml:space="preserve">covered</x:t>
        </x:is>
      </x:c>
      <x:c r="I41" s="84" t="inlineStr">
        <x:is>
          <x:t xml:space="preserve">manual-tests/bottom-navigation.md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Item</x:t>
        </x:is>
      </x:c>
      <x:c r="D42" s="84" t="inlineStr">
        <x:is>
          <x:t xml:space="preserve">value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protocol</x:t>
        </x:is>
      </x:c>
      <x:c r="H42" s="86" t="inlineStr">
        <x:is>
          <x:t xml:space="preserve">covered</x:t>
        </x:is>
      </x:c>
      <x:c r="I42" s="84" t="inlineStr">
        <x:is>
          <x:t xml:space="preserve">manual-tests/bottom-navigation.md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Item</x:t>
        </x:is>
      </x:c>
      <x:c r="D43" s="84" t="inlineStr">
        <x:is>
          <x:t xml:space="preserve">href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protocol</x:t>
        </x:is>
      </x:c>
      <x:c r="H43" s="86" t="inlineStr">
        <x:is>
          <x:t xml:space="preserve">covered</x:t>
        </x:is>
      </x:c>
      <x:c r="I43" s="84" t="inlineStr">
        <x:is>
          <x:t xml:space="preserve">manual-tests/bottom-navigation.md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Item</x:t>
        </x:is>
      </x:c>
      <x:c r="D44" s="84" t="inlineStr">
        <x:is>
          <x:t xml:space="preserve">target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protocol</x:t>
        </x:is>
      </x:c>
      <x:c r="H44" s="86" t="inlineStr">
        <x:is>
          <x:t xml:space="preserve">covered</x:t>
        </x:is>
      </x:c>
      <x:c r="I44" s="84" t="inlineStr">
        <x:is>
          <x:t xml:space="preserve">manual-tests/bottom-navigation.md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Public API</x:t>
        </x:is>
      </x:c>
      <x:c r="C45" s="84" t="inlineStr">
        <x:is>
          <x:t xml:space="preserve">Item</x:t>
        </x:is>
      </x:c>
      <x:c r="D45" s="84" t="inlineStr">
        <x:is>
          <x:t xml:space="preserve">rel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protocol</x:t>
        </x:is>
      </x:c>
      <x:c r="H45" s="86" t="inlineStr">
        <x:is>
          <x:t xml:space="preserve">covered</x:t>
        </x:is>
      </x:c>
      <x:c r="I45" s="84" t="inlineStr">
        <x:is>
          <x:t xml:space="preserve">manual-tests/bottom-navigation.md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State</x:t>
        </x:is>
      </x:c>
      <x:c r="C46" s="84" t="inlineStr">
        <x:is>
          <x:t xml:space="preserve">Item</x:t>
        </x:is>
      </x:c>
      <x:c r="D46" s="84" t="inlineStr">
        <x:is>
          <x:t xml:space="preserve">disabled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protocol</x:t>
        </x:is>
      </x:c>
      <x:c r="H46" s="86" t="inlineStr">
        <x:is>
          <x:t xml:space="preserve">covered</x:t>
        </x:is>
      </x:c>
      <x:c r="I46" s="84" t="inlineStr">
        <x:is>
          <x:t xml:space="preserve">manual-tests/bottom-navigation.md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Public API</x:t>
        </x:is>
      </x:c>
      <x:c r="C47" s="84" t="inlineStr">
        <x:is>
          <x:t xml:space="preserve">Item</x:t>
        </x:is>
      </x:c>
      <x:c r="D47" s="84" t="inlineStr">
        <x:is>
          <x:t xml:space="preserve">[data-slot]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protocol</x:t>
        </x:is>
      </x:c>
      <x:c r="H47" s="86" t="inlineStr">
        <x:is>
          <x:t xml:space="preserve">covered</x:t>
        </x:is>
      </x:c>
      <x:c r="I47" s="84" t="inlineStr">
        <x:is>
          <x:t xml:space="preserve">manual-tests/bottom-navigation.md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Public API</x:t>
        </x:is>
      </x:c>
      <x:c r="C48" s="84" t="inlineStr">
        <x:is>
          <x:t xml:space="preserve">Item</x:t>
        </x:is>
      </x:c>
      <x:c r="D48" s="84" t="inlineStr">
        <x:is>
          <x:t xml:space="preserve">[data-state]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protocol</x:t>
        </x:is>
      </x:c>
      <x:c r="H48" s="86" t="inlineStr">
        <x:is>
          <x:t xml:space="preserve">covered</x:t>
        </x:is>
      </x:c>
      <x:c r="I48" s="84" t="inlineStr">
        <x:is>
          <x:t xml:space="preserve">manual-tests/bottom-navigation.md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State</x:t>
        </x:is>
      </x:c>
      <x:c r="C49" s="84" t="inlineStr">
        <x:is>
          <x:t xml:space="preserve">Item</x:t>
        </x:is>
      </x:c>
      <x:c r="D49" s="84" t="inlineStr">
        <x:is>
          <x:t xml:space="preserve">[data-value]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protocol</x:t>
        </x:is>
      </x:c>
      <x:c r="H49" s="86" t="inlineStr">
        <x:is>
          <x:t xml:space="preserve">covered</x:t>
        </x:is>
      </x:c>
      <x:c r="I49" s="84" t="inlineStr">
        <x:is>
          <x:t xml:space="preserve">manual-tests/bottom-navigation.md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Item</x:t>
        </x:is>
      </x:c>
      <x:c r="D50" s="84" t="inlineStr">
        <x:is>
          <x:t xml:space="preserve">[data-active]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protocol</x:t>
        </x:is>
      </x:c>
      <x:c r="H50" s="86" t="inlineStr">
        <x:is>
          <x:t xml:space="preserve">covered</x:t>
        </x:is>
      </x:c>
      <x:c r="I50" s="84" t="inlineStr">
        <x:is>
          <x:t xml:space="preserve">manual-tests/bottom-navigation.md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State</x:t>
        </x:is>
      </x:c>
      <x:c r="C51" s="84" t="inlineStr">
        <x:is>
          <x:t xml:space="preserve">Item</x:t>
        </x:is>
      </x:c>
      <x:c r="D51" s="84" t="inlineStr">
        <x:is>
          <x:t xml:space="preserve">[data-disabled]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protocol</x:t>
        </x:is>
      </x:c>
      <x:c r="H51" s="86" t="inlineStr">
        <x:is>
          <x:t xml:space="preserve">covered</x:t>
        </x:is>
      </x:c>
      <x:c r="I51" s="84" t="inlineStr">
        <x:is>
          <x:t xml:space="preserve">manual-tests/bottom-navigation.md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Item</x:t>
        </x:is>
      </x:c>
      <x:c r="D52" s="84" t="inlineStr">
        <x:is>
          <x:t xml:space="preserve">[data-label-visible]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protocol</x:t>
        </x:is>
      </x:c>
      <x:c r="H52" s="86" t="inlineStr">
        <x:is>
          <x:t xml:space="preserve">covered</x:t>
        </x:is>
      </x:c>
      <x:c r="I52" s="84" t="inlineStr">
        <x:is>
          <x:t xml:space="preserve">manual-tests/bottom-navigation.md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ARIA</x:t>
        </x:is>
      </x:c>
      <x:c r="C53" s="84" t="inlineStr">
        <x:is>
          <x:t xml:space="preserve">Live DOM</x:t>
        </x:is>
      </x:c>
      <x:c r="D53" s="84" t="inlineStr">
        <x:is>
          <x:t xml:space="preserve">aria-current is present at the correct time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protocol</x:t>
        </x:is>
      </x:c>
      <x:c r="H53" s="86" t="inlineStr">
        <x:is>
          <x:t xml:space="preserve">covered</x:t>
        </x:is>
      </x:c>
      <x:c r="I53" s="84" t="inlineStr">
        <x:is>
          <x:t xml:space="preserve">manual-tests/bottom-navigation.md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ARIA</x:t>
        </x:is>
      </x:c>
      <x:c r="C54" s="84" t="inlineStr">
        <x:is>
          <x:t xml:space="preserve">Live DOM</x:t>
        </x:is>
      </x:c>
      <x:c r="D54" s="84" t="inlineStr">
        <x:is>
          <x:t xml:space="preserve">aria-disabled is present at the correct time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protocol</x:t>
        </x:is>
      </x:c>
      <x:c r="H54" s="86" t="inlineStr">
        <x:is>
          <x:t xml:space="preserve">covered</x:t>
        </x:is>
      </x:c>
      <x:c r="I54" s="84" t="inlineStr">
        <x:is>
          <x:t xml:space="preserve">manual-tests/bottom-navigation.md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30" customHeight="1">
      <x:c r="A55" s="73" t="n">
        <x:v>47</x:v>
      </x:c>
      <x:c r="B55" s="84" t="inlineStr">
        <x:is>
          <x:t xml:space="preserve">ARIA</x:t>
        </x:is>
      </x:c>
      <x:c r="C55" s="84" t="inlineStr">
        <x:is>
          <x:t xml:space="preserve">Live DOM</x:t>
        </x:is>
      </x:c>
      <x:c r="D55" s="84" t="inlineStr">
        <x:is>
          <x:t xml:space="preserve">aria-label is present at the correct time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protocol</x:t>
        </x:is>
      </x:c>
      <x:c r="H55" s="86" t="inlineStr">
        <x:is>
          <x:t xml:space="preserve">covered</x:t>
        </x:is>
      </x:c>
      <x:c r="I55" s="84" t="inlineStr">
        <x:is>
          <x:t xml:space="preserve">manual-tests/bottom-navigation.md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Data</x:t>
        </x:is>
      </x:c>
      <x:c r="C56" s="84" t="inlineStr">
        <x:is>
          <x:t xml:space="preserve">Live DOM</x:t>
        </x:is>
      </x:c>
      <x:c r="D56" s="84" t="inlineStr">
        <x:is>
          <x:t xml:space="preserve">data-active is present at the correct time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protocol</x:t>
        </x:is>
      </x:c>
      <x:c r="H56" s="86" t="inlineStr">
        <x:is>
          <x:t xml:space="preserve">covered</x:t>
        </x:is>
      </x:c>
      <x:c r="I56" s="84" t="inlineStr">
        <x:is>
          <x:t xml:space="preserve">manual-tests/bottom-navigation.md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Data</x:t>
        </x:is>
      </x:c>
      <x:c r="C57" s="84" t="inlineStr">
        <x:is>
          <x:t xml:space="preserve">Live DOM</x:t>
        </x:is>
      </x:c>
      <x:c r="D57" s="84" t="inlineStr">
        <x:is>
          <x:t xml:space="preserve">data-disabled is present at the correct time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protocol</x:t>
        </x:is>
      </x:c>
      <x:c r="H57" s="86" t="inlineStr">
        <x:is>
          <x:t xml:space="preserve">covered</x:t>
        </x:is>
      </x:c>
      <x:c r="I57" s="84" t="inlineStr">
        <x:is>
          <x:t xml:space="preserve">manual-tests/bottom-navigation.md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Data</x:t>
        </x:is>
      </x:c>
      <x:c r="C58" s="84" t="inlineStr">
        <x:is>
          <x:t xml:space="preserve">Live DOM</x:t>
        </x:is>
      </x:c>
      <x:c r="D58" s="84" t="inlineStr">
        <x:is>
          <x:t xml:space="preserve">data-label-visible is present at the correct time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protocol</x:t>
        </x:is>
      </x:c>
      <x:c r="H58" s="86" t="inlineStr">
        <x:is>
          <x:t xml:space="preserve">covered</x:t>
        </x:is>
      </x:c>
      <x:c r="I58" s="84" t="inlineStr">
        <x:is>
          <x:t xml:space="preserve">manual-tests/bottom-navigation.md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Data</x:t>
        </x:is>
      </x:c>
      <x:c r="C59" s="84" t="inlineStr">
        <x:is>
          <x:t xml:space="preserve">Live DOM</x:t>
        </x:is>
      </x:c>
      <x:c r="D59" s="84" t="inlineStr">
        <x:is>
          <x:t xml:space="preserve">data-slot is present at the correct time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protocol</x:t>
        </x:is>
      </x:c>
      <x:c r="H59" s="86" t="inlineStr">
        <x:is>
          <x:t xml:space="preserve">covered</x:t>
        </x:is>
      </x:c>
      <x:c r="I59" s="84" t="inlineStr">
        <x:is>
          <x:t xml:space="preserve">manual-tests/bottom-navigation.md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Data</x:t>
        </x:is>
      </x:c>
      <x:c r="C60" s="84" t="inlineStr">
        <x:is>
          <x:t xml:space="preserve">Live DOM</x:t>
        </x:is>
      </x:c>
      <x:c r="D60" s="84" t="inlineStr">
        <x:is>
          <x:t xml:space="preserve">data-state is present at the correct time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protocol</x:t>
        </x:is>
      </x:c>
      <x:c r="H60" s="86" t="inlineStr">
        <x:is>
          <x:t xml:space="preserve">covered</x:t>
        </x:is>
      </x:c>
      <x:c r="I60" s="84" t="inlineStr">
        <x:is>
          <x:t xml:space="preserve">manual-tests/bottom-navigation.md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Data</x:t>
        </x:is>
      </x:c>
      <x:c r="C61" s="84" t="inlineStr">
        <x:is>
          <x:t xml:space="preserve">Live DOM</x:t>
        </x:is>
      </x:c>
      <x:c r="D61" s="84" t="inlineStr">
        <x:is>
          <x:t xml:space="preserve">data-value is present at the correct time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protocol</x:t>
        </x:is>
      </x:c>
      <x:c r="H61" s="86" t="inlineStr">
        <x:is>
          <x:t xml:space="preserve">covered</x:t>
        </x:is>
      </x:c>
      <x:c r="I61" s="84" t="inlineStr">
        <x:is>
          <x:t xml:space="preserve">manual-tests/bottom-navigation.md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Composition</x:t>
        </x:is>
      </x:c>
      <x:c r="C62" s="84" t="inlineStr">
        <x:is>
          <x:t xml:space="preserve">BottomNavigation</x:t>
        </x:is>
      </x:c>
      <x:c r="D62" s="84" t="inlineStr">
        <x:is>
          <x:t xml:space="preserve">asChild preserves child content without double nesting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protocol</x:t>
        </x:is>
      </x:c>
      <x:c r="H62" s="86" t="inlineStr">
        <x:is>
          <x:t xml:space="preserve">covered</x:t>
        </x:is>
      </x:c>
      <x:c r="I62" s="84" t="inlineStr">
        <x:is>
          <x:t xml:space="preserve">manual-tests/bottom-navigation.md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Composition</x:t>
        </x:is>
      </x:c>
      <x:c r="C63" s="84" t="inlineStr">
        <x:is>
          <x:t xml:space="preserve">BottomNavigation</x:t>
        </x:is>
      </x:c>
      <x:c r="D63" s="84" t="inlineStr">
        <x:is>
          <x:t xml:space="preserve">asChild merges Atom props and consumer props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protocol</x:t>
        </x:is>
      </x:c>
      <x:c r="H63" s="86" t="inlineStr">
        <x:is>
          <x:t xml:space="preserve">covered</x:t>
        </x:is>
      </x:c>
      <x:c r="I63" s="84" t="inlineStr">
        <x:is>
          <x:t xml:space="preserve">manual-tests/bottom-navigation.md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Composition</x:t>
        </x:is>
      </x:c>
      <x:c r="C64" s="84" t="inlineStr">
        <x:is>
          <x:t xml:space="preserve">BottomNavigation</x:t>
        </x:is>
      </x:c>
      <x:c r="D64" s="84" t="inlineStr">
        <x:is>
          <x:t xml:space="preserve">asChild lets preventDefault block Atom behavior where supported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protocol</x:t>
        </x:is>
      </x:c>
      <x:c r="H64" s="86" t="inlineStr">
        <x:is>
          <x:t xml:space="preserve">covered</x:t>
        </x:is>
      </x:c>
      <x:c r="I64" s="84" t="inlineStr">
        <x:is>
          <x:t xml:space="preserve">manual-tests/bottom-navigation.md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Composition</x:t>
        </x:is>
      </x:c>
      <x:c r="C65" s="84" t="inlineStr">
        <x:is>
          <x:t xml:space="preserve">BottomNavigation</x:t>
        </x:is>
      </x:c>
      <x:c r="D65" s="84" t="inlineStr">
        <x:is>
          <x:t xml:space="preserve">render prop renders custom element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protocol</x:t>
        </x:is>
      </x:c>
      <x:c r="H65" s="86" t="inlineStr">
        <x:is>
          <x:t xml:space="preserve">covered</x:t>
        </x:is>
      </x:c>
      <x:c r="I65" s="84" t="inlineStr">
        <x:is>
          <x:t xml:space="preserve">manual-tests/bottom-navigation.md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Composition</x:t>
        </x:is>
      </x:c>
      <x:c r="C66" s="84" t="inlineStr">
        <x:is>
          <x:t xml:space="preserve">BottomNavigation</x:t>
        </x:is>
      </x:c>
      <x:c r="D66" s="84" t="inlineStr">
        <x:is>
          <x:t xml:space="preserve">render prop preserves refs and behavior props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protocol</x:t>
        </x:is>
      </x:c>
      <x:c r="H66" s="86" t="inlineStr">
        <x:is>
          <x:t xml:space="preserve">covered</x:t>
        </x:is>
      </x:c>
      <x:c r="I66" s="84" t="inlineStr">
        <x:is>
          <x:t xml:space="preserve">manual-tests/bottom-navigation.md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State</x:t>
        </x:is>
      </x:c>
      <x:c r="C67" s="84" t="inlineStr">
        <x:is>
          <x:t xml:space="preserve">Root</x:t>
        </x:is>
      </x:c>
      <x:c r="D67" s="84" t="inlineStr">
        <x:is>
          <x:t xml:space="preserve">controlled state path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protocol</x:t>
        </x:is>
      </x:c>
      <x:c r="H67" s="86" t="inlineStr">
        <x:is>
          <x:t xml:space="preserve">covered</x:t>
        </x:is>
      </x:c>
      <x:c r="I67" s="84" t="inlineStr">
        <x:is>
          <x:t xml:space="preserve">manual-tests/bottom-navigation.md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30" customHeight="1">
      <x:c r="A68" s="73" t="n">
        <x:v>60</x:v>
      </x:c>
      <x:c r="B68" s="84" t="inlineStr">
        <x:is>
          <x:t xml:space="preserve">State</x:t>
        </x:is>
      </x:c>
      <x:c r="C68" s="84" t="inlineStr">
        <x:is>
          <x:t xml:space="preserve">Root</x:t>
        </x:is>
      </x:c>
      <x:c r="D68" s="84" t="inlineStr">
        <x:is>
          <x:t xml:space="preserve">uncontrolled default state path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protocol</x:t>
        </x:is>
      </x:c>
      <x:c r="H68" s="86" t="inlineStr">
        <x:is>
          <x:t xml:space="preserve">covered</x:t>
        </x:is>
      </x:c>
      <x:c r="I68" s="84" t="inlineStr">
        <x:is>
          <x:t xml:space="preserve">manual-tests/bottom-navigation.md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State</x:t>
        </x:is>
      </x:c>
      <x:c r="C69" s="84" t="inlineStr">
        <x:is>
          <x:t xml:space="preserve">Root</x:t>
        </x:is>
      </x:c>
      <x:c r="D69" s="84" t="inlineStr">
        <x:is>
          <x:t xml:space="preserve">state change callback fires once with correct value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protocol</x:t>
        </x:is>
      </x:c>
      <x:c r="H69" s="86" t="inlineStr">
        <x:is>
          <x:t xml:space="preserve">covered</x:t>
        </x:is>
      </x:c>
      <x:c r="I69" s="84" t="inlineStr">
        <x:is>
          <x:t xml:space="preserve">manual-tests/bottom-navigation.md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Public API</x:t>
        </x:is>
      </x:c>
      <x:c r="C70" s="84" t="inlineStr">
        <x:is>
          <x:t xml:space="preserve">Root</x:t>
        </x:is>
      </x:c>
      <x:c r="D70" s="84" t="inlineStr">
        <x:is>
          <x:t xml:space="preserve">labelVisibility supports always, active, and hidden policies</x:t>
        </x:is>
      </x:c>
      <x:c r="E70" s="76" t="inlineStr">
        <x:is>
          <x:t xml:space="preserve">yes</x:t>
        </x:is>
      </x:c>
      <x:c r="F70" s="85" t="inlineStr">
        <x:is>
          <x:t xml:space="preserve">no</x:t>
        </x:is>
      </x:c>
      <x:c r="G70" s="73" t="inlineStr">
        <x:is>
          <x:t xml:space="preserve">automated tests passed; manual protocol pending</x:t>
        </x:is>
      </x:c>
      <x:c r="H70" s="86" t="inlineStr">
        <x:is>
          <x:t xml:space="preserve">untested</x:t>
        </x:is>
      </x:c>
      <x:c r="I70" s="84" t="inlineStr">
        <x:is>
          <x:t xml:space="preserve">manual-tests/bottom-navigation.md</x:t>
        </x:is>
      </x:c>
      <x:c r="J70" s="84" t="inlineStr">
        <x:is>
          <x:t xml:space="preserve">Run the revised Bottom Navigation manual protocol</x:t>
        </x:is>
      </x:c>
      <x:c r="K70" s="87" t="n">
        <x:f>IF(AND(E70="yes",F70="yes",H70="covered"),1,IF(H70="partial",0.5,0))</x:f>
        <x:v>0</x:v>
      </x:c>
    </x:row>
    <x:row r="71" s="51" customFormat="1" ht="15" customHeight="1">
      <x:c r="A71" s="73" t="n">
        <x:v>63</x:v>
      </x:c>
      <x:c r="B71" s="84" t="inlineStr">
        <x:is>
          <x:t xml:space="preserve">Data</x:t>
        </x:is>
      </x:c>
      <x:c r="C71" s="84" t="inlineStr">
        <x:is>
          <x:t xml:space="preserve">Root</x:t>
        </x:is>
      </x:c>
      <x:c r="D71" s="84" t="inlineStr">
        <x:is>
          <x:t xml:space="preserve">data-label-visibility reports the resolved label policy</x:t>
        </x:is>
      </x:c>
      <x:c r="E71" s="76" t="inlineStr">
        <x:is>
          <x:t xml:space="preserve">yes</x:t>
        </x:is>
      </x:c>
      <x:c r="F71" s="85" t="inlineStr">
        <x:is>
          <x:t xml:space="preserve">no</x:t>
        </x:is>
      </x:c>
      <x:c r="G71" s="73" t="inlineStr">
        <x:is>
          <x:t xml:space="preserve">automated tests passed; manual protocol pending</x:t>
        </x:is>
      </x:c>
      <x:c r="H71" s="86" t="inlineStr">
        <x:is>
          <x:t xml:space="preserve">untested</x:t>
        </x:is>
      </x:c>
      <x:c r="I71" s="84" t="inlineStr">
        <x:is>
          <x:t xml:space="preserve">manual-tests/bottom-navigation.md</x:t>
        </x:is>
      </x:c>
      <x:c r="J71" s="84" t="inlineStr">
        <x:is>
          <x:t xml:space="preserve">Run the revised Bottom Navigation manual protocol</x:t>
        </x:is>
      </x:c>
      <x:c r="K71" s="87" t="n">
        <x:f>IF(AND(E71="yes",F71="yes",H71="covered"),1,IF(H71="partial",0.5,0))</x:f>
        <x:v>0</x:v>
      </x:c>
    </x:row>
    <x:row r="72" s="51" customFormat="1" ht="15" customHeight="1">
      <x:c r="A72" s="73" t="n">
        <x:v>64</x:v>
      </x:c>
      <x:c r="B72" s="84" t="inlineStr">
        <x:is>
          <x:t xml:space="preserve">Compatibility</x:t>
        </x:is>
      </x:c>
      <x:c r="C72" s="84" t="inlineStr">
        <x:is>
          <x:t xml:space="preserve">Root</x:t>
        </x:is>
      </x:c>
      <x:c r="D72" s="84" t="inlineStr">
        <x:is>
          <x:t xml:space="preserve">labelVisibility takes precedence over deprecated showLabels</x:t>
        </x:is>
      </x:c>
      <x:c r="E72" s="76" t="inlineStr">
        <x:is>
          <x:t xml:space="preserve">yes</x:t>
        </x:is>
      </x:c>
      <x:c r="F72" s="85" t="inlineStr">
        <x:is>
          <x:t xml:space="preserve">no</x:t>
        </x:is>
      </x:c>
      <x:c r="G72" s="73" t="inlineStr">
        <x:is>
          <x:t xml:space="preserve">automated tests passed; manual protocol pending</x:t>
        </x:is>
      </x:c>
      <x:c r="H72" s="86" t="inlineStr">
        <x:is>
          <x:t xml:space="preserve">untested</x:t>
        </x:is>
      </x:c>
      <x:c r="I72" s="84" t="inlineStr">
        <x:is>
          <x:t xml:space="preserve">manual-tests/bottom-navigation.md</x:t>
        </x:is>
      </x:c>
      <x:c r="J72" s="84" t="inlineStr">
        <x:is>
          <x:t xml:space="preserve">Run the revised Bottom Navigation manual protocol</x:t>
        </x:is>
      </x:c>
      <x:c r="K72" s="87" t="n">
        <x:f>IF(AND(E72="yes",F72="yes",H72="covered"),1,IF(H72="partial",0.5,0))</x:f>
        <x:v>0</x:v>
      </x:c>
    </x:row>
    <x:row r="73" s="51" customFormat="1" ht="15" customHeight="1">
      <x:c r="A73" s="73" t="n">
        <x:v>65</x:v>
      </x:c>
      <x:c r="B73" s="84" t="inlineStr">
        <x:is>
          <x:t xml:space="preserve">Public API</x:t>
        </x:is>
      </x:c>
      <x:c r="C73" s="84" t="inlineStr">
        <x:is>
          <x:t xml:space="preserve">Root</x:t>
        </x:is>
      </x:c>
      <x:c r="D73" s="84" t="inlineStr">
        <x:is>
          <x:t xml:space="preserve">position supports static, sticky, absolute, and fixed intent</x:t>
        </x:is>
      </x:c>
      <x:c r="E73" s="76" t="inlineStr">
        <x:is>
          <x:t xml:space="preserve">yes</x:t>
        </x:is>
      </x:c>
      <x:c r="F73" s="85" t="inlineStr">
        <x:is>
          <x:t xml:space="preserve">no</x:t>
        </x:is>
      </x:c>
      <x:c r="G73" s="73" t="inlineStr">
        <x:is>
          <x:t xml:space="preserve">automated tests passed; manual protocol pending</x:t>
        </x:is>
      </x:c>
      <x:c r="H73" s="86" t="inlineStr">
        <x:is>
          <x:t xml:space="preserve">untested</x:t>
        </x:is>
      </x:c>
      <x:c r="I73" s="84" t="inlineStr">
        <x:is>
          <x:t xml:space="preserve">manual-tests/bottom-navigation.md</x:t>
        </x:is>
      </x:c>
      <x:c r="J73" s="84" t="inlineStr">
        <x:is>
          <x:t xml:space="preserve">Run the revised Bottom Navigation manual protocol</x:t>
        </x:is>
      </x:c>
      <x:c r="K73" s="87" t="n">
        <x:f>IF(AND(E73="yes",F73="yes",H73="covered"),1,IF(H73="partial",0.5,0))</x:f>
        <x:v>0</x:v>
      </x:c>
    </x:row>
    <x:row r="74" s="51" customFormat="1" ht="15" customHeight="1">
      <x:c r="A74" s="73" t="n">
        <x:v>66</x:v>
      </x:c>
      <x:c r="B74" s="84" t="inlineStr">
        <x:is>
          <x:t xml:space="preserve">Data</x:t>
        </x:is>
      </x:c>
      <x:c r="C74" s="84" t="inlineStr">
        <x:is>
          <x:t xml:space="preserve">Root</x:t>
        </x:is>
      </x:c>
      <x:c r="D74" s="84" t="inlineStr">
        <x:is>
          <x:t xml:space="preserve">data-position reports the selected position intent without changing semantics</x:t>
        </x:is>
      </x:c>
      <x:c r="E74" s="76" t="inlineStr">
        <x:is>
          <x:t xml:space="preserve">yes</x:t>
        </x:is>
      </x:c>
      <x:c r="F74" s="85" t="inlineStr">
        <x:is>
          <x:t xml:space="preserve">no</x:t>
        </x:is>
      </x:c>
      <x:c r="G74" s="73" t="inlineStr">
        <x:is>
          <x:t xml:space="preserve">automated tests passed; manual protocol pending</x:t>
        </x:is>
      </x:c>
      <x:c r="H74" s="86" t="inlineStr">
        <x:is>
          <x:t xml:space="preserve">untested</x:t>
        </x:is>
      </x:c>
      <x:c r="I74" s="84" t="inlineStr">
        <x:is>
          <x:t xml:space="preserve">manual-tests/bottom-navigation.md</x:t>
        </x:is>
      </x:c>
      <x:c r="J74" s="84" t="inlineStr">
        <x:is>
          <x:t xml:space="preserve">Run the revised Bottom Navigation manual protocol</x:t>
        </x:is>
      </x:c>
      <x:c r="K74" s="87" t="n">
        <x:f>IF(AND(E74="yes",F74="yes",H74="covered"),1,IF(H74="partial",0.5,0))</x:f>
        <x:v>0</x:v>
      </x:c>
    </x:row>
    <x:row r="75" s="51" customFormat="1" ht="15" customHeight="1">
      <x:c r="A75" s="73" t="n">
        <x:v>67</x:v>
      </x:c>
      <x:c r="B75" s="84" t="inlineStr">
        <x:is>
          <x:t xml:space="preserve">Native composition</x:t>
        </x:is>
      </x:c>
      <x:c r="C75" s="84" t="inlineStr">
        <x:is>
          <x:t xml:space="preserve">Root/Item</x:t>
        </x:is>
      </x:c>
      <x:c r="D75" s="84" t="inlineStr">
        <x:is>
          <x:t xml:space="preserve">Native names and disabled composed hosts</x:t>
        </x:is>
      </x:c>
      <x:c r="E75" s="76" t="inlineStr">
        <x:is>
          <x:t xml:space="preserve">yes</x:t>
        </x:is>
      </x:c>
      <x:c r="F75" s="85" t="inlineStr">
        <x:is>
          <x:t xml:space="preserve">no</x:t>
        </x:is>
      </x:c>
      <x:c r="G75" s="73" t="inlineStr">
        <x:is>
          <x:t xml:space="preserve">Unit tests passed</x:t>
        </x:is>
      </x:c>
      <x:c r="H75" s="86" t="inlineStr">
        <x:is>
          <x:t xml:space="preserve">untested</x:t>
        </x:is>
      </x:c>
      <x:c r="I75" s="84" t="inlineStr">
        <x:is>
          <x:t xml:space="preserve">../test/primitives/bottom-navigation.test.mjs</x:t>
        </x:is>
      </x:c>
      <x:c r="J75" s="84" t="inlineStr">
        <x:is>
          <x:t xml:space="preserve">Run keyboard and AT checks</x:t>
        </x:is>
      </x:c>
      <x:c r="K75" s="87" t="n">
        <x:f>IF(AND(E75="yes",F75="yes",H75="covered"),1,IF(H75="partial",0.5,0))</x:f>
        <x:v>0</x:v>
      </x:c>
    </x:row>
    <x:row r="76" s="51" customFormat="1" ht="15" customHeight="1">
      <x:c r="A76" s="73" t="n">
        <x:v>68</x:v>
      </x:c>
      <x:c r="B76" s="84" t="inlineStr">
        <x:is>
          <x:t xml:space="preserve">Native composition</x:t>
        </x:is>
      </x:c>
      <x:c r="C76" s="84" t="inlineStr">
        <x:is>
          <x:t xml:space="preserve">Root/Item</x:t>
        </x:is>
      </x:c>
      <x:c r="D76" s="84" t="inlineStr">
        <x:is>
          <x:t xml:space="preserve">Modified links do not select; refs preserved</x:t>
        </x:is>
      </x:c>
      <x:c r="E76" s="76" t="inlineStr">
        <x:is>
          <x:t xml:space="preserve">yes</x:t>
        </x:is>
      </x:c>
      <x:c r="F76" s="85" t="inlineStr">
        <x:is>
          <x:t xml:space="preserve">no</x:t>
        </x:is>
      </x:c>
      <x:c r="G76" s="73" t="inlineStr">
        <x:is>
          <x:t xml:space="preserve">Unit tests passed</x:t>
        </x:is>
      </x:c>
      <x:c r="H76" s="86" t="inlineStr">
        <x:is>
          <x:t xml:space="preserve">untested</x:t>
        </x:is>
      </x:c>
      <x:c r="I76" s="84" t="inlineStr">
        <x:is>
          <x:t xml:space="preserve">../test/primitives/bottom-navigation.test.mjs</x:t>
        </x:is>
      </x:c>
      <x:c r="J76" s="84" t="inlineStr">
        <x:is>
          <x:t xml:space="preserve">Run keyboard and AT checks</x:t>
        </x:is>
      </x:c>
      <x:c r="K76" s="87" t="n">
        <x:f>IF(AND(E76="yes",F76="yes",H76="covered"),1,IF(H76="partial",0.5,0))</x:f>
        <x:v>0</x:v>
      </x:c>
    </x:row>
    <x:row r="77" s="51" customFormat="1" ht="15" customHeight="1"/>
    <x:row r="78" s="51" customFormat="1" ht="15" customHeight="1"/>
    <x:row r="79" s="51" customFormat="1" ht="15" customHeight="1"/>
    <x:row r="80" s="51" customFormat="1" ht="1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Breadcrumb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83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Breadcrumb playground scenario and draft Manual Test Protocol.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Breadcrumb playground scenario and draft Manual Test Protocol.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Breadcrumb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Breadcrumb playground scenario and draft Manual Test Protocol.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Breadcrumb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Breadcrumb playground scenario and draft Manual Test Protocol.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Breadcrumb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Breadcrumb playground scenario and draft Manual Test Protocol.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Breadcrumb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Breadcrumb playground scenario and draft Manual Test Protocol.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Breadcrumb</x:t>
        </x:is>
      </x:c>
      <x:c r="D15" s="84" t="inlineStr">
        <x:is>
          <x:t xml:space="preserve">Renders a named breadcrumb `nav` landmark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Breadcrumb playground scenario and draft Manual Test Protocol.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Breadcrumb</x:t>
        </x:is>
      </x:c>
      <x:c r="D16" s="84" t="inlineStr">
        <x:is>
          <x:t xml:space="preserve">Uses an ordered list for page hierarchy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Breadcrumb playground scenario and draft Manual Test Protocol.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Breadcrumb</x:t>
        </x:is>
      </x:c>
      <x:c r="D17" s="84" t="inlineStr">
        <x:is>
          <x:t xml:space="preserve">Marks the current page with `aria-current="page"`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Breadcrumb playground scenario and draft Manual Test Protocol.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Breadcrumb</x:t>
        </x:is>
      </x:c>
      <x:c r="D18" s="84" t="inlineStr">
        <x:is>
          <x:t xml:space="preserve">Provides separator and ellipsis parts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Breadcrumb playground scenario and draft Manual Test Protocol.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Breadcrumb</x:t>
        </x:is>
      </x:c>
      <x:c r="D19" s="84" t="inlineStr">
        <x:is>
          <x:t xml:space="preserve">Supports `asChild` and `render` on every part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Breadcrumb playground scenario and draft Manual Test Protocol.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Breadcrumb playground scenario and draft Manual Test Protocol.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Breadcrumb playground scenario and draft Manual Test Protocol.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Breadcrumb playground scenario and draft Manual Test Protocol.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Breadcrumb playground scenario and draft Manual Test Protocol.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Breadcrumb playground scenario and draft Manual Test Protocol.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Breadcrumb playground scenario and draft Manual Test Protocol.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Composition</x:t>
        </x:is>
      </x:c>
      <x:c r="C26" s="84" t="inlineStr">
        <x:is>
          <x:t xml:space="preserve">Root</x:t>
        </x:is>
      </x:c>
      <x:c r="D26" s="84" t="inlineStr">
        <x:is>
          <x:t xml:space="preserve">asChild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Breadcrumb playground scenario and draft Manual Test Protocol.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Composition</x:t>
        </x:is>
      </x:c>
      <x:c r="C27" s="84" t="inlineStr">
        <x:is>
          <x:t xml:space="preserve">Root</x:t>
        </x:is>
      </x:c>
      <x:c r="D27" s="84" t="inlineStr">
        <x:is>
          <x:t xml:space="preserve">render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Breadcrumb playground scenario and draft Manual Test Protocol.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Accessibility</x:t>
        </x:is>
      </x:c>
      <x:c r="C28" s="84" t="inlineStr">
        <x:is>
          <x:t xml:space="preserve">Root</x:t>
        </x:is>
      </x:c>
      <x:c r="D28" s="84" t="inlineStr">
        <x:is>
          <x:t xml:space="preserve">ariaLabel prop behavior renders native aria-label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Breadcrumb playground scenario and draft Manual Test Protocol.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[data-slot]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Breadcrumb playground scenario and draft Manual Test Protocol.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Anatomy</x:t>
        </x:is>
      </x:c>
      <x:c r="C30" s="84" t="inlineStr">
        <x:is>
          <x:t xml:space="preserve">List</x:t>
        </x:is>
      </x:c>
      <x:c r="D30" s="84" t="inlineStr">
        <x:is>
          <x:t xml:space="preserve">renders correct part when expected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Breadcrumb playground scenario and draft Manual Test Protocol.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Anatomy</x:t>
        </x:is>
      </x:c>
      <x:c r="C31" s="84" t="inlineStr">
        <x:is>
          <x:t xml:space="preserve">List</x:t>
        </x:is>
      </x:c>
      <x:c r="D31" s="84" t="inlineStr">
        <x:is>
          <x:t xml:space="preserve">appears in documented order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Breadcrumb playground scenario and draft Manual Test Protocol.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30" customHeight="1">
      <x:c r="A32" s="73" t="n">
        <x:v>24</x:v>
      </x:c>
      <x:c r="B32" s="84" t="inlineStr">
        <x:is>
          <x:t xml:space="preserve">Identity</x:t>
        </x:is>
      </x:c>
      <x:c r="C32" s="84" t="inlineStr">
        <x:is>
          <x:t xml:space="preserve">List</x:t>
        </x:is>
      </x:c>
      <x:c r="D32" s="84" t="inlineStr">
        <x:is>
          <x:t xml:space="preserve">default tag is visible in Anatomy/Inspector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Breadcrumb playground scenario and draft Manual Test Protocol.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Identity</x:t>
        </x:is>
      </x:c>
      <x:c r="C33" s="84" t="inlineStr">
        <x:is>
          <x:t xml:space="preserve">List</x:t>
        </x:is>
      </x:c>
      <x:c r="D33" s="84" t="inlineStr">
        <x:is>
          <x:t xml:space="preserve">data-slot is present and correct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Breadcrumb playground scenario and draft Manual Test Protocol.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Props</x:t>
        </x:is>
      </x:c>
      <x:c r="C34" s="84" t="inlineStr">
        <x:is>
          <x:t xml:space="preserve">List</x:t>
        </x:is>
      </x:c>
      <x:c r="D34" s="84" t="inlineStr">
        <x:is>
          <x:t xml:space="preserve">non-Atom native props pass through with data-prop-check marker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Breadcrumb playground scenario and draft Manual Test Protocol.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Refs</x:t>
        </x:is>
      </x:c>
      <x:c r="C35" s="84" t="inlineStr">
        <x:is>
          <x:t xml:space="preserve">List</x:t>
        </x:is>
      </x:c>
      <x:c r="D35" s="84" t="inlineStr">
        <x:is>
          <x:t xml:space="preserve">consumer ref receives the rendered element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Breadcrumb playground scenario and draft Manual Test Protocol.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Composition</x:t>
        </x:is>
      </x:c>
      <x:c r="C36" s="84" t="inlineStr">
        <x:is>
          <x:t xml:space="preserve">List</x:t>
        </x:is>
      </x:c>
      <x:c r="D36" s="84" t="inlineStr">
        <x:is>
          <x:t xml:space="preserve">asChild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Breadcrumb playground scenario and draft Manual Test Protocol.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Composition</x:t>
        </x:is>
      </x:c>
      <x:c r="C37" s="84" t="inlineStr">
        <x:is>
          <x:t xml:space="preserve">List</x:t>
        </x:is>
      </x:c>
      <x:c r="D37" s="84" t="inlineStr">
        <x:is>
          <x:t xml:space="preserve">render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Breadcrumb playground scenario and draft Manual Test Protocol.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List</x:t>
        </x:is>
      </x:c>
      <x:c r="D38" s="84" t="inlineStr">
        <x:is>
          <x:t xml:space="preserve">[data-slot]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Breadcrumb playground scenario and draft Manual Test Protocol.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Anatomy</x:t>
        </x:is>
      </x:c>
      <x:c r="C39" s="84" t="inlineStr">
        <x:is>
          <x:t xml:space="preserve">Item</x:t>
        </x:is>
      </x:c>
      <x:c r="D39" s="84" t="inlineStr">
        <x:is>
          <x:t xml:space="preserve">renders correct part when expected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Breadcrumb playground scenario and draft Manual Test Protocol.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Anatomy</x:t>
        </x:is>
      </x:c>
      <x:c r="C40" s="84" t="inlineStr">
        <x:is>
          <x:t xml:space="preserve">Item</x:t>
        </x:is>
      </x:c>
      <x:c r="D40" s="84" t="inlineStr">
        <x:is>
          <x:t xml:space="preserve">appears in documented order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Breadcrumb playground scenario and draft Manual Test Protocol.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30" customHeight="1">
      <x:c r="A41" s="73" t="n">
        <x:v>33</x:v>
      </x:c>
      <x:c r="B41" s="84" t="inlineStr">
        <x:is>
          <x:t xml:space="preserve">Identity</x:t>
        </x:is>
      </x:c>
      <x:c r="C41" s="84" t="inlineStr">
        <x:is>
          <x:t xml:space="preserve">Item</x:t>
        </x:is>
      </x:c>
      <x:c r="D41" s="84" t="inlineStr">
        <x:is>
          <x:t xml:space="preserve">default tag is visible in Anatomy/Inspector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Breadcrumb playground scenario and draft Manual Test Protocol.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Identity</x:t>
        </x:is>
      </x:c>
      <x:c r="C42" s="84" t="inlineStr">
        <x:is>
          <x:t xml:space="preserve">Item</x:t>
        </x:is>
      </x:c>
      <x:c r="D42" s="84" t="inlineStr">
        <x:is>
          <x:t xml:space="preserve">data-slot is present and correct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Breadcrumb playground scenario and draft Manual Test Protocol.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Props</x:t>
        </x:is>
      </x:c>
      <x:c r="C43" s="84" t="inlineStr">
        <x:is>
          <x:t xml:space="preserve">Item</x:t>
        </x:is>
      </x:c>
      <x:c r="D43" s="84" t="inlineStr">
        <x:is>
          <x:t xml:space="preserve">non-Atom native props pass through with data-prop-check marker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Breadcrumb playground scenario and draft Manual Test Protocol.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Refs</x:t>
        </x:is>
      </x:c>
      <x:c r="C44" s="84" t="inlineStr">
        <x:is>
          <x:t xml:space="preserve">Item</x:t>
        </x:is>
      </x:c>
      <x:c r="D44" s="84" t="inlineStr">
        <x:is>
          <x:t xml:space="preserve">consumer ref receives the rendered element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Breadcrumb playground scenario and draft Manual Test Protocol.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Composition</x:t>
        </x:is>
      </x:c>
      <x:c r="C45" s="84" t="inlineStr">
        <x:is>
          <x:t xml:space="preserve">Item</x:t>
        </x:is>
      </x:c>
      <x:c r="D45" s="84" t="inlineStr">
        <x:is>
          <x:t xml:space="preserve">asChild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Breadcrumb playground scenario and draft Manual Test Protocol.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Composition</x:t>
        </x:is>
      </x:c>
      <x:c r="C46" s="84" t="inlineStr">
        <x:is>
          <x:t xml:space="preserve">Item</x:t>
        </x:is>
      </x:c>
      <x:c r="D46" s="84" t="inlineStr">
        <x:is>
          <x:t xml:space="preserve">render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Breadcrumb playground scenario and draft Manual Test Protocol.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Public API</x:t>
        </x:is>
      </x:c>
      <x:c r="C47" s="84" t="inlineStr">
        <x:is>
          <x:t xml:space="preserve">Item</x:t>
        </x:is>
      </x:c>
      <x:c r="D47" s="84" t="inlineStr">
        <x:is>
          <x:t xml:space="preserve">[data-slot]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Breadcrumb playground scenario and draft Manual Test Protocol.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Ellipsis</x:t>
        </x:is>
      </x:c>
      <x:c r="D48" s="84" t="inlineStr">
        <x:is>
          <x:t xml:space="preserve">renders correct part when expected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Breadcrumb playground scenario and draft Manual Test Protocol.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Anatomy</x:t>
        </x:is>
      </x:c>
      <x:c r="C49" s="84" t="inlineStr">
        <x:is>
          <x:t xml:space="preserve">Ellipsis</x:t>
        </x:is>
      </x:c>
      <x:c r="D49" s="84" t="inlineStr">
        <x:is>
          <x:t xml:space="preserve">appears in documented order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Breadcrumb playground scenario and draft Manual Test Protocol.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30" customHeight="1">
      <x:c r="A50" s="73" t="n">
        <x:v>42</x:v>
      </x:c>
      <x:c r="B50" s="84" t="inlineStr">
        <x:is>
          <x:t xml:space="preserve">Identity</x:t>
        </x:is>
      </x:c>
      <x:c r="C50" s="84" t="inlineStr">
        <x:is>
          <x:t xml:space="preserve">Ellipsis</x:t>
        </x:is>
      </x:c>
      <x:c r="D50" s="84" t="inlineStr">
        <x:is>
          <x:t xml:space="preserve">default tag is visible in Anatomy/Inspector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Breadcrumb playground scenario and draft Manual Test Protocol.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Identity</x:t>
        </x:is>
      </x:c>
      <x:c r="C51" s="84" t="inlineStr">
        <x:is>
          <x:t xml:space="preserve">Ellipsis</x:t>
        </x:is>
      </x:c>
      <x:c r="D51" s="84" t="inlineStr">
        <x:is>
          <x:t xml:space="preserve">data-slot is present and correct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Breadcrumb playground scenario and draft Manual Test Protocol.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Props</x:t>
        </x:is>
      </x:c>
      <x:c r="C52" s="84" t="inlineStr">
        <x:is>
          <x:t xml:space="preserve">Ellipsis</x:t>
        </x:is>
      </x:c>
      <x:c r="D52" s="84" t="inlineStr">
        <x:is>
          <x:t xml:space="preserve">non-Atom native props pass through with data-prop-check marker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Breadcrumb playground scenario and draft Manual Test Protocol.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Refs</x:t>
        </x:is>
      </x:c>
      <x:c r="C53" s="84" t="inlineStr">
        <x:is>
          <x:t xml:space="preserve">Ellipsis</x:t>
        </x:is>
      </x:c>
      <x:c r="D53" s="84" t="inlineStr">
        <x:is>
          <x:t xml:space="preserve">consumer ref receives the rendered element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Breadcrumb playground scenario and draft Manual Test Protocol.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Composition</x:t>
        </x:is>
      </x:c>
      <x:c r="C54" s="84" t="inlineStr">
        <x:is>
          <x:t xml:space="preserve">Ellipsis</x:t>
        </x:is>
      </x:c>
      <x:c r="D54" s="84" t="inlineStr">
        <x:is>
          <x:t xml:space="preserve">asChild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Breadcrumb playground scenario and draft Manual Test Protocol.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Composition</x:t>
        </x:is>
      </x:c>
      <x:c r="C55" s="84" t="inlineStr">
        <x:is>
          <x:t xml:space="preserve">Ellipsis</x:t>
        </x:is>
      </x:c>
      <x:c r="D55" s="84" t="inlineStr">
        <x:is>
          <x:t xml:space="preserve">render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Breadcrumb playground scenario and draft Manual Test Protocol.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Ellipsis</x:t>
        </x:is>
      </x:c>
      <x:c r="D56" s="84" t="inlineStr">
        <x:is>
          <x:t xml:space="preserve">[data-slot]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Breadcrumb playground scenario and draft Manual Test Protocol.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Anatomy</x:t>
        </x:is>
      </x:c>
      <x:c r="C57" s="84" t="inlineStr">
        <x:is>
          <x:t xml:space="preserve">Link</x:t>
        </x:is>
      </x:c>
      <x:c r="D57" s="84" t="inlineStr">
        <x:is>
          <x:t xml:space="preserve">renders correct part when expected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Breadcrumb playground scenario and draft Manual Test Protocol.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Anatomy</x:t>
        </x:is>
      </x:c>
      <x:c r="C58" s="84" t="inlineStr">
        <x:is>
          <x:t xml:space="preserve">Link</x:t>
        </x:is>
      </x:c>
      <x:c r="D58" s="84" t="inlineStr">
        <x:is>
          <x:t xml:space="preserve">appears in documented order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Breadcrumb playground scenario and draft Manual Test Protocol.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30" customHeight="1">
      <x:c r="A59" s="73" t="n">
        <x:v>51</x:v>
      </x:c>
      <x:c r="B59" s="84" t="inlineStr">
        <x:is>
          <x:t xml:space="preserve">Identity</x:t>
        </x:is>
      </x:c>
      <x:c r="C59" s="84" t="inlineStr">
        <x:is>
          <x:t xml:space="preserve">Link</x:t>
        </x:is>
      </x:c>
      <x:c r="D59" s="84" t="inlineStr">
        <x:is>
          <x:t xml:space="preserve">default tag is visible in Anatomy/Inspector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Breadcrumb playground scenario and draft Manual Test Protocol.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Identity</x:t>
        </x:is>
      </x:c>
      <x:c r="C60" s="84" t="inlineStr">
        <x:is>
          <x:t xml:space="preserve">Link</x:t>
        </x:is>
      </x:c>
      <x:c r="D60" s="84" t="inlineStr">
        <x:is>
          <x:t xml:space="preserve">data-slot is present and correct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Breadcrumb playground scenario and draft Manual Test Protocol.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Props</x:t>
        </x:is>
      </x:c>
      <x:c r="C61" s="84" t="inlineStr">
        <x:is>
          <x:t xml:space="preserve">Link</x:t>
        </x:is>
      </x:c>
      <x:c r="D61" s="84" t="inlineStr">
        <x:is>
          <x:t xml:space="preserve">non-Atom native props pass through with data-prop-check marker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Breadcrumb playground scenario and draft Manual Test Protocol.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Refs</x:t>
        </x:is>
      </x:c>
      <x:c r="C62" s="84" t="inlineStr">
        <x:is>
          <x:t xml:space="preserve">Link</x:t>
        </x:is>
      </x:c>
      <x:c r="D62" s="84" t="inlineStr">
        <x:is>
          <x:t xml:space="preserve">consumer ref receives the rendered element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Breadcrumb playground scenario and draft Manual Test Protocol.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Composition</x:t>
        </x:is>
      </x:c>
      <x:c r="C63" s="84" t="inlineStr">
        <x:is>
          <x:t xml:space="preserve">Link</x:t>
        </x:is>
      </x:c>
      <x:c r="D63" s="84" t="inlineStr">
        <x:is>
          <x:t xml:space="preserve">asChild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Breadcrumb playground scenario and draft Manual Test Protocol.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Composition</x:t>
        </x:is>
      </x:c>
      <x:c r="C64" s="84" t="inlineStr">
        <x:is>
          <x:t xml:space="preserve">Link</x:t>
        </x:is>
      </x:c>
      <x:c r="D64" s="84" t="inlineStr">
        <x:is>
          <x:t xml:space="preserve">render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Breadcrumb playground scenario and draft Manual Test Protocol.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Public API</x:t>
        </x:is>
      </x:c>
      <x:c r="C65" s="84" t="inlineStr">
        <x:is>
          <x:t xml:space="preserve">Link</x:t>
        </x:is>
      </x:c>
      <x:c r="D65" s="84" t="inlineStr">
        <x:is>
          <x:t xml:space="preserve">[data-slot]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Breadcrumb playground scenario and draft Manual Test Protocol.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Anatomy</x:t>
        </x:is>
      </x:c>
      <x:c r="C66" s="84" t="inlineStr">
        <x:is>
          <x:t xml:space="preserve">Page</x:t>
        </x:is>
      </x:c>
      <x:c r="D66" s="84" t="inlineStr">
        <x:is>
          <x:t xml:space="preserve">renders correct part when expected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Breadcrumb playground scenario and draft Manual Test Protocol.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Anatomy</x:t>
        </x:is>
      </x:c>
      <x:c r="C67" s="84" t="inlineStr">
        <x:is>
          <x:t xml:space="preserve">Page</x:t>
        </x:is>
      </x:c>
      <x:c r="D67" s="84" t="inlineStr">
        <x:is>
          <x:t xml:space="preserve">appears in documented order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Breadcrumb playground scenario and draft Manual Test Protocol.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30" customHeight="1">
      <x:c r="A68" s="73" t="n">
        <x:v>60</x:v>
      </x:c>
      <x:c r="B68" s="84" t="inlineStr">
        <x:is>
          <x:t xml:space="preserve">Identity</x:t>
        </x:is>
      </x:c>
      <x:c r="C68" s="84" t="inlineStr">
        <x:is>
          <x:t xml:space="preserve">Page</x:t>
        </x:is>
      </x:c>
      <x:c r="D68" s="84" t="inlineStr">
        <x:is>
          <x:t xml:space="preserve">default tag is visible in Anatomy/Inspector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Breadcrumb playground scenario and draft Manual Test Protocol.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Identity</x:t>
        </x:is>
      </x:c>
      <x:c r="C69" s="84" t="inlineStr">
        <x:is>
          <x:t xml:space="preserve">Page</x:t>
        </x:is>
      </x:c>
      <x:c r="D69" s="84" t="inlineStr">
        <x:is>
          <x:t xml:space="preserve">data-slot is present and correct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Breadcrumb playground scenario and draft Manual Test Protocol.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Props</x:t>
        </x:is>
      </x:c>
      <x:c r="C70" s="84" t="inlineStr">
        <x:is>
          <x:t xml:space="preserve">Page</x:t>
        </x:is>
      </x:c>
      <x:c r="D70" s="84" t="inlineStr">
        <x:is>
          <x:t xml:space="preserve">non-Atom native props pass through with data-prop-check marker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Breadcrumb playground scenario and draft Manual Test Protocol.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Refs</x:t>
        </x:is>
      </x:c>
      <x:c r="C71" s="84" t="inlineStr">
        <x:is>
          <x:t xml:space="preserve">Page</x:t>
        </x:is>
      </x:c>
      <x:c r="D71" s="84" t="inlineStr">
        <x:is>
          <x:t xml:space="preserve">consumer ref receives the rendered element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Breadcrumb playground scenario and draft Manual Test Protocol.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Composition</x:t>
        </x:is>
      </x:c>
      <x:c r="C72" s="84" t="inlineStr">
        <x:is>
          <x:t xml:space="preserve">Page</x:t>
        </x:is>
      </x:c>
      <x:c r="D72" s="84" t="inlineStr">
        <x:is>
          <x:t xml:space="preserve">asChild prop behavior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Breadcrumb playground scenario and draft Manual Test Protocol.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Composition</x:t>
        </x:is>
      </x:c>
      <x:c r="C73" s="84" t="inlineStr">
        <x:is>
          <x:t xml:space="preserve">Page</x:t>
        </x:is>
      </x:c>
      <x:c r="D73" s="84" t="inlineStr">
        <x:is>
          <x:t xml:space="preserve">render prop behavior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Breadcrumb playground scenario and draft Manual Test Protocol.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Public API</x:t>
        </x:is>
      </x:c>
      <x:c r="C74" s="84" t="inlineStr">
        <x:is>
          <x:t xml:space="preserve">Page</x:t>
        </x:is>
      </x:c>
      <x:c r="D74" s="84" t="inlineStr">
        <x:is>
          <x:t xml:space="preserve">[data-slot] prop behavior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Breadcrumb playground scenario and draft Manual Test Protocol.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Anatomy</x:t>
        </x:is>
      </x:c>
      <x:c r="C75" s="84" t="inlineStr">
        <x:is>
          <x:t xml:space="preserve">Separator</x:t>
        </x:is>
      </x:c>
      <x:c r="D75" s="84" t="inlineStr">
        <x:is>
          <x:t xml:space="preserve">renders correct part when expected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Breadcrumb playground scenario and draft Manual Test Protocol.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Anatomy</x:t>
        </x:is>
      </x:c>
      <x:c r="C76" s="84" t="inlineStr">
        <x:is>
          <x:t xml:space="preserve">Separator</x:t>
        </x:is>
      </x:c>
      <x:c r="D76" s="84" t="inlineStr">
        <x:is>
          <x:t xml:space="preserve">appears in documented order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Breadcrumb playground scenario and draft Manual Test Protocol.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30" customHeight="1">
      <x:c r="A77" s="73" t="n">
        <x:v>69</x:v>
      </x:c>
      <x:c r="B77" s="84" t="inlineStr">
        <x:is>
          <x:t xml:space="preserve">Identity</x:t>
        </x:is>
      </x:c>
      <x:c r="C77" s="84" t="inlineStr">
        <x:is>
          <x:t xml:space="preserve">Separator</x:t>
        </x:is>
      </x:c>
      <x:c r="D77" s="84" t="inlineStr">
        <x:is>
          <x:t xml:space="preserve">default tag is visible in Anatomy/Inspector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Breadcrumb playground scenario and draft Manual Test Protocol.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Identity</x:t>
        </x:is>
      </x:c>
      <x:c r="C78" s="84" t="inlineStr">
        <x:is>
          <x:t xml:space="preserve">Separator</x:t>
        </x:is>
      </x:c>
      <x:c r="D78" s="84" t="inlineStr">
        <x:is>
          <x:t xml:space="preserve">data-slot is present and correct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Breadcrumb playground scenario and draft Manual Test Protocol.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Props</x:t>
        </x:is>
      </x:c>
      <x:c r="C79" s="84" t="inlineStr">
        <x:is>
          <x:t xml:space="preserve">Separator</x:t>
        </x:is>
      </x:c>
      <x:c r="D79" s="84" t="inlineStr">
        <x:is>
          <x:t xml:space="preserve">non-Atom native props pass through with data-prop-check marker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Breadcrumb playground scenario and draft Manual Test Protocol.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Refs</x:t>
        </x:is>
      </x:c>
      <x:c r="C80" s="84" t="inlineStr">
        <x:is>
          <x:t xml:space="preserve">Separator</x:t>
        </x:is>
      </x:c>
      <x:c r="D80" s="84" t="inlineStr">
        <x:is>
          <x:t xml:space="preserve">consumer ref receives the rendered element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Breadcrumb playground scenario and draft Manual Test Protocol.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Composition</x:t>
        </x:is>
      </x:c>
      <x:c r="C81" s="84" t="inlineStr">
        <x:is>
          <x:t xml:space="preserve">Separator</x:t>
        </x:is>
      </x:c>
      <x:c r="D81" s="84" t="inlineStr">
        <x:is>
          <x:t xml:space="preserve">asChild prop behavior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Breadcrumb playground scenario and draft Manual Test Protocol.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Composition</x:t>
        </x:is>
      </x:c>
      <x:c r="C82" s="84" t="inlineStr">
        <x:is>
          <x:t xml:space="preserve">Separator</x:t>
        </x:is>
      </x:c>
      <x:c r="D82" s="84" t="inlineStr">
        <x:is>
          <x:t xml:space="preserve">render prop behavior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Breadcrumb playground scenario and draft Manual Test Protocol.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Public API</x:t>
        </x:is>
      </x:c>
      <x:c r="C83" s="84" t="inlineStr">
        <x:is>
          <x:t xml:space="preserve">Separator</x:t>
        </x:is>
      </x:c>
      <x:c r="D83" s="84" t="inlineStr">
        <x:is>
          <x:t xml:space="preserve">[data-slot] prop behavior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Breadcrumb playground scenario and draft Manual Test Protocol.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ARIA</x:t>
        </x:is>
      </x:c>
      <x:c r="C84" s="84" t="inlineStr">
        <x:is>
          <x:t xml:space="preserve">Live DOM</x:t>
        </x:is>
      </x:c>
      <x:c r="D84" s="84" t="inlineStr">
        <x:is>
          <x:t xml:space="preserve">aria-current is present at the correct time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Breadcrumb playground scenario and draft Manual Test Protocol.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ARIA</x:t>
        </x:is>
      </x:c>
      <x:c r="C85" s="84" t="inlineStr">
        <x:is>
          <x:t xml:space="preserve">Live DOM</x:t>
        </x:is>
      </x:c>
      <x:c r="D85" s="84" t="inlineStr">
        <x:is>
          <x:t xml:space="preserve">aria-hidden is present at the correct time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Breadcrumb playground scenario and draft Manual Test Protocol.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ARIA</x:t>
        </x:is>
      </x:c>
      <x:c r="C86" s="84" t="inlineStr">
        <x:is>
          <x:t xml:space="preserve">Live DOM</x:t>
        </x:is>
      </x:c>
      <x:c r="D86" s="84" t="inlineStr">
        <x:is>
          <x:t xml:space="preserve">aria-label is present at the correct time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Breadcrumb playground scenario and draft Manual Test Protocol.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Data</x:t>
        </x:is>
      </x:c>
      <x:c r="C87" s="84" t="inlineStr">
        <x:is>
          <x:t xml:space="preserve">Live DOM</x:t>
        </x:is>
      </x:c>
      <x:c r="D87" s="84" t="inlineStr">
        <x:is>
          <x:t xml:space="preserve">data-slot is present at the correct time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Breadcrumb playground scenario and draft Manual Test Protocol.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30" customHeight="1">
      <x:c r="A88" s="73" t="n">
        <x:v>80</x:v>
      </x:c>
      <x:c r="B88" s="84" t="inlineStr">
        <x:is>
          <x:t xml:space="preserve">Composition</x:t>
        </x:is>
      </x:c>
      <x:c r="C88" s="84" t="inlineStr">
        <x:is>
          <x:t xml:space="preserve">Breadcrumb</x:t>
        </x:is>
      </x:c>
      <x:c r="D88" s="84" t="inlineStr">
        <x:is>
          <x:t xml:space="preserve">asChild preserves child content without double nesting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Breadcrumb playground scenario and draft Manual Test Protocol.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Composition</x:t>
        </x:is>
      </x:c>
      <x:c r="C89" s="84" t="inlineStr">
        <x:is>
          <x:t xml:space="preserve">Breadcrumb</x:t>
        </x:is>
      </x:c>
      <x:c r="D89" s="84" t="inlineStr">
        <x:is>
          <x:t xml:space="preserve">asChild merges Atom props and consumer props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Breadcrumb playground scenario and draft Manual Test Protocol.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Composition</x:t>
        </x:is>
      </x:c>
      <x:c r="C90" s="84" t="inlineStr">
        <x:is>
          <x:t xml:space="preserve">Breadcrumb</x:t>
        </x:is>
      </x:c>
      <x:c r="D90" s="84" t="inlineStr">
        <x:is>
          <x:t xml:space="preserve">render prop renders custom element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Breadcrumb playground scenario and draft Manual Test Protocol.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Composition</x:t>
        </x:is>
      </x:c>
      <x:c r="C91" s="84" t="inlineStr">
        <x:is>
          <x:t xml:space="preserve">Breadcrumb</x:t>
        </x:is>
      </x:c>
      <x:c r="D91" s="84" t="inlineStr">
        <x:is>
          <x:t xml:space="preserve">render prop preserves refs and behavior props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Breadcrumb playground scenario and draft Manual Test Protocol.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/>
    <x:row r="93" s="51" customFormat="1" ht="15" customHeight="1"/>
    <x:row r="94" s="51" customFormat="1" ht="15" customHeight="1"/>
    <x:row r="95" s="51" customFormat="1" ht="15" customHeight="1"/>
    <x:row r="96" s="51" customFormat="1" ht="15" customHeight="1"/>
    <x:row r="97" s="51" customFormat="1" ht="1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Button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46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93" t="n">
        <x:v>1</x:v>
      </x:c>
      <x:c r="B9" s="94" t="inlineStr">
        <x:is>
          <x:t xml:space="preserve">Playground</x:t>
        </x:is>
      </x:c>
      <x:c r="C9" s="94" t="inlineStr">
        <x:is>
          <x:t xml:space="preserve">Props</x:t>
        </x:is>
      </x:c>
      <x:c r="D9" s="94" t="inlineStr">
        <x:is>
          <x:t xml:space="preserve">Props toolbar exposes Prop Check and keeps data-prop-check off by default</x:t>
        </x:is>
      </x:c>
      <x:c r="E9" s="93" t="inlineStr">
        <x:is>
          <x:t xml:space="preserve">yes</x:t>
        </x:is>
      </x:c>
      <x:c r="F9" s="93" t="inlineStr">
        <x:is>
          <x:t xml:space="preserve">yes</x:t>
        </x:is>
      </x:c>
      <x:c r="G9" s="93" t="inlineStr">
        <x:is>
          <x:t xml:space="preserve">pass</x:t>
        </x:is>
      </x:c>
      <x:c r="H9" s="93" t="inlineStr">
        <x:is>
          <x:t xml:space="preserve">covered</x:t>
        </x:is>
      </x:c>
      <x:c r="I9" s="94" t="inlineStr">
        <x:is>
          <x:t xml:space="preserve">Button playground manual verification.</x:t>
        </x:is>
      </x:c>
      <x:c r="J9" s="94" t="n"/>
      <x:c r="K9" s="95" t="n">
        <x:f>IF(AND(E9="yes",F9="yes",H9="covered"),1,IF(H9="partial",0.5,0))</x:f>
        <x:v>1</x:v>
      </x:c>
    </x:row>
    <x:row r="10" s="51" customFormat="1" ht="45" customHeight="1">
      <x:c r="A10" s="93" t="n">
        <x:v>2</x:v>
      </x:c>
      <x:c r="B10" s="94" t="inlineStr">
        <x:is>
          <x:t xml:space="preserve">Playground</x:t>
        </x:is>
      </x:c>
      <x:c r="C10" s="94" t="inlineStr">
        <x:is>
          <x:t xml:space="preserve">Props</x:t>
        </x:is>
      </x:c>
      <x:c r="D10" s="94" t="inlineStr">
        <x:is>
          <x:t xml:space="preserve">custom data-slot override is available for every slot-owning anatomy part</x:t>
        </x:is>
      </x:c>
      <x:c r="E10" s="93" t="inlineStr">
        <x:is>
          <x:t xml:space="preserve">yes</x:t>
        </x:is>
      </x:c>
      <x:c r="F10" s="93" t="inlineStr">
        <x:is>
          <x:t xml:space="preserve">yes</x:t>
        </x:is>
      </x:c>
      <x:c r="G10" s="93" t="inlineStr">
        <x:is>
          <x:t xml:space="preserve">pass</x:t>
        </x:is>
      </x:c>
      <x:c r="H10" s="93" t="inlineStr">
        <x:is>
          <x:t xml:space="preserve">covered</x:t>
        </x:is>
      </x:c>
      <x:c r="I10" s="94" t="inlineStr">
        <x:is>
          <x:t xml:space="preserve">Button playground manual verification.</x:t>
        </x:is>
      </x:c>
      <x:c r="J10" s="94" t="n"/>
      <x:c r="K10" s="95" t="n">
        <x:f>IF(AND(E10="yes",F10="yes",H10="covered"),1,IF(H10="partial",0.5,0))</x:f>
        <x:v>1</x:v>
      </x:c>
    </x:row>
    <x:row r="11" s="51" customFormat="1" ht="15" customHeight="1">
      <x:c r="A11" s="93" t="n">
        <x:v>3</x:v>
      </x:c>
      <x:c r="B11" s="94" t="inlineStr">
        <x:is>
          <x:t xml:space="preserve">Playground</x:t>
        </x:is>
      </x:c>
      <x:c r="C11" s="94" t="inlineStr">
        <x:is>
          <x:t xml:space="preserve">Button</x:t>
        </x:is>
      </x:c>
      <x:c r="D11" s="94" t="inlineStr">
        <x:is>
          <x:t xml:space="preserve">scenario is reachable from top menu</x:t>
        </x:is>
      </x:c>
      <x:c r="E11" s="93" t="inlineStr">
        <x:is>
          <x:t xml:space="preserve">yes</x:t>
        </x:is>
      </x:c>
      <x:c r="F11" s="93" t="inlineStr">
        <x:is>
          <x:t xml:space="preserve">yes</x:t>
        </x:is>
      </x:c>
      <x:c r="G11" s="93" t="inlineStr">
        <x:is>
          <x:t xml:space="preserve">pass</x:t>
        </x:is>
      </x:c>
      <x:c r="H11" s="93" t="inlineStr">
        <x:is>
          <x:t xml:space="preserve">covered</x:t>
        </x:is>
      </x:c>
      <x:c r="I11" s="94" t="inlineStr">
        <x:is>
          <x:t xml:space="preserve">Button playground manual verification.</x:t>
        </x:is>
      </x:c>
      <x:c r="J11" s="94" t="n"/>
      <x:c r="K11" s="95" t="n">
        <x:f>IF(AND(E11="yes",F11="yes",H11="covered"),1,IF(H11="partial",0.5,0))</x:f>
        <x:v>1</x:v>
      </x:c>
    </x:row>
    <x:row r="12" s="51" customFormat="1" ht="15" customHeight="1">
      <x:c r="A12" s="93" t="n">
        <x:v>4</x:v>
      </x:c>
      <x:c r="B12" s="94" t="inlineStr">
        <x:is>
          <x:t xml:space="preserve">Playground</x:t>
        </x:is>
      </x:c>
      <x:c r="C12" s="94" t="inlineStr">
        <x:is>
          <x:t xml:space="preserve">Button</x:t>
        </x:is>
      </x:c>
      <x:c r="D12" s="94" t="inlineStr">
        <x:is>
          <x:t xml:space="preserve">canvas source reflects current toggles</x:t>
        </x:is>
      </x:c>
      <x:c r="E12" s="93" t="inlineStr">
        <x:is>
          <x:t xml:space="preserve">yes</x:t>
        </x:is>
      </x:c>
      <x:c r="F12" s="93" t="inlineStr">
        <x:is>
          <x:t xml:space="preserve">yes</x:t>
        </x:is>
      </x:c>
      <x:c r="G12" s="93" t="inlineStr">
        <x:is>
          <x:t xml:space="preserve">pass</x:t>
        </x:is>
      </x:c>
      <x:c r="H12" s="93" t="inlineStr">
        <x:is>
          <x:t xml:space="preserve">covered</x:t>
        </x:is>
      </x:c>
      <x:c r="I12" s="94" t="inlineStr">
        <x:is>
          <x:t xml:space="preserve">Button playground manual verification.</x:t>
        </x:is>
      </x:c>
      <x:c r="J12" s="94" t="n"/>
      <x:c r="K12" s="95" t="n">
        <x:f>IF(AND(E12="yes",F12="yes",H12="covered"),1,IF(H12="partial",0.5,0))</x:f>
        <x:v>1</x:v>
      </x:c>
    </x:row>
    <x:row r="13" s="51" customFormat="1" ht="15" customHeight="1">
      <x:c r="A13" s="93" t="n">
        <x:v>5</x:v>
      </x:c>
      <x:c r="B13" s="94" t="inlineStr">
        <x:is>
          <x:t xml:space="preserve">Playground</x:t>
        </x:is>
      </x:c>
      <x:c r="C13" s="94" t="inlineStr">
        <x:is>
          <x:t xml:space="preserve">Button</x:t>
        </x:is>
      </x:c>
      <x:c r="D13" s="94" t="inlineStr">
        <x:is>
          <x:t xml:space="preserve">anatomy uses live DOM attributes, ARIA, and data groups</x:t>
        </x:is>
      </x:c>
      <x:c r="E13" s="93" t="inlineStr">
        <x:is>
          <x:t xml:space="preserve">yes</x:t>
        </x:is>
      </x:c>
      <x:c r="F13" s="93" t="inlineStr">
        <x:is>
          <x:t xml:space="preserve">yes</x:t>
        </x:is>
      </x:c>
      <x:c r="G13" s="93" t="inlineStr">
        <x:is>
          <x:t xml:space="preserve">pass</x:t>
        </x:is>
      </x:c>
      <x:c r="H13" s="93" t="inlineStr">
        <x:is>
          <x:t xml:space="preserve">covered</x:t>
        </x:is>
      </x:c>
      <x:c r="I13" s="94" t="inlineStr">
        <x:is>
          <x:t xml:space="preserve">Button playground manual verification.</x:t>
        </x:is>
      </x:c>
      <x:c r="J13" s="94" t="n"/>
      <x:c r="K13" s="95" t="n">
        <x:f>IF(AND(E13="yes",F13="yes",H13="covered"),1,IF(H13="partial",0.5,0))</x:f>
        <x:v>1</x:v>
      </x:c>
    </x:row>
    <x:row r="14" s="51" customFormat="1" ht="30" customHeight="1">
      <x:c r="A14" s="93" t="n">
        <x:v>6</x:v>
      </x:c>
      <x:c r="B14" s="94" t="inlineStr">
        <x:is>
          <x:t xml:space="preserve">Playground</x:t>
        </x:is>
      </x:c>
      <x:c r="C14" s="94" t="inlineStr">
        <x:is>
          <x:t xml:space="preserve">Button</x:t>
        </x:is>
      </x:c>
      <x:c r="D14" s="94" t="inlineStr">
        <x:is>
          <x:t xml:space="preserve">inspector selected/focused/logs work for this scenario</x:t>
        </x:is>
      </x:c>
      <x:c r="E14" s="93" t="inlineStr">
        <x:is>
          <x:t xml:space="preserve">yes</x:t>
        </x:is>
      </x:c>
      <x:c r="F14" s="93" t="inlineStr">
        <x:is>
          <x:t xml:space="preserve">yes</x:t>
        </x:is>
      </x:c>
      <x:c r="G14" s="93" t="inlineStr">
        <x:is>
          <x:t xml:space="preserve">pass</x:t>
        </x:is>
      </x:c>
      <x:c r="H14" s="93" t="inlineStr">
        <x:is>
          <x:t xml:space="preserve">covered</x:t>
        </x:is>
      </x:c>
      <x:c r="I14" s="94" t="inlineStr">
        <x:is>
          <x:t xml:space="preserve">Button playground manual verification.</x:t>
        </x:is>
      </x:c>
      <x:c r="J14" s="94" t="n"/>
      <x:c r="K14" s="95" t="n">
        <x:f>IF(AND(E14="yes",F14="yes",H14="covered"),1,IF(H14="partial",0.5,0))</x:f>
        <x:v>1</x:v>
      </x:c>
    </x:row>
    <x:row r="15" s="51" customFormat="1" ht="30" customHeight="1">
      <x:c r="A15" s="93" t="n">
        <x:v>7</x:v>
      </x:c>
      <x:c r="B15" s="94" t="inlineStr">
        <x:is>
          <x:t xml:space="preserve">Feature</x:t>
        </x:is>
      </x:c>
      <x:c r="C15" s="94" t="inlineStr">
        <x:is>
          <x:t xml:space="preserve">Root</x:t>
        </x:is>
      </x:c>
      <x:c r="D15" s="94" t="inlineStr">
        <x:is>
          <x:t xml:space="preserve">renders a native button by default</x:t>
        </x:is>
      </x:c>
      <x:c r="E15" s="93" t="inlineStr">
        <x:is>
          <x:t xml:space="preserve">yes</x:t>
        </x:is>
      </x:c>
      <x:c r="F15" s="93" t="inlineStr">
        <x:is>
          <x:t xml:space="preserve">yes</x:t>
        </x:is>
      </x:c>
      <x:c r="G15" s="93" t="inlineStr">
        <x:is>
          <x:t xml:space="preserve">pass</x:t>
        </x:is>
      </x:c>
      <x:c r="H15" s="93" t="inlineStr">
        <x:is>
          <x:t xml:space="preserve">covered</x:t>
        </x:is>
      </x:c>
      <x:c r="I15" s="94" t="inlineStr">
        <x:is>
          <x:t xml:space="preserve">Button playground manual verification.</x:t>
        </x:is>
      </x:c>
      <x:c r="J15" s="94" t="n"/>
      <x:c r="K15" s="95" t="n">
        <x:f>IF(AND(E15="yes",F15="yes",H15="covered"),1,IF(H15="partial",0.5,0))</x:f>
        <x:v>1</x:v>
      </x:c>
    </x:row>
    <x:row r="16" s="51" customFormat="1" ht="15" customHeight="1">
      <x:c r="A16" s="93" t="n">
        <x:v>8</x:v>
      </x:c>
      <x:c r="B16" s="94" t="inlineStr">
        <x:is>
          <x:t xml:space="preserve">Feature</x:t>
        </x:is>
      </x:c>
      <x:c r="C16" s="94" t="inlineStr">
        <x:is>
          <x:t xml:space="preserve">Root</x:t>
        </x:is>
      </x:c>
      <x:c r="D16" s="94" t="inlineStr">
        <x:is>
          <x:t xml:space="preserve">renders an anchor when href is present</x:t>
        </x:is>
      </x:c>
      <x:c r="E16" s="93" t="inlineStr">
        <x:is>
          <x:t xml:space="preserve">yes</x:t>
        </x:is>
      </x:c>
      <x:c r="F16" s="93" t="inlineStr">
        <x:is>
          <x:t xml:space="preserve">yes</x:t>
        </x:is>
      </x:c>
      <x:c r="G16" s="93" t="inlineStr">
        <x:is>
          <x:t xml:space="preserve">pass</x:t>
        </x:is>
      </x:c>
      <x:c r="H16" s="93" t="inlineStr">
        <x:is>
          <x:t xml:space="preserve">covered</x:t>
        </x:is>
      </x:c>
      <x:c r="I16" s="94" t="inlineStr">
        <x:is>
          <x:t xml:space="preserve">Button playground manual verification.</x:t>
        </x:is>
      </x:c>
      <x:c r="J16" s="94" t="n"/>
      <x:c r="K16" s="95" t="n">
        <x:f>IF(AND(E16="yes",F16="yes",H16="covered"),1,IF(H16="partial",0.5,0))</x:f>
        <x:v>1</x:v>
      </x:c>
    </x:row>
    <x:row r="17" s="51" customFormat="1" ht="30" customHeight="1">
      <x:c r="A17" s="93" t="n">
        <x:v>9</x:v>
      </x:c>
      <x:c r="B17" s="94" t="inlineStr">
        <x:is>
          <x:t xml:space="preserve">Feature</x:t>
        </x:is>
      </x:c>
      <x:c r="C17" s="94" t="inlineStr">
        <x:is>
          <x:t xml:space="preserve">Root</x:t>
        </x:is>
      </x:c>
      <x:c r="D17" s="94" t="inlineStr">
        <x:is>
          <x:t xml:space="preserve">adds safe rel for target blank links</x:t>
        </x:is>
      </x:c>
      <x:c r="E17" s="93" t="inlineStr">
        <x:is>
          <x:t xml:space="preserve">yes</x:t>
        </x:is>
      </x:c>
      <x:c r="F17" s="93" t="inlineStr">
        <x:is>
          <x:t xml:space="preserve">yes</x:t>
        </x:is>
      </x:c>
      <x:c r="G17" s="93" t="inlineStr">
        <x:is>
          <x:t xml:space="preserve">pass</x:t>
        </x:is>
      </x:c>
      <x:c r="H17" s="93" t="inlineStr">
        <x:is>
          <x:t xml:space="preserve">covered</x:t>
        </x:is>
      </x:c>
      <x:c r="I17" s="94" t="inlineStr">
        <x:is>
          <x:t xml:space="preserve">Button playground manual verification.</x:t>
        </x:is>
      </x:c>
      <x:c r="J17" s="94" t="n"/>
      <x:c r="K17" s="95" t="n">
        <x:f>IF(AND(E17="yes",F17="yes",H17="covered"),1,IF(H17="partial",0.5,0))</x:f>
        <x:v>1</x:v>
      </x:c>
    </x:row>
    <x:row r="18" s="51" customFormat="1" ht="30" customHeight="1">
      <x:c r="A18" s="93" t="n">
        <x:v>10</x:v>
      </x:c>
      <x:c r="B18" s="94" t="inlineStr">
        <x:is>
          <x:t xml:space="preserve">Feature</x:t>
        </x:is>
      </x:c>
      <x:c r="C18" s="94" t="inlineStr">
        <x:is>
          <x:t xml:space="preserve">Root</x:t>
        </x:is>
      </x:c>
      <x:c r="D18" s="94" t="inlineStr">
        <x:is>
          <x:t xml:space="preserve">supports disabled state</x:t>
        </x:is>
      </x:c>
      <x:c r="E18" s="93" t="inlineStr">
        <x:is>
          <x:t xml:space="preserve">yes</x:t>
        </x:is>
      </x:c>
      <x:c r="F18" s="93" t="inlineStr">
        <x:is>
          <x:t xml:space="preserve">yes</x:t>
        </x:is>
      </x:c>
      <x:c r="G18" s="93" t="inlineStr">
        <x:is>
          <x:t xml:space="preserve">pass</x:t>
        </x:is>
      </x:c>
      <x:c r="H18" s="93" t="inlineStr">
        <x:is>
          <x:t xml:space="preserve">covered</x:t>
        </x:is>
      </x:c>
      <x:c r="I18" s="94" t="inlineStr">
        <x:is>
          <x:t xml:space="preserve">Button playground manual verification.</x:t>
        </x:is>
      </x:c>
      <x:c r="J18" s="94" t="n"/>
      <x:c r="K18" s="95" t="n">
        <x:f>IF(AND(E18="yes",F18="yes",H18="covered"),1,IF(H18="partial",0.5,0))</x:f>
        <x:v>1</x:v>
      </x:c>
    </x:row>
    <x:row r="19" s="51" customFormat="1" ht="15" customHeight="1">
      <x:c r="A19" s="93" t="n">
        <x:v>11</x:v>
      </x:c>
      <x:c r="B19" s="94" t="inlineStr">
        <x:is>
          <x:t xml:space="preserve">Feature</x:t>
        </x:is>
      </x:c>
      <x:c r="C19" s="94" t="inlineStr">
        <x:is>
          <x:t xml:space="preserve">Root</x:t>
        </x:is>
      </x:c>
      <x:c r="D19" s="94" t="inlineStr">
        <x:is>
          <x:t xml:space="preserve">supports loading state</x:t>
        </x:is>
      </x:c>
      <x:c r="E19" s="93" t="inlineStr">
        <x:is>
          <x:t xml:space="preserve">yes</x:t>
        </x:is>
      </x:c>
      <x:c r="F19" s="93" t="inlineStr">
        <x:is>
          <x:t xml:space="preserve">yes</x:t>
        </x:is>
      </x:c>
      <x:c r="G19" s="93" t="inlineStr">
        <x:is>
          <x:t xml:space="preserve">pass</x:t>
        </x:is>
      </x:c>
      <x:c r="H19" s="93" t="inlineStr">
        <x:is>
          <x:t xml:space="preserve">covered</x:t>
        </x:is>
      </x:c>
      <x:c r="I19" s="94" t="inlineStr">
        <x:is>
          <x:t xml:space="preserve">Button playground manual verification.</x:t>
        </x:is>
      </x:c>
      <x:c r="J19" s="94" t="n"/>
      <x:c r="K19" s="95" t="n">
        <x:f>IF(AND(E19="yes",F19="yes",H19="covered"),1,IF(H19="partial",0.5,0))</x:f>
        <x:v>1</x:v>
      </x:c>
    </x:row>
    <x:row r="20" s="51" customFormat="1" ht="15" customHeight="1">
      <x:c r="A20" s="93" t="n">
        <x:v>12</x:v>
      </x:c>
      <x:c r="B20" s="94" t="inlineStr">
        <x:is>
          <x:t xml:space="preserve">Feature</x:t>
        </x:is>
      </x:c>
      <x:c r="C20" s="94" t="inlineStr">
        <x:is>
          <x:t xml:space="preserve">Root</x:t>
        </x:is>
      </x:c>
      <x:c r="D20" s="94" t="inlineStr">
        <x:is>
          <x:t xml:space="preserve">calls onClick before onPress</x:t>
        </x:is>
      </x:c>
      <x:c r="E20" s="93" t="inlineStr">
        <x:is>
          <x:t xml:space="preserve">yes</x:t>
        </x:is>
      </x:c>
      <x:c r="F20" s="93" t="inlineStr">
        <x:is>
          <x:t xml:space="preserve">yes</x:t>
        </x:is>
      </x:c>
      <x:c r="G20" s="93" t="inlineStr">
        <x:is>
          <x:t xml:space="preserve">pass</x:t>
        </x:is>
      </x:c>
      <x:c r="H20" s="93" t="inlineStr">
        <x:is>
          <x:t xml:space="preserve">covered</x:t>
        </x:is>
      </x:c>
      <x:c r="I20" s="94" t="inlineStr">
        <x:is>
          <x:t xml:space="preserve">Button playground manual verification.</x:t>
        </x:is>
      </x:c>
      <x:c r="J20" s="94" t="n"/>
      <x:c r="K20" s="95" t="n">
        <x:f>IF(AND(E20="yes",F20="yes",H20="covered"),1,IF(H20="partial",0.5,0))</x:f>
        <x:v>1</x:v>
      </x:c>
    </x:row>
    <x:row r="21" s="51" customFormat="1" ht="15" customHeight="1">
      <x:c r="A21" s="93" t="n">
        <x:v>13</x:v>
      </x:c>
      <x:c r="B21" s="94" t="inlineStr">
        <x:is>
          <x:t xml:space="preserve">Feature</x:t>
        </x:is>
      </x:c>
      <x:c r="C21" s="94" t="inlineStr">
        <x:is>
          <x:t xml:space="preserve">Root</x:t>
        </x:is>
      </x:c>
      <x:c r="D21" s="94" t="inlineStr">
        <x:is>
          <x:t xml:space="preserve">consumer preventDefault blocks onPress</x:t>
        </x:is>
      </x:c>
      <x:c r="E21" s="93" t="inlineStr">
        <x:is>
          <x:t xml:space="preserve">yes</x:t>
        </x:is>
      </x:c>
      <x:c r="F21" s="93" t="inlineStr">
        <x:is>
          <x:t xml:space="preserve">yes</x:t>
        </x:is>
      </x:c>
      <x:c r="G21" s="93" t="inlineStr">
        <x:is>
          <x:t xml:space="preserve">pass</x:t>
        </x:is>
      </x:c>
      <x:c r="H21" s="93" t="inlineStr">
        <x:is>
          <x:t xml:space="preserve">covered</x:t>
        </x:is>
      </x:c>
      <x:c r="I21" s="94" t="inlineStr">
        <x:is>
          <x:t xml:space="preserve">Button playground manual verification.</x:t>
        </x:is>
      </x:c>
      <x:c r="J21" s="94" t="n"/>
      <x:c r="K21" s="95" t="n">
        <x:f>IF(AND(E21="yes",F21="yes",H21="covered"),1,IF(H21="partial",0.5,0))</x:f>
        <x:v>1</x:v>
      </x:c>
    </x:row>
    <x:row r="22" s="51" customFormat="1" ht="15" customHeight="1">
      <x:c r="A22" s="93" t="n">
        <x:v>14</x:v>
      </x:c>
      <x:c r="B22" s="94" t="inlineStr">
        <x:is>
          <x:t xml:space="preserve">Feature</x:t>
        </x:is>
      </x:c>
      <x:c r="C22" s="94" t="inlineStr">
        <x:is>
          <x:t xml:space="preserve">Root</x:t>
        </x:is>
      </x:c>
      <x:c r="D22" s="94" t="inlineStr">
        <x:is>
          <x:t xml:space="preserve">custom non-native render receives button semantics</x:t>
        </x:is>
      </x:c>
      <x:c r="E22" s="93" t="inlineStr">
        <x:is>
          <x:t xml:space="preserve">yes</x:t>
        </x:is>
      </x:c>
      <x:c r="F22" s="93" t="inlineStr">
        <x:is>
          <x:t xml:space="preserve">yes</x:t>
        </x:is>
      </x:c>
      <x:c r="G22" s="93" t="inlineStr">
        <x:is>
          <x:t xml:space="preserve">pass</x:t>
        </x:is>
      </x:c>
      <x:c r="H22" s="93" t="inlineStr">
        <x:is>
          <x:t xml:space="preserve">covered</x:t>
        </x:is>
      </x:c>
      <x:c r="I22" s="94" t="inlineStr">
        <x:is>
          <x:t xml:space="preserve">Button playground manual verification.</x:t>
        </x:is>
      </x:c>
      <x:c r="J22" s="94" t="n"/>
      <x:c r="K22" s="95" t="n">
        <x:f>IF(AND(E22="yes",F22="yes",H22="covered"),1,IF(H22="partial",0.5,0))</x:f>
        <x:v>1</x:v>
      </x:c>
    </x:row>
    <x:row r="23" s="51" customFormat="1" ht="30" customHeight="1">
      <x:c r="A23" s="93" t="n">
        <x:v>15</x:v>
      </x:c>
      <x:c r="B23" s="94" t="inlineStr">
        <x:is>
          <x:t xml:space="preserve">Anatomy</x:t>
        </x:is>
      </x:c>
      <x:c r="C23" s="94" t="inlineStr">
        <x:is>
          <x:t xml:space="preserve">Root</x:t>
        </x:is>
      </x:c>
      <x:c r="D23" s="94" t="inlineStr">
        <x:is>
          <x:t xml:space="preserve">renders correct part when expected</x:t>
        </x:is>
      </x:c>
      <x:c r="E23" s="93" t="inlineStr">
        <x:is>
          <x:t xml:space="preserve">yes</x:t>
        </x:is>
      </x:c>
      <x:c r="F23" s="93" t="inlineStr">
        <x:is>
          <x:t xml:space="preserve">yes</x:t>
        </x:is>
      </x:c>
      <x:c r="G23" s="93" t="inlineStr">
        <x:is>
          <x:t xml:space="preserve">pass</x:t>
        </x:is>
      </x:c>
      <x:c r="H23" s="93" t="inlineStr">
        <x:is>
          <x:t xml:space="preserve">covered</x:t>
        </x:is>
      </x:c>
      <x:c r="I23" s="94" t="inlineStr">
        <x:is>
          <x:t xml:space="preserve">Button playground manual verification.</x:t>
        </x:is>
      </x:c>
      <x:c r="J23" s="94" t="n"/>
      <x:c r="K23" s="95" t="n">
        <x:f>IF(AND(E23="yes",F23="yes",H23="covered"),1,IF(H23="partial",0.5,0))</x:f>
        <x:v>1</x:v>
      </x:c>
    </x:row>
    <x:row r="24" s="51" customFormat="1" ht="45" customHeight="1">
      <x:c r="A24" s="93" t="n">
        <x:v>16</x:v>
      </x:c>
      <x:c r="B24" s="94" t="inlineStr">
        <x:is>
          <x:t xml:space="preserve">Anatomy</x:t>
        </x:is>
      </x:c>
      <x:c r="C24" s="94" t="inlineStr">
        <x:is>
          <x:t xml:space="preserve">Root</x:t>
        </x:is>
      </x:c>
      <x:c r="D24" s="94" t="inlineStr">
        <x:is>
          <x:t xml:space="preserve">is the only Button anatomy part</x:t>
        </x:is>
      </x:c>
      <x:c r="E24" s="93" t="inlineStr">
        <x:is>
          <x:t xml:space="preserve">yes</x:t>
        </x:is>
      </x:c>
      <x:c r="F24" s="93" t="inlineStr">
        <x:is>
          <x:t xml:space="preserve">yes</x:t>
        </x:is>
      </x:c>
      <x:c r="G24" s="93" t="inlineStr">
        <x:is>
          <x:t xml:space="preserve">pass</x:t>
        </x:is>
      </x:c>
      <x:c r="H24" s="93" t="inlineStr">
        <x:is>
          <x:t xml:space="preserve">covered</x:t>
        </x:is>
      </x:c>
      <x:c r="I24" s="94" t="inlineStr">
        <x:is>
          <x:t xml:space="preserve">Button playground manual verification.</x:t>
        </x:is>
      </x:c>
      <x:c r="J24" s="94" t="n"/>
      <x:c r="K24" s="95" t="n">
        <x:f>IF(AND(E24="yes",F24="yes",H24="covered"),1,IF(H24="partial",0.5,0))</x:f>
        <x:v>1</x:v>
      </x:c>
    </x:row>
    <x:row r="25" s="51" customFormat="1" ht="30" customHeight="1">
      <x:c r="A25" s="93" t="n">
        <x:v>17</x:v>
      </x:c>
      <x:c r="B25" s="94" t="inlineStr">
        <x:is>
          <x:t xml:space="preserve">Identity</x:t>
        </x:is>
      </x:c>
      <x:c r="C25" s="94" t="inlineStr">
        <x:is>
          <x:t xml:space="preserve">Root</x:t>
        </x:is>
      </x:c>
      <x:c r="D25" s="94" t="inlineStr">
        <x:is>
          <x:t xml:space="preserve">default tag is button</x:t>
        </x:is>
      </x:c>
      <x:c r="E25" s="93" t="inlineStr">
        <x:is>
          <x:t xml:space="preserve">yes</x:t>
        </x:is>
      </x:c>
      <x:c r="F25" s="93" t="inlineStr">
        <x:is>
          <x:t xml:space="preserve">yes</x:t>
        </x:is>
      </x:c>
      <x:c r="G25" s="93" t="inlineStr">
        <x:is>
          <x:t xml:space="preserve">pass</x:t>
        </x:is>
      </x:c>
      <x:c r="H25" s="93" t="inlineStr">
        <x:is>
          <x:t xml:space="preserve">covered</x:t>
        </x:is>
      </x:c>
      <x:c r="I25" s="94" t="inlineStr">
        <x:is>
          <x:t xml:space="preserve">Button playground manual verification.</x:t>
        </x:is>
      </x:c>
      <x:c r="J25" s="94" t="n"/>
      <x:c r="K25" s="95" t="n">
        <x:f>IF(AND(E25="yes",F25="yes",H25="covered"),1,IF(H25="partial",0.5,0))</x:f>
        <x:v>1</x:v>
      </x:c>
    </x:row>
    <x:row r="26" s="51" customFormat="1" ht="15" customHeight="1">
      <x:c r="A26" s="93" t="n">
        <x:v>18</x:v>
      </x:c>
      <x:c r="B26" s="94" t="inlineStr">
        <x:is>
          <x:t xml:space="preserve">Identity</x:t>
        </x:is>
      </x:c>
      <x:c r="C26" s="94" t="inlineStr">
        <x:is>
          <x:t xml:space="preserve">Root</x:t>
        </x:is>
      </x:c>
      <x:c r="D26" s="94" t="inlineStr">
        <x:is>
          <x:t xml:space="preserve">anchor tag appears when href is enabled</x:t>
        </x:is>
      </x:c>
      <x:c r="E26" s="93" t="inlineStr">
        <x:is>
          <x:t xml:space="preserve">yes</x:t>
        </x:is>
      </x:c>
      <x:c r="F26" s="93" t="inlineStr">
        <x:is>
          <x:t xml:space="preserve">yes</x:t>
        </x:is>
      </x:c>
      <x:c r="G26" s="93" t="inlineStr">
        <x:is>
          <x:t xml:space="preserve">pass</x:t>
        </x:is>
      </x:c>
      <x:c r="H26" s="93" t="inlineStr">
        <x:is>
          <x:t xml:space="preserve">covered</x:t>
        </x:is>
      </x:c>
      <x:c r="I26" s="94" t="inlineStr">
        <x:is>
          <x:t xml:space="preserve">Button playground manual verification.</x:t>
        </x:is>
      </x:c>
      <x:c r="J26" s="94" t="n"/>
      <x:c r="K26" s="95" t="n">
        <x:f>IF(AND(E26="yes",F26="yes",H26="covered"),1,IF(H26="partial",0.5,0))</x:f>
        <x:v>1</x:v>
      </x:c>
    </x:row>
    <x:row r="27" s="51" customFormat="1" ht="15" customHeight="1">
      <x:c r="A27" s="93" t="n">
        <x:v>19</x:v>
      </x:c>
      <x:c r="B27" s="94" t="inlineStr">
        <x:is>
          <x:t xml:space="preserve">Identity</x:t>
        </x:is>
      </x:c>
      <x:c r="C27" s="94" t="inlineStr">
        <x:is>
          <x:t xml:space="preserve">Root</x:t>
        </x:is>
      </x:c>
      <x:c r="D27" s="94" t="inlineStr">
        <x:is>
          <x:t xml:space="preserve">custom tag appears for asChild/render</x:t>
        </x:is>
      </x:c>
      <x:c r="E27" s="93" t="inlineStr">
        <x:is>
          <x:t xml:space="preserve">yes</x:t>
        </x:is>
      </x:c>
      <x:c r="F27" s="93" t="inlineStr">
        <x:is>
          <x:t xml:space="preserve">yes</x:t>
        </x:is>
      </x:c>
      <x:c r="G27" s="93" t="inlineStr">
        <x:is>
          <x:t xml:space="preserve">pass</x:t>
        </x:is>
      </x:c>
      <x:c r="H27" s="93" t="inlineStr">
        <x:is>
          <x:t xml:space="preserve">covered</x:t>
        </x:is>
      </x:c>
      <x:c r="I27" s="94" t="inlineStr">
        <x:is>
          <x:t xml:space="preserve">Button playground manual verification.</x:t>
        </x:is>
      </x:c>
      <x:c r="J27" s="94" t="n"/>
      <x:c r="K27" s="95" t="n">
        <x:f>IF(AND(E27="yes",F27="yes",H27="covered"),1,IF(H27="partial",0.5,0))</x:f>
        <x:v>1</x:v>
      </x:c>
    </x:row>
    <x:row r="28" s="51" customFormat="1" ht="15" customHeight="1">
      <x:c r="A28" s="93" t="n">
        <x:v>20</x:v>
      </x:c>
      <x:c r="B28" s="94" t="inlineStr">
        <x:is>
          <x:t xml:space="preserve">Identity</x:t>
        </x:is>
      </x:c>
      <x:c r="C28" s="94" t="inlineStr">
        <x:is>
          <x:t xml:space="preserve">Root</x:t>
        </x:is>
      </x:c>
      <x:c r="D28" s="94" t="inlineStr">
        <x:is>
          <x:t xml:space="preserve">ref target matches rendered tag</x:t>
        </x:is>
      </x:c>
      <x:c r="E28" s="93" t="inlineStr">
        <x:is>
          <x:t xml:space="preserve">yes</x:t>
        </x:is>
      </x:c>
      <x:c r="F28" s="93" t="inlineStr">
        <x:is>
          <x:t xml:space="preserve">yes</x:t>
        </x:is>
      </x:c>
      <x:c r="G28" s="93" t="inlineStr">
        <x:is>
          <x:t xml:space="preserve">pass</x:t>
        </x:is>
      </x:c>
      <x:c r="H28" s="93" t="inlineStr">
        <x:is>
          <x:t xml:space="preserve">covered</x:t>
        </x:is>
      </x:c>
      <x:c r="I28" s="94" t="inlineStr">
        <x:is>
          <x:t xml:space="preserve">Button playground manual verification.</x:t>
        </x:is>
      </x:c>
      <x:c r="J28" s="94" t="n"/>
      <x:c r="K28" s="95" t="n">
        <x:f>IF(AND(E28="yes",F28="yes",H28="covered"),1,IF(H28="partial",0.5,0))</x:f>
        <x:v>1</x:v>
      </x:c>
    </x:row>
    <x:row r="29" s="51" customFormat="1" ht="15" customHeight="1">
      <x:c r="A29" s="93" t="n">
        <x:v>21</x:v>
      </x:c>
      <x:c r="B29" s="94" t="inlineStr">
        <x:is>
          <x:t xml:space="preserve">Identity</x:t>
        </x:is>
      </x:c>
      <x:c r="C29" s="94" t="inlineStr">
        <x:is>
          <x:t xml:space="preserve">Root</x:t>
        </x:is>
      </x:c>
      <x:c r="D29" s="94" t="inlineStr">
        <x:is>
          <x:t xml:space="preserve">data-slot is button</x:t>
        </x:is>
      </x:c>
      <x:c r="E29" s="93" t="inlineStr">
        <x:is>
          <x:t xml:space="preserve">yes</x:t>
        </x:is>
      </x:c>
      <x:c r="F29" s="93" t="inlineStr">
        <x:is>
          <x:t xml:space="preserve">yes</x:t>
        </x:is>
      </x:c>
      <x:c r="G29" s="93" t="inlineStr">
        <x:is>
          <x:t xml:space="preserve">pass</x:t>
        </x:is>
      </x:c>
      <x:c r="H29" s="93" t="inlineStr">
        <x:is>
          <x:t xml:space="preserve">covered</x:t>
        </x:is>
      </x:c>
      <x:c r="I29" s="94" t="inlineStr">
        <x:is>
          <x:t xml:space="preserve">Button playground manual verification.</x:t>
        </x:is>
      </x:c>
      <x:c r="J29" s="94" t="n"/>
      <x:c r="K29" s="95" t="n">
        <x:f>IF(AND(E29="yes",F29="yes",H29="covered"),1,IF(H29="partial",0.5,0))</x:f>
        <x:v>1</x:v>
      </x:c>
    </x:row>
    <x:row r="30" s="51" customFormat="1" ht="15" customHeight="1">
      <x:c r="A30" s="93" t="n">
        <x:v>22</x:v>
      </x:c>
      <x:c r="B30" s="94" t="inlineStr">
        <x:is>
          <x:t xml:space="preserve">Props</x:t>
        </x:is>
      </x:c>
      <x:c r="C30" s="94" t="inlineStr">
        <x:is>
          <x:t xml:space="preserve">Root</x:t>
        </x:is>
      </x:c>
      <x:c r="D30" s="94" t="inlineStr">
        <x:is>
          <x:t xml:space="preserve">non-Atom native props pass through with data-prop-check marker</x:t>
        </x:is>
      </x:c>
      <x:c r="E30" s="93" t="inlineStr">
        <x:is>
          <x:t xml:space="preserve">yes</x:t>
        </x:is>
      </x:c>
      <x:c r="F30" s="93" t="inlineStr">
        <x:is>
          <x:t xml:space="preserve">yes</x:t>
        </x:is>
      </x:c>
      <x:c r="G30" s="93" t="inlineStr">
        <x:is>
          <x:t xml:space="preserve">pass</x:t>
        </x:is>
      </x:c>
      <x:c r="H30" s="93" t="inlineStr">
        <x:is>
          <x:t xml:space="preserve">covered</x:t>
        </x:is>
      </x:c>
      <x:c r="I30" s="94" t="inlineStr">
        <x:is>
          <x:t xml:space="preserve">Button playground manual verification.</x:t>
        </x:is>
      </x:c>
      <x:c r="J30" s="94" t="n"/>
      <x:c r="K30" s="95" t="n">
        <x:f>IF(AND(E30="yes",F30="yes",H30="covered"),1,IF(H30="partial",0.5,0))</x:f>
        <x:v>1</x:v>
      </x:c>
    </x:row>
    <x:row r="31" s="51" customFormat="1" ht="15" customHeight="1">
      <x:c r="A31" s="93" t="n">
        <x:v>23</x:v>
      </x:c>
      <x:c r="B31" s="94" t="inlineStr">
        <x:is>
          <x:t xml:space="preserve">Public API</x:t>
        </x:is>
      </x:c>
      <x:c r="C31" s="94" t="inlineStr">
        <x:is>
          <x:t xml:space="preserve">Root</x:t>
        </x:is>
      </x:c>
      <x:c r="D31" s="94" t="inlineStr">
        <x:is>
          <x:t xml:space="preserve">href prop behavior</x:t>
        </x:is>
      </x:c>
      <x:c r="E31" s="93" t="inlineStr">
        <x:is>
          <x:t xml:space="preserve">yes</x:t>
        </x:is>
      </x:c>
      <x:c r="F31" s="93" t="inlineStr">
        <x:is>
          <x:t xml:space="preserve">yes</x:t>
        </x:is>
      </x:c>
      <x:c r="G31" s="93" t="inlineStr">
        <x:is>
          <x:t xml:space="preserve">pass</x:t>
        </x:is>
      </x:c>
      <x:c r="H31" s="93" t="inlineStr">
        <x:is>
          <x:t xml:space="preserve">covered</x:t>
        </x:is>
      </x:c>
      <x:c r="I31" s="94" t="inlineStr">
        <x:is>
          <x:t xml:space="preserve">Button playground manual verification.</x:t>
        </x:is>
      </x:c>
      <x:c r="J31" s="94" t="n"/>
      <x:c r="K31" s="95" t="n">
        <x:f>IF(AND(E31="yes",F31="yes",H31="covered"),1,IF(H31="partial",0.5,0))</x:f>
        <x:v>1</x:v>
      </x:c>
    </x:row>
    <x:row r="32" s="51" customFormat="1" ht="15" customHeight="1">
      <x:c r="A32" s="93" t="n">
        <x:v>24</x:v>
      </x:c>
      <x:c r="B32" s="94" t="inlineStr">
        <x:is>
          <x:t xml:space="preserve">Public API</x:t>
        </x:is>
      </x:c>
      <x:c r="C32" s="94" t="inlineStr">
        <x:is>
          <x:t xml:space="preserve">Root</x:t>
        </x:is>
      </x:c>
      <x:c r="D32" s="94" t="inlineStr">
        <x:is>
          <x:t xml:space="preserve">target prop behavior</x:t>
        </x:is>
      </x:c>
      <x:c r="E32" s="93" t="inlineStr">
        <x:is>
          <x:t xml:space="preserve">yes</x:t>
        </x:is>
      </x:c>
      <x:c r="F32" s="93" t="inlineStr">
        <x:is>
          <x:t xml:space="preserve">yes</x:t>
        </x:is>
      </x:c>
      <x:c r="G32" s="93" t="inlineStr">
        <x:is>
          <x:t xml:space="preserve">pass</x:t>
        </x:is>
      </x:c>
      <x:c r="H32" s="93" t="inlineStr">
        <x:is>
          <x:t xml:space="preserve">covered</x:t>
        </x:is>
      </x:c>
      <x:c r="I32" s="94" t="inlineStr">
        <x:is>
          <x:t xml:space="preserve">Button playground manual verification.</x:t>
        </x:is>
      </x:c>
      <x:c r="J32" s="94" t="n"/>
      <x:c r="K32" s="95" t="n">
        <x:f>IF(AND(E32="yes",F32="yes",H32="covered"),1,IF(H32="partial",0.5,0))</x:f>
        <x:v>1</x:v>
      </x:c>
    </x:row>
    <x:row r="33" s="51" customFormat="1" ht="15" customHeight="1">
      <x:c r="A33" s="93" t="n">
        <x:v>25</x:v>
      </x:c>
      <x:c r="B33" s="94" t="inlineStr">
        <x:is>
          <x:t xml:space="preserve">Public API</x:t>
        </x:is>
      </x:c>
      <x:c r="C33" s="94" t="inlineStr">
        <x:is>
          <x:t xml:space="preserve">Root</x:t>
        </x:is>
      </x:c>
      <x:c r="D33" s="94" t="inlineStr">
        <x:is>
          <x:t xml:space="preserve">rel prop behavior</x:t>
        </x:is>
      </x:c>
      <x:c r="E33" s="93" t="inlineStr">
        <x:is>
          <x:t xml:space="preserve">yes</x:t>
        </x:is>
      </x:c>
      <x:c r="F33" s="93" t="inlineStr">
        <x:is>
          <x:t xml:space="preserve">yes</x:t>
        </x:is>
      </x:c>
      <x:c r="G33" s="93" t="inlineStr">
        <x:is>
          <x:t xml:space="preserve">pass</x:t>
        </x:is>
      </x:c>
      <x:c r="H33" s="93" t="inlineStr">
        <x:is>
          <x:t xml:space="preserve">covered</x:t>
        </x:is>
      </x:c>
      <x:c r="I33" s="94" t="inlineStr">
        <x:is>
          <x:t xml:space="preserve">Button playground manual verification.</x:t>
        </x:is>
      </x:c>
      <x:c r="J33" s="94" t="n"/>
      <x:c r="K33" s="95" t="n">
        <x:f>IF(AND(E33="yes",F33="yes",H33="covered"),1,IF(H33="partial",0.5,0))</x:f>
        <x:v>1</x:v>
      </x:c>
    </x:row>
    <x:row r="34" s="51" customFormat="1" ht="15" customHeight="1">
      <x:c r="A34" s="93" t="n">
        <x:v>26</x:v>
      </x:c>
      <x:c r="B34" s="94" t="inlineStr">
        <x:is>
          <x:t xml:space="preserve">Public API</x:t>
        </x:is>
      </x:c>
      <x:c r="C34" s="94" t="inlineStr">
        <x:is>
          <x:t xml:space="preserve">Root</x:t>
        </x:is>
      </x:c>
      <x:c r="D34" s="94" t="inlineStr">
        <x:is>
          <x:t xml:space="preserve">type prop behavior</x:t>
        </x:is>
      </x:c>
      <x:c r="E34" s="93" t="inlineStr">
        <x:is>
          <x:t xml:space="preserve">yes</x:t>
        </x:is>
      </x:c>
      <x:c r="F34" s="93" t="inlineStr">
        <x:is>
          <x:t xml:space="preserve">yes</x:t>
        </x:is>
      </x:c>
      <x:c r="G34" s="93" t="inlineStr">
        <x:is>
          <x:t xml:space="preserve">pass</x:t>
        </x:is>
      </x:c>
      <x:c r="H34" s="93" t="inlineStr">
        <x:is>
          <x:t xml:space="preserve">covered</x:t>
        </x:is>
      </x:c>
      <x:c r="I34" s="94" t="inlineStr">
        <x:is>
          <x:t xml:space="preserve">Button playground manual verification.</x:t>
        </x:is>
      </x:c>
      <x:c r="J34" s="94" t="n"/>
      <x:c r="K34" s="95" t="n">
        <x:f>IF(AND(E34="yes",F34="yes",H34="covered"),1,IF(H34="partial",0.5,0))</x:f>
        <x:v>1</x:v>
      </x:c>
    </x:row>
    <x:row r="35" s="51" customFormat="1" ht="15" customHeight="1">
      <x:c r="A35" s="93" t="n">
        <x:v>27</x:v>
      </x:c>
      <x:c r="B35" s="94" t="inlineStr">
        <x:is>
          <x:t xml:space="preserve">Public API</x:t>
        </x:is>
      </x:c>
      <x:c r="C35" s="94" t="inlineStr">
        <x:is>
          <x:t xml:space="preserve">Root</x:t>
        </x:is>
      </x:c>
      <x:c r="D35" s="94" t="inlineStr">
        <x:is>
          <x:t xml:space="preserve">disabled prop behavior</x:t>
        </x:is>
      </x:c>
      <x:c r="E35" s="93" t="inlineStr">
        <x:is>
          <x:t xml:space="preserve">yes</x:t>
        </x:is>
      </x:c>
      <x:c r="F35" s="93" t="inlineStr">
        <x:is>
          <x:t xml:space="preserve">yes</x:t>
        </x:is>
      </x:c>
      <x:c r="G35" s="93" t="inlineStr">
        <x:is>
          <x:t xml:space="preserve">pass</x:t>
        </x:is>
      </x:c>
      <x:c r="H35" s="93" t="inlineStr">
        <x:is>
          <x:t xml:space="preserve">covered</x:t>
        </x:is>
      </x:c>
      <x:c r="I35" s="94" t="inlineStr">
        <x:is>
          <x:t xml:space="preserve">Button playground manual verification.</x:t>
        </x:is>
      </x:c>
      <x:c r="J35" s="94" t="n"/>
      <x:c r="K35" s="95" t="n">
        <x:f>IF(AND(E35="yes",F35="yes",H35="covered"),1,IF(H35="partial",0.5,0))</x:f>
        <x:v>1</x:v>
      </x:c>
    </x:row>
    <x:row r="36" s="51" customFormat="1" ht="15" customHeight="1">
      <x:c r="A36" s="93" t="n">
        <x:v>28</x:v>
      </x:c>
      <x:c r="B36" s="94" t="inlineStr">
        <x:is>
          <x:t xml:space="preserve">Public API</x:t>
        </x:is>
      </x:c>
      <x:c r="C36" s="94" t="inlineStr">
        <x:is>
          <x:t xml:space="preserve">Root</x:t>
        </x:is>
      </x:c>
      <x:c r="D36" s="94" t="inlineStr">
        <x:is>
          <x:t xml:space="preserve">loading prop behavior</x:t>
        </x:is>
      </x:c>
      <x:c r="E36" s="93" t="inlineStr">
        <x:is>
          <x:t xml:space="preserve">yes</x:t>
        </x:is>
      </x:c>
      <x:c r="F36" s="93" t="inlineStr">
        <x:is>
          <x:t xml:space="preserve">yes</x:t>
        </x:is>
      </x:c>
      <x:c r="G36" s="93" t="inlineStr">
        <x:is>
          <x:t xml:space="preserve">pass</x:t>
        </x:is>
      </x:c>
      <x:c r="H36" s="93" t="inlineStr">
        <x:is>
          <x:t xml:space="preserve">covered</x:t>
        </x:is>
      </x:c>
      <x:c r="I36" s="94" t="inlineStr">
        <x:is>
          <x:t xml:space="preserve">Button playground manual verification.</x:t>
        </x:is>
      </x:c>
      <x:c r="J36" s="94" t="n"/>
      <x:c r="K36" s="95" t="n">
        <x:f>IF(AND(E36="yes",F36="yes",H36="covered"),1,IF(H36="partial",0.5,0))</x:f>
        <x:v>1</x:v>
      </x:c>
    </x:row>
    <x:row r="37" s="51" customFormat="1" ht="15" customHeight="1">
      <x:c r="A37" s="93" t="n">
        <x:v>29</x:v>
      </x:c>
      <x:c r="B37" s="94" t="inlineStr">
        <x:is>
          <x:t xml:space="preserve">Public API</x:t>
        </x:is>
      </x:c>
      <x:c r="C37" s="94" t="inlineStr">
        <x:is>
          <x:t xml:space="preserve">Root</x:t>
        </x:is>
      </x:c>
      <x:c r="D37" s="94" t="inlineStr">
        <x:is>
          <x:t xml:space="preserve">onPress prop behavior</x:t>
        </x:is>
      </x:c>
      <x:c r="E37" s="93" t="inlineStr">
        <x:is>
          <x:t xml:space="preserve">yes</x:t>
        </x:is>
      </x:c>
      <x:c r="F37" s="93" t="inlineStr">
        <x:is>
          <x:t xml:space="preserve">yes</x:t>
        </x:is>
      </x:c>
      <x:c r="G37" s="93" t="inlineStr">
        <x:is>
          <x:t xml:space="preserve">pass</x:t>
        </x:is>
      </x:c>
      <x:c r="H37" s="93" t="inlineStr">
        <x:is>
          <x:t xml:space="preserve">covered</x:t>
        </x:is>
      </x:c>
      <x:c r="I37" s="94" t="inlineStr">
        <x:is>
          <x:t xml:space="preserve">Button playground manual verification.</x:t>
        </x:is>
      </x:c>
      <x:c r="J37" s="94" t="n"/>
      <x:c r="K37" s="95" t="n">
        <x:f>IF(AND(E37="yes",F37="yes",H37="covered"),1,IF(H37="partial",0.5,0))</x:f>
        <x:v>1</x:v>
      </x:c>
    </x:row>
    <x:row r="38" s="51" customFormat="1" ht="15" customHeight="1">
      <x:c r="A38" s="93" t="n">
        <x:v>30</x:v>
      </x:c>
      <x:c r="B38" s="94" t="inlineStr">
        <x:is>
          <x:t xml:space="preserve">Public API</x:t>
        </x:is>
      </x:c>
      <x:c r="C38" s="94" t="inlineStr">
        <x:is>
          <x:t xml:space="preserve">Root</x:t>
        </x:is>
      </x:c>
      <x:c r="D38" s="94" t="inlineStr">
        <x:is>
          <x:t xml:space="preserve">onClick prop behavior</x:t>
        </x:is>
      </x:c>
      <x:c r="E38" s="93" t="inlineStr">
        <x:is>
          <x:t xml:space="preserve">yes</x:t>
        </x:is>
      </x:c>
      <x:c r="F38" s="93" t="inlineStr">
        <x:is>
          <x:t xml:space="preserve">yes</x:t>
        </x:is>
      </x:c>
      <x:c r="G38" s="93" t="inlineStr">
        <x:is>
          <x:t xml:space="preserve">pass</x:t>
        </x:is>
      </x:c>
      <x:c r="H38" s="93" t="inlineStr">
        <x:is>
          <x:t xml:space="preserve">covered</x:t>
        </x:is>
      </x:c>
      <x:c r="I38" s="94" t="inlineStr">
        <x:is>
          <x:t xml:space="preserve">Button playground manual verification.</x:t>
        </x:is>
      </x:c>
      <x:c r="J38" s="94" t="n"/>
      <x:c r="K38" s="95" t="n">
        <x:f>IF(AND(E38="yes",F38="yes",H38="covered"),1,IF(H38="partial",0.5,0))</x:f>
        <x:v>1</x:v>
      </x:c>
    </x:row>
    <x:row r="39" s="51" customFormat="1" ht="15" customHeight="1">
      <x:c r="A39" s="93" t="n">
        <x:v>31</x:v>
      </x:c>
      <x:c r="B39" s="94" t="inlineStr">
        <x:is>
          <x:t xml:space="preserve">Composition</x:t>
        </x:is>
      </x:c>
      <x:c r="C39" s="94" t="inlineStr">
        <x:is>
          <x:t xml:space="preserve">Root</x:t>
        </x:is>
      </x:c>
      <x:c r="D39" s="94" t="inlineStr">
        <x:is>
          <x:t xml:space="preserve">asChild prop behavior</x:t>
        </x:is>
      </x:c>
      <x:c r="E39" s="93" t="inlineStr">
        <x:is>
          <x:t xml:space="preserve">yes</x:t>
        </x:is>
      </x:c>
      <x:c r="F39" s="93" t="inlineStr">
        <x:is>
          <x:t xml:space="preserve">yes</x:t>
        </x:is>
      </x:c>
      <x:c r="G39" s="93" t="inlineStr">
        <x:is>
          <x:t xml:space="preserve">pass</x:t>
        </x:is>
      </x:c>
      <x:c r="H39" s="93" t="inlineStr">
        <x:is>
          <x:t xml:space="preserve">covered</x:t>
        </x:is>
      </x:c>
      <x:c r="I39" s="94" t="inlineStr">
        <x:is>
          <x:t xml:space="preserve">Button playground manual verification.</x:t>
        </x:is>
      </x:c>
      <x:c r="J39" s="94" t="n"/>
      <x:c r="K39" s="95" t="n">
        <x:f>IF(AND(E39="yes",F39="yes",H39="covered"),1,IF(H39="partial",0.5,0))</x:f>
        <x:v>1</x:v>
      </x:c>
    </x:row>
    <x:row r="40" s="51" customFormat="1" ht="15" customHeight="1">
      <x:c r="A40" s="93" t="n">
        <x:v>32</x:v>
      </x:c>
      <x:c r="B40" s="94" t="inlineStr">
        <x:is>
          <x:t xml:space="preserve">Composition</x:t>
        </x:is>
      </x:c>
      <x:c r="C40" s="94" t="inlineStr">
        <x:is>
          <x:t xml:space="preserve">Root</x:t>
        </x:is>
      </x:c>
      <x:c r="D40" s="94" t="inlineStr">
        <x:is>
          <x:t xml:space="preserve">render prop behavior</x:t>
        </x:is>
      </x:c>
      <x:c r="E40" s="93" t="inlineStr">
        <x:is>
          <x:t xml:space="preserve">yes</x:t>
        </x:is>
      </x:c>
      <x:c r="F40" s="93" t="inlineStr">
        <x:is>
          <x:t xml:space="preserve">yes</x:t>
        </x:is>
      </x:c>
      <x:c r="G40" s="93" t="inlineStr">
        <x:is>
          <x:t xml:space="preserve">pass</x:t>
        </x:is>
      </x:c>
      <x:c r="H40" s="93" t="inlineStr">
        <x:is>
          <x:t xml:space="preserve">covered</x:t>
        </x:is>
      </x:c>
      <x:c r="I40" s="94" t="inlineStr">
        <x:is>
          <x:t xml:space="preserve">Button playground manual verification.</x:t>
        </x:is>
      </x:c>
      <x:c r="J40" s="94" t="n"/>
      <x:c r="K40" s="95" t="n">
        <x:f>IF(AND(E40="yes",F40="yes",H40="covered"),1,IF(H40="partial",0.5,0))</x:f>
        <x:v>1</x:v>
      </x:c>
    </x:row>
    <x:row r="41" s="51" customFormat="1" ht="15" customHeight="1">
      <x:c r="A41" s="93" t="n">
        <x:v>33</x:v>
      </x:c>
      <x:c r="B41" s="94" t="inlineStr">
        <x:is>
          <x:t xml:space="preserve">Composition</x:t>
        </x:is>
      </x:c>
      <x:c r="C41" s="94" t="inlineStr">
        <x:is>
          <x:t xml:space="preserve">Root</x:t>
        </x:is>
      </x:c>
      <x:c r="D41" s="94" t="inlineStr">
        <x:is>
          <x:t xml:space="preserve">asChild preserves child content without double nesting</x:t>
        </x:is>
      </x:c>
      <x:c r="E41" s="93" t="inlineStr">
        <x:is>
          <x:t xml:space="preserve">yes</x:t>
        </x:is>
      </x:c>
      <x:c r="F41" s="93" t="inlineStr">
        <x:is>
          <x:t xml:space="preserve">yes</x:t>
        </x:is>
      </x:c>
      <x:c r="G41" s="93" t="inlineStr">
        <x:is>
          <x:t xml:space="preserve">pass</x:t>
        </x:is>
      </x:c>
      <x:c r="H41" s="93" t="inlineStr">
        <x:is>
          <x:t xml:space="preserve">covered</x:t>
        </x:is>
      </x:c>
      <x:c r="I41" s="94" t="inlineStr">
        <x:is>
          <x:t xml:space="preserve">Button playground manual verification.</x:t>
        </x:is>
      </x:c>
      <x:c r="J41" s="94" t="n"/>
      <x:c r="K41" s="95" t="n">
        <x:f>IF(AND(E41="yes",F41="yes",H41="covered"),1,IF(H41="partial",0.5,0))</x:f>
        <x:v>1</x:v>
      </x:c>
    </x:row>
    <x:row r="42" s="51" customFormat="1" ht="15" customHeight="1">
      <x:c r="A42" s="93" t="n">
        <x:v>34</x:v>
      </x:c>
      <x:c r="B42" s="94" t="inlineStr">
        <x:is>
          <x:t xml:space="preserve">Composition</x:t>
        </x:is>
      </x:c>
      <x:c r="C42" s="94" t="inlineStr">
        <x:is>
          <x:t xml:space="preserve">Root</x:t>
        </x:is>
      </x:c>
      <x:c r="D42" s="94" t="inlineStr">
        <x:is>
          <x:t xml:space="preserve">asChild merges Atom props and consumer props</x:t>
        </x:is>
      </x:c>
      <x:c r="E42" s="93" t="inlineStr">
        <x:is>
          <x:t xml:space="preserve">yes</x:t>
        </x:is>
      </x:c>
      <x:c r="F42" s="93" t="inlineStr">
        <x:is>
          <x:t xml:space="preserve">yes</x:t>
        </x:is>
      </x:c>
      <x:c r="G42" s="93" t="inlineStr">
        <x:is>
          <x:t xml:space="preserve">pass</x:t>
        </x:is>
      </x:c>
      <x:c r="H42" s="93" t="inlineStr">
        <x:is>
          <x:t xml:space="preserve">covered</x:t>
        </x:is>
      </x:c>
      <x:c r="I42" s="94" t="inlineStr">
        <x:is>
          <x:t xml:space="preserve">Button playground manual verification.</x:t>
        </x:is>
      </x:c>
      <x:c r="J42" s="94" t="n"/>
      <x:c r="K42" s="95" t="n">
        <x:f>IF(AND(E42="yes",F42="yes",H42="covered"),1,IF(H42="partial",0.5,0))</x:f>
        <x:v>1</x:v>
      </x:c>
    </x:row>
    <x:row r="43" s="51" customFormat="1" ht="15" customHeight="1">
      <x:c r="A43" s="93" t="n">
        <x:v>35</x:v>
      </x:c>
      <x:c r="B43" s="94" t="inlineStr">
        <x:is>
          <x:t xml:space="preserve">Composition</x:t>
        </x:is>
      </x:c>
      <x:c r="C43" s="94" t="inlineStr">
        <x:is>
          <x:t xml:space="preserve">Root</x:t>
        </x:is>
      </x:c>
      <x:c r="D43" s="94" t="inlineStr">
        <x:is>
          <x:t xml:space="preserve">render prop preserves refs and behavior props</x:t>
        </x:is>
      </x:c>
      <x:c r="E43" s="93" t="inlineStr">
        <x:is>
          <x:t xml:space="preserve">yes</x:t>
        </x:is>
      </x:c>
      <x:c r="F43" s="93" t="inlineStr">
        <x:is>
          <x:t xml:space="preserve">yes</x:t>
        </x:is>
      </x:c>
      <x:c r="G43" s="93" t="inlineStr">
        <x:is>
          <x:t xml:space="preserve">pass</x:t>
        </x:is>
      </x:c>
      <x:c r="H43" s="93" t="inlineStr">
        <x:is>
          <x:t xml:space="preserve">covered</x:t>
        </x:is>
      </x:c>
      <x:c r="I43" s="94" t="inlineStr">
        <x:is>
          <x:t xml:space="preserve">Button playground manual verification.</x:t>
        </x:is>
      </x:c>
      <x:c r="J43" s="94" t="n"/>
      <x:c r="K43" s="95" t="n">
        <x:f>IF(AND(E43="yes",F43="yes",H43="covered"),1,IF(H43="partial",0.5,0))</x:f>
        <x:v>1</x:v>
      </x:c>
    </x:row>
    <x:row r="44" s="51" customFormat="1" ht="30" customHeight="1">
      <x:c r="A44" s="93" t="n">
        <x:v>36</x:v>
      </x:c>
      <x:c r="B44" s="94" t="inlineStr">
        <x:is>
          <x:t xml:space="preserve">Keyboard</x:t>
        </x:is>
      </x:c>
      <x:c r="C44" s="94" t="inlineStr">
        <x:is>
          <x:t xml:space="preserve">Root</x:t>
        </x:is>
      </x:c>
      <x:c r="D44" s="94" t="inlineStr">
        <x:is>
          <x:t xml:space="preserve">Enter activates custom non-native render</x:t>
        </x:is>
      </x:c>
      <x:c r="E44" s="93" t="inlineStr">
        <x:is>
          <x:t xml:space="preserve">yes</x:t>
        </x:is>
      </x:c>
      <x:c r="F44" s="93" t="inlineStr">
        <x:is>
          <x:t xml:space="preserve">yes</x:t>
        </x:is>
      </x:c>
      <x:c r="G44" s="93" t="inlineStr">
        <x:is>
          <x:t xml:space="preserve">pass</x:t>
        </x:is>
      </x:c>
      <x:c r="H44" s="93" t="inlineStr">
        <x:is>
          <x:t xml:space="preserve">covered</x:t>
        </x:is>
      </x:c>
      <x:c r="I44" s="94" t="inlineStr">
        <x:is>
          <x:t xml:space="preserve">Button playground manual verification.</x:t>
        </x:is>
      </x:c>
      <x:c r="J44" s="94" t="n"/>
      <x:c r="K44" s="95" t="n">
        <x:f>IF(AND(E44="yes",F44="yes",H44="covered"),1,IF(H44="partial",0.5,0))</x:f>
        <x:v>1</x:v>
      </x:c>
    </x:row>
    <x:row r="45" s="51" customFormat="1" ht="15" customHeight="1">
      <x:c r="A45" s="93" t="n">
        <x:v>37</x:v>
      </x:c>
      <x:c r="B45" s="94" t="inlineStr">
        <x:is>
          <x:t xml:space="preserve">Keyboard</x:t>
        </x:is>
      </x:c>
      <x:c r="C45" s="94" t="inlineStr">
        <x:is>
          <x:t xml:space="preserve">Root</x:t>
        </x:is>
      </x:c>
      <x:c r="D45" s="94" t="inlineStr">
        <x:is>
          <x:t xml:space="preserve">Space activates custom non-native render</x:t>
        </x:is>
      </x:c>
      <x:c r="E45" s="93" t="inlineStr">
        <x:is>
          <x:t xml:space="preserve">yes</x:t>
        </x:is>
      </x:c>
      <x:c r="F45" s="93" t="inlineStr">
        <x:is>
          <x:t xml:space="preserve">yes</x:t>
        </x:is>
      </x:c>
      <x:c r="G45" s="93" t="inlineStr">
        <x:is>
          <x:t xml:space="preserve">pass</x:t>
        </x:is>
      </x:c>
      <x:c r="H45" s="93" t="inlineStr">
        <x:is>
          <x:t xml:space="preserve">covered</x:t>
        </x:is>
      </x:c>
      <x:c r="I45" s="94" t="inlineStr">
        <x:is>
          <x:t xml:space="preserve">Button playground manual verification.</x:t>
        </x:is>
      </x:c>
      <x:c r="J45" s="94" t="n"/>
      <x:c r="K45" s="95" t="n">
        <x:f>IF(AND(E45="yes",F45="yes",H45="covered"),1,IF(H45="partial",0.5,0))</x:f>
        <x:v>1</x:v>
      </x:c>
    </x:row>
    <x:row r="46" s="51" customFormat="1" ht="45" customHeight="1">
      <x:c r="A46" s="93" t="n">
        <x:v>38</x:v>
      </x:c>
      <x:c r="B46" s="94" t="inlineStr">
        <x:is>
          <x:t xml:space="preserve">Keyboard</x:t>
        </x:is>
      </x:c>
      <x:c r="C46" s="94" t="inlineStr">
        <x:is>
          <x:t xml:space="preserve">Root</x:t>
        </x:is>
      </x:c>
      <x:c r="D46" s="94" t="inlineStr">
        <x:is>
          <x:t xml:space="preserve">disabled/loading blocks keyboard activation</x:t>
        </x:is>
      </x:c>
      <x:c r="E46" s="93" t="inlineStr">
        <x:is>
          <x:t xml:space="preserve">yes</x:t>
        </x:is>
      </x:c>
      <x:c r="F46" s="93" t="inlineStr">
        <x:is>
          <x:t xml:space="preserve">yes</x:t>
        </x:is>
      </x:c>
      <x:c r="G46" s="93" t="inlineStr">
        <x:is>
          <x:t xml:space="preserve">pass</x:t>
        </x:is>
      </x:c>
      <x:c r="H46" s="93" t="inlineStr">
        <x:is>
          <x:t xml:space="preserve">covered</x:t>
        </x:is>
      </x:c>
      <x:c r="I46" s="94" t="inlineStr">
        <x:is>
          <x:t xml:space="preserve">Button playground manual verification.</x:t>
        </x:is>
      </x:c>
      <x:c r="J46" s="94" t="n"/>
      <x:c r="K46" s="95" t="n">
        <x:f>IF(AND(E46="yes",F46="yes",H46="covered"),1,IF(H46="partial",0.5,0))</x:f>
        <x:v>1</x:v>
      </x:c>
    </x:row>
    <x:row r="47" s="51" customFormat="1" ht="15" customHeight="1">
      <x:c r="A47" s="93" t="n">
        <x:v>39</x:v>
      </x:c>
      <x:c r="B47" s="94" t="inlineStr">
        <x:is>
          <x:t xml:space="preserve">ARIA</x:t>
        </x:is>
      </x:c>
      <x:c r="C47" s="94" t="inlineStr">
        <x:is>
          <x:t xml:space="preserve">Live DOM</x:t>
        </x:is>
      </x:c>
      <x:c r="D47" s="94" t="inlineStr">
        <x:is>
          <x:t xml:space="preserve">aria-disabled is present for inactive non-native renders</x:t>
        </x:is>
      </x:c>
      <x:c r="E47" s="93" t="inlineStr">
        <x:is>
          <x:t xml:space="preserve">yes</x:t>
        </x:is>
      </x:c>
      <x:c r="F47" s="93" t="inlineStr">
        <x:is>
          <x:t xml:space="preserve">yes</x:t>
        </x:is>
      </x:c>
      <x:c r="G47" s="93" t="inlineStr">
        <x:is>
          <x:t xml:space="preserve">pass</x:t>
        </x:is>
      </x:c>
      <x:c r="H47" s="93" t="inlineStr">
        <x:is>
          <x:t xml:space="preserve">covered</x:t>
        </x:is>
      </x:c>
      <x:c r="I47" s="94" t="inlineStr">
        <x:is>
          <x:t xml:space="preserve">Button playground manual verification.</x:t>
        </x:is>
      </x:c>
      <x:c r="J47" s="94" t="n"/>
      <x:c r="K47" s="95" t="n">
        <x:f>IF(AND(E47="yes",F47="yes",H47="covered"),1,IF(H47="partial",0.5,0))</x:f>
        <x:v>1</x:v>
      </x:c>
    </x:row>
    <x:row r="48" s="51" customFormat="1" ht="15" customHeight="1">
      <x:c r="A48" s="93" t="n">
        <x:v>40</x:v>
      </x:c>
      <x:c r="B48" s="94" t="inlineStr">
        <x:is>
          <x:t xml:space="preserve">ARIA</x:t>
        </x:is>
      </x:c>
      <x:c r="C48" s="94" t="inlineStr">
        <x:is>
          <x:t xml:space="preserve">Live DOM</x:t>
        </x:is>
      </x:c>
      <x:c r="D48" s="94" t="inlineStr">
        <x:is>
          <x:t xml:space="preserve">aria-busy is present while loading</x:t>
        </x:is>
      </x:c>
      <x:c r="E48" s="93" t="inlineStr">
        <x:is>
          <x:t xml:space="preserve">yes</x:t>
        </x:is>
      </x:c>
      <x:c r="F48" s="93" t="inlineStr">
        <x:is>
          <x:t xml:space="preserve">yes</x:t>
        </x:is>
      </x:c>
      <x:c r="G48" s="93" t="inlineStr">
        <x:is>
          <x:t xml:space="preserve">pass</x:t>
        </x:is>
      </x:c>
      <x:c r="H48" s="93" t="inlineStr">
        <x:is>
          <x:t xml:space="preserve">covered</x:t>
        </x:is>
      </x:c>
      <x:c r="I48" s="94" t="inlineStr">
        <x:is>
          <x:t xml:space="preserve">Button playground manual verification.</x:t>
        </x:is>
      </x:c>
      <x:c r="J48" s="94" t="n"/>
      <x:c r="K48" s="95" t="n">
        <x:f>IF(AND(E48="yes",F48="yes",H48="covered"),1,IF(H48="partial",0.5,0))</x:f>
        <x:v>1</x:v>
      </x:c>
    </x:row>
    <x:row r="49" s="51" customFormat="1" ht="15" customHeight="1">
      <x:c r="A49" s="93" t="n">
        <x:v>41</x:v>
      </x:c>
      <x:c r="B49" s="94" t="inlineStr">
        <x:is>
          <x:t xml:space="preserve">Data</x:t>
        </x:is>
      </x:c>
      <x:c r="C49" s="94" t="inlineStr">
        <x:is>
          <x:t xml:space="preserve">Live DOM</x:t>
        </x:is>
      </x:c>
      <x:c r="D49" s="94" t="inlineStr">
        <x:is>
          <x:t xml:space="preserve">data-slot is present</x:t>
        </x:is>
      </x:c>
      <x:c r="E49" s="93" t="inlineStr">
        <x:is>
          <x:t xml:space="preserve">yes</x:t>
        </x:is>
      </x:c>
      <x:c r="F49" s="93" t="inlineStr">
        <x:is>
          <x:t xml:space="preserve">yes</x:t>
        </x:is>
      </x:c>
      <x:c r="G49" s="93" t="inlineStr">
        <x:is>
          <x:t xml:space="preserve">pass</x:t>
        </x:is>
      </x:c>
      <x:c r="H49" s="93" t="inlineStr">
        <x:is>
          <x:t xml:space="preserve">covered</x:t>
        </x:is>
      </x:c>
      <x:c r="I49" s="94" t="inlineStr">
        <x:is>
          <x:t xml:space="preserve">Button playground manual verification.</x:t>
        </x:is>
      </x:c>
      <x:c r="J49" s="94" t="n"/>
      <x:c r="K49" s="95" t="n">
        <x:f>IF(AND(E49="yes",F49="yes",H49="covered"),1,IF(H49="partial",0.5,0))</x:f>
        <x:v>1</x:v>
      </x:c>
    </x:row>
    <x:row r="50" s="51" customFormat="1" ht="30" customHeight="1">
      <x:c r="A50" s="93" t="n">
        <x:v>42</x:v>
      </x:c>
      <x:c r="B50" s="94" t="inlineStr">
        <x:is>
          <x:t xml:space="preserve">Data</x:t>
        </x:is>
      </x:c>
      <x:c r="C50" s="94" t="inlineStr">
        <x:is>
          <x:t xml:space="preserve">Live DOM</x:t>
        </x:is>
      </x:c>
      <x:c r="D50" s="94" t="inlineStr">
        <x:is>
          <x:t xml:space="preserve">data-disabled is present when disabled</x:t>
        </x:is>
      </x:c>
      <x:c r="E50" s="93" t="inlineStr">
        <x:is>
          <x:t xml:space="preserve">yes</x:t>
        </x:is>
      </x:c>
      <x:c r="F50" s="93" t="inlineStr">
        <x:is>
          <x:t xml:space="preserve">yes</x:t>
        </x:is>
      </x:c>
      <x:c r="G50" s="93" t="inlineStr">
        <x:is>
          <x:t xml:space="preserve">pass</x:t>
        </x:is>
      </x:c>
      <x:c r="H50" s="93" t="inlineStr">
        <x:is>
          <x:t xml:space="preserve">covered</x:t>
        </x:is>
      </x:c>
      <x:c r="I50" s="94" t="inlineStr">
        <x:is>
          <x:t xml:space="preserve">Button playground manual verification.</x:t>
        </x:is>
      </x:c>
      <x:c r="J50" s="94" t="n"/>
      <x:c r="K50" s="95" t="n">
        <x:f>IF(AND(E50="yes",F50="yes",H50="covered"),1,IF(H50="partial",0.5,0))</x:f>
        <x:v>1</x:v>
      </x:c>
    </x:row>
    <x:row r="51" s="51" customFormat="1" ht="30" customHeight="1">
      <x:c r="A51" s="93" t="n">
        <x:v>43</x:v>
      </x:c>
      <x:c r="B51" s="94" t="inlineStr">
        <x:is>
          <x:t xml:space="preserve">Data</x:t>
        </x:is>
      </x:c>
      <x:c r="C51" s="94" t="inlineStr">
        <x:is>
          <x:t xml:space="preserve">Live DOM</x:t>
        </x:is>
      </x:c>
      <x:c r="D51" s="94" t="inlineStr">
        <x:is>
          <x:t xml:space="preserve">data-loading is present when loading</x:t>
        </x:is>
      </x:c>
      <x:c r="E51" s="93" t="inlineStr">
        <x:is>
          <x:t xml:space="preserve">yes</x:t>
        </x:is>
      </x:c>
      <x:c r="F51" s="93" t="inlineStr">
        <x:is>
          <x:t xml:space="preserve">yes</x:t>
        </x:is>
      </x:c>
      <x:c r="G51" s="93" t="inlineStr">
        <x:is>
          <x:t xml:space="preserve">pass</x:t>
        </x:is>
      </x:c>
      <x:c r="H51" s="93" t="inlineStr">
        <x:is>
          <x:t xml:space="preserve">covered</x:t>
        </x:is>
      </x:c>
      <x:c r="I51" s="94" t="inlineStr">
        <x:is>
          <x:t xml:space="preserve">Button playground manual verification.</x:t>
        </x:is>
      </x:c>
      <x:c r="J51" s="94" t="n"/>
      <x:c r="K51" s="95" t="n">
        <x:f>IF(AND(E51="yes",F51="yes",H51="covered"),1,IF(H51="partial",0.5,0))</x:f>
        <x:v>1</x:v>
      </x:c>
    </x:row>
    <x:row r="52" s="51" customFormat="1" ht="30" customHeight="1">
      <x:c r="A52" s="93" t="n">
        <x:v>44</x:v>
      </x:c>
      <x:c r="B52" s="94" t="inlineStr">
        <x:is>
          <x:t xml:space="preserve">Forms</x:t>
        </x:is>
      </x:c>
      <x:c r="C52" s="94" t="inlineStr">
        <x:is>
          <x:t xml:space="preserve">Root</x:t>
        </x:is>
      </x:c>
      <x:c r="D52" s="94" t="inlineStr">
        <x:is>
          <x:t xml:space="preserve">native type button is default</x:t>
        </x:is>
      </x:c>
      <x:c r="E52" s="93" t="inlineStr">
        <x:is>
          <x:t xml:space="preserve">yes</x:t>
        </x:is>
      </x:c>
      <x:c r="F52" s="93" t="inlineStr">
        <x:is>
          <x:t xml:space="preserve">yes</x:t>
        </x:is>
      </x:c>
      <x:c r="G52" s="93" t="inlineStr">
        <x:is>
          <x:t xml:space="preserve">pass</x:t>
        </x:is>
      </x:c>
      <x:c r="H52" s="93" t="inlineStr">
        <x:is>
          <x:t xml:space="preserve">covered</x:t>
        </x:is>
      </x:c>
      <x:c r="I52" s="94" t="inlineStr">
        <x:is>
          <x:t xml:space="preserve">Button playground manual verification.</x:t>
        </x:is>
      </x:c>
      <x:c r="J52" s="94" t="n"/>
      <x:c r="K52" s="95" t="n">
        <x:f>IF(AND(E52="yes",F52="yes",H52="covered"),1,IF(H52="partial",0.5,0))</x:f>
        <x:v>1</x:v>
      </x:c>
    </x:row>
    <x:row r="53" s="51" customFormat="1" ht="30" customHeight="1">
      <x:c r="A53" s="93" t="n">
        <x:v>45</x:v>
      </x:c>
      <x:c r="B53" s="94" t="inlineStr">
        <x:is>
          <x:t xml:space="preserve">Forms</x:t>
        </x:is>
      </x:c>
      <x:c r="C53" s="94" t="inlineStr">
        <x:is>
          <x:t xml:space="preserve">Root</x:t>
        </x:is>
      </x:c>
      <x:c r="D53" s="94" t="inlineStr">
        <x:is>
          <x:t xml:space="preserve">submit and reset type pass through</x:t>
        </x:is>
      </x:c>
      <x:c r="E53" s="93" t="inlineStr">
        <x:is>
          <x:t xml:space="preserve">yes</x:t>
        </x:is>
      </x:c>
      <x:c r="F53" s="93" t="inlineStr">
        <x:is>
          <x:t xml:space="preserve">yes</x:t>
        </x:is>
      </x:c>
      <x:c r="G53" s="93" t="inlineStr">
        <x:is>
          <x:t xml:space="preserve">pass</x:t>
        </x:is>
      </x:c>
      <x:c r="H53" s="93" t="inlineStr">
        <x:is>
          <x:t xml:space="preserve">covered</x:t>
        </x:is>
      </x:c>
      <x:c r="I53" s="94" t="inlineStr">
        <x:is>
          <x:t xml:space="preserve">Button playground manual verification.</x:t>
        </x:is>
      </x:c>
      <x:c r="J53" s="94" t="n"/>
      <x:c r="K53" s="95" t="n">
        <x:f>IF(AND(E53="yes",F53="yes",H53="covered"),1,IF(H53="partial",0.5,0))</x:f>
        <x:v>1</x:v>
      </x:c>
    </x:row>
    <x:row r="54" s="51" customFormat="1" ht="30" customHeight="1">
      <x:c r="A54" s="93" t="n">
        <x:v>46</x:v>
      </x:c>
      <x:c r="B54" s="94" t="inlineStr">
        <x:is>
          <x:t xml:space="preserve">Log</x:t>
        </x:is>
      </x:c>
      <x:c r="C54" s="94" t="inlineStr">
        <x:is>
          <x:t xml:space="preserve">Root</x:t>
        </x:is>
      </x:c>
      <x:c r="D54" s="94" t="inlineStr">
        <x:is>
          <x:t xml:space="preserve">logs click/press/default prevention clearly</x:t>
        </x:is>
      </x:c>
      <x:c r="E54" s="93" t="inlineStr">
        <x:is>
          <x:t xml:space="preserve">yes</x:t>
        </x:is>
      </x:c>
      <x:c r="F54" s="93" t="inlineStr">
        <x:is>
          <x:t xml:space="preserve">yes</x:t>
        </x:is>
      </x:c>
      <x:c r="G54" s="93" t="inlineStr">
        <x:is>
          <x:t xml:space="preserve">pass</x:t>
        </x:is>
      </x:c>
      <x:c r="H54" s="93" t="inlineStr">
        <x:is>
          <x:t xml:space="preserve">covered</x:t>
        </x:is>
      </x:c>
      <x:c r="I54" s="94" t="inlineStr">
        <x:is>
          <x:t xml:space="preserve">Button playground manual verification.</x:t>
        </x:is>
      </x:c>
      <x:c r="J54" s="94" t="n"/>
      <x:c r="K54" s="95" t="n">
        <x:f>IF(AND(E54="yes",F54="yes",H54="covered"),1,IF(H54="partial",0.5,0))</x:f>
        <x:v>1</x:v>
      </x:c>
    </x:row>
    <x:row r="55" s="51" customFormat="1" ht="30" customHeight="1">
      <x:c r="A55" s="73" t="n"/>
      <x:c r="B55" s="84" t="n"/>
      <x:c r="C55" s="84" t="n"/>
      <x:c r="D55" s="84" t="n"/>
      <x:c r="E55" s="76" t="n"/>
      <x:c r="F55" s="85" t="n"/>
      <x:c r="G55" s="73" t="n"/>
      <x:c r="H55" s="86" t="n"/>
      <x:c r="I55" s="84" t="n"/>
      <x:c r="J55" s="84" t="n"/>
      <x:c r="K55" s="87" t="n"/>
    </x:row>
    <x:row r="56" s="51" customFormat="1" ht="13.5" customHeight="1">
      <x:c r="A56" s="73" t="n"/>
      <x:c r="B56" s="84" t="n"/>
      <x:c r="C56" s="84" t="n"/>
      <x:c r="D56" s="84" t="n"/>
      <x:c r="E56" s="76" t="n"/>
      <x:c r="F56" s="85" t="n"/>
      <x:c r="G56" s="73" t="n"/>
      <x:c r="H56" s="86" t="n"/>
      <x:c r="I56" s="84" t="n"/>
      <x:c r="J56" s="84" t="n"/>
      <x:c r="K56" s="87" t="n"/>
    </x:row>
    <x:row r="57" s="51" customFormat="1" ht="13.5" customHeight="1">
      <x:c r="A57" s="73" t="n"/>
      <x:c r="B57" s="84" t="n"/>
      <x:c r="C57" s="84" t="n"/>
      <x:c r="D57" s="84" t="n"/>
      <x:c r="E57" s="76" t="n"/>
      <x:c r="F57" s="85" t="n"/>
      <x:c r="G57" s="73" t="n"/>
      <x:c r="H57" s="86" t="n"/>
      <x:c r="I57" s="84" t="n"/>
      <x:c r="J57" s="84" t="n"/>
      <x:c r="K57" s="87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Carousel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3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29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Carousel</x:t>
        </x:is>
      </x:c>
      <x:c r="D9" s="84" t="inlineStr">
        <x:is>
          <x:t xml:space="preserve">scenario is reachable from Navigation and renders the complete default anatomy</x:t>
        </x:is>
      </x:c>
      <x:c r="E9" s="76" t="inlineStr">
        <x:is>
          <x:t xml:space="preserve">yes</x:t>
        </x:is>
      </x:c>
      <x:c r="F9" s="85" t="inlineStr">
        <x:is>
          <x:t xml:space="preserve">no</x:t>
        </x:is>
      </x:c>
      <x:c r="G9" s="73" t="inlineStr">
        <x:is>
          <x:t xml:space="preserve">automation passed; manual protocol pending</x:t>
        </x:is>
      </x:c>
      <x:c r="H9" s="86" t="inlineStr">
        <x:is>
          <x:t xml:space="preserve">untested</x:t>
        </x:is>
      </x:c>
      <x:c r="I9" s="84" t="inlineStr">
        <x:is>
          <x:t xml:space="preserve">Carousel playground scenario and desktop browser smoke.</x:t>
        </x:is>
      </x:c>
      <x:c r="J9" s="84" t="inlineStr">
        <x:is>
          <x:t xml:space="preserve">Run playground/.manual-tests/carousel.md.</x:t>
        </x:is>
      </x:c>
      <x:c r="K9" s="87" t="n">
        <x:f>IF(AND(E9="yes",F9="yes",H9="covered"),1,IF(H9="partial",0.5,0))</x:f>
        <x:v>0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Source</x:t>
        </x:is>
      </x:c>
      <x:c r="D10" s="84" t="inlineStr">
        <x:is>
          <x:t xml:space="preserve">source reflects controlled state, autoplay, loop, direction, controls, and picker composition</x:t>
        </x:is>
      </x:c>
      <x:c r="E10" s="76" t="inlineStr">
        <x:is>
          <x:t xml:space="preserve">yes</x:t>
        </x:is>
      </x:c>
      <x:c r="F10" s="85" t="inlineStr">
        <x:is>
          <x:t xml:space="preserve">no</x:t>
        </x:is>
      </x:c>
      <x:c r="G10" s="73" t="inlineStr">
        <x:is>
          <x:t xml:space="preserve">source implemented; manual review pending</x:t>
        </x:is>
      </x:c>
      <x:c r="H10" s="86" t="inlineStr">
        <x:is>
          <x:t xml:space="preserve">untested</x:t>
        </x:is>
      </x:c>
      <x:c r="I10" s="84" t="inlineStr">
        <x:is>
          <x:t xml:space="preserve">Generated Carousel Source panel.</x:t>
        </x:is>
      </x:c>
      <x:c r="J10" s="84" t="inlineStr">
        <x:is>
          <x:t xml:space="preserve">Run protocol Step 0.</x:t>
        </x:is>
      </x:c>
      <x:c r="K10" s="87" t="n">
        <x:f>IF(AND(E10="yes",F10="yes",H10="covered"),1,IF(H10="partial",0.5,0))</x:f>
        <x:v>0</x:v>
      </x:c>
    </x:row>
    <x:row r="11" s="51" customFormat="1" ht="15" customHeight="1">
      <x:c r="A11" s="73" t="n">
        <x:v>3</x:v>
      </x:c>
      <x:c r="B11" s="84" t="inlineStr">
        <x:is>
          <x:t xml:space="preserve">Anatomy</x:t>
        </x:is>
      </x:c>
      <x:c r="C11" s="84" t="inlineStr">
        <x:is>
          <x:t xml:space="preserve">Root</x:t>
        </x:is>
      </x:c>
      <x:c r="D11" s="84" t="inlineStr">
        <x:is>
          <x:t xml:space="preserve">Root exposes active value, rotation state, direction, role, label, and carousel roledescription</x:t>
        </x:is>
      </x:c>
      <x:c r="E11" s="76" t="inlineStr">
        <x:is>
          <x:t xml:space="preserve">yes</x:t>
        </x:is>
      </x:c>
      <x:c r="F11" s="85" t="inlineStr">
        <x:is>
          <x:t xml:space="preserve">no</x:t>
        </x:is>
      </x:c>
      <x:c r="G11" s="73" t="inlineStr">
        <x:is>
          <x:t xml:space="preserve">live evidence implemented</x:t>
        </x:is>
      </x:c>
      <x:c r="H11" s="86" t="inlineStr">
        <x:is>
          <x:t xml:space="preserve">untested</x:t>
        </x:is>
      </x:c>
      <x:c r="I11" s="84" t="inlineStr">
        <x:is>
          <x:t xml:space="preserve">Carousel Anatomy and Inspector.</x:t>
        </x:is>
      </x:c>
      <x:c r="J11" s="84" t="inlineStr">
        <x:is>
          <x:t xml:space="preserve">Run protocol Steps 2 and 4.</x:t>
        </x:is>
      </x:c>
      <x:c r="K11" s="87" t="n">
        <x:f>IF(AND(E11="yes",F11="yes",H11="covered"),1,IF(H11="partial",0.5,0))</x:f>
        <x:v>0</x:v>
      </x:c>
    </x:row>
    <x:row r="12" s="51" customFormat="1" ht="15" customHeight="1">
      <x:c r="A12" s="73" t="n">
        <x:v>4</x:v>
      </x:c>
      <x:c r="B12" s="84" t="inlineStr">
        <x:is>
          <x:t xml:space="preserve">Anatomy</x:t>
        </x:is>
      </x:c>
      <x:c r="C12" s="84" t="inlineStr">
        <x:is>
          <x:t xml:space="preserve">Viewport</x:t>
        </x:is>
      </x:c>
      <x:c r="D12" s="84" t="inlineStr">
        <x:is>
          <x:t xml:space="preserve">Viewport exposes live mode, state, direction, and scrollable geometry</x:t>
        </x:is>
      </x:c>
      <x:c r="E12" s="76" t="inlineStr">
        <x:is>
          <x:t xml:space="preserve">yes</x:t>
        </x:is>
      </x:c>
      <x:c r="F12" s="85" t="inlineStr">
        <x:is>
          <x:t xml:space="preserve">no</x:t>
        </x:is>
      </x:c>
      <x:c r="G12" s="73" t="inlineStr">
        <x:is>
          <x:t xml:space="preserve">live evidence implemented</x:t>
        </x:is>
      </x:c>
      <x:c r="H12" s="86" t="inlineStr">
        <x:is>
          <x:t xml:space="preserve">untested</x:t>
        </x:is>
      </x:c>
      <x:c r="I12" s="84" t="inlineStr">
        <x:is>
          <x:t xml:space="preserve">Carousel Canvas and Anatomy.</x:t>
        </x:is>
      </x:c>
      <x:c r="J12" s="84" t="inlineStr">
        <x:is>
          <x:t xml:space="preserve">Run protocol Steps 2 through 4.</x:t>
        </x:is>
      </x:c>
      <x:c r="K12" s="87" t="n">
        <x:f>IF(AND(E12="yes",F12="yes",H12="covered"),1,IF(H12="partial",0.5,0))</x:f>
        <x:v>0</x:v>
      </x:c>
    </x:row>
    <x:row r="13" s="51" customFormat="1" ht="15" customHeight="1">
      <x:c r="A13" s="73" t="n">
        <x:v>5</x:v>
      </x:c>
      <x:c r="B13" s="84" t="inlineStr">
        <x:is>
          <x:t xml:space="preserve">Anatomy</x:t>
        </x:is>
      </x:c>
      <x:c r="C13" s="84" t="inlineStr">
        <x:is>
          <x:t xml:space="preserve">Track</x:t>
        </x:is>
      </x:c>
      <x:c r="D13" s="84" t="inlineStr">
        <x:is>
          <x:t xml:space="preserve">Track renders in public anatomy order with direction evidence</x:t>
        </x:is>
      </x:c>
      <x:c r="E13" s="76" t="inlineStr">
        <x:is>
          <x:t xml:space="preserve">yes</x:t>
        </x:is>
      </x:c>
      <x:c r="F13" s="85" t="inlineStr">
        <x:is>
          <x:t xml:space="preserve">no</x:t>
        </x:is>
      </x:c>
      <x:c r="G13" s="73" t="inlineStr">
        <x:is>
          <x:t xml:space="preserve">live evidence implemented</x:t>
        </x:is>
      </x:c>
      <x:c r="H13" s="86" t="inlineStr">
        <x:is>
          <x:t xml:space="preserve">untested</x:t>
        </x:is>
      </x:c>
      <x:c r="I13" s="84" t="inlineStr">
        <x:is>
          <x:t xml:space="preserve">Carousel Anatomy.</x:t>
        </x:is>
      </x:c>
      <x:c r="J13" s="84" t="inlineStr">
        <x:is>
          <x:t xml:space="preserve">Run protocol Step 4.</x:t>
        </x:is>
      </x:c>
      <x:c r="K13" s="87" t="n">
        <x:f>IF(AND(E13="yes",F13="yes",H13="covered"),1,IF(H13="partial",0.5,0))</x:f>
        <x:v>0</x:v>
      </x:c>
    </x:row>
    <x:row r="14" s="51" customFormat="1" ht="15" customHeight="1">
      <x:c r="A14" s="73" t="n">
        <x:v>6</x:v>
      </x:c>
      <x:c r="B14" s="84" t="inlineStr">
        <x:is>
          <x:t xml:space="preserve">Anatomy</x:t>
        </x:is>
      </x:c>
      <x:c r="C14" s="84" t="inlineStr">
        <x:is>
          <x:t xml:space="preserve">Slide</x:t>
        </x:is>
      </x:c>
      <x:c r="D14" s="84" t="inlineStr">
        <x:is>
          <x:t xml:space="preserve">active and inactive Slides expose labels, state, aria-hidden, inert, and stable ids</x:t>
        </x:is>
      </x:c>
      <x:c r="E14" s="76" t="inlineStr">
        <x:is>
          <x:t xml:space="preserve">yes</x:t>
        </x:is>
      </x:c>
      <x:c r="F14" s="85" t="inlineStr">
        <x:is>
          <x:t xml:space="preserve">no</x:t>
        </x:is>
      </x:c>
      <x:c r="G14" s="73" t="inlineStr">
        <x:is>
          <x:t xml:space="preserve">automation passed; manual protocol pending</x:t>
        </x:is>
      </x:c>
      <x:c r="H14" s="86" t="inlineStr">
        <x:is>
          <x:t xml:space="preserve">untested</x:t>
        </x:is>
      </x:c>
      <x:c r="I14" s="84" t="inlineStr">
        <x:is>
          <x:t xml:space="preserve">Carousel Canvas, Anatomy, and browser smoke.</x:t>
        </x:is>
      </x:c>
      <x:c r="J14" s="84" t="inlineStr">
        <x:is>
          <x:t xml:space="preserve">Run protocol Step 4.</x:t>
        </x:is>
      </x:c>
      <x:c r="K14" s="87" t="n">
        <x:f>IF(AND(E14="yes",F14="yes",H14="covered"),1,IF(H14="partial",0.5,0))</x:f>
        <x:v>0</x:v>
      </x:c>
    </x:row>
    <x:row r="15" s="51" customFormat="1" ht="30" customHeight="1">
      <x:c r="A15" s="73" t="n">
        <x:v>7</x:v>
      </x:c>
      <x:c r="B15" s="84" t="inlineStr">
        <x:is>
          <x:t xml:space="preserve">Anatomy</x:t>
        </x:is>
      </x:c>
      <x:c r="C15" s="84" t="inlineStr">
        <x:is>
          <x:t xml:space="preserve">Previous</x:t>
        </x:is>
      </x:c>
      <x:c r="D15" s="84" t="inlineStr">
        <x:is>
          <x:t xml:space="preserve">Previous is optional, labeled, and reflects bounded disabled state</x:t>
        </x:is>
      </x:c>
      <x:c r="E15" s="76" t="inlineStr">
        <x:is>
          <x:t xml:space="preserve">yes</x:t>
        </x:is>
      </x:c>
      <x:c r="F15" s="85" t="inlineStr">
        <x:is>
          <x:t xml:space="preserve">no</x:t>
        </x:is>
      </x:c>
      <x:c r="G15" s="73" t="inlineStr">
        <x:is>
          <x:t xml:space="preserve">automation passed; manual protocol pending</x:t>
        </x:is>
      </x:c>
      <x:c r="H15" s="86" t="inlineStr">
        <x:is>
          <x:t xml:space="preserve">untested</x:t>
        </x:is>
      </x:c>
      <x:c r="I15" s="84" t="inlineStr">
        <x:is>
          <x:t xml:space="preserve">Carousel controls and browser smoke.</x:t>
        </x:is>
      </x:c>
      <x:c r="J15" s="84" t="inlineStr">
        <x:is>
          <x:t xml:space="preserve">Run protocol Step 1.</x:t>
        </x:is>
      </x:c>
      <x:c r="K15" s="87" t="n">
        <x:f>IF(AND(E15="yes",F15="yes",H15="covered"),1,IF(H15="partial",0.5,0))</x:f>
        <x:v>0</x:v>
      </x:c>
    </x:row>
    <x:row r="16" s="51" customFormat="1" ht="15" customHeight="1">
      <x:c r="A16" s="73" t="n">
        <x:v>8</x:v>
      </x:c>
      <x:c r="B16" s="84" t="inlineStr">
        <x:is>
          <x:t xml:space="preserve">Anatomy</x:t>
        </x:is>
      </x:c>
      <x:c r="C16" s="84" t="inlineStr">
        <x:is>
          <x:t xml:space="preserve">Next</x:t>
        </x:is>
      </x:c>
      <x:c r="D16" s="84" t="inlineStr">
        <x:is>
          <x:t xml:space="preserve">Next is optional, labeled, and reflects bounded disabled state</x:t>
        </x:is>
      </x:c>
      <x:c r="E16" s="76" t="inlineStr">
        <x:is>
          <x:t xml:space="preserve">yes</x:t>
        </x:is>
      </x:c>
      <x:c r="F16" s="85" t="inlineStr">
        <x:is>
          <x:t xml:space="preserve">no</x:t>
        </x:is>
      </x:c>
      <x:c r="G16" s="73" t="inlineStr">
        <x:is>
          <x:t xml:space="preserve">automation passed; manual protocol pending</x:t>
        </x:is>
      </x:c>
      <x:c r="H16" s="86" t="inlineStr">
        <x:is>
          <x:t xml:space="preserve">untested</x:t>
        </x:is>
      </x:c>
      <x:c r="I16" s="84" t="inlineStr">
        <x:is>
          <x:t xml:space="preserve">Carousel controls and browser smoke.</x:t>
        </x:is>
      </x:c>
      <x:c r="J16" s="84" t="inlineStr">
        <x:is>
          <x:t xml:space="preserve">Run protocol Step 1.</x:t>
        </x:is>
      </x:c>
      <x:c r="K16" s="87" t="n">
        <x:f>IF(AND(E16="yes",F16="yes",H16="covered"),1,IF(H16="partial",0.5,0))</x:f>
        <x:v>0</x:v>
      </x:c>
    </x:row>
    <x:row r="17" s="51" customFormat="1" ht="45" customHeight="1">
      <x:c r="A17" s="73" t="n">
        <x:v>9</x:v>
      </x:c>
      <x:c r="B17" s="84" t="inlineStr">
        <x:is>
          <x:t xml:space="preserve">Anatomy</x:t>
        </x:is>
      </x:c>
      <x:c r="C17" s="84" t="inlineStr">
        <x:is>
          <x:t xml:space="preserve">RotationControl</x:t>
        </x:is>
      </x:c>
      <x:c r="D17" s="84" t="inlineStr">
        <x:is>
          <x:t xml:space="preserve">RotationControl is optional, labeled by action, and reflects playing or stopped state</x:t>
        </x:is>
      </x:c>
      <x:c r="E17" s="76" t="inlineStr">
        <x:is>
          <x:t xml:space="preserve">yes</x:t>
        </x:is>
      </x:c>
      <x:c r="F17" s="85" t="inlineStr">
        <x:is>
          <x:t xml:space="preserve">no</x:t>
        </x:is>
      </x:c>
      <x:c r="G17" s="73" t="inlineStr">
        <x:is>
          <x:t xml:space="preserve">automation passed; manual protocol pending</x:t>
        </x:is>
      </x:c>
      <x:c r="H17" s="86" t="inlineStr">
        <x:is>
          <x:t xml:space="preserve">untested</x:t>
        </x:is>
      </x:c>
      <x:c r="I17" s="84" t="inlineStr">
        <x:is>
          <x:t xml:space="preserve">Carousel controls and browser smoke.</x:t>
        </x:is>
      </x:c>
      <x:c r="J17" s="84" t="inlineStr">
        <x:is>
          <x:t xml:space="preserve">Run protocol Step 2.</x:t>
        </x:is>
      </x:c>
      <x:c r="K17" s="87" t="n">
        <x:f>IF(AND(E17="yes",F17="yes",H17="covered"),1,IF(H17="partial",0.5,0))</x:f>
        <x:v>0</x:v>
      </x:c>
    </x:row>
    <x:row r="18" s="51" customFormat="1" ht="30" customHeight="1">
      <x:c r="A18" s="73" t="n">
        <x:v>10</x:v>
      </x:c>
      <x:c r="B18" s="84" t="inlineStr">
        <x:is>
          <x:t xml:space="preserve">Anatomy</x:t>
        </x:is>
      </x:c>
      <x:c r="C18" s="84" t="inlineStr">
        <x:is>
          <x:t xml:space="preserve">Picker</x:t>
        </x:is>
      </x:c>
      <x:c r="D18" s="84" t="inlineStr">
        <x:is>
          <x:t xml:space="preserve">Picker is optional and renders a named native button group</x:t>
        </x:is>
      </x:c>
      <x:c r="E18" s="76" t="inlineStr">
        <x:is>
          <x:t xml:space="preserve">yes</x:t>
        </x:is>
      </x:c>
      <x:c r="F18" s="85" t="inlineStr">
        <x:is>
          <x:t xml:space="preserve">no</x:t>
        </x:is>
      </x:c>
      <x:c r="G18" s="73" t="inlineStr">
        <x:is>
          <x:t xml:space="preserve">live evidence implemented</x:t>
        </x:is>
      </x:c>
      <x:c r="H18" s="86" t="inlineStr">
        <x:is>
          <x:t xml:space="preserve">untested</x:t>
        </x:is>
      </x:c>
      <x:c r="I18" s="84" t="inlineStr">
        <x:is>
          <x:t xml:space="preserve">Carousel controls and Anatomy.</x:t>
        </x:is>
      </x:c>
      <x:c r="J18" s="84" t="inlineStr">
        <x:is>
          <x:t xml:space="preserve">Run protocol Steps 1 and 4.</x:t>
        </x:is>
      </x:c>
      <x:c r="K18" s="87" t="n">
        <x:f>IF(AND(E18="yes",F18="yes",H18="covered"),1,IF(H18="partial",0.5,0))</x:f>
        <x:v>0</x:v>
      </x:c>
    </x:row>
    <x:row r="19" s="51" customFormat="1" ht="15" customHeight="1">
      <x:c r="A19" s="73" t="n">
        <x:v>11</x:v>
      </x:c>
      <x:c r="B19" s="84" t="inlineStr">
        <x:is>
          <x:t xml:space="preserve">Anatomy</x:t>
        </x:is>
      </x:c>
      <x:c r="C19" s="84" t="inlineStr">
        <x:is>
          <x:t xml:space="preserve">PickerItem</x:t>
        </x:is>
      </x:c>
      <x:c r="D19" s="84" t="inlineStr">
        <x:is>
          <x:t xml:space="preserve">PickerItem controls its Slide and exposes active, unavailable, and accessible label state</x:t>
        </x:is>
      </x:c>
      <x:c r="E19" s="76" t="inlineStr">
        <x:is>
          <x:t xml:space="preserve">yes</x:t>
        </x:is>
      </x:c>
      <x:c r="F19" s="85" t="inlineStr">
        <x:is>
          <x:t xml:space="preserve">no</x:t>
        </x:is>
      </x:c>
      <x:c r="G19" s="73" t="inlineStr">
        <x:is>
          <x:t xml:space="preserve">automation passed; manual protocol pending</x:t>
        </x:is>
      </x:c>
      <x:c r="H19" s="86" t="inlineStr">
        <x:is>
          <x:t xml:space="preserve">untested</x:t>
        </x:is>
      </x:c>
      <x:c r="I19" s="84" t="inlineStr">
        <x:is>
          <x:t xml:space="preserve">Carousel Canvas and browser smoke.</x:t>
        </x:is>
      </x:c>
      <x:c r="J19" s="84" t="inlineStr">
        <x:is>
          <x:t xml:space="preserve">Run protocol Steps 1 and 4.</x:t>
        </x:is>
      </x:c>
      <x:c r="K19" s="87" t="n">
        <x:f>IF(AND(E19="yes",F19="yes",H19="covered"),1,IF(H19="partial",0.5,0))</x:f>
        <x:v>0</x:v>
      </x:c>
    </x:row>
    <x:row r="20" s="51" customFormat="1" ht="15" customHeight="1">
      <x:c r="A20" s="73" t="n">
        <x:v>12</x:v>
      </x:c>
      <x:c r="B20" s="84" t="inlineStr">
        <x:is>
          <x:t xml:space="preserve">State</x:t>
        </x:is>
      </x:c>
      <x:c r="C20" s="84" t="inlineStr">
        <x:is>
          <x:t xml:space="preserve">Root</x:t>
        </x:is>
      </x:c>
      <x:c r="D20" s="84" t="inlineStr">
        <x:is>
          <x:t xml:space="preserve">uncontrolled defaultValue selects and updates the active Slide</x:t>
        </x:is>
      </x:c>
      <x:c r="E20" s="76" t="inlineStr">
        <x:is>
          <x:t xml:space="preserve">yes</x:t>
        </x:is>
      </x:c>
      <x:c r="F20" s="85" t="inlineStr">
        <x:is>
          <x:t xml:space="preserve">no</x:t>
        </x:is>
      </x:c>
      <x:c r="G20" s="73" t="inlineStr">
        <x:is>
          <x:t xml:space="preserve">unit and browser automation passed</x:t>
        </x:is>
      </x:c>
      <x:c r="H20" s="86" t="inlineStr">
        <x:is>
          <x:t xml:space="preserve">untested</x:t>
        </x:is>
      </x:c>
      <x:c r="I20" s="84" t="inlineStr">
        <x:is>
          <x:t xml:space="preserve">Carousel state toggle and browser smoke.</x:t>
        </x:is>
      </x:c>
      <x:c r="J20" s="84" t="inlineStr">
        <x:is>
          <x:t xml:space="preserve">Run protocol Step 1.</x:t>
        </x:is>
      </x:c>
      <x:c r="K20" s="87" t="n">
        <x:f>IF(AND(E20="yes",F20="yes",H20="covered"),1,IF(H20="partial",0.5,0))</x:f>
        <x:v>0</x:v>
      </x:c>
    </x:row>
    <x:row r="21" s="51" customFormat="1" ht="15" customHeight="1">
      <x:c r="A21" s="73" t="n">
        <x:v>13</x:v>
      </x:c>
      <x:c r="B21" s="84" t="inlineStr">
        <x:is>
          <x:t xml:space="preserve">State</x:t>
        </x:is>
      </x:c>
      <x:c r="C21" s="84" t="inlineStr">
        <x:is>
          <x:t xml:space="preserve">Root</x:t>
        </x:is>
      </x:c>
      <x:c r="D21" s="84" t="inlineStr">
        <x:is>
          <x:t xml:space="preserve">controlled value and onValueChange keep external state authoritative and expose change reason</x:t>
        </x:is>
      </x:c>
      <x:c r="E21" s="76" t="inlineStr">
        <x:is>
          <x:t xml:space="preserve">yes</x:t>
        </x:is>
      </x:c>
      <x:c r="F21" s="85" t="inlineStr">
        <x:is>
          <x:t xml:space="preserve">no</x:t>
        </x:is>
      </x:c>
      <x:c r="G21" s="73" t="inlineStr">
        <x:is>
          <x:t xml:space="preserve">workbench and unit evidence implemented</x:t>
        </x:is>
      </x:c>
      <x:c r="H21" s="86" t="inlineStr">
        <x:is>
          <x:t xml:space="preserve">untested</x:t>
        </x:is>
      </x:c>
      <x:c r="I21" s="84" t="inlineStr">
        <x:is>
          <x:t xml:space="preserve">Controlled toolbar mode and event Logs.</x:t>
        </x:is>
      </x:c>
      <x:c r="J21" s="84" t="inlineStr">
        <x:is>
          <x:t xml:space="preserve">Run protocol Step 1.</x:t>
        </x:is>
      </x:c>
      <x:c r="K21" s="87" t="n">
        <x:f>IF(AND(E21="yes",F21="yes",H21="covered"),1,IF(H21="partial",0.5,0))</x:f>
        <x:v>0</x:v>
      </x:c>
    </x:row>
    <x:row r="22" s="51" customFormat="1" ht="15" customHeight="1">
      <x:c r="A22" s="73" t="n">
        <x:v>14</x:v>
      </x:c>
      <x:c r="B22" s="84" t="inlineStr">
        <x:is>
          <x:t xml:space="preserve">State</x:t>
        </x:is>
      </x:c>
      <x:c r="C22" s="84" t="inlineStr">
        <x:is>
          <x:t xml:space="preserve">Root</x:t>
        </x:is>
      </x:c>
      <x:c r="D22" s="84" t="inlineStr">
        <x:is>
          <x:t xml:space="preserve">loop wraps or disables Previous and Next at collection boundaries</x:t>
        </x:is>
      </x:c>
      <x:c r="E22" s="76" t="inlineStr">
        <x:is>
          <x:t xml:space="preserve">yes</x:t>
        </x:is>
      </x:c>
      <x:c r="F22" s="85" t="inlineStr">
        <x:is>
          <x:t xml:space="preserve">no</x:t>
        </x:is>
      </x:c>
      <x:c r="G22" s="73" t="inlineStr">
        <x:is>
          <x:t xml:space="preserve">unit automation passed</x:t>
        </x:is>
      </x:c>
      <x:c r="H22" s="86" t="inlineStr">
        <x:is>
          <x:t xml:space="preserve">untested</x:t>
        </x:is>
      </x:c>
      <x:c r="I22" s="84" t="inlineStr">
        <x:is>
          <x:t xml:space="preserve">Loop toolbar control and unit tests.</x:t>
        </x:is>
      </x:c>
      <x:c r="J22" s="84" t="inlineStr">
        <x:is>
          <x:t xml:space="preserve">Run protocol Step 1.</x:t>
        </x:is>
      </x:c>
      <x:c r="K22" s="87" t="n">
        <x:f>IF(AND(E22="yes",F22="yes",H22="covered"),1,IF(H22="partial",0.5,0))</x:f>
        <x:v>0</x:v>
      </x:c>
    </x:row>
    <x:row r="23" s="51" customFormat="1" ht="30" customHeight="1">
      <x:c r="A23" s="73" t="n">
        <x:v>15</x:v>
      </x:c>
      <x:c r="B23" s="84" t="inlineStr">
        <x:is>
          <x:t xml:space="preserve">State</x:t>
        </x:is>
      </x:c>
      <x:c r="C23" s="84" t="inlineStr">
        <x:is>
          <x:t xml:space="preserve">Root</x:t>
        </x:is>
      </x:c>
      <x:c r="D23" s="84" t="inlineStr">
        <x:is>
          <x:t xml:space="preserve">controlled automatic rotation reports requested state changes</x:t>
        </x:is>
      </x:c>
      <x:c r="E23" s="76" t="inlineStr">
        <x:is>
          <x:t xml:space="preserve">yes</x:t>
        </x:is>
      </x:c>
      <x:c r="F23" s="85" t="inlineStr">
        <x:is>
          <x:t xml:space="preserve">no</x:t>
        </x:is>
      </x:c>
      <x:c r="G23" s="73" t="inlineStr">
        <x:is>
          <x:t xml:space="preserve">workbench evidence implemented</x:t>
        </x:is>
      </x:c>
      <x:c r="H23" s="86" t="inlineStr">
        <x:is>
          <x:t xml:space="preserve">untested</x:t>
        </x:is>
      </x:c>
      <x:c r="I23" s="84" t="inlineStr">
        <x:is>
          <x:t xml:space="preserve">Automatic Rotation toolbar control and Logs.</x:t>
        </x:is>
      </x:c>
      <x:c r="J23" s="84" t="inlineStr">
        <x:is>
          <x:t xml:space="preserve">Run protocol Step 2.</x:t>
        </x:is>
      </x:c>
      <x:c r="K23" s="87" t="n">
        <x:f>IF(AND(E23="yes",F23="yes",H23="covered"),1,IF(H23="partial",0.5,0))</x:f>
        <x:v>0</x:v>
      </x:c>
    </x:row>
    <x:row r="24" s="51" customFormat="1" ht="15" customHeight="1">
      <x:c r="A24" s="73" t="n">
        <x:v>16</x:v>
      </x:c>
      <x:c r="B24" s="84" t="inlineStr">
        <x:is>
          <x:t xml:space="preserve">Interaction</x:t>
        </x:is>
      </x:c>
      <x:c r="C24" s="84" t="inlineStr">
        <x:is>
          <x:t xml:space="preserve">Previous / Next</x:t>
        </x:is>
      </x:c>
      <x:c r="D24" s="84" t="inlineStr">
        <x:is>
          <x:t xml:space="preserve">control activation selects the adjacent Slide without moving focus</x:t>
        </x:is>
      </x:c>
      <x:c r="E24" s="76" t="inlineStr">
        <x:is>
          <x:t xml:space="preserve">yes</x:t>
        </x:is>
      </x:c>
      <x:c r="F24" s="85" t="inlineStr">
        <x:is>
          <x:t xml:space="preserve">no</x:t>
        </x:is>
      </x:c>
      <x:c r="G24" s="73" t="inlineStr">
        <x:is>
          <x:t xml:space="preserve">desktop automation passed</x:t>
        </x:is>
      </x:c>
      <x:c r="H24" s="86" t="inlineStr">
        <x:is>
          <x:t xml:space="preserve">untested</x:t>
        </x:is>
      </x:c>
      <x:c r="I24" s="84" t="inlineStr">
        <x:is>
          <x:t xml:space="preserve">test/browser/carousel.spec.ts.</x:t>
        </x:is>
      </x:c>
      <x:c r="J24" s="84" t="inlineStr">
        <x:is>
          <x:t xml:space="preserve">Run protocol Step 1.</x:t>
        </x:is>
      </x:c>
      <x:c r="K24" s="87" t="n">
        <x:f>IF(AND(E24="yes",F24="yes",H24="covered"),1,IF(H24="partial",0.5,0))</x:f>
        <x:v>0</x:v>
      </x:c>
    </x:row>
    <x:row r="25" s="51" customFormat="1" ht="15" customHeight="1">
      <x:c r="A25" s="73" t="n">
        <x:v>17</x:v>
      </x:c>
      <x:c r="B25" s="84" t="inlineStr">
        <x:is>
          <x:t xml:space="preserve">Interaction</x:t>
        </x:is>
      </x:c>
      <x:c r="C25" s="84" t="inlineStr">
        <x:is>
          <x:t xml:space="preserve">PickerItem</x:t>
        </x:is>
      </x:c>
      <x:c r="D25" s="84" t="inlineStr">
        <x:is>
          <x:t xml:space="preserve">direct selection activates its Slide and stops automatic rotation</x:t>
        </x:is>
      </x:c>
      <x:c r="E25" s="76" t="inlineStr">
        <x:is>
          <x:t xml:space="preserve">yes</x:t>
        </x:is>
      </x:c>
      <x:c r="F25" s="85" t="inlineStr">
        <x:is>
          <x:t xml:space="preserve">no</x:t>
        </x:is>
      </x:c>
      <x:c r="G25" s="73" t="inlineStr">
        <x:is>
          <x:t xml:space="preserve">desktop automation passed</x:t>
        </x:is>
      </x:c>
      <x:c r="H25" s="86" t="inlineStr">
        <x:is>
          <x:t xml:space="preserve">untested</x:t>
        </x:is>
      </x:c>
      <x:c r="I25" s="84" t="inlineStr">
        <x:is>
          <x:t xml:space="preserve">test/browser/carousel.spec.ts.</x:t>
        </x:is>
      </x:c>
      <x:c r="J25" s="84" t="inlineStr">
        <x:is>
          <x:t xml:space="preserve">Run protocol Steps 1 and 2.</x:t>
        </x:is>
      </x:c>
      <x:c r="K25" s="87" t="n">
        <x:f>IF(AND(E25="yes",F25="yes",H25="covered"),1,IF(H25="partial",0.5,0))</x:f>
        <x:v>0</x:v>
      </x:c>
    </x:row>
    <x:row r="26" s="51" customFormat="1" ht="15" customHeight="1">
      <x:c r="A26" s="73" t="n">
        <x:v>18</x:v>
      </x:c>
      <x:c r="B26" s="84" t="inlineStr">
        <x:is>
          <x:t xml:space="preserve">Interaction</x:t>
        </x:is>
      </x:c>
      <x:c r="C26" s="84" t="inlineStr">
        <x:is>
          <x:t xml:space="preserve">Viewport</x:t>
        </x:is>
      </x:c>
      <x:c r="D26" s="84" t="inlineStr">
        <x:is>
          <x:t xml:space="preserve">settled native horizontal scrolling selects the nearest Slide</x:t>
        </x:is>
      </x:c>
      <x:c r="E26" s="76" t="inlineStr">
        <x:is>
          <x:t xml:space="preserve">yes</x:t>
        </x:is>
      </x:c>
      <x:c r="F26" s="85" t="inlineStr">
        <x:is>
          <x:t xml:space="preserve">no</x:t>
        </x:is>
      </x:c>
      <x:c r="G26" s="73" t="inlineStr">
        <x:is>
          <x:t xml:space="preserve">desktop and emulated mobile automation passed</x:t>
        </x:is>
      </x:c>
      <x:c r="H26" s="86" t="inlineStr">
        <x:is>
          <x:t xml:space="preserve">untested</x:t>
        </x:is>
      </x:c>
      <x:c r="I26" s="84" t="inlineStr">
        <x:is>
          <x:t xml:space="preserve">Carousel desktop/mobile browser tests.</x:t>
        </x:is>
      </x:c>
      <x:c r="J26" s="84" t="inlineStr">
        <x:is>
          <x:t xml:space="preserve">Run protocol Step 3 on named devices.</x:t>
        </x:is>
      </x:c>
      <x:c r="K26" s="87" t="n">
        <x:f>IF(AND(E26="yes",F26="yes",H26="covered"),1,IF(H26="partial",0.5,0))</x:f>
        <x:v>0</x:v>
      </x:c>
    </x:row>
    <x:row r="27" s="51" customFormat="1" ht="15" customHeight="1">
      <x:c r="A27" s="73" t="n">
        <x:v>19</x:v>
      </x:c>
      <x:c r="B27" s="84" t="inlineStr">
        <x:is>
          <x:t xml:space="preserve">Interaction</x:t>
        </x:is>
      </x:c>
      <x:c r="C27" s="84" t="inlineStr">
        <x:is>
          <x:t xml:space="preserve">Root</x:t>
        </x:is>
      </x:c>
      <x:c r="D27" s="84" t="inlineStr">
        <x:is>
          <x:t xml:space="preserve">focus entry stops rotation and does not restart without explicit action</x:t>
        </x:is>
      </x:c>
      <x:c r="E27" s="76" t="inlineStr">
        <x:is>
          <x:t xml:space="preserve">yes</x:t>
        </x:is>
      </x:c>
      <x:c r="F27" s="85" t="inlineStr">
        <x:is>
          <x:t xml:space="preserve">no</x:t>
        </x:is>
      </x:c>
      <x:c r="G27" s="73" t="inlineStr">
        <x:is>
          <x:t xml:space="preserve">desktop automation passed</x:t>
        </x:is>
      </x:c>
      <x:c r="H27" s="86" t="inlineStr">
        <x:is>
          <x:t xml:space="preserve">untested</x:t>
        </x:is>
      </x:c>
      <x:c r="I27" s="84" t="inlineStr">
        <x:is>
          <x:t xml:space="preserve">test/browser/carousel.spec.ts.</x:t>
        </x:is>
      </x:c>
      <x:c r="J27" s="84" t="inlineStr">
        <x:is>
          <x:t xml:space="preserve">Run protocol Step 2.</x:t>
        </x:is>
      </x:c>
      <x:c r="K27" s="87" t="n">
        <x:f>IF(AND(E27="yes",F27="yes",H27="covered"),1,IF(H27="partial",0.5,0))</x:f>
        <x:v>0</x:v>
      </x:c>
    </x:row>
    <x:row r="28" s="51" customFormat="1" ht="15" customHeight="1">
      <x:c r="A28" s="73" t="n">
        <x:v>20</x:v>
      </x:c>
      <x:c r="B28" s="84" t="inlineStr">
        <x:is>
          <x:t xml:space="preserve">Interaction</x:t>
        </x:is>
      </x:c>
      <x:c r="C28" s="84" t="inlineStr">
        <x:is>
          <x:t xml:space="preserve">Root</x:t>
        </x:is>
      </x:c>
      <x:c r="D28" s="84" t="inlineStr">
        <x:is>
          <x:t xml:space="preserve">hover pauses requested rotation and pointer exit resumes it</x:t>
        </x:is>
      </x:c>
      <x:c r="E28" s="76" t="inlineStr">
        <x:is>
          <x:t xml:space="preserve">yes</x:t>
        </x:is>
      </x:c>
      <x:c r="F28" s="85" t="inlineStr">
        <x:is>
          <x:t xml:space="preserve">no</x:t>
        </x:is>
      </x:c>
      <x:c r="G28" s="73" t="inlineStr">
        <x:is>
          <x:t xml:space="preserve">workbench evidence implemented</x:t>
        </x:is>
      </x:c>
      <x:c r="H28" s="86" t="inlineStr">
        <x:is>
          <x:t xml:space="preserve">untested</x:t>
        </x:is>
      </x:c>
      <x:c r="I28" s="84" t="inlineStr">
        <x:is>
          <x:t xml:space="preserve">Carousel Root data-state and toolbar.</x:t>
        </x:is>
      </x:c>
      <x:c r="J28" s="84" t="inlineStr">
        <x:is>
          <x:t xml:space="preserve">Run protocol Step 2.</x:t>
        </x:is>
      </x:c>
      <x:c r="K28" s="87" t="n">
        <x:f>IF(AND(E28="yes",F28="yes",H28="covered"),1,IF(H28="partial",0.5,0))</x:f>
        <x:v>0</x:v>
      </x:c>
    </x:row>
    <x:row r="29" s="51" customFormat="1" ht="15" customHeight="1">
      <x:c r="A29" s="73" t="n">
        <x:v>21</x:v>
      </x:c>
      <x:c r="B29" s="84" t="inlineStr">
        <x:is>
          <x:t xml:space="preserve">Interaction</x:t>
        </x:is>
      </x:c>
      <x:c r="C29" s="84" t="inlineStr">
        <x:is>
          <x:t xml:space="preserve">Viewport</x:t>
        </x:is>
      </x:c>
      <x:c r="D29" s="84" t="inlineStr">
        <x:is>
          <x:t xml:space="preserve">pointer and wheel interaction stop automatic rotation</x:t>
        </x:is>
      </x:c>
      <x:c r="E29" s="76" t="inlineStr">
        <x:is>
          <x:t xml:space="preserve">yes</x:t>
        </x:is>
      </x:c>
      <x:c r="F29" s="85" t="inlineStr">
        <x:is>
          <x:t xml:space="preserve">no</x:t>
        </x:is>
      </x:c>
      <x:c r="G29" s="73" t="inlineStr">
        <x:is>
          <x:t xml:space="preserve">component behavior implemented</x:t>
        </x:is>
      </x:c>
      <x:c r="H29" s="86" t="inlineStr">
        <x:is>
          <x:t xml:space="preserve">untested</x:t>
        </x:is>
      </x:c>
      <x:c r="I29" s="84" t="inlineStr">
        <x:is>
          <x:t xml:space="preserve">Carousel Viewport and Logs.</x:t>
        </x:is>
      </x:c>
      <x:c r="J29" s="84" t="inlineStr">
        <x:is>
          <x:t xml:space="preserve">Run protocol Steps 2 and 3.</x:t>
        </x:is>
      </x:c>
      <x:c r="K29" s="87" t="n">
        <x:f>IF(AND(E29="yes",F29="yes",H29="covered"),1,IF(H29="partial",0.5,0))</x:f>
        <x:v>0</x:v>
      </x:c>
    </x:row>
    <x:row r="30" s="51" customFormat="1" ht="15" customHeight="1">
      <x:c r="A30" s="73" t="n">
        <x:v>22</x:v>
      </x:c>
      <x:c r="B30" s="84" t="inlineStr">
        <x:is>
          <x:t xml:space="preserve">Interaction</x:t>
        </x:is>
      </x:c>
      <x:c r="C30" s="84" t="inlineStr">
        <x:is>
          <x:t xml:space="preserve">Root</x:t>
        </x:is>
      </x:c>
      <x:c r="D30" s="84" t="inlineStr">
        <x:is>
          <x:t xml:space="preserve">document visibility pauses timing without changing the requested state</x:t>
        </x:is>
      </x:c>
      <x:c r="E30" s="76" t="inlineStr">
        <x:is>
          <x:t xml:space="preserve">yes</x:t>
        </x:is>
      </x:c>
      <x:c r="F30" s="85" t="inlineStr">
        <x:is>
          <x:t xml:space="preserve">no</x:t>
        </x:is>
      </x:c>
      <x:c r="G30" s="73" t="inlineStr">
        <x:is>
          <x:t xml:space="preserve">component behavior implemented</x:t>
        </x:is>
      </x:c>
      <x:c r="H30" s="86" t="inlineStr">
        <x:is>
          <x:t xml:space="preserve">untested</x:t>
        </x:is>
      </x:c>
      <x:c r="I30" s="84" t="inlineStr">
        <x:is>
          <x:t xml:space="preserve">Carousel Root data-state.</x:t>
        </x:is>
      </x:c>
      <x:c r="J30" s="84" t="inlineStr">
        <x:is>
          <x:t xml:space="preserve">Run protocol Step 2 with visibility change.</x:t>
        </x:is>
      </x:c>
      <x:c r="K30" s="87" t="n">
        <x:f>IF(AND(E30="yes",F30="yes",H30="covered"),1,IF(H30="partial",0.5,0))</x:f>
        <x:v>0</x:v>
      </x:c>
    </x:row>
    <x:row r="31" s="51" customFormat="1" ht="15" customHeight="1">
      <x:c r="A31" s="73" t="n">
        <x:v>23</x:v>
      </x:c>
      <x:c r="B31" s="84" t="inlineStr">
        <x:is>
          <x:t xml:space="preserve">Direction</x:t>
        </x:is>
      </x:c>
      <x:c r="C31" s="84" t="inlineStr">
        <x:is>
          <x:t xml:space="preserve">Root</x:t>
        </x:is>
      </x:c>
      <x:c r="D31" s="84" t="inlineStr">
        <x:is>
          <x:t xml:space="preserve">LTR and RTL preserve logical controls and nearest physical-edge scroll selection</x:t>
        </x:is>
      </x:c>
      <x:c r="E31" s="76" t="inlineStr">
        <x:is>
          <x:t xml:space="preserve">yes</x:t>
        </x:is>
      </x:c>
      <x:c r="F31" s="85" t="inlineStr">
        <x:is>
          <x:t xml:space="preserve">no</x:t>
        </x:is>
      </x:c>
      <x:c r="G31" s="73" t="inlineStr">
        <x:is>
          <x:t xml:space="preserve">unit automation passed; manual browser pending</x:t>
        </x:is>
      </x:c>
      <x:c r="H31" s="86" t="inlineStr">
        <x:is>
          <x:t xml:space="preserve">untested</x:t>
        </x:is>
      </x:c>
      <x:c r="I31" s="84" t="inlineStr">
        <x:is>
          <x:t xml:space="preserve">Direction toolbar and unit test.</x:t>
        </x:is>
      </x:c>
      <x:c r="J31" s="84" t="inlineStr">
        <x:is>
          <x:t xml:space="preserve">Run protocol Step 3.</x:t>
        </x:is>
      </x:c>
      <x:c r="K31" s="87" t="n">
        <x:f>IF(AND(E31="yes",F31="yes",H31="covered"),1,IF(H31="partial",0.5,0))</x:f>
        <x:v>0</x:v>
      </x:c>
    </x:row>
    <x:row r="32" s="51" customFormat="1" ht="15" customHeight="1">
      <x:c r="A32" s="73" t="n">
        <x:v>24</x:v>
      </x:c>
      <x:c r="B32" s="84" t="inlineStr">
        <x:is>
          <x:t xml:space="preserve">Accessibility</x:t>
        </x:is>
      </x:c>
      <x:c r="C32" s="84" t="inlineStr">
        <x:is>
          <x:t xml:space="preserve">Root</x:t>
        </x:is>
      </x:c>
      <x:c r="D32" s="84" t="inlineStr">
        <x:is>
          <x:t xml:space="preserve">default group semantics avoid an unnecessary landmark while role=region remains available</x:t>
        </x:is>
      </x:c>
      <x:c r="E32" s="76" t="inlineStr">
        <x:is>
          <x:t xml:space="preserve">yes</x:t>
        </x:is>
      </x:c>
      <x:c r="F32" s="85" t="inlineStr">
        <x:is>
          <x:t xml:space="preserve">no</x:t>
        </x:is>
      </x:c>
      <x:c r="G32" s="73" t="inlineStr">
        <x:is>
          <x:t xml:space="preserve">live evidence implemented</x:t>
        </x:is>
      </x:c>
      <x:c r="H32" s="86" t="inlineStr">
        <x:is>
          <x:t xml:space="preserve">untested</x:t>
        </x:is>
      </x:c>
      <x:c r="I32" s="84" t="inlineStr">
        <x:is>
          <x:t xml:space="preserve">Carousel Root Inspector.</x:t>
        </x:is>
      </x:c>
      <x:c r="J32" s="84" t="inlineStr">
        <x:is>
          <x:t xml:space="preserve">Run protocol Step 4.</x:t>
        </x:is>
      </x:c>
      <x:c r="K32" s="87" t="n">
        <x:f>IF(AND(E32="yes",F32="yes",H32="covered"),1,IF(H32="partial",0.5,0))</x:f>
        <x:v>0</x:v>
      </x:c>
    </x:row>
    <x:row r="33" s="51" customFormat="1" ht="15" customHeight="1">
      <x:c r="A33" s="73" t="n">
        <x:v>25</x:v>
      </x:c>
      <x:c r="B33" s="84" t="inlineStr">
        <x:is>
          <x:t xml:space="preserve">Accessibility</x:t>
        </x:is>
      </x:c>
      <x:c r="C33" s="84" t="inlineStr">
        <x:is>
          <x:t xml:space="preserve">Slide</x:t>
        </x:is>
      </x:c>
      <x:c r="D33" s="84" t="inlineStr">
        <x:is>
          <x:t xml:space="preserve">inactive descendants are absent from keyboard focus and accessibility navigation</x:t>
        </x:is>
      </x:c>
      <x:c r="E33" s="76" t="inlineStr">
        <x:is>
          <x:t xml:space="preserve">yes</x:t>
        </x:is>
      </x:c>
      <x:c r="F33" s="85" t="inlineStr">
        <x:is>
          <x:t xml:space="preserve">no</x:t>
        </x:is>
      </x:c>
      <x:c r="G33" s="73" t="inlineStr">
        <x:is>
          <x:t xml:space="preserve">unit and desktop automation passed</x:t>
        </x:is>
      </x:c>
      <x:c r="H33" s="86" t="inlineStr">
        <x:is>
          <x:t xml:space="preserve">untested</x:t>
        </x:is>
      </x:c>
      <x:c r="I33" s="84" t="inlineStr">
        <x:is>
          <x:t xml:space="preserve">Carousel tests and live Canvas.</x:t>
        </x:is>
      </x:c>
      <x:c r="J33" s="84" t="inlineStr">
        <x:is>
          <x:t xml:space="preserve">Run protocol Step 4 with keyboard and screen reader.</x:t>
        </x:is>
      </x:c>
      <x:c r="K33" s="87" t="n">
        <x:f>IF(AND(E33="yes",F33="yes",H33="covered"),1,IF(H33="partial",0.5,0))</x:f>
        <x:v>0</x:v>
      </x:c>
    </x:row>
    <x:row r="34" s="51" customFormat="1" ht="15" customHeight="1">
      <x:c r="A34" s="73" t="n">
        <x:v>26</x:v>
      </x:c>
      <x:c r="B34" s="84" t="inlineStr">
        <x:is>
          <x:t xml:space="preserve">Accessibility</x:t>
        </x:is>
      </x:c>
      <x:c r="C34" s="84" t="inlineStr">
        <x:is>
          <x:t xml:space="preserve">Viewport</x:t>
        </x:is>
      </x:c>
      <x:c r="D34" s="84" t="inlineStr">
        <x:is>
          <x:t xml:space="preserve">live announcements are off during requested rotation and polite during manual use</x:t>
        </x:is>
      </x:c>
      <x:c r="E34" s="76" t="inlineStr">
        <x:is>
          <x:t xml:space="preserve">yes</x:t>
        </x:is>
      </x:c>
      <x:c r="F34" s="85" t="inlineStr">
        <x:is>
          <x:t xml:space="preserve">no</x:t>
        </x:is>
      </x:c>
      <x:c r="G34" s="73" t="inlineStr">
        <x:is>
          <x:t xml:space="preserve">desktop automation passed</x:t>
        </x:is>
      </x:c>
      <x:c r="H34" s="86" t="inlineStr">
        <x:is>
          <x:t xml:space="preserve">untested</x:t>
        </x:is>
      </x:c>
      <x:c r="I34" s="84" t="inlineStr">
        <x:is>
          <x:t xml:space="preserve">test/browser/carousel.spec.ts.</x:t>
        </x:is>
      </x:c>
      <x:c r="J34" s="84" t="inlineStr">
        <x:is>
          <x:t xml:space="preserve">Run protocol Steps 2 and 4.</x:t>
        </x:is>
      </x:c>
      <x:c r="K34" s="87" t="n">
        <x:f>IF(AND(E34="yes",F34="yes",H34="covered"),1,IF(H34="partial",0.5,0))</x:f>
        <x:v>0</x:v>
      </x:c>
    </x:row>
    <x:row r="35" s="51" customFormat="1" ht="30" customHeight="1">
      <x:c r="A35" s="73" t="n">
        <x:v>27</x:v>
      </x:c>
      <x:c r="B35" s="84" t="inlineStr">
        <x:is>
          <x:t xml:space="preserve">Accessibility</x:t>
        </x:is>
      </x:c>
      <x:c r="C35" s="84" t="inlineStr">
        <x:is>
          <x:t xml:space="preserve">Controls</x:t>
        </x:is>
      </x:c>
      <x:c r="D35" s="84" t="inlineStr">
        <x:is>
          <x:t xml:space="preserve">native button behavior supplies keyboard activation without custom arrow-key interception</x:t>
        </x:is>
      </x:c>
      <x:c r="E35" s="76" t="inlineStr">
        <x:is>
          <x:t xml:space="preserve">yes</x:t>
        </x:is>
      </x:c>
      <x:c r="F35" s="85" t="inlineStr">
        <x:is>
          <x:t xml:space="preserve">no</x:t>
        </x:is>
      </x:c>
      <x:c r="G35" s="73" t="inlineStr">
        <x:is>
          <x:t xml:space="preserve">live evidence implemented</x:t>
        </x:is>
      </x:c>
      <x:c r="H35" s="86" t="inlineStr">
        <x:is>
          <x:t xml:space="preserve">untested</x:t>
        </x:is>
      </x:c>
      <x:c r="I35" s="84" t="inlineStr">
        <x:is>
          <x:t xml:space="preserve">Carousel Canvas controls.</x:t>
        </x:is>
      </x:c>
      <x:c r="J35" s="84" t="inlineStr">
        <x:is>
          <x:t xml:space="preserve">Run protocol Step 4.</x:t>
        </x:is>
      </x:c>
      <x:c r="K35" s="87" t="n">
        <x:f>IF(AND(E35="yes",F35="yes",H35="covered"),1,IF(H35="partial",0.5,0))</x:f>
        <x:v>0</x:v>
      </x:c>
    </x:row>
    <x:row r="36" s="51" customFormat="1" ht="15" customHeight="1">
      <x:c r="A36" s="73" t="n">
        <x:v>28</x:v>
      </x:c>
      <x:c r="B36" s="84" t="inlineStr">
        <x:is>
          <x:t xml:space="preserve">Composition</x:t>
        </x:is>
      </x:c>
      <x:c r="C36" s="84" t="inlineStr">
        <x:is>
          <x:t xml:space="preserve">All rendered parts</x:t>
        </x:is>
      </x:c>
      <x:c r="D36" s="84" t="inlineStr">
        <x:is>
          <x:t xml:space="preserve">asChild and render composition can be exercised for every public DOM part</x:t>
        </x:is>
      </x:c>
      <x:c r="E36" s="76" t="inlineStr">
        <x:is>
          <x:t xml:space="preserve">no</x:t>
        </x:is>
      </x:c>
      <x:c r="F36" s="85" t="inlineStr">
        <x:is>
          <x:t xml:space="preserve">no</x:t>
        </x:is>
      </x:c>
      <x:c r="G36" s="73" t="inlineStr">
        <x:is>
          <x:t xml:space="preserve">not exposed in the current workbench</x:t>
        </x:is>
      </x:c>
      <x:c r="H36" s="86" t="inlineStr">
        <x:is>
          <x:t xml:space="preserve">missing</x:t>
        </x:is>
      </x:c>
      <x:c r="I36" s="84" t="n"/>
      <x:c r="J36" s="84" t="inlineStr">
        <x:is>
          <x:t xml:space="preserve">Add part-by-part Composition controls before manual completion.</x:t>
        </x:is>
      </x:c>
      <x:c r="K36" s="87" t="n">
        <x:f>IF(AND(E36="yes",F36="yes",H36="covered"),1,IF(H36="partial",0.5,0))</x:f>
        <x:v>0</x:v>
      </x:c>
    </x:row>
    <x:row r="37" s="51" customFormat="1" ht="15" customHeight="1">
      <x:c r="A37" s="73" t="n">
        <x:v>29</x:v>
      </x:c>
      <x:c r="B37" s="84" t="inlineStr">
        <x:is>
          <x:t xml:space="preserve">Props</x:t>
        </x:is>
      </x:c>
      <x:c r="C37" s="84" t="inlineStr">
        <x:is>
          <x:t xml:space="preserve">All rendered parts</x:t>
        </x:is>
      </x:c>
      <x:c r="D37" s="84" t="inlineStr">
        <x:is>
          <x:t xml:space="preserve">native prop pass-through can be inspected through data-prop-check</x:t>
        </x:is>
      </x:c>
      <x:c r="E37" s="76" t="inlineStr">
        <x:is>
          <x:t xml:space="preserve">no</x:t>
        </x:is>
      </x:c>
      <x:c r="F37" s="85" t="inlineStr">
        <x:is>
          <x:t xml:space="preserve">no</x:t>
        </x:is>
      </x:c>
      <x:c r="G37" s="73" t="inlineStr">
        <x:is>
          <x:t xml:space="preserve">not exposed in the current workbench</x:t>
        </x:is>
      </x:c>
      <x:c r="H37" s="86" t="inlineStr">
        <x:is>
          <x:t xml:space="preserve">missing</x:t>
        </x:is>
      </x:c>
      <x:c r="I37" s="84" t="n"/>
      <x:c r="J37" s="84" t="inlineStr">
        <x:is>
          <x:t xml:space="preserve">Add Props evidence before manual completion.</x:t>
        </x:is>
      </x:c>
      <x:c r="K37" s="87" t="n">
        <x:f>IF(AND(E37="yes",F37="yes",H37="covered"),1,IF(H37="partial",0.5,0))</x:f>
        <x:v>0</x:v>
      </x:c>
    </x:row>
    <x:row r="38" s="51" customFormat="1" ht="15" customHeight="1">
      <x:c r="A38" s="73" t="n">
        <x:v>30</x:v>
      </x:c>
      <x:c r="B38" s="84" t="inlineStr">
        <x:is>
          <x:t xml:space="preserve">Slots</x:t>
        </x:is>
      </x:c>
      <x:c r="C38" s="84" t="inlineStr">
        <x:is>
          <x:t xml:space="preserve">All rendered parts</x:t>
        </x:is>
      </x:c>
      <x:c r="D38" s="84" t="inlineStr">
        <x:is>
          <x:t xml:space="preserve">custom data-slot overrides can be inspected for every slot-owning part</x:t>
        </x:is>
      </x:c>
      <x:c r="E38" s="76" t="inlineStr">
        <x:is>
          <x:t xml:space="preserve">no</x:t>
        </x:is>
      </x:c>
      <x:c r="F38" s="85" t="inlineStr">
        <x:is>
          <x:t xml:space="preserve">no</x:t>
        </x:is>
      </x:c>
      <x:c r="G38" s="73" t="inlineStr">
        <x:is>
          <x:t xml:space="preserve">not exposed in the current workbench</x:t>
        </x:is>
      </x:c>
      <x:c r="H38" s="86" t="inlineStr">
        <x:is>
          <x:t xml:space="preserve">missing</x:t>
        </x:is>
      </x:c>
      <x:c r="I38" s="84" t="n"/>
      <x:c r="J38" s="84" t="inlineStr">
        <x:is>
          <x:t xml:space="preserve">Add Slot evidence before manual completion.</x:t>
        </x:is>
      </x:c>
      <x:c r="K38" s="87" t="n">
        <x:f>IF(AND(E38="yes",F38="yes",H38="covered"),1,IF(H38="partial",0.5,0))</x:f>
        <x:v>0</x:v>
      </x:c>
    </x:row>
    <x:row r="39" s="51" customFormat="1" ht="15" customHeight="1">
      <x:c r="A39" s="73" t="n">
        <x:v>31</x:v>
      </x:c>
      <x:c r="B39" s="84" t="inlineStr">
        <x:is>
          <x:t xml:space="preserve">Responsive</x:t>
        </x:is>
      </x:c>
      <x:c r="C39" s="84" t="inlineStr">
        <x:is>
          <x:t xml:space="preserve">Viewport</x:t>
        </x:is>
      </x:c>
      <x:c r="D39" s="84" t="inlineStr">
        <x:is>
          <x:t xml:space="preserve">named iPhone Safari and Android Chrome swipes preserve vertical page movement</x:t>
        </x:is>
      </x:c>
      <x:c r="E39" s="76" t="inlineStr">
        <x:is>
          <x:t xml:space="preserve">yes</x:t>
        </x:is>
      </x:c>
      <x:c r="F39" s="85" t="inlineStr">
        <x:is>
          <x:t xml:space="preserve">no</x:t>
        </x:is>
      </x:c>
      <x:c r="G39" s="73" t="inlineStr">
        <x:is>
          <x:t xml:space="preserve">emulation passed; physical devices not run</x:t>
        </x:is>
      </x:c>
      <x:c r="H39" s="86" t="inlineStr">
        <x:is>
          <x:t xml:space="preserve">untested</x:t>
        </x:is>
      </x:c>
      <x:c r="I39" s="84" t="inlineStr">
        <x:is>
          <x:t xml:space="preserve">test/browser/carousel.mobile.spec.ts.</x:t>
        </x:is>
      </x:c>
      <x:c r="J39" s="84" t="inlineStr">
        <x:is>
          <x:t xml:space="preserve">Run protocol Step 3 on named devices.</x:t>
        </x:is>
      </x:c>
      <x:c r="K39" s="87" t="n">
        <x:f>IF(AND(E39="yes",F39="yes",H39="covered"),1,IF(H39="partial",0.5,0))</x:f>
        <x:v>0</x:v>
      </x:c>
    </x:row>
    <x:row r="40" s="51" customFormat="1" ht="15" customHeight="1">
      <x:c r="A40" s="73" t="n">
        <x:v>32</x:v>
      </x:c>
      <x:c r="B40" s="84" t="inlineStr">
        <x:is>
          <x:t xml:space="preserve">Reduced motion</x:t>
        </x:is>
      </x:c>
      <x:c r="C40" s="84" t="inlineStr">
        <x:is>
          <x:t xml:space="preserve">Styled layer</x:t>
        </x:is>
      </x:c>
      <x:c r="D40" s="84" t="inlineStr">
        <x:is>
          <x:t xml:space="preserve">reduced motion removes smooth scroll without changing selection behavior</x:t>
        </x:is>
      </x:c>
      <x:c r="E40" s="76" t="inlineStr">
        <x:is>
          <x:t xml:space="preserve">yes</x:t>
        </x:is>
      </x:c>
      <x:c r="F40" s="85" t="inlineStr">
        <x:is>
          <x:t xml:space="preserve">no</x:t>
        </x:is>
      </x:c>
      <x:c r="G40" s="73" t="inlineStr">
        <x:is>
          <x:t xml:space="preserve">playground style implemented</x:t>
        </x:is>
      </x:c>
      <x:c r="H40" s="86" t="inlineStr">
        <x:is>
          <x:t xml:space="preserve">untested</x:t>
        </x:is>
      </x:c>
      <x:c r="I40" s="84" t="inlineStr">
        <x:is>
          <x:t xml:space="preserve">Playground reduced-motion rule.</x:t>
        </x:is>
      </x:c>
      <x:c r="J40" s="84" t="inlineStr">
        <x:is>
          <x:t xml:space="preserve">Run protocol Step 3.</x:t>
        </x:is>
      </x:c>
      <x:c r="K40" s="87" t="n">
        <x:f>IF(AND(E40="yes",F40="yes",H40="covered"),1,IF(H40="partial",0.5,0))</x:f>
        <x:v>0</x:v>
      </x:c>
    </x:row>
    <x:row r="41" s="51" customFormat="1" ht="15" customHeight="1"/>
    <x:row r="42" s="51" customFormat="1" ht="15" customHeight="1"/>
    <x:row r="43" s="51" customFormat="1" ht="15" customHeight="1"/>
    <x:row r="44" s="51" customFormat="1" ht="15" customHeight="1"/>
    <x:row r="45" s="51" customFormat="1" ht="15" customHeight="1"/>
    <x:row r="46" s="51" customFormat="1" ht="15" customHeight="1"/>
    <x:row r="47" s="51" customFormat="1" ht="15" customHeight="1"/>
    <x:row r="48" s="51" customFormat="1" ht="15" customHeight="1"/>
    <x:row r="49" s="51" customFormat="1" ht="15" customHeight="1"/>
    <x:row r="50" s="51" customFormat="1" ht="15" customHeight="1"/>
    <x:row r="51" s="51" customFormat="1" ht="15" customHeight="1"/>
    <x:row r="52" s="51" customFormat="1" ht="15" customHeight="1"/>
    <x:row r="53" s="51" customFormat="1" ht="15" customHeight="1"/>
    <x:row r="54" s="51" customFormat="1" ht="30" customHeight="1"/>
    <x:row r="55" s="51" customFormat="1" ht="15" customHeight="1"/>
    <x:row r="56" s="51" customFormat="1" ht="15" customHeight="1"/>
    <x:row r="57" s="51" customFormat="1" ht="15" customHeight="1"/>
    <x:row r="58" s="51" customFormat="1" ht="15" customHeight="1"/>
    <x:row r="59" s="51" customFormat="1" ht="15" customHeight="1"/>
    <x:row r="60" s="51" customFormat="1" ht="15" customHeight="1"/>
    <x:row r="61" s="51" customFormat="1" ht="1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Checkbox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0.9605263157894737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73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3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passes manual test</x:t>
        </x:is>
      </x:c>
      <x:c r="H9" s="86" t="inlineStr">
        <x:is>
          <x:t xml:space="preserve">covered</x:t>
        </x:is>
      </x:c>
      <x:c r="I9" s="84" t="inlineStr">
        <x:is>
          <x:t xml:space="preserve">Checkbox playground scenario.</x:t>
        </x:is>
      </x:c>
      <x:c r="J9" s="84" t="n"/>
      <x:c r="K9" s="87" t="n">
        <x:f>IF(AND(E9="yes",F9="yes",H9="covered"),1,IF(H9="partial",0.5,0))</x:f>
        <x:v>1</x:v>
      </x:c>
    </x:row>
    <x:row r="10" s="51" customFormat="1" ht="4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passes manual test</x:t>
        </x:is>
      </x:c>
      <x:c r="H10" s="86" t="inlineStr">
        <x:is>
          <x:t xml:space="preserve">covered</x:t>
        </x:is>
      </x:c>
      <x:c r="I10" s="84" t="inlineStr">
        <x:is>
          <x:t xml:space="preserve">Checkbox playground scenario.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Checkbox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passes manual test</x:t>
        </x:is>
      </x:c>
      <x:c r="H11" s="86" t="inlineStr">
        <x:is>
          <x:t xml:space="preserve">covered</x:t>
        </x:is>
      </x:c>
      <x:c r="I11" s="84" t="inlineStr">
        <x:is>
          <x:t xml:space="preserve">Checkbox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Checkbox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passes manual test</x:t>
        </x:is>
      </x:c>
      <x:c r="H12" s="86" t="inlineStr">
        <x:is>
          <x:t xml:space="preserve">covered</x:t>
        </x:is>
      </x:c>
      <x:c r="I12" s="84" t="inlineStr">
        <x:is>
          <x:t xml:space="preserve">Checkbox playground page uses shared Canvas/Source, Anatomy, Inspector, and Log infrastructure.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Checkbox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passes manual test</x:t>
        </x:is>
      </x:c>
      <x:c r="H13" s="86" t="inlineStr">
        <x:is>
          <x:t xml:space="preserve">covered</x:t>
        </x:is>
      </x:c>
      <x:c r="I13" s="84" t="inlineStr">
        <x:is>
          <x:t xml:space="preserve">Checkbox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Checkbox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passes manual test</x:t>
        </x:is>
      </x:c>
      <x:c r="H14" s="86" t="inlineStr">
        <x:is>
          <x:t xml:space="preserve">covered</x:t>
        </x:is>
      </x:c>
      <x:c r="I14" s="84" t="inlineStr">
        <x:is>
          <x:t xml:space="preserve">Checkbox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Checkbox</x:t>
        </x:is>
      </x:c>
      <x:c r="D15" s="84" t="inlineStr">
        <x:is>
          <x:t xml:space="preserve">Supports checked, unchecked, and indeterminate states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passes manual test</x:t>
        </x:is>
      </x:c>
      <x:c r="H15" s="86" t="inlineStr">
        <x:is>
          <x:t xml:space="preserve">covered</x:t>
        </x:is>
      </x:c>
      <x:c r="I15" s="84" t="inlineStr">
        <x:is>
          <x:t xml:space="preserve">Checkbox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Checkbox</x:t>
        </x:is>
      </x:c>
      <x:c r="D16" s="84" t="inlineStr">
        <x:is>
          <x:t xml:space="preserve">Can be controlled or uncontrolled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passes manual test</x:t>
        </x:is>
      </x:c>
      <x:c r="H16" s="86" t="inlineStr">
        <x:is>
          <x:t xml:space="preserve">covered</x:t>
        </x:is>
      </x:c>
      <x:c r="I16" s="84" t="inlineStr">
        <x:is>
          <x:t xml:space="preserve">Checkbox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Checkbox</x:t>
        </x:is>
      </x:c>
      <x:c r="D17" s="84" t="inlineStr">
        <x:is>
          <x:t xml:space="preserve">Supports read-only and disabled state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passes manual test</x:t>
        </x:is>
      </x:c>
      <x:c r="H17" s="86" t="inlineStr">
        <x:is>
          <x:t xml:space="preserve">covered</x:t>
        </x:is>
      </x:c>
      <x:c r="I17" s="84" t="inlineStr">
        <x:is>
          <x:t xml:space="preserve">Checkbox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Checkbox</x:t>
        </x:is>
      </x:c>
      <x:c r="D18" s="84" t="inlineStr">
        <x:is>
          <x:t xml:space="preserve">Renders an optional hidden checkbox input for native form submission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passes manual test</x:t>
        </x:is>
      </x:c>
      <x:c r="H18" s="86" t="inlineStr">
        <x:is>
          <x:t xml:space="preserve">covered</x:t>
        </x:is>
      </x:c>
      <x:c r="I18" s="84" t="inlineStr">
        <x:is>
          <x:t xml:space="preserve">Checkbox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Checkbox</x:t>
        </x:is>
      </x:c>
      <x:c r="D19" s="84" t="inlineStr">
        <x:is>
          <x:t xml:space="preserve">Exposes state through ARIA and data attributes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passes manual test</x:t>
        </x:is>
      </x:c>
      <x:c r="H19" s="86" t="inlineStr">
        <x:is>
          <x:t xml:space="preserve">covered</x:t>
        </x:is>
      </x:c>
      <x:c r="I19" s="84" t="inlineStr">
        <x:is>
          <x:t xml:space="preserve">Checkbox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passes manual test</x:t>
        </x:is>
      </x:c>
      <x:c r="H20" s="86" t="inlineStr">
        <x:is>
          <x:t xml:space="preserve">covered</x:t>
        </x:is>
      </x:c>
      <x:c r="I20" s="84" t="inlineStr">
        <x:is>
          <x:t xml:space="preserve">Checkbox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passes manual test</x:t>
        </x:is>
      </x:c>
      <x:c r="H21" s="86" t="inlineStr">
        <x:is>
          <x:t xml:space="preserve">covered</x:t>
        </x:is>
      </x:c>
      <x:c r="I21" s="84" t="inlineStr">
        <x:is>
          <x:t xml:space="preserve">Checkbox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passes manual test</x:t>
        </x:is>
      </x:c>
      <x:c r="H22" s="86" t="inlineStr">
        <x:is>
          <x:t xml:space="preserve">covered</x:t>
        </x:is>
      </x:c>
      <x:c r="I22" s="84" t="inlineStr">
        <x:is>
          <x:t xml:space="preserve">Checkbox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4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passes manual test</x:t>
        </x:is>
      </x:c>
      <x:c r="H23" s="86" t="inlineStr">
        <x:is>
          <x:t xml:space="preserve">covered</x:t>
        </x:is>
      </x:c>
      <x:c r="I23" s="84" t="inlineStr">
        <x:is>
          <x:t xml:space="preserve">Checkbox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passes manual test</x:t>
        </x:is>
      </x:c>
      <x:c r="H24" s="86" t="inlineStr">
        <x:is>
          <x:t xml:space="preserve">covered</x:t>
        </x:is>
      </x:c>
      <x:c r="I24" s="84" t="inlineStr">
        <x:is>
          <x:t xml:space="preserve">Checkbox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passes manual test</x:t>
        </x:is>
      </x:c>
      <x:c r="H25" s="86" t="inlineStr">
        <x:is>
          <x:t xml:space="preserve">covered</x:t>
        </x:is>
      </x:c>
      <x:c r="I25" s="84" t="inlineStr">
        <x:is>
          <x:t xml:space="preserve">Package tests/source review verify consumer ref plumbing for Checkbox; playground manual pass can inspect rendered DOM behavior.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checked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passes manual test</x:t>
        </x:is>
      </x:c>
      <x:c r="H26" s="86" t="inlineStr">
        <x:is>
          <x:t xml:space="preserve">covered</x:t>
        </x:is>
      </x:c>
      <x:c r="I26" s="84" t="inlineStr">
        <x:is>
          <x:t xml:space="preserve">Checkbox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defaultChecked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passes manual test</x:t>
        </x:is>
      </x:c>
      <x:c r="H27" s="86" t="inlineStr">
        <x:is>
          <x:t xml:space="preserve">covered</x:t>
        </x:is>
      </x:c>
      <x:c r="I27" s="84" t="inlineStr">
        <x:is>
          <x:t xml:space="preserve">Checkbox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onCheckedChange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passes manual test</x:t>
        </x:is>
      </x:c>
      <x:c r="H28" s="86" t="inlineStr">
        <x:is>
          <x:t xml:space="preserve">covered</x:t>
        </x:is>
      </x:c>
      <x:c r="I28" s="84" t="inlineStr">
        <x:is>
          <x:t xml:space="preserve">Checkbox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disabled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passes manual test</x:t>
        </x:is>
      </x:c>
      <x:c r="H29" s="86" t="inlineStr">
        <x:is>
          <x:t xml:space="preserve">covered</x:t>
        </x:is>
      </x:c>
      <x:c r="I29" s="84" t="inlineStr">
        <x:is>
          <x:t xml:space="preserve">Checkbox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readOnly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passes manual test</x:t>
        </x:is>
      </x:c>
      <x:c r="H30" s="86" t="inlineStr">
        <x:is>
          <x:t xml:space="preserve">covered</x:t>
        </x:is>
      </x:c>
      <x:c r="I30" s="84" t="inlineStr">
        <x:is>
          <x:t xml:space="preserve">Checkbox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invalid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passes manual test</x:t>
        </x:is>
      </x:c>
      <x:c r="H31" s="86" t="inlineStr">
        <x:is>
          <x:t xml:space="preserve">covered</x:t>
        </x:is>
      </x:c>
      <x:c r="I31" s="84" t="inlineStr">
        <x:is>
          <x:t xml:space="preserve">Checkbox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required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passes manual test</x:t>
        </x:is>
      </x:c>
      <x:c r="H32" s="86" t="inlineStr">
        <x:is>
          <x:t xml:space="preserve">covered</x:t>
        </x:is>
      </x:c>
      <x:c r="I32" s="84" t="inlineStr">
        <x:is>
          <x:t xml:space="preserve">Checkbox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name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passes manual test</x:t>
        </x:is>
      </x:c>
      <x:c r="H33" s="86" t="inlineStr">
        <x:is>
          <x:t xml:space="preserve">covered</x:t>
        </x:is>
      </x:c>
      <x:c r="I33" s="84" t="inlineStr">
        <x:is>
          <x:t xml:space="preserve">Checkbox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value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passes manual test</x:t>
        </x:is>
      </x:c>
      <x:c r="H34" s="86" t="inlineStr">
        <x:is>
          <x:t xml:space="preserve">covered</x:t>
        </x:is>
      </x:c>
      <x:c r="I34" s="84" t="inlineStr">
        <x:is>
          <x:t xml:space="preserve">Checkbox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form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passes manual test</x:t>
        </x:is>
      </x:c>
      <x:c r="H35" s="86" t="inlineStr">
        <x:is>
          <x:t xml:space="preserve">covered</x:t>
        </x:is>
      </x:c>
      <x:c r="I35" s="84" t="inlineStr">
        <x:is>
          <x:t xml:space="preserve">Checkbox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Accessibility</x:t>
        </x:is>
      </x:c>
      <x:c r="C36" s="84" t="inlineStr">
        <x:is>
          <x:t xml:space="preserve">Root</x:t>
        </x:is>
      </x:c>
      <x:c r="D36" s="84" t="inlineStr">
        <x:is>
          <x:t xml:space="preserve">aria-label prop behavior</x:t>
        </x:is>
      </x:c>
      <x:c r="E36" s="76" t="inlineStr">
        <x:is>
          <x:t xml:space="preserve">yes</x:t>
        </x:is>
      </x:c>
      <x:c r="F36" s="85" t="inlineStr">
        <x:is>
          <x:t xml:space="preserve">no</x:t>
        </x:is>
      </x:c>
      <x:c r="G36" s="73" t="inlineStr">
        <x:is>
          <x:t xml:space="preserve">automated tests pass; manual pending</x:t>
        </x:is>
      </x:c>
      <x:c r="H36" s="86" t="inlineStr">
        <x:is>
          <x:t xml:space="preserve">untested</x:t>
        </x:is>
      </x:c>
      <x:c r="I36" s="84" t="inlineStr">
        <x:is>
          <x:t xml:space="preserve">Form &gt; Control: Foundation plus the component scenario and automated package tests.</x:t>
        </x:is>
      </x:c>
      <x:c r="J36" s="84" t="inlineStr">
        <x:is>
          <x:t xml:space="preserve">Run the form-foundation manual protocol.</x:t>
        </x:is>
      </x:c>
      <x:c r="K36" s="87" t="n">
        <x:f>IF(AND(E36="yes",F36="yes",H36="covered"),1,IF(H36="partial",0.5,0))</x:f>
        <x:v>0</x:v>
      </x:c>
    </x:row>
    <x:row r="37" s="51" customFormat="1" ht="15" customHeight="1">
      <x:c r="A37" s="73" t="n">
        <x:v>29</x:v>
      </x:c>
      <x:c r="B37" s="84" t="inlineStr">
        <x:is>
          <x:t xml:space="preserve">Composition</x:t>
        </x:is>
      </x:c>
      <x:c r="C37" s="84" t="inlineStr">
        <x:is>
          <x:t xml:space="preserve">Root</x:t>
        </x:is>
      </x:c>
      <x:c r="D37" s="84" t="inlineStr">
        <x:is>
          <x:t xml:space="preserve">asChild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passes manual test</x:t>
        </x:is>
      </x:c>
      <x:c r="H37" s="86" t="inlineStr">
        <x:is>
          <x:t xml:space="preserve">covered</x:t>
        </x:is>
      </x:c>
      <x:c r="I37" s="84" t="inlineStr">
        <x:is>
          <x:t xml:space="preserve">Checkbox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Composition</x:t>
        </x:is>
      </x:c>
      <x:c r="C38" s="84" t="inlineStr">
        <x:is>
          <x:t xml:space="preserve">Root</x:t>
        </x:is>
      </x:c>
      <x:c r="D38" s="84" t="inlineStr">
        <x:is>
          <x:t xml:space="preserve">render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passes manual test</x:t>
        </x:is>
      </x:c>
      <x:c r="H38" s="86" t="inlineStr">
        <x:is>
          <x:t xml:space="preserve">covered</x:t>
        </x:is>
      </x:c>
      <x:c r="I38" s="84" t="inlineStr">
        <x:is>
          <x:t xml:space="preserve">Checkbox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[data-slot]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passes manual test</x:t>
        </x:is>
      </x:c>
      <x:c r="H39" s="86" t="inlineStr">
        <x:is>
          <x:t xml:space="preserve">covered</x:t>
        </x:is>
      </x:c>
      <x:c r="I39" s="84" t="inlineStr">
        <x:is>
          <x:t xml:space="preserve">Checkbox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[data-state]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passes manual test</x:t>
        </x:is>
      </x:c>
      <x:c r="H40" s="86" t="inlineStr">
        <x:is>
          <x:t xml:space="preserve">covered</x:t>
        </x:is>
      </x:c>
      <x:c r="I40" s="84" t="inlineStr">
        <x:is>
          <x:t xml:space="preserve">Checkbox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Root</x:t>
        </x:is>
      </x:c>
      <x:c r="D41" s="84" t="inlineStr">
        <x:is>
          <x:t xml:space="preserve">[data-disabled]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passes manual test</x:t>
        </x:is>
      </x:c>
      <x:c r="H41" s="86" t="inlineStr">
        <x:is>
          <x:t xml:space="preserve">covered</x:t>
        </x:is>
      </x:c>
      <x:c r="I41" s="84" t="inlineStr">
        <x:is>
          <x:t xml:space="preserve">Checkbox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Root</x:t>
        </x:is>
      </x:c>
      <x:c r="D42" s="84" t="inlineStr">
        <x:is>
          <x:t xml:space="preserve">[data-readonly]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passes manual test</x:t>
        </x:is>
      </x:c>
      <x:c r="H42" s="86" t="inlineStr">
        <x:is>
          <x:t xml:space="preserve">covered</x:t>
        </x:is>
      </x:c>
      <x:c r="I42" s="84" t="inlineStr">
        <x:is>
          <x:t xml:space="preserve">Checkbox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Root</x:t>
        </x:is>
      </x:c>
      <x:c r="D43" s="84" t="inlineStr">
        <x:is>
          <x:t xml:space="preserve">[data-invalid]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passes manual test</x:t>
        </x:is>
      </x:c>
      <x:c r="H43" s="86" t="inlineStr">
        <x:is>
          <x:t xml:space="preserve">covered</x:t>
        </x:is>
      </x:c>
      <x:c r="I43" s="84" t="inlineStr">
        <x:is>
          <x:t xml:space="preserve">Checkbox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Anatomy</x:t>
        </x:is>
      </x:c>
      <x:c r="C44" s="84" t="inlineStr">
        <x:is>
          <x:t xml:space="preserve">Indicator</x:t>
        </x:is>
      </x:c>
      <x:c r="D44" s="84" t="inlineStr">
        <x:is>
          <x:t xml:space="preserve">renders correct part when expected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passes manual test</x:t>
        </x:is>
      </x:c>
      <x:c r="H44" s="86" t="inlineStr">
        <x:is>
          <x:t xml:space="preserve">covered</x:t>
        </x:is>
      </x:c>
      <x:c r="I44" s="84" t="inlineStr">
        <x:is>
          <x:t xml:space="preserve">Checkbox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Indicator</x:t>
        </x:is>
      </x:c>
      <x:c r="D45" s="84" t="inlineStr">
        <x:is>
          <x:t xml:space="preserve">appears in documented order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passes manual test</x:t>
        </x:is>
      </x:c>
      <x:c r="H45" s="86" t="inlineStr">
        <x:is>
          <x:t xml:space="preserve">covered</x:t>
        </x:is>
      </x:c>
      <x:c r="I45" s="84" t="inlineStr">
        <x:is>
          <x:t xml:space="preserve">Checkbox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30" customHeight="1">
      <x:c r="A46" s="73" t="n">
        <x:v>38</x:v>
      </x:c>
      <x:c r="B46" s="84" t="inlineStr">
        <x:is>
          <x:t xml:space="preserve">Identity</x:t>
        </x:is>
      </x:c>
      <x:c r="C46" s="84" t="inlineStr">
        <x:is>
          <x:t xml:space="preserve">Indicator</x:t>
        </x:is>
      </x:c>
      <x:c r="D46" s="84" t="inlineStr">
        <x:is>
          <x:t xml:space="preserve">default tag is visible in Anatomy/Inspector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passes manual test</x:t>
        </x:is>
      </x:c>
      <x:c r="H46" s="86" t="inlineStr">
        <x:is>
          <x:t xml:space="preserve">covered</x:t>
        </x:is>
      </x:c>
      <x:c r="I46" s="84" t="inlineStr">
        <x:is>
          <x:t xml:space="preserve">Checkbox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45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Indicator</x:t>
        </x:is>
      </x:c>
      <x:c r="D47" s="84" t="inlineStr">
        <x:is>
          <x:t xml:space="preserve">data-slot is present and correct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passes manual test</x:t>
        </x:is>
      </x:c>
      <x:c r="H47" s="86" t="inlineStr">
        <x:is>
          <x:t xml:space="preserve">covered</x:t>
        </x:is>
      </x:c>
      <x:c r="I47" s="84" t="inlineStr">
        <x:is>
          <x:t xml:space="preserve">Checkbox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Props</x:t>
        </x:is>
      </x:c>
      <x:c r="C48" s="84" t="inlineStr">
        <x:is>
          <x:t xml:space="preserve">Indicator</x:t>
        </x:is>
      </x:c>
      <x:c r="D48" s="84" t="inlineStr">
        <x:is>
          <x:t xml:space="preserve">non-Atom native props pass through with data-prop-check marker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passes manual test</x:t>
        </x:is>
      </x:c>
      <x:c r="H48" s="86" t="inlineStr">
        <x:is>
          <x:t xml:space="preserve">covered</x:t>
        </x:is>
      </x:c>
      <x:c r="I48" s="84" t="inlineStr">
        <x:is>
          <x:t xml:space="preserve">Checkbox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Refs</x:t>
        </x:is>
      </x:c>
      <x:c r="C49" s="84" t="inlineStr">
        <x:is>
          <x:t xml:space="preserve">Indicator</x:t>
        </x:is>
      </x:c>
      <x:c r="D49" s="84" t="inlineStr">
        <x:is>
          <x:t xml:space="preserve">consumer ref receives the rendered element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passes manual test</x:t>
        </x:is>
      </x:c>
      <x:c r="H49" s="86" t="inlineStr">
        <x:is>
          <x:t xml:space="preserve">covered</x:t>
        </x:is>
      </x:c>
      <x:c r="I49" s="84" t="inlineStr">
        <x:is>
          <x:t xml:space="preserve">Package tests/source review verify consumer ref plumbing for Checkbox; playground manual pass can inspect rendered DOM behavior.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Indicator</x:t>
        </x:is>
      </x:c>
      <x:c r="D50" s="84" t="inlineStr">
        <x:is>
          <x:t xml:space="preserve">forceMount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passes manual test</x:t>
        </x:is>
      </x:c>
      <x:c r="H50" s="86" t="inlineStr">
        <x:is>
          <x:t xml:space="preserve">covered</x:t>
        </x:is>
      </x:c>
      <x:c r="I50" s="84" t="inlineStr">
        <x:is>
          <x:t xml:space="preserve">Checkbox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Composition</x:t>
        </x:is>
      </x:c>
      <x:c r="C51" s="84" t="inlineStr">
        <x:is>
          <x:t xml:space="preserve">Indicator</x:t>
        </x:is>
      </x:c>
      <x:c r="D51" s="84" t="inlineStr">
        <x:is>
          <x:t xml:space="preserve">asChild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passes manual test</x:t>
        </x:is>
      </x:c>
      <x:c r="H51" s="86" t="inlineStr">
        <x:is>
          <x:t xml:space="preserve">covered</x:t>
        </x:is>
      </x:c>
      <x:c r="I51" s="84" t="inlineStr">
        <x:is>
          <x:t xml:space="preserve">Checkbox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Composition</x:t>
        </x:is>
      </x:c>
      <x:c r="C52" s="84" t="inlineStr">
        <x:is>
          <x:t xml:space="preserve">Indicator</x:t>
        </x:is>
      </x:c>
      <x:c r="D52" s="84" t="inlineStr">
        <x:is>
          <x:t xml:space="preserve">render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passes manual test</x:t>
        </x:is>
      </x:c>
      <x:c r="H52" s="86" t="inlineStr">
        <x:is>
          <x:t xml:space="preserve">covered</x:t>
        </x:is>
      </x:c>
      <x:c r="I52" s="84" t="inlineStr">
        <x:is>
          <x:t xml:space="preserve">Checkbox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Indicator</x:t>
        </x:is>
      </x:c>
      <x:c r="D53" s="84" t="inlineStr">
        <x:is>
          <x:t xml:space="preserve">[data-slot]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passes manual test</x:t>
        </x:is>
      </x:c>
      <x:c r="H53" s="86" t="inlineStr">
        <x:is>
          <x:t xml:space="preserve">covered</x:t>
        </x:is>
      </x:c>
      <x:c r="I53" s="84" t="inlineStr">
        <x:is>
          <x:t xml:space="preserve">Checkbox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Indicator</x:t>
        </x:is>
      </x:c>
      <x:c r="D54" s="84" t="inlineStr">
        <x:is>
          <x:t xml:space="preserve">[data-state]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passes manual test</x:t>
        </x:is>
      </x:c>
      <x:c r="H54" s="86" t="inlineStr">
        <x:is>
          <x:t xml:space="preserve">covered</x:t>
        </x:is>
      </x:c>
      <x:c r="I54" s="84" t="inlineStr">
        <x:is>
          <x:t xml:space="preserve">Checkbox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State</x:t>
        </x:is>
      </x:c>
      <x:c r="C55" s="84" t="inlineStr">
        <x:is>
          <x:t xml:space="preserve">Indicator</x:t>
        </x:is>
      </x:c>
      <x:c r="D55" s="84" t="inlineStr">
        <x:is>
          <x:t xml:space="preserve">[data-disabled]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passes manual test</x:t>
        </x:is>
      </x:c>
      <x:c r="H55" s="86" t="inlineStr">
        <x:is>
          <x:t xml:space="preserve">covered</x:t>
        </x:is>
      </x:c>
      <x:c r="I55" s="84" t="inlineStr">
        <x:is>
          <x:t xml:space="preserve">Checkbox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ARIA</x:t>
        </x:is>
      </x:c>
      <x:c r="C56" s="84" t="inlineStr">
        <x:is>
          <x:t xml:space="preserve">Live DOM</x:t>
        </x:is>
      </x:c>
      <x:c r="D56" s="84" t="inlineStr">
        <x:is>
          <x:t xml:space="preserve">aria-checked is present at the correct time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passes manual test</x:t>
        </x:is>
      </x:c>
      <x:c r="H56" s="86" t="inlineStr">
        <x:is>
          <x:t xml:space="preserve">covered</x:t>
        </x:is>
      </x:c>
      <x:c r="I56" s="84" t="inlineStr">
        <x:is>
          <x:t xml:space="preserve">Checkbox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ARIA</x:t>
        </x:is>
      </x:c>
      <x:c r="C57" s="84" t="inlineStr">
        <x:is>
          <x:t xml:space="preserve">Live DOM</x:t>
        </x:is>
      </x:c>
      <x:c r="D57" s="84" t="inlineStr">
        <x:is>
          <x:t xml:space="preserve">aria-hidden is present at the correct time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passes manual test</x:t>
        </x:is>
      </x:c>
      <x:c r="H57" s="86" t="inlineStr">
        <x:is>
          <x:t xml:space="preserve">covered</x:t>
        </x:is>
      </x:c>
      <x:c r="I57" s="84" t="inlineStr">
        <x:is>
          <x:t xml:space="preserve">Checkbox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ARIA</x:t>
        </x:is>
      </x:c>
      <x:c r="C58" s="84" t="inlineStr">
        <x:is>
          <x:t xml:space="preserve">Live DOM</x:t>
        </x:is>
      </x:c>
      <x:c r="D58" s="84" t="inlineStr">
        <x:is>
          <x:t xml:space="preserve">aria-invalid is present at the correct time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passes manual test</x:t>
        </x:is>
      </x:c>
      <x:c r="H58" s="86" t="inlineStr">
        <x:is>
          <x:t xml:space="preserve">covered</x:t>
        </x:is>
      </x:c>
      <x:c r="I58" s="84" t="inlineStr">
        <x:is>
          <x:t xml:space="preserve">Checkbox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ARIA</x:t>
        </x:is>
      </x:c>
      <x:c r="C59" s="84" t="inlineStr">
        <x:is>
          <x:t xml:space="preserve">Live DOM</x:t>
        </x:is>
      </x:c>
      <x:c r="D59" s="84" t="inlineStr">
        <x:is>
          <x:t xml:space="preserve">aria-label is present at the correct time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passes manual test</x:t>
        </x:is>
      </x:c>
      <x:c r="H59" s="86" t="inlineStr">
        <x:is>
          <x:t xml:space="preserve">covered</x:t>
        </x:is>
      </x:c>
      <x:c r="I59" s="84" t="inlineStr">
        <x:is>
          <x:t xml:space="preserve">Checkbox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ARIA</x:t>
        </x:is>
      </x:c>
      <x:c r="C60" s="84" t="inlineStr">
        <x:is>
          <x:t xml:space="preserve">Live DOM</x:t>
        </x:is>
      </x:c>
      <x:c r="D60" s="84" t="inlineStr">
        <x:is>
          <x:t xml:space="preserve">aria-readonly is present at the correct time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passes manual test</x:t>
        </x:is>
      </x:c>
      <x:c r="H60" s="86" t="inlineStr">
        <x:is>
          <x:t xml:space="preserve">covered</x:t>
        </x:is>
      </x:c>
      <x:c r="I60" s="84" t="inlineStr">
        <x:is>
          <x:t xml:space="preserve">Checkbox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ARIA</x:t>
        </x:is>
      </x:c>
      <x:c r="C61" s="84" t="inlineStr">
        <x:is>
          <x:t xml:space="preserve">Live DOM</x:t>
        </x:is>
      </x:c>
      <x:c r="D61" s="84" t="inlineStr">
        <x:is>
          <x:t xml:space="preserve">aria-required is present at the correct time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passes manual test</x:t>
        </x:is>
      </x:c>
      <x:c r="H61" s="86" t="inlineStr">
        <x:is>
          <x:t xml:space="preserve">covered</x:t>
        </x:is>
      </x:c>
      <x:c r="I61" s="84" t="inlineStr">
        <x:is>
          <x:t xml:space="preserve">Checkbox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Data</x:t>
        </x:is>
      </x:c>
      <x:c r="C62" s="84" t="inlineStr">
        <x:is>
          <x:t xml:space="preserve">Live DOM</x:t>
        </x:is>
      </x:c>
      <x:c r="D62" s="84" t="inlineStr">
        <x:is>
          <x:t xml:space="preserve">data-disabled is present at the correct time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passes manual test</x:t>
        </x:is>
      </x:c>
      <x:c r="H62" s="86" t="inlineStr">
        <x:is>
          <x:t xml:space="preserve">covered</x:t>
        </x:is>
      </x:c>
      <x:c r="I62" s="84" t="inlineStr">
        <x:is>
          <x:t xml:space="preserve">Checkbox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Data</x:t>
        </x:is>
      </x:c>
      <x:c r="C63" s="84" t="inlineStr">
        <x:is>
          <x:t xml:space="preserve">Live DOM</x:t>
        </x:is>
      </x:c>
      <x:c r="D63" s="84" t="inlineStr">
        <x:is>
          <x:t xml:space="preserve">data-invalid is present at the correct time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passes manual test</x:t>
        </x:is>
      </x:c>
      <x:c r="H63" s="86" t="inlineStr">
        <x:is>
          <x:t xml:space="preserve">covered</x:t>
        </x:is>
      </x:c>
      <x:c r="I63" s="84" t="inlineStr">
        <x:is>
          <x:t xml:space="preserve">Checkbox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Data</x:t>
        </x:is>
      </x:c>
      <x:c r="C64" s="84" t="inlineStr">
        <x:is>
          <x:t xml:space="preserve">Live DOM</x:t>
        </x:is>
      </x:c>
      <x:c r="D64" s="84" t="inlineStr">
        <x:is>
          <x:t xml:space="preserve">data-readonly is present at the correct time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passes manual test</x:t>
        </x:is>
      </x:c>
      <x:c r="H64" s="86" t="inlineStr">
        <x:is>
          <x:t xml:space="preserve">covered</x:t>
        </x:is>
      </x:c>
      <x:c r="I64" s="84" t="inlineStr">
        <x:is>
          <x:t xml:space="preserve">Checkbox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Data</x:t>
        </x:is>
      </x:c>
      <x:c r="C65" s="84" t="inlineStr">
        <x:is>
          <x:t xml:space="preserve">Live DOM</x:t>
        </x:is>
      </x:c>
      <x:c r="D65" s="84" t="inlineStr">
        <x:is>
          <x:t xml:space="preserve">data-slot is present at the correct time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passes manual test</x:t>
        </x:is>
      </x:c>
      <x:c r="H65" s="86" t="inlineStr">
        <x:is>
          <x:t xml:space="preserve">covered</x:t>
        </x:is>
      </x:c>
      <x:c r="I65" s="84" t="inlineStr">
        <x:is>
          <x:t xml:space="preserve">Checkbox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Data</x:t>
        </x:is>
      </x:c>
      <x:c r="C66" s="84" t="inlineStr">
        <x:is>
          <x:t xml:space="preserve">Live DOM</x:t>
        </x:is>
      </x:c>
      <x:c r="D66" s="84" t="inlineStr">
        <x:is>
          <x:t xml:space="preserve">data-state is present at the correct time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passes manual test</x:t>
        </x:is>
      </x:c>
      <x:c r="H66" s="86" t="inlineStr">
        <x:is>
          <x:t xml:space="preserve">covered</x:t>
        </x:is>
      </x:c>
      <x:c r="I66" s="84" t="inlineStr">
        <x:is>
          <x:t xml:space="preserve">Checkbox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30" customHeight="1">
      <x:c r="A67" s="73" t="n">
        <x:v>59</x:v>
      </x:c>
      <x:c r="B67" s="84" t="inlineStr">
        <x:is>
          <x:t xml:space="preserve">Composition</x:t>
        </x:is>
      </x:c>
      <x:c r="C67" s="84" t="inlineStr">
        <x:is>
          <x:t xml:space="preserve">Checkbox</x:t>
        </x:is>
      </x:c>
      <x:c r="D67" s="84" t="inlineStr">
        <x:is>
          <x:t xml:space="preserve">asChild preserves child content without double nesting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passes manual test</x:t>
        </x:is>
      </x:c>
      <x:c r="H67" s="86" t="inlineStr">
        <x:is>
          <x:t xml:space="preserve">covered</x:t>
        </x:is>
      </x:c>
      <x:c r="I67" s="84" t="inlineStr">
        <x:is>
          <x:t xml:space="preserve">Checkbox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Composition</x:t>
        </x:is>
      </x:c>
      <x:c r="C68" s="84" t="inlineStr">
        <x:is>
          <x:t xml:space="preserve">Checkbox</x:t>
        </x:is>
      </x:c>
      <x:c r="D68" s="84" t="inlineStr">
        <x:is>
          <x:t xml:space="preserve">asChild merges Atom props and consumer props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passes manual test</x:t>
        </x:is>
      </x:c>
      <x:c r="H68" s="86" t="inlineStr">
        <x:is>
          <x:t xml:space="preserve">covered</x:t>
        </x:is>
      </x:c>
      <x:c r="I68" s="84" t="inlineStr">
        <x:is>
          <x:t xml:space="preserve">Checkbox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45" customHeight="1">
      <x:c r="A69" s="73" t="n">
        <x:v>61</x:v>
      </x:c>
      <x:c r="B69" s="84" t="inlineStr">
        <x:is>
          <x:t xml:space="preserve">Composition</x:t>
        </x:is>
      </x:c>
      <x:c r="C69" s="84" t="inlineStr">
        <x:is>
          <x:t xml:space="preserve">Checkbox</x:t>
        </x:is>
      </x:c>
      <x:c r="D69" s="84" t="inlineStr">
        <x:is>
          <x:t xml:space="preserve">asChild lets preventDefault block Atom behavior where supported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passes manual test</x:t>
        </x:is>
      </x:c>
      <x:c r="H69" s="86" t="inlineStr">
        <x:is>
          <x:t xml:space="preserve">covered</x:t>
        </x:is>
      </x:c>
      <x:c r="I69" s="84" t="inlineStr">
        <x:is>
          <x:t xml:space="preserve">Checkbox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Composition</x:t>
        </x:is>
      </x:c>
      <x:c r="C70" s="84" t="inlineStr">
        <x:is>
          <x:t xml:space="preserve">Checkbox</x:t>
        </x:is>
      </x:c>
      <x:c r="D70" s="84" t="inlineStr">
        <x:is>
          <x:t xml:space="preserve">render prop renders custom element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passes manual test</x:t>
        </x:is>
      </x:c>
      <x:c r="H70" s="86" t="inlineStr">
        <x:is>
          <x:t xml:space="preserve">covered</x:t>
        </x:is>
      </x:c>
      <x:c r="I70" s="84" t="inlineStr">
        <x:is>
          <x:t xml:space="preserve">Checkbox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Composition</x:t>
        </x:is>
      </x:c>
      <x:c r="C71" s="84" t="inlineStr">
        <x:is>
          <x:t xml:space="preserve">Checkbox</x:t>
        </x:is>
      </x:c>
      <x:c r="D71" s="84" t="inlineStr">
        <x:is>
          <x:t xml:space="preserve">render prop preserves refs and behavior props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passes manual test</x:t>
        </x:is>
      </x:c>
      <x:c r="H71" s="86" t="inlineStr">
        <x:is>
          <x:t xml:space="preserve">covered</x:t>
        </x:is>
      </x:c>
      <x:c r="I71" s="84" t="inlineStr">
        <x:is>
          <x:t xml:space="preserve">Composition controls/package tests cover render/asChild behavior for Checkbox; ready for manual verification where exposed.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State</x:t>
        </x:is>
      </x:c>
      <x:c r="C72" s="84" t="inlineStr">
        <x:is>
          <x:t xml:space="preserve">Root</x:t>
        </x:is>
      </x:c>
      <x:c r="D72" s="84" t="inlineStr">
        <x:is>
          <x:t xml:space="preserve">controlled state path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passes manual test</x:t>
        </x:is>
      </x:c>
      <x:c r="H72" s="86" t="inlineStr">
        <x:is>
          <x:t xml:space="preserve">covered</x:t>
        </x:is>
      </x:c>
      <x:c r="I72" s="84" t="inlineStr">
        <x:is>
          <x:t xml:space="preserve">Checkbox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30" customHeight="1">
      <x:c r="A73" s="73" t="n">
        <x:v>65</x:v>
      </x:c>
      <x:c r="B73" s="84" t="inlineStr">
        <x:is>
          <x:t xml:space="preserve">State</x:t>
        </x:is>
      </x:c>
      <x:c r="C73" s="84" t="inlineStr">
        <x:is>
          <x:t xml:space="preserve">Root</x:t>
        </x:is>
      </x:c>
      <x:c r="D73" s="84" t="inlineStr">
        <x:is>
          <x:t xml:space="preserve">uncontrolled default state path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passes manual test</x:t>
        </x:is>
      </x:c>
      <x:c r="H73" s="86" t="inlineStr">
        <x:is>
          <x:t xml:space="preserve">covered</x:t>
        </x:is>
      </x:c>
      <x:c r="I73" s="84" t="inlineStr">
        <x:is>
          <x:t xml:space="preserve">Checkbox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30" customHeight="1">
      <x:c r="A74" s="73" t="n">
        <x:v>66</x:v>
      </x:c>
      <x:c r="B74" s="84" t="inlineStr">
        <x:is>
          <x:t xml:space="preserve">State</x:t>
        </x:is>
      </x:c>
      <x:c r="C74" s="84" t="inlineStr">
        <x:is>
          <x:t xml:space="preserve">Root</x:t>
        </x:is>
      </x:c>
      <x:c r="D74" s="84" t="inlineStr">
        <x:is>
          <x:t xml:space="preserve">state change callback fires once with correct value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passes manual test</x:t>
        </x:is>
      </x:c>
      <x:c r="H74" s="86" t="inlineStr">
        <x:is>
          <x:t xml:space="preserve">covered</x:t>
        </x:is>
      </x:c>
      <x:c r="I74" s="84" t="inlineStr">
        <x:is>
          <x:t xml:space="preserve">Checkbox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30" customHeight="1">
      <x:c r="A75" s="73" t="n">
        <x:v>67</x:v>
      </x:c>
      <x:c r="B75" s="84" t="inlineStr">
        <x:is>
          <x:t xml:space="preserve">State</x:t>
        </x:is>
      </x:c>
      <x:c r="C75" s="84" t="inlineStr">
        <x:is>
          <x:t xml:space="preserve">Checkbox</x:t>
        </x:is>
      </x:c>
      <x:c r="D75" s="84" t="inlineStr">
        <x:is>
          <x:t xml:space="preserve">disabled state blocks or exposes behavior correctly where supported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passes manual test</x:t>
        </x:is>
      </x:c>
      <x:c r="H75" s="86" t="inlineStr">
        <x:is>
          <x:t xml:space="preserve">covered</x:t>
        </x:is>
      </x:c>
      <x:c r="I75" s="84" t="inlineStr">
        <x:is>
          <x:t xml:space="preserve">Checkbox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30" customHeight="1">
      <x:c r="A76" s="73" t="n">
        <x:v>68</x:v>
      </x:c>
      <x:c r="B76" s="84" t="inlineStr">
        <x:is>
          <x:t xml:space="preserve">State</x:t>
        </x:is>
      </x:c>
      <x:c r="C76" s="84" t="inlineStr">
        <x:is>
          <x:t xml:space="preserve">Checkbox</x:t>
        </x:is>
      </x:c>
      <x:c r="D76" s="84" t="inlineStr">
        <x:is>
          <x:t xml:space="preserve">readonly/readOnly state blocks or exposes behavior correctly where supported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passes manual test</x:t>
        </x:is>
      </x:c>
      <x:c r="H76" s="86" t="inlineStr">
        <x:is>
          <x:t xml:space="preserve">covered</x:t>
        </x:is>
      </x:c>
      <x:c r="I76" s="84" t="inlineStr">
        <x:is>
          <x:t xml:space="preserve">Checkbox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State</x:t>
        </x:is>
      </x:c>
      <x:c r="C77" s="84" t="inlineStr">
        <x:is>
          <x:t xml:space="preserve">Checkbox</x:t>
        </x:is>
      </x:c>
      <x:c r="D77" s="84" t="inlineStr">
        <x:is>
          <x:t xml:space="preserve">required state blocks or exposes behavior correctly where supported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passes manual test</x:t>
        </x:is>
      </x:c>
      <x:c r="H77" s="86" t="inlineStr">
        <x:is>
          <x:t xml:space="preserve">covered</x:t>
        </x:is>
      </x:c>
      <x:c r="I77" s="84" t="inlineStr">
        <x:is>
          <x:t xml:space="preserve">Checkbox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30" customHeight="1">
      <x:c r="A78" s="73" t="n">
        <x:v>70</x:v>
      </x:c>
      <x:c r="B78" s="84" t="inlineStr">
        <x:is>
          <x:t xml:space="preserve">State</x:t>
        </x:is>
      </x:c>
      <x:c r="C78" s="84" t="inlineStr">
        <x:is>
          <x:t xml:space="preserve">Checkbox</x:t>
        </x:is>
      </x:c>
      <x:c r="D78" s="84" t="inlineStr">
        <x:is>
          <x:t xml:space="preserve">invalid state blocks or exposes behavior correctly where supported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passes manual test</x:t>
        </x:is>
      </x:c>
      <x:c r="H78" s="86" t="inlineStr">
        <x:is>
          <x:t xml:space="preserve">covered</x:t>
        </x:is>
      </x:c>
      <x:c r="I78" s="84" t="inlineStr">
        <x:is>
          <x:t xml:space="preserve">Checkbox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Forms</x:t>
        </x:is>
      </x:c>
      <x:c r="C79" s="84" t="inlineStr">
        <x:is>
          <x:t xml:space="preserve">Checkbox</x:t>
        </x:is>
      </x:c>
      <x:c r="D79" s="84" t="inlineStr">
        <x:is>
          <x:t xml:space="preserve">form value participates correctly where supported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passes manual test</x:t>
        </x:is>
      </x:c>
      <x:c r="H79" s="86" t="inlineStr">
        <x:is>
          <x:t xml:space="preserve">covered</x:t>
        </x:is>
      </x:c>
      <x:c r="I79" s="84" t="inlineStr">
        <x:is>
          <x:t xml:space="preserve">Checkbox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Forms</x:t>
        </x:is>
      </x:c>
      <x:c r="C80" s="84" t="inlineStr">
        <x:is>
          <x:t xml:space="preserve">Checkbox</x:t>
        </x:is>
      </x:c>
      <x:c r="D80" s="84" t="inlineStr">
        <x:is>
          <x:t xml:space="preserve">hidden input mirrors value/checked/disabled where supported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passes manual test</x:t>
        </x:is>
      </x:c>
      <x:c r="H80" s="86" t="inlineStr">
        <x:is>
          <x:t xml:space="preserve">covered</x:t>
        </x:is>
      </x:c>
      <x:c r="I80" s="84" t="inlineStr">
        <x:is>
          <x:t xml:space="preserve">Checkbox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Keyboard</x:t>
        </x:is>
      </x:c>
      <x:c r="C81" s="84" t="inlineStr">
        <x:is>
          <x:t xml:space="preserve">Checkbox</x:t>
        </x:is>
      </x:c>
      <x:c r="D81" s="84" t="inlineStr">
        <x:is>
          <x:t xml:space="preserve">  behavior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passes manual test</x:t>
        </x:is>
      </x:c>
      <x:c r="H81" s="86" t="inlineStr">
        <x:is>
          <x:t xml:space="preserve">covered</x:t>
        </x:is>
      </x:c>
      <x:c r="I81" s="84" t="inlineStr">
        <x:is>
          <x:t xml:space="preserve">Checkbox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Keyboard</x:t>
        </x:is>
      </x:c>
      <x:c r="C82" s="84" t="inlineStr">
        <x:is>
          <x:t xml:space="preserve">Checkbox</x:t>
        </x:is>
      </x:c>
      <x:c r="D82" s="84" t="inlineStr">
        <x:is>
          <x:t xml:space="preserve">Enter behavior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passes manual test</x:t>
        </x:is>
      </x:c>
      <x:c r="H82" s="86" t="inlineStr">
        <x:is>
          <x:t xml:space="preserve">covered</x:t>
        </x:is>
      </x:c>
      <x:c r="I82" s="84" t="inlineStr">
        <x:is>
          <x:t xml:space="preserve">Checkbox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Forms</x:t>
        </x:is>
      </x:c>
      <x:c r="C83" s="84" t="inlineStr">
        <x:is>
          <x:t xml:space="preserve">Root</x:t>
        </x:is>
      </x:c>
      <x:c r="D83" s="84" t="inlineStr">
        <x:is>
          <x:t xml:space="preserve">Field inheritance, checked-only FormData, required validity, and uncontrolled native reset</x:t>
        </x:is>
      </x:c>
      <x:c r="E83" s="76" t="inlineStr">
        <x:is>
          <x:t xml:space="preserve">yes</x:t>
        </x:is>
      </x:c>
      <x:c r="F83" s="85" t="inlineStr">
        <x:is>
          <x:t xml:space="preserve">no</x:t>
        </x:is>
      </x:c>
      <x:c r="G83" s="73" t="inlineStr">
        <x:is>
          <x:t xml:space="preserve">automated tests pass; manual pending</x:t>
        </x:is>
      </x:c>
      <x:c r="H83" s="86" t="inlineStr">
        <x:is>
          <x:t xml:space="preserve">untested</x:t>
        </x:is>
      </x:c>
      <x:c r="I83" s="84" t="inlineStr">
        <x:is>
          <x:t xml:space="preserve">Form &gt; Control: Foundation plus the component scenario and automated package tests.</x:t>
        </x:is>
      </x:c>
      <x:c r="J83" s="84" t="inlineStr">
        <x:is>
          <x:t xml:space="preserve">Run and review the form-foundation manual protocol.</x:t>
        </x:is>
      </x:c>
      <x:c r="K83" s="87" t="n">
        <x:f>IF(AND(E83="yes",F83="yes",H83="covered"),1,IF(H83="partial",0.5,0))</x:f>
        <x:v>0</x:v>
      </x:c>
    </x:row>
    <x:row r="84" s="51" customFormat="1" ht="15" customHeight="1">
      <x:c r="A84" s="73" t="n">
        <x:v>76</x:v>
      </x:c>
      <x:c r="B84" s="84" t="inlineStr">
        <x:is>
          <x:t xml:space="preserve">Validation</x:t>
        </x:is>
      </x:c>
      <x:c r="C84" s="84" t="inlineStr">
        <x:is>
          <x:t xml:space="preserve">Root</x:t>
        </x:is>
      </x:c>
      <x:c r="D84" s="84" t="inlineStr">
        <x:is>
          <x:t xml:space="preserve">aligned-proxy invalidity mirrors to the visible Checkbox, Field, Error, and Form</x:t>
        </x:is>
      </x:c>
      <x:c r="E84" s="76" t="inlineStr">
        <x:is>
          <x:t xml:space="preserve">yes</x:t>
        </x:is>
      </x:c>
      <x:c r="F84" s="85" t="inlineStr">
        <x:is>
          <x:t xml:space="preserve">no</x:t>
        </x:is>
      </x:c>
      <x:c r="G84" s="73" t="inlineStr">
        <x:is>
          <x:t xml:space="preserve">automated tests pass; manual pending</x:t>
        </x:is>
      </x:c>
      <x:c r="H84" s="86" t="inlineStr">
        <x:is>
          <x:t xml:space="preserve">untested</x:t>
        </x:is>
      </x:c>
      <x:c r="I84" s="84" t="inlineStr">
        <x:is>
          <x:t xml:space="preserve">Form &gt; Control: Foundation and automated Atom validation tests.</x:t>
        </x:is>
      </x:c>
      <x:c r="J84" s="84" t="inlineStr">
        <x:is>
          <x:t xml:space="preserve">Run and review the updated form-foundation validation steps.</x:t>
        </x:is>
      </x:c>
      <x:c r="K84" s="87" t="n">
        <x:f>IF(AND(E84="yes",F84="yes",H84="covered"),1,IF(H84="partial",0.5,0))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CheckboxGroup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0.96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96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4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passes manual test</x:t>
        </x:is>
      </x:c>
      <x:c r="H9" s="86" t="inlineStr">
        <x:is>
          <x:t xml:space="preserve">covered</x:t>
        </x:is>
      </x:c>
      <x:c r="I9" s="84" t="inlineStr">
        <x:is>
          <x:t xml:space="preserve">CheckboxGroup playground scenario.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passes manual test</x:t>
        </x:is>
      </x:c>
      <x:c r="H10" s="86" t="inlineStr">
        <x:is>
          <x:t xml:space="preserve">covered</x:t>
        </x:is>
      </x:c>
      <x:c r="I10" s="84" t="inlineStr">
        <x:is>
          <x:t xml:space="preserve">CheckboxGroup playground scenario.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CheckboxGroup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passes manual test</x:t>
        </x:is>
      </x:c>
      <x:c r="H11" s="86" t="inlineStr">
        <x:is>
          <x:t xml:space="preserve">covered</x:t>
        </x:is>
      </x:c>
      <x:c r="I11" s="84" t="inlineStr">
        <x:is>
          <x:t xml:space="preserve">CheckboxGroup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CheckboxGroup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passes manual test</x:t>
        </x:is>
      </x:c>
      <x:c r="H12" s="86" t="inlineStr">
        <x:is>
          <x:t xml:space="preserve">covered</x:t>
        </x:is>
      </x:c>
      <x:c r="I12" s="84" t="inlineStr">
        <x:is>
          <x:t xml:space="preserve">CheckboxGroup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CheckboxGroup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passes manual test</x:t>
        </x:is>
      </x:c>
      <x:c r="H13" s="86" t="inlineStr">
        <x:is>
          <x:t xml:space="preserve">covered</x:t>
        </x:is>
      </x:c>
      <x:c r="I13" s="84" t="inlineStr">
        <x:is>
          <x:t xml:space="preserve">CheckboxGroup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CheckboxGroup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passes manual test</x:t>
        </x:is>
      </x:c>
      <x:c r="H14" s="86" t="inlineStr">
        <x:is>
          <x:t xml:space="preserve">covered</x:t>
        </x:is>
      </x:c>
      <x:c r="I14" s="84" t="inlineStr">
        <x:is>
          <x:t xml:space="preserve">CheckboxGroup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CheckboxGroup</x:t>
        </x:is>
      </x:c>
      <x:c r="D15" s="84" t="inlineStr">
        <x:is>
          <x:t xml:space="preserve">Manages an array of selected values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passes manual test</x:t>
        </x:is>
      </x:c>
      <x:c r="H15" s="86" t="inlineStr">
        <x:is>
          <x:t xml:space="preserve">covered</x:t>
        </x:is>
      </x:c>
      <x:c r="I15" s="84" t="inlineStr">
        <x:is>
          <x:t xml:space="preserve">CheckboxGroup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CheckboxGroup</x:t>
        </x:is>
      </x:c>
      <x:c r="D16" s="84" t="inlineStr">
        <x:is>
          <x:t xml:space="preserve">Can be controlled or uncontrolled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passes manual test</x:t>
        </x:is>
      </x:c>
      <x:c r="H16" s="86" t="inlineStr">
        <x:is>
          <x:t xml:space="preserve">covered</x:t>
        </x:is>
      </x:c>
      <x:c r="I16" s="84" t="inlineStr">
        <x:is>
          <x:t xml:space="preserve">CheckboxGroup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CheckboxGroup</x:t>
        </x:is>
      </x:c>
      <x:c r="D17" s="84" t="inlineStr">
        <x:is>
          <x:t xml:space="preserve">Shares disabled, read-only, required, invalid, name, and form state with items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passes manual test</x:t>
        </x:is>
      </x:c>
      <x:c r="H17" s="86" t="inlineStr">
        <x:is>
          <x:t xml:space="preserve">covered</x:t>
        </x:is>
      </x:c>
      <x:c r="I17" s="84" t="inlineStr">
        <x:is>
          <x:t xml:space="preserve">CheckboxGroup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CheckboxGroup</x:t>
        </x:is>
      </x:c>
      <x:c r="D18" s="84" t="inlineStr">
        <x:is>
          <x:t xml:space="preserve">Each item can render a hidden checkbox input for native form submission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passes manual test</x:t>
        </x:is>
      </x:c>
      <x:c r="H18" s="86" t="inlineStr">
        <x:is>
          <x:t xml:space="preserve">covered</x:t>
        </x:is>
      </x:c>
      <x:c r="I18" s="84" t="inlineStr">
        <x:is>
          <x:t xml:space="preserve">CheckboxGroup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CheckboxGroup</x:t>
        </x:is>
      </x:c>
      <x:c r="D19" s="84" t="inlineStr">
        <x:is>
          <x:t xml:space="preserve">Exposes orientation and item state through data attributes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passes manual test</x:t>
        </x:is>
      </x:c>
      <x:c r="H19" s="86" t="inlineStr">
        <x:is>
          <x:t xml:space="preserve">covered</x:t>
        </x:is>
      </x:c>
      <x:c r="I19" s="84" t="inlineStr">
        <x:is>
          <x:t xml:space="preserve">CheckboxGroup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passes manual test</x:t>
        </x:is>
      </x:c>
      <x:c r="H20" s="86" t="inlineStr">
        <x:is>
          <x:t xml:space="preserve">covered</x:t>
        </x:is>
      </x:c>
      <x:c r="I20" s="84" t="inlineStr">
        <x:is>
          <x:t xml:space="preserve">CheckboxGroup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passes manual test</x:t>
        </x:is>
      </x:c>
      <x:c r="H21" s="86" t="inlineStr">
        <x:is>
          <x:t xml:space="preserve">covered</x:t>
        </x:is>
      </x:c>
      <x:c r="I21" s="84" t="inlineStr">
        <x:is>
          <x:t xml:space="preserve">CheckboxGroup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passes manual test</x:t>
        </x:is>
      </x:c>
      <x:c r="H22" s="86" t="inlineStr">
        <x:is>
          <x:t xml:space="preserve">covered</x:t>
        </x:is>
      </x:c>
      <x:c r="I22" s="84" t="inlineStr">
        <x:is>
          <x:t xml:space="preserve">CheckboxGroup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passes manual test</x:t>
        </x:is>
      </x:c>
      <x:c r="H23" s="86" t="inlineStr">
        <x:is>
          <x:t xml:space="preserve">covered</x:t>
        </x:is>
      </x:c>
      <x:c r="I23" s="84" t="inlineStr">
        <x:is>
          <x:t xml:space="preserve">CheckboxGroup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passes manual test</x:t>
        </x:is>
      </x:c>
      <x:c r="H24" s="86" t="inlineStr">
        <x:is>
          <x:t xml:space="preserve">covered</x:t>
        </x:is>
      </x:c>
      <x:c r="I24" s="84" t="inlineStr">
        <x:is>
          <x:t xml:space="preserve">CheckboxGroup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passes manual test</x:t>
        </x:is>
      </x:c>
      <x:c r="H25" s="86" t="inlineStr">
        <x:is>
          <x:t xml:space="preserve">covered</x:t>
        </x:is>
      </x:c>
      <x:c r="I25" s="84" t="inlineStr">
        <x:is>
          <x:t xml:space="preserve">CheckboxGroup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value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passes manual test</x:t>
        </x:is>
      </x:c>
      <x:c r="H26" s="86" t="inlineStr">
        <x:is>
          <x:t xml:space="preserve">covered</x:t>
        </x:is>
      </x:c>
      <x:c r="I26" s="84" t="inlineStr">
        <x:is>
          <x:t xml:space="preserve">CheckboxGroup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defaultValue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passes manual test</x:t>
        </x:is>
      </x:c>
      <x:c r="H27" s="86" t="inlineStr">
        <x:is>
          <x:t xml:space="preserve">covered</x:t>
        </x:is>
      </x:c>
      <x:c r="I27" s="84" t="inlineStr">
        <x:is>
          <x:t xml:space="preserve">CheckboxGroup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onValueChange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passes manual test</x:t>
        </x:is>
      </x:c>
      <x:c r="H28" s="86" t="inlineStr">
        <x:is>
          <x:t xml:space="preserve">covered</x:t>
        </x:is>
      </x:c>
      <x:c r="I28" s="84" t="inlineStr">
        <x:is>
          <x:t xml:space="preserve">CheckboxGroup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name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passes manual test</x:t>
        </x:is>
      </x:c>
      <x:c r="H29" s="86" t="inlineStr">
        <x:is>
          <x:t xml:space="preserve">covered</x:t>
        </x:is>
      </x:c>
      <x:c r="I29" s="84" t="inlineStr">
        <x:is>
          <x:t xml:space="preserve">CheckboxGroup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form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passes manual test</x:t>
        </x:is>
      </x:c>
      <x:c r="H30" s="86" t="inlineStr">
        <x:is>
          <x:t xml:space="preserve">covered</x:t>
        </x:is>
      </x:c>
      <x:c r="I30" s="84" t="inlineStr">
        <x:is>
          <x:t xml:space="preserve">CheckboxGroup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disabled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passes manual test</x:t>
        </x:is>
      </x:c>
      <x:c r="H31" s="86" t="inlineStr">
        <x:is>
          <x:t xml:space="preserve">covered</x:t>
        </x:is>
      </x:c>
      <x:c r="I31" s="84" t="inlineStr">
        <x:is>
          <x:t xml:space="preserve">CheckboxGroup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required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passes manual test</x:t>
        </x:is>
      </x:c>
      <x:c r="H32" s="86" t="inlineStr">
        <x:is>
          <x:t xml:space="preserve">covered</x:t>
        </x:is>
      </x:c>
      <x:c r="I32" s="84" t="inlineStr">
        <x:is>
          <x:t xml:space="preserve">CheckboxGroup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readOnly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passes manual test</x:t>
        </x:is>
      </x:c>
      <x:c r="H33" s="86" t="inlineStr">
        <x:is>
          <x:t xml:space="preserve">covered</x:t>
        </x:is>
      </x:c>
      <x:c r="I33" s="84" t="inlineStr">
        <x:is>
          <x:t xml:space="preserve">CheckboxGroup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invalid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passes manual test</x:t>
        </x:is>
      </x:c>
      <x:c r="H34" s="86" t="inlineStr">
        <x:is>
          <x:t xml:space="preserve">covered</x:t>
        </x:is>
      </x:c>
      <x:c r="I34" s="84" t="inlineStr">
        <x:is>
          <x:t xml:space="preserve">CheckboxGroup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orientation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passes manual test</x:t>
        </x:is>
      </x:c>
      <x:c r="H35" s="86" t="inlineStr">
        <x:is>
          <x:t xml:space="preserve">covered</x:t>
        </x:is>
      </x:c>
      <x:c r="I35" s="84" t="inlineStr">
        <x:is>
          <x:t xml:space="preserve">CheckboxGroup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Accessibility</x:t>
        </x:is>
      </x:c>
      <x:c r="C36" s="84" t="inlineStr">
        <x:is>
          <x:t xml:space="preserve">Root</x:t>
        </x:is>
      </x:c>
      <x:c r="D36" s="84" t="inlineStr">
        <x:is>
          <x:t xml:space="preserve">aria-label prop behavior</x:t>
        </x:is>
      </x:c>
      <x:c r="E36" s="76" t="inlineStr">
        <x:is>
          <x:t xml:space="preserve">yes</x:t>
        </x:is>
      </x:c>
      <x:c r="F36" s="85" t="inlineStr">
        <x:is>
          <x:t xml:space="preserve">no</x:t>
        </x:is>
      </x:c>
      <x:c r="G36" s="73" t="inlineStr">
        <x:is>
          <x:t xml:space="preserve">automated tests pass; manual pending</x:t>
        </x:is>
      </x:c>
      <x:c r="H36" s="86" t="inlineStr">
        <x:is>
          <x:t xml:space="preserve">untested</x:t>
        </x:is>
      </x:c>
      <x:c r="I36" s="84" t="inlineStr">
        <x:is>
          <x:t xml:space="preserve">Form &gt; Control: Foundation plus the component scenario and automated package tests.</x:t>
        </x:is>
      </x:c>
      <x:c r="J36" s="84" t="inlineStr">
        <x:is>
          <x:t xml:space="preserve">Run the form-foundation manual protocol.</x:t>
        </x:is>
      </x:c>
      <x:c r="K36" s="87" t="n">
        <x:f>IF(AND(E36="yes",F36="yes",H36="covered"),1,IF(H36="partial",0.5,0))</x:f>
        <x:v>0</x:v>
      </x:c>
    </x:row>
    <x:row r="37" s="51" customFormat="1" ht="15" customHeight="1">
      <x:c r="A37" s="73" t="n">
        <x:v>29</x:v>
      </x:c>
      <x:c r="B37" s="84" t="inlineStr">
        <x:is>
          <x:t xml:space="preserve">Composition</x:t>
        </x:is>
      </x:c>
      <x:c r="C37" s="84" t="inlineStr">
        <x:is>
          <x:t xml:space="preserve">Root</x:t>
        </x:is>
      </x:c>
      <x:c r="D37" s="84" t="inlineStr">
        <x:is>
          <x:t xml:space="preserve">asChild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passes manual test</x:t>
        </x:is>
      </x:c>
      <x:c r="H37" s="86" t="inlineStr">
        <x:is>
          <x:t xml:space="preserve">covered</x:t>
        </x:is>
      </x:c>
      <x:c r="I37" s="84" t="inlineStr">
        <x:is>
          <x:t xml:space="preserve">CheckboxGroup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Composition</x:t>
        </x:is>
      </x:c>
      <x:c r="C38" s="84" t="inlineStr">
        <x:is>
          <x:t xml:space="preserve">Root</x:t>
        </x:is>
      </x:c>
      <x:c r="D38" s="84" t="inlineStr">
        <x:is>
          <x:t xml:space="preserve">render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passes manual test</x:t>
        </x:is>
      </x:c>
      <x:c r="H38" s="86" t="inlineStr">
        <x:is>
          <x:t xml:space="preserve">covered</x:t>
        </x:is>
      </x:c>
      <x:c r="I38" s="84" t="inlineStr">
        <x:is>
          <x:t xml:space="preserve">CheckboxGroup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[data-slot]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passes manual test</x:t>
        </x:is>
      </x:c>
      <x:c r="H39" s="86" t="inlineStr">
        <x:is>
          <x:t xml:space="preserve">covered</x:t>
        </x:is>
      </x:c>
      <x:c r="I39" s="84" t="inlineStr">
        <x:is>
          <x:t xml:space="preserve">CheckboxGroup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[data-orientation]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passes manual test</x:t>
        </x:is>
      </x:c>
      <x:c r="H40" s="86" t="inlineStr">
        <x:is>
          <x:t xml:space="preserve">covered</x:t>
        </x:is>
      </x:c>
      <x:c r="I40" s="84" t="inlineStr">
        <x:is>
          <x:t xml:space="preserve">CheckboxGroup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Root</x:t>
        </x:is>
      </x:c>
      <x:c r="D41" s="84" t="inlineStr">
        <x:is>
          <x:t xml:space="preserve">[data-disabled]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passes manual test</x:t>
        </x:is>
      </x:c>
      <x:c r="H41" s="86" t="inlineStr">
        <x:is>
          <x:t xml:space="preserve">covered</x:t>
        </x:is>
      </x:c>
      <x:c r="I41" s="84" t="inlineStr">
        <x:is>
          <x:t xml:space="preserve">CheckboxGroup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Root</x:t>
        </x:is>
      </x:c>
      <x:c r="D42" s="84" t="inlineStr">
        <x:is>
          <x:t xml:space="preserve">[data-readonly]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passes manual test</x:t>
        </x:is>
      </x:c>
      <x:c r="H42" s="86" t="inlineStr">
        <x:is>
          <x:t xml:space="preserve">covered</x:t>
        </x:is>
      </x:c>
      <x:c r="I42" s="84" t="inlineStr">
        <x:is>
          <x:t xml:space="preserve">CheckboxGroup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Root</x:t>
        </x:is>
      </x:c>
      <x:c r="D43" s="84" t="inlineStr">
        <x:is>
          <x:t xml:space="preserve">[data-invalid]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passes manual test</x:t>
        </x:is>
      </x:c>
      <x:c r="H43" s="86" t="inlineStr">
        <x:is>
          <x:t xml:space="preserve">covered</x:t>
        </x:is>
      </x:c>
      <x:c r="I43" s="84" t="inlineStr">
        <x:is>
          <x:t xml:space="preserve">CheckboxGroup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Anatomy</x:t>
        </x:is>
      </x:c>
      <x:c r="C44" s="84" t="inlineStr">
        <x:is>
          <x:t xml:space="preserve">Item</x:t>
        </x:is>
      </x:c>
      <x:c r="D44" s="84" t="inlineStr">
        <x:is>
          <x:t xml:space="preserve">renders correct part when expected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passes manual test</x:t>
        </x:is>
      </x:c>
      <x:c r="H44" s="86" t="inlineStr">
        <x:is>
          <x:t xml:space="preserve">covered</x:t>
        </x:is>
      </x:c>
      <x:c r="I44" s="84" t="inlineStr">
        <x:is>
          <x:t xml:space="preserve">CheckboxGroup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Item</x:t>
        </x:is>
      </x:c>
      <x:c r="D45" s="84" t="inlineStr">
        <x:is>
          <x:t xml:space="preserve">appears in documented order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passes manual test</x:t>
        </x:is>
      </x:c>
      <x:c r="H45" s="86" t="inlineStr">
        <x:is>
          <x:t xml:space="preserve">covered</x:t>
        </x:is>
      </x:c>
      <x:c r="I45" s="84" t="inlineStr">
        <x:is>
          <x:t xml:space="preserve">CheckboxGroup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30" customHeight="1">
      <x:c r="A46" s="73" t="n">
        <x:v>38</x:v>
      </x:c>
      <x:c r="B46" s="84" t="inlineStr">
        <x:is>
          <x:t xml:space="preserve">Identity</x:t>
        </x:is>
      </x:c>
      <x:c r="C46" s="84" t="inlineStr">
        <x:is>
          <x:t xml:space="preserve">Item</x:t>
        </x:is>
      </x:c>
      <x:c r="D46" s="84" t="inlineStr">
        <x:is>
          <x:t xml:space="preserve">default tag is visible in Anatomy/Inspector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passes manual test</x:t>
        </x:is>
      </x:c>
      <x:c r="H46" s="86" t="inlineStr">
        <x:is>
          <x:t xml:space="preserve">covered</x:t>
        </x:is>
      </x:c>
      <x:c r="I46" s="84" t="inlineStr">
        <x:is>
          <x:t xml:space="preserve">CheckboxGroup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Item</x:t>
        </x:is>
      </x:c>
      <x:c r="D47" s="84" t="inlineStr">
        <x:is>
          <x:t xml:space="preserve">data-slot is present and correct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passes manual test</x:t>
        </x:is>
      </x:c>
      <x:c r="H47" s="86" t="inlineStr">
        <x:is>
          <x:t xml:space="preserve">covered</x:t>
        </x:is>
      </x:c>
      <x:c r="I47" s="84" t="inlineStr">
        <x:is>
          <x:t xml:space="preserve">CheckboxGroup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Props</x:t>
        </x:is>
      </x:c>
      <x:c r="C48" s="84" t="inlineStr">
        <x:is>
          <x:t xml:space="preserve">Item</x:t>
        </x:is>
      </x:c>
      <x:c r="D48" s="84" t="inlineStr">
        <x:is>
          <x:t xml:space="preserve">non-Atom native props pass through with data-prop-check marker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passes manual test</x:t>
        </x:is>
      </x:c>
      <x:c r="H48" s="86" t="inlineStr">
        <x:is>
          <x:t xml:space="preserve">covered</x:t>
        </x:is>
      </x:c>
      <x:c r="I48" s="84" t="inlineStr">
        <x:is>
          <x:t xml:space="preserve">CheckboxGroup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Refs</x:t>
        </x:is>
      </x:c>
      <x:c r="C49" s="84" t="inlineStr">
        <x:is>
          <x:t xml:space="preserve">Item</x:t>
        </x:is>
      </x:c>
      <x:c r="D49" s="84" t="inlineStr">
        <x:is>
          <x:t xml:space="preserve">consumer ref receives the rendered element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passes manual test</x:t>
        </x:is>
      </x:c>
      <x:c r="H49" s="86" t="inlineStr">
        <x:is>
          <x:t xml:space="preserve">covered</x:t>
        </x:is>
      </x:c>
      <x:c r="I49" s="84" t="inlineStr">
        <x:is>
          <x:t xml:space="preserve">CheckboxGroup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State</x:t>
        </x:is>
      </x:c>
      <x:c r="C50" s="84" t="inlineStr">
        <x:is>
          <x:t xml:space="preserve">Item</x:t>
        </x:is>
      </x:c>
      <x:c r="D50" s="84" t="inlineStr">
        <x:is>
          <x:t xml:space="preserve">value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passes manual test</x:t>
        </x:is>
      </x:c>
      <x:c r="H50" s="86" t="inlineStr">
        <x:is>
          <x:t xml:space="preserve">covered</x:t>
        </x:is>
      </x:c>
      <x:c r="I50" s="84" t="inlineStr">
        <x:is>
          <x:t xml:space="preserve">CheckboxGroup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State</x:t>
        </x:is>
      </x:c>
      <x:c r="C51" s="84" t="inlineStr">
        <x:is>
          <x:t xml:space="preserve">Item</x:t>
        </x:is>
      </x:c>
      <x:c r="D51" s="84" t="inlineStr">
        <x:is>
          <x:t xml:space="preserve">disabled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passes manual test</x:t>
        </x:is>
      </x:c>
      <x:c r="H51" s="86" t="inlineStr">
        <x:is>
          <x:t xml:space="preserve">covered</x:t>
        </x:is>
      </x:c>
      <x:c r="I51" s="84" t="inlineStr">
        <x:is>
          <x:t xml:space="preserve">CheckboxGroup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State</x:t>
        </x:is>
      </x:c>
      <x:c r="C52" s="84" t="inlineStr">
        <x:is>
          <x:t xml:space="preserve">Item</x:t>
        </x:is>
      </x:c>
      <x:c r="D52" s="84" t="inlineStr">
        <x:is>
          <x:t xml:space="preserve">readOnly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passes manual test</x:t>
        </x:is>
      </x:c>
      <x:c r="H52" s="86" t="inlineStr">
        <x:is>
          <x:t xml:space="preserve">covered</x:t>
        </x:is>
      </x:c>
      <x:c r="I52" s="84" t="inlineStr">
        <x:is>
          <x:t xml:space="preserve">CheckboxGroup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State</x:t>
        </x:is>
      </x:c>
      <x:c r="C53" s="84" t="inlineStr">
        <x:is>
          <x:t xml:space="preserve">Item</x:t>
        </x:is>
      </x:c>
      <x:c r="D53" s="84" t="inlineStr">
        <x:is>
          <x:t xml:space="preserve">invalid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passes manual test</x:t>
        </x:is>
      </x:c>
      <x:c r="H53" s="86" t="inlineStr">
        <x:is>
          <x:t xml:space="preserve">covered</x:t>
        </x:is>
      </x:c>
      <x:c r="I53" s="84" t="inlineStr">
        <x:is>
          <x:t xml:space="preserve">CheckboxGroup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State</x:t>
        </x:is>
      </x:c>
      <x:c r="C54" s="84" t="inlineStr">
        <x:is>
          <x:t xml:space="preserve">Item</x:t>
        </x:is>
      </x:c>
      <x:c r="D54" s="84" t="inlineStr">
        <x:is>
          <x:t xml:space="preserve">required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passes manual test</x:t>
        </x:is>
      </x:c>
      <x:c r="H54" s="86" t="inlineStr">
        <x:is>
          <x:t xml:space="preserve">covered</x:t>
        </x:is>
      </x:c>
      <x:c r="I54" s="84" t="inlineStr">
        <x:is>
          <x:t xml:space="preserve">CheckboxGroup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Item</x:t>
        </x:is>
      </x:c>
      <x:c r="D55" s="84" t="inlineStr">
        <x:is>
          <x:t xml:space="preserve">name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passes manual test</x:t>
        </x:is>
      </x:c>
      <x:c r="H55" s="86" t="inlineStr">
        <x:is>
          <x:t xml:space="preserve">covered</x:t>
        </x:is>
      </x:c>
      <x:c r="I55" s="84" t="inlineStr">
        <x:is>
          <x:t xml:space="preserve">CheckboxGroup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Item</x:t>
        </x:is>
      </x:c>
      <x:c r="D56" s="84" t="inlineStr">
        <x:is>
          <x:t xml:space="preserve">form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passes manual test</x:t>
        </x:is>
      </x:c>
      <x:c r="H56" s="86" t="inlineStr">
        <x:is>
          <x:t xml:space="preserve">covered</x:t>
        </x:is>
      </x:c>
      <x:c r="I56" s="84" t="inlineStr">
        <x:is>
          <x:t xml:space="preserve">CheckboxGroup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Accessibility</x:t>
        </x:is>
      </x:c>
      <x:c r="C57" s="84" t="inlineStr">
        <x:is>
          <x:t xml:space="preserve">Item</x:t>
        </x:is>
      </x:c>
      <x:c r="D57" s="84" t="inlineStr">
        <x:is>
          <x:t xml:space="preserve">aria-label prop behavior</x:t>
        </x:is>
      </x:c>
      <x:c r="E57" s="76" t="inlineStr">
        <x:is>
          <x:t xml:space="preserve">yes</x:t>
        </x:is>
      </x:c>
      <x:c r="F57" s="85" t="inlineStr">
        <x:is>
          <x:t xml:space="preserve">no</x:t>
        </x:is>
      </x:c>
      <x:c r="G57" s="73" t="inlineStr">
        <x:is>
          <x:t xml:space="preserve">automated tests pass; manual pending</x:t>
        </x:is>
      </x:c>
      <x:c r="H57" s="86" t="inlineStr">
        <x:is>
          <x:t xml:space="preserve">untested</x:t>
        </x:is>
      </x:c>
      <x:c r="I57" s="84" t="inlineStr">
        <x:is>
          <x:t xml:space="preserve">Form &gt; Control: Foundation plus the component scenario and automated package tests.</x:t>
        </x:is>
      </x:c>
      <x:c r="J57" s="84" t="inlineStr">
        <x:is>
          <x:t xml:space="preserve">Run the form-foundation manual protocol.</x:t>
        </x:is>
      </x:c>
      <x:c r="K57" s="87" t="n">
        <x:f>IF(AND(E57="yes",F57="yes",H57="covered"),1,IF(H57="partial",0.5,0))</x:f>
        <x:v>0</x:v>
      </x:c>
    </x:row>
    <x:row r="58" s="51" customFormat="1" ht="15" customHeight="1">
      <x:c r="A58" s="73" t="n">
        <x:v>50</x:v>
      </x:c>
      <x:c r="B58" s="84" t="inlineStr">
        <x:is>
          <x:t xml:space="preserve">Composition</x:t>
        </x:is>
      </x:c>
      <x:c r="C58" s="84" t="inlineStr">
        <x:is>
          <x:t xml:space="preserve">Item</x:t>
        </x:is>
      </x:c>
      <x:c r="D58" s="84" t="inlineStr">
        <x:is>
          <x:t xml:space="preserve">asChild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passes manual test</x:t>
        </x:is>
      </x:c>
      <x:c r="H58" s="86" t="inlineStr">
        <x:is>
          <x:t xml:space="preserve">covered</x:t>
        </x:is>
      </x:c>
      <x:c r="I58" s="84" t="inlineStr">
        <x:is>
          <x:t xml:space="preserve">CheckboxGroup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Composition</x:t>
        </x:is>
      </x:c>
      <x:c r="C59" s="84" t="inlineStr">
        <x:is>
          <x:t xml:space="preserve">Item</x:t>
        </x:is>
      </x:c>
      <x:c r="D59" s="84" t="inlineStr">
        <x:is>
          <x:t xml:space="preserve">render prop behavior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passes manual test</x:t>
        </x:is>
      </x:c>
      <x:c r="H59" s="86" t="inlineStr">
        <x:is>
          <x:t xml:space="preserve">covered</x:t>
        </x:is>
      </x:c>
      <x:c r="I59" s="84" t="inlineStr">
        <x:is>
          <x:t xml:space="preserve">CheckboxGroup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Public API</x:t>
        </x:is>
      </x:c>
      <x:c r="C60" s="84" t="inlineStr">
        <x:is>
          <x:t xml:space="preserve">Item</x:t>
        </x:is>
      </x:c>
      <x:c r="D60" s="84" t="inlineStr">
        <x:is>
          <x:t xml:space="preserve">[data-slot] prop behavior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passes manual test</x:t>
        </x:is>
      </x:c>
      <x:c r="H60" s="86" t="inlineStr">
        <x:is>
          <x:t xml:space="preserve">covered</x:t>
        </x:is>
      </x:c>
      <x:c r="I60" s="84" t="inlineStr">
        <x:is>
          <x:t xml:space="preserve">CheckboxGroup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State</x:t>
        </x:is>
      </x:c>
      <x:c r="C61" s="84" t="inlineStr">
        <x:is>
          <x:t xml:space="preserve">Item</x:t>
        </x:is>
      </x:c>
      <x:c r="D61" s="84" t="inlineStr">
        <x:is>
          <x:t xml:space="preserve">[data-value]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passes manual test</x:t>
        </x:is>
      </x:c>
      <x:c r="H61" s="86" t="inlineStr">
        <x:is>
          <x:t xml:space="preserve">covered</x:t>
        </x:is>
      </x:c>
      <x:c r="I61" s="84" t="inlineStr">
        <x:is>
          <x:t xml:space="preserve">CheckboxGroup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Item</x:t>
        </x:is>
      </x:c>
      <x:c r="D62" s="84" t="inlineStr">
        <x:is>
          <x:t xml:space="preserve">[data-state]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passes manual test</x:t>
        </x:is>
      </x:c>
      <x:c r="H62" s="86" t="inlineStr">
        <x:is>
          <x:t xml:space="preserve">covered</x:t>
        </x:is>
      </x:c>
      <x:c r="I62" s="84" t="inlineStr">
        <x:is>
          <x:t xml:space="preserve">CheckboxGroup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State</x:t>
        </x:is>
      </x:c>
      <x:c r="C63" s="84" t="inlineStr">
        <x:is>
          <x:t xml:space="preserve">Item</x:t>
        </x:is>
      </x:c>
      <x:c r="D63" s="84" t="inlineStr">
        <x:is>
          <x:t xml:space="preserve">[data-disabled]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passes manual test</x:t>
        </x:is>
      </x:c>
      <x:c r="H63" s="86" t="inlineStr">
        <x:is>
          <x:t xml:space="preserve">covered</x:t>
        </x:is>
      </x:c>
      <x:c r="I63" s="84" t="inlineStr">
        <x:is>
          <x:t xml:space="preserve">CheckboxGroup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State</x:t>
        </x:is>
      </x:c>
      <x:c r="C64" s="84" t="inlineStr">
        <x:is>
          <x:t xml:space="preserve">Item</x:t>
        </x:is>
      </x:c>
      <x:c r="D64" s="84" t="inlineStr">
        <x:is>
          <x:t xml:space="preserve">[data-readonly]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passes manual test</x:t>
        </x:is>
      </x:c>
      <x:c r="H64" s="86" t="inlineStr">
        <x:is>
          <x:t xml:space="preserve">covered</x:t>
        </x:is>
      </x:c>
      <x:c r="I64" s="84" t="inlineStr">
        <x:is>
          <x:t xml:space="preserve">CheckboxGroup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State</x:t>
        </x:is>
      </x:c>
      <x:c r="C65" s="84" t="inlineStr">
        <x:is>
          <x:t xml:space="preserve">Item</x:t>
        </x:is>
      </x:c>
      <x:c r="D65" s="84" t="inlineStr">
        <x:is>
          <x:t xml:space="preserve">[data-invalid]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passes manual test</x:t>
        </x:is>
      </x:c>
      <x:c r="H65" s="86" t="inlineStr">
        <x:is>
          <x:t xml:space="preserve">covered</x:t>
        </x:is>
      </x:c>
      <x:c r="I65" s="84" t="inlineStr">
        <x:is>
          <x:t xml:space="preserve">CheckboxGroup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Anatomy</x:t>
        </x:is>
      </x:c>
      <x:c r="C66" s="84" t="inlineStr">
        <x:is>
          <x:t xml:space="preserve">GroupItem</x:t>
        </x:is>
      </x:c>
      <x:c r="D66" s="84" t="inlineStr">
        <x:is>
          <x:t xml:space="preserve">renders correct part when expected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passes manual test</x:t>
        </x:is>
      </x:c>
      <x:c r="H66" s="86" t="inlineStr">
        <x:is>
          <x:t xml:space="preserve">covered</x:t>
        </x:is>
      </x:c>
      <x:c r="I66" s="84" t="inlineStr">
        <x:is>
          <x:t xml:space="preserve">CheckboxGroup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Anatomy</x:t>
        </x:is>
      </x:c>
      <x:c r="C67" s="84" t="inlineStr">
        <x:is>
          <x:t xml:space="preserve">GroupItem</x:t>
        </x:is>
      </x:c>
      <x:c r="D67" s="84" t="inlineStr">
        <x:is>
          <x:t xml:space="preserve">appears in documented order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passes manual test</x:t>
        </x:is>
      </x:c>
      <x:c r="H67" s="86" t="inlineStr">
        <x:is>
          <x:t xml:space="preserve">covered</x:t>
        </x:is>
      </x:c>
      <x:c r="I67" s="84" t="inlineStr">
        <x:is>
          <x:t xml:space="preserve">CheckboxGroup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30" customHeight="1">
      <x:c r="A68" s="73" t="n">
        <x:v>60</x:v>
      </x:c>
      <x:c r="B68" s="84" t="inlineStr">
        <x:is>
          <x:t xml:space="preserve">Identity</x:t>
        </x:is>
      </x:c>
      <x:c r="C68" s="84" t="inlineStr">
        <x:is>
          <x:t xml:space="preserve">GroupItem</x:t>
        </x:is>
      </x:c>
      <x:c r="D68" s="84" t="inlineStr">
        <x:is>
          <x:t xml:space="preserve">default tag is visible in Anatomy/Inspector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passes manual test</x:t>
        </x:is>
      </x:c>
      <x:c r="H68" s="86" t="inlineStr">
        <x:is>
          <x:t xml:space="preserve">covered</x:t>
        </x:is>
      </x:c>
      <x:c r="I68" s="84" t="inlineStr">
        <x:is>
          <x:t xml:space="preserve">CheckboxGroup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Identity</x:t>
        </x:is>
      </x:c>
      <x:c r="C69" s="84" t="inlineStr">
        <x:is>
          <x:t xml:space="preserve">GroupItem</x:t>
        </x:is>
      </x:c>
      <x:c r="D69" s="84" t="inlineStr">
        <x:is>
          <x:t xml:space="preserve">data-slot is present and correct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passes manual test</x:t>
        </x:is>
      </x:c>
      <x:c r="H69" s="86" t="inlineStr">
        <x:is>
          <x:t xml:space="preserve">covered</x:t>
        </x:is>
      </x:c>
      <x:c r="I69" s="84" t="inlineStr">
        <x:is>
          <x:t xml:space="preserve">CheckboxGroup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Props</x:t>
        </x:is>
      </x:c>
      <x:c r="C70" s="84" t="inlineStr">
        <x:is>
          <x:t xml:space="preserve">GroupItem</x:t>
        </x:is>
      </x:c>
      <x:c r="D70" s="84" t="inlineStr">
        <x:is>
          <x:t xml:space="preserve">non-Atom native props pass through with data-prop-check marker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passes manual test</x:t>
        </x:is>
      </x:c>
      <x:c r="H70" s="86" t="inlineStr">
        <x:is>
          <x:t xml:space="preserve">covered</x:t>
        </x:is>
      </x:c>
      <x:c r="I70" s="84" t="inlineStr">
        <x:is>
          <x:t xml:space="preserve">CheckboxGroup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Refs</x:t>
        </x:is>
      </x:c>
      <x:c r="C71" s="84" t="inlineStr">
        <x:is>
          <x:t xml:space="preserve">GroupItem</x:t>
        </x:is>
      </x:c>
      <x:c r="D71" s="84" t="inlineStr">
        <x:is>
          <x:t xml:space="preserve">consumer ref receives the rendered element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passes manual test</x:t>
        </x:is>
      </x:c>
      <x:c r="H71" s="86" t="inlineStr">
        <x:is>
          <x:t xml:space="preserve">covered</x:t>
        </x:is>
      </x:c>
      <x:c r="I71" s="84" t="inlineStr">
        <x:is>
          <x:t xml:space="preserve">CheckboxGroup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ARIA</x:t>
        </x:is>
      </x:c>
      <x:c r="C72" s="84" t="inlineStr">
        <x:is>
          <x:t xml:space="preserve">Live DOM</x:t>
        </x:is>
      </x:c>
      <x:c r="D72" s="84" t="inlineStr">
        <x:is>
          <x:t xml:space="preserve">aria-checked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passes manual test</x:t>
        </x:is>
      </x:c>
      <x:c r="H72" s="86" t="inlineStr">
        <x:is>
          <x:t xml:space="preserve">covered</x:t>
        </x:is>
      </x:c>
      <x:c r="I72" s="84" t="inlineStr">
        <x:is>
          <x:t xml:space="preserve">CheckboxGroup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ARIA</x:t>
        </x:is>
      </x:c>
      <x:c r="C73" s="84" t="inlineStr">
        <x:is>
          <x:t xml:space="preserve">Live DOM</x:t>
        </x:is>
      </x:c>
      <x:c r="D73" s="84" t="inlineStr">
        <x:is>
          <x:t xml:space="preserve">aria-disabled is present at the correct time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passes manual test</x:t>
        </x:is>
      </x:c>
      <x:c r="H73" s="86" t="inlineStr">
        <x:is>
          <x:t xml:space="preserve">covered</x:t>
        </x:is>
      </x:c>
      <x:c r="I73" s="84" t="inlineStr">
        <x:is>
          <x:t xml:space="preserve">CheckboxGroup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ARIA</x:t>
        </x:is>
      </x:c>
      <x:c r="C74" s="84" t="inlineStr">
        <x:is>
          <x:t xml:space="preserve">Live DOM</x:t>
        </x:is>
      </x:c>
      <x:c r="D74" s="84" t="inlineStr">
        <x:is>
          <x:t xml:space="preserve">aria-hidden is present at the correct time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passes manual test</x:t>
        </x:is>
      </x:c>
      <x:c r="H74" s="86" t="inlineStr">
        <x:is>
          <x:t xml:space="preserve">covered</x:t>
        </x:is>
      </x:c>
      <x:c r="I74" s="84" t="inlineStr">
        <x:is>
          <x:t xml:space="preserve">CheckboxGroup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ARIA</x:t>
        </x:is>
      </x:c>
      <x:c r="C75" s="84" t="inlineStr">
        <x:is>
          <x:t xml:space="preserve">Live DOM</x:t>
        </x:is>
      </x:c>
      <x:c r="D75" s="84" t="inlineStr">
        <x:is>
          <x:t xml:space="preserve">aria-invalid is present at the correct time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passes manual test</x:t>
        </x:is>
      </x:c>
      <x:c r="H75" s="86" t="inlineStr">
        <x:is>
          <x:t xml:space="preserve">covered</x:t>
        </x:is>
      </x:c>
      <x:c r="I75" s="84" t="inlineStr">
        <x:is>
          <x:t xml:space="preserve">CheckboxGroup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ARIA</x:t>
        </x:is>
      </x:c>
      <x:c r="C76" s="84" t="inlineStr">
        <x:is>
          <x:t xml:space="preserve">Live DOM</x:t>
        </x:is>
      </x:c>
      <x:c r="D76" s="84" t="inlineStr">
        <x:is>
          <x:t xml:space="preserve">aria-label is present at the correct time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passes manual test</x:t>
        </x:is>
      </x:c>
      <x:c r="H76" s="86" t="inlineStr">
        <x:is>
          <x:t xml:space="preserve">covered</x:t>
        </x:is>
      </x:c>
      <x:c r="I76" s="84" t="inlineStr">
        <x:is>
          <x:t xml:space="preserve">CheckboxGroup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ARIA</x:t>
        </x:is>
      </x:c>
      <x:c r="C77" s="84" t="inlineStr">
        <x:is>
          <x:t xml:space="preserve">Live DOM</x:t>
        </x:is>
      </x:c>
      <x:c r="D77" s="84" t="inlineStr">
        <x:is>
          <x:t xml:space="preserve">aria-readonly is present at the correct time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passes manual test</x:t>
        </x:is>
      </x:c>
      <x:c r="H77" s="86" t="inlineStr">
        <x:is>
          <x:t xml:space="preserve">covered</x:t>
        </x:is>
      </x:c>
      <x:c r="I77" s="84" t="inlineStr">
        <x:is>
          <x:t xml:space="preserve">CheckboxGroup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ARIA</x:t>
        </x:is>
      </x:c>
      <x:c r="C78" s="84" t="inlineStr">
        <x:is>
          <x:t xml:space="preserve">Live DOM</x:t>
        </x:is>
      </x:c>
      <x:c r="D78" s="84" t="inlineStr">
        <x:is>
          <x:t xml:space="preserve">aria-required is present at the correct time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passes manual test</x:t>
        </x:is>
      </x:c>
      <x:c r="H78" s="86" t="inlineStr">
        <x:is>
          <x:t xml:space="preserve">covered</x:t>
        </x:is>
      </x:c>
      <x:c r="I78" s="84" t="inlineStr">
        <x:is>
          <x:t xml:space="preserve">CheckboxGroup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Data</x:t>
        </x:is>
      </x:c>
      <x:c r="C79" s="84" t="inlineStr">
        <x:is>
          <x:t xml:space="preserve">Live DOM</x:t>
        </x:is>
      </x:c>
      <x:c r="D79" s="84" t="inlineStr">
        <x:is>
          <x:t xml:space="preserve">data-disabled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passes manual test</x:t>
        </x:is>
      </x:c>
      <x:c r="H79" s="86" t="inlineStr">
        <x:is>
          <x:t xml:space="preserve">covered</x:t>
        </x:is>
      </x:c>
      <x:c r="I79" s="84" t="inlineStr">
        <x:is>
          <x:t xml:space="preserve">CheckboxGroup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Data</x:t>
        </x:is>
      </x:c>
      <x:c r="C80" s="84" t="inlineStr">
        <x:is>
          <x:t xml:space="preserve">Live DOM</x:t>
        </x:is>
      </x:c>
      <x:c r="D80" s="84" t="inlineStr">
        <x:is>
          <x:t xml:space="preserve">data-invalid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passes manual test</x:t>
        </x:is>
      </x:c>
      <x:c r="H80" s="86" t="inlineStr">
        <x:is>
          <x:t xml:space="preserve">covered</x:t>
        </x:is>
      </x:c>
      <x:c r="I80" s="84" t="inlineStr">
        <x:is>
          <x:t xml:space="preserve">CheckboxGroup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Data</x:t>
        </x:is>
      </x:c>
      <x:c r="C81" s="84" t="inlineStr">
        <x:is>
          <x:t xml:space="preserve">Live DOM</x:t>
        </x:is>
      </x:c>
      <x:c r="D81" s="84" t="inlineStr">
        <x:is>
          <x:t xml:space="preserve">data-orientation is present at the correct time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passes manual test</x:t>
        </x:is>
      </x:c>
      <x:c r="H81" s="86" t="inlineStr">
        <x:is>
          <x:t xml:space="preserve">covered</x:t>
        </x:is>
      </x:c>
      <x:c r="I81" s="84" t="inlineStr">
        <x:is>
          <x:t xml:space="preserve">CheckboxGroup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Data</x:t>
        </x:is>
      </x:c>
      <x:c r="C82" s="84" t="inlineStr">
        <x:is>
          <x:t xml:space="preserve">Live DOM</x:t>
        </x:is>
      </x:c>
      <x:c r="D82" s="84" t="inlineStr">
        <x:is>
          <x:t xml:space="preserve">data-readonly is present at the correct time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passes manual test</x:t>
        </x:is>
      </x:c>
      <x:c r="H82" s="86" t="inlineStr">
        <x:is>
          <x:t xml:space="preserve">covered</x:t>
        </x:is>
      </x:c>
      <x:c r="I82" s="84" t="inlineStr">
        <x:is>
          <x:t xml:space="preserve">CheckboxGroup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Data</x:t>
        </x:is>
      </x:c>
      <x:c r="C83" s="84" t="inlineStr">
        <x:is>
          <x:t xml:space="preserve">Live DOM</x:t>
        </x:is>
      </x:c>
      <x:c r="D83" s="84" t="inlineStr">
        <x:is>
          <x:t xml:space="preserve">data-slot is present at the correct time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passes manual test</x:t>
        </x:is>
      </x:c>
      <x:c r="H83" s="86" t="inlineStr">
        <x:is>
          <x:t xml:space="preserve">covered</x:t>
        </x:is>
      </x:c>
      <x:c r="I83" s="84" t="inlineStr">
        <x:is>
          <x:t xml:space="preserve">CheckboxGroup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Data</x:t>
        </x:is>
      </x:c>
      <x:c r="C84" s="84" t="inlineStr">
        <x:is>
          <x:t xml:space="preserve">Live DOM</x:t>
        </x:is>
      </x:c>
      <x:c r="D84" s="84" t="inlineStr">
        <x:is>
          <x:t xml:space="preserve">data-state is present at the correct time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passes manual test</x:t>
        </x:is>
      </x:c>
      <x:c r="H84" s="86" t="inlineStr">
        <x:is>
          <x:t xml:space="preserve">covered</x:t>
        </x:is>
      </x:c>
      <x:c r="I84" s="84" t="inlineStr">
        <x:is>
          <x:t xml:space="preserve">CheckboxGroup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Data</x:t>
        </x:is>
      </x:c>
      <x:c r="C85" s="84" t="inlineStr">
        <x:is>
          <x:t xml:space="preserve">Live DOM</x:t>
        </x:is>
      </x:c>
      <x:c r="D85" s="84" t="inlineStr">
        <x:is>
          <x:t xml:space="preserve">data-value is present at the correct time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passes manual test</x:t>
        </x:is>
      </x:c>
      <x:c r="H85" s="86" t="inlineStr">
        <x:is>
          <x:t xml:space="preserve">covered</x:t>
        </x:is>
      </x:c>
      <x:c r="I85" s="84" t="inlineStr">
        <x:is>
          <x:t xml:space="preserve">CheckboxGroup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30" customHeight="1">
      <x:c r="A86" s="73" t="n">
        <x:v>78</x:v>
      </x:c>
      <x:c r="B86" s="84" t="inlineStr">
        <x:is>
          <x:t xml:space="preserve">Composition</x:t>
        </x:is>
      </x:c>
      <x:c r="C86" s="84" t="inlineStr">
        <x:is>
          <x:t xml:space="preserve">CheckboxGroup</x:t>
        </x:is>
      </x:c>
      <x:c r="D86" s="84" t="inlineStr">
        <x:is>
          <x:t xml:space="preserve">asChild preserves child content without double nesting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passes manual test</x:t>
        </x:is>
      </x:c>
      <x:c r="H86" s="86" t="inlineStr">
        <x:is>
          <x:t xml:space="preserve">covered</x:t>
        </x:is>
      </x:c>
      <x:c r="I86" s="84" t="inlineStr">
        <x:is>
          <x:t xml:space="preserve">CheckboxGroup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Composition</x:t>
        </x:is>
      </x:c>
      <x:c r="C87" s="84" t="inlineStr">
        <x:is>
          <x:t xml:space="preserve">CheckboxGroup</x:t>
        </x:is>
      </x:c>
      <x:c r="D87" s="84" t="inlineStr">
        <x:is>
          <x:t xml:space="preserve">asChild merges Atom props and consumer props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passes manual test</x:t>
        </x:is>
      </x:c>
      <x:c r="H87" s="86" t="inlineStr">
        <x:is>
          <x:t xml:space="preserve">covered</x:t>
        </x:is>
      </x:c>
      <x:c r="I87" s="84" t="inlineStr">
        <x:is>
          <x:t xml:space="preserve">CheckboxGroup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Composition</x:t>
        </x:is>
      </x:c>
      <x:c r="C88" s="84" t="inlineStr">
        <x:is>
          <x:t xml:space="preserve">CheckboxGroup</x:t>
        </x:is>
      </x:c>
      <x:c r="D88" s="84" t="inlineStr">
        <x:is>
          <x:t xml:space="preserve">asChild lets preventDefault block Atom behavior where supported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passes manual test</x:t>
        </x:is>
      </x:c>
      <x:c r="H88" s="86" t="inlineStr">
        <x:is>
          <x:t xml:space="preserve">covered</x:t>
        </x:is>
      </x:c>
      <x:c r="I88" s="84" t="inlineStr">
        <x:is>
          <x:t xml:space="preserve">CheckboxGroup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Composition</x:t>
        </x:is>
      </x:c>
      <x:c r="C89" s="84" t="inlineStr">
        <x:is>
          <x:t xml:space="preserve">CheckboxGroup</x:t>
        </x:is>
      </x:c>
      <x:c r="D89" s="84" t="inlineStr">
        <x:is>
          <x:t xml:space="preserve">render prop renders custom element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passes manual test</x:t>
        </x:is>
      </x:c>
      <x:c r="H89" s="86" t="inlineStr">
        <x:is>
          <x:t xml:space="preserve">covered</x:t>
        </x:is>
      </x:c>
      <x:c r="I89" s="84" t="inlineStr">
        <x:is>
          <x:t xml:space="preserve">CheckboxGroup playground scenario.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Composition</x:t>
        </x:is>
      </x:c>
      <x:c r="C90" s="84" t="inlineStr">
        <x:is>
          <x:t xml:space="preserve">CheckboxGroup</x:t>
        </x:is>
      </x:c>
      <x:c r="D90" s="84" t="inlineStr">
        <x:is>
          <x:t xml:space="preserve">render prop preserves refs and behavior props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passes manual test</x:t>
        </x:is>
      </x:c>
      <x:c r="H90" s="86" t="inlineStr">
        <x:is>
          <x:t xml:space="preserve">covered</x:t>
        </x:is>
      </x:c>
      <x:c r="I90" s="84" t="inlineStr">
        <x:is>
          <x:t xml:space="preserve">CheckboxGroup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State</x:t>
        </x:is>
      </x:c>
      <x:c r="C91" s="84" t="inlineStr">
        <x:is>
          <x:t xml:space="preserve">Root</x:t>
        </x:is>
      </x:c>
      <x:c r="D91" s="84" t="inlineStr">
        <x:is>
          <x:t xml:space="preserve">controlled state path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passes manual test</x:t>
        </x:is>
      </x:c>
      <x:c r="H91" s="86" t="inlineStr">
        <x:is>
          <x:t xml:space="preserve">covered</x:t>
        </x:is>
      </x:c>
      <x:c r="I91" s="84" t="inlineStr">
        <x:is>
          <x:t xml:space="preserve">CheckboxGroup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30" customHeight="1">
      <x:c r="A92" s="73" t="n">
        <x:v>84</x:v>
      </x:c>
      <x:c r="B92" s="84" t="inlineStr">
        <x:is>
          <x:t xml:space="preserve">State</x:t>
        </x:is>
      </x:c>
      <x:c r="C92" s="84" t="inlineStr">
        <x:is>
          <x:t xml:space="preserve">Root</x:t>
        </x:is>
      </x:c>
      <x:c r="D92" s="84" t="inlineStr">
        <x:is>
          <x:t xml:space="preserve">uncontrolled default state path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passes manual test</x:t>
        </x:is>
      </x:c>
      <x:c r="H92" s="86" t="inlineStr">
        <x:is>
          <x:t xml:space="preserve">covered</x:t>
        </x:is>
      </x:c>
      <x:c r="I92" s="84" t="inlineStr">
        <x:is>
          <x:t xml:space="preserve">CheckboxGroup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30" customHeight="1">
      <x:c r="A93" s="73" t="n">
        <x:v>85</x:v>
      </x:c>
      <x:c r="B93" s="84" t="inlineStr">
        <x:is>
          <x:t xml:space="preserve">State</x:t>
        </x:is>
      </x:c>
      <x:c r="C93" s="84" t="inlineStr">
        <x:is>
          <x:t xml:space="preserve">Root</x:t>
        </x:is>
      </x:c>
      <x:c r="D93" s="84" t="inlineStr">
        <x:is>
          <x:t xml:space="preserve">state change callback fires once with correct value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passes manual test</x:t>
        </x:is>
      </x:c>
      <x:c r="H93" s="86" t="inlineStr">
        <x:is>
          <x:t xml:space="preserve">covered</x:t>
        </x:is>
      </x:c>
      <x:c r="I93" s="84" t="inlineStr">
        <x:is>
          <x:t xml:space="preserve">CheckboxGroup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30" customHeight="1">
      <x:c r="A94" s="73" t="n">
        <x:v>86</x:v>
      </x:c>
      <x:c r="B94" s="84" t="inlineStr">
        <x:is>
          <x:t xml:space="preserve">State</x:t>
        </x:is>
      </x:c>
      <x:c r="C94" s="84" t="inlineStr">
        <x:is>
          <x:t xml:space="preserve">CheckboxGroup</x:t>
        </x:is>
      </x:c>
      <x:c r="D94" s="84" t="inlineStr">
        <x:is>
          <x:t xml:space="preserve">disabled state blocks or exposes behavior correctly where supported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passes manual test</x:t>
        </x:is>
      </x:c>
      <x:c r="H94" s="86" t="inlineStr">
        <x:is>
          <x:t xml:space="preserve">covered</x:t>
        </x:is>
      </x:c>
      <x:c r="I94" s="84" t="inlineStr">
        <x:is>
          <x:t xml:space="preserve">CheckboxGroup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30" customHeight="1">
      <x:c r="A95" s="73" t="n">
        <x:v>87</x:v>
      </x:c>
      <x:c r="B95" s="84" t="inlineStr">
        <x:is>
          <x:t xml:space="preserve">State</x:t>
        </x:is>
      </x:c>
      <x:c r="C95" s="84" t="inlineStr">
        <x:is>
          <x:t xml:space="preserve">CheckboxGroup</x:t>
        </x:is>
      </x:c>
      <x:c r="D95" s="84" t="inlineStr">
        <x:is>
          <x:t xml:space="preserve">readonly/readOnly state blocks or exposes behavior correctly where supported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passes manual test</x:t>
        </x:is>
      </x:c>
      <x:c r="H95" s="86" t="inlineStr">
        <x:is>
          <x:t xml:space="preserve">covered</x:t>
        </x:is>
      </x:c>
      <x:c r="I95" s="84" t="inlineStr">
        <x:is>
          <x:t xml:space="preserve">CheckboxGroup playground scenario.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State</x:t>
        </x:is>
      </x:c>
      <x:c r="C96" s="84" t="inlineStr">
        <x:is>
          <x:t xml:space="preserve">CheckboxGroup</x:t>
        </x:is>
      </x:c>
      <x:c r="D96" s="84" t="inlineStr">
        <x:is>
          <x:t xml:space="preserve">required state blocks or exposes behavior correctly where supported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passes manual test</x:t>
        </x:is>
      </x:c>
      <x:c r="H96" s="86" t="inlineStr">
        <x:is>
          <x:t xml:space="preserve">covered</x:t>
        </x:is>
      </x:c>
      <x:c r="I96" s="84" t="inlineStr">
        <x:is>
          <x:t xml:space="preserve">CheckboxGroup playground scenario.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30" customHeight="1">
      <x:c r="A97" s="73" t="n">
        <x:v>89</x:v>
      </x:c>
      <x:c r="B97" s="84" t="inlineStr">
        <x:is>
          <x:t xml:space="preserve">State</x:t>
        </x:is>
      </x:c>
      <x:c r="C97" s="84" t="inlineStr">
        <x:is>
          <x:t xml:space="preserve">CheckboxGroup</x:t>
        </x:is>
      </x:c>
      <x:c r="D97" s="84" t="inlineStr">
        <x:is>
          <x:t xml:space="preserve">invalid state blocks or exposes behavior correctly where supported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passes manual test</x:t>
        </x:is>
      </x:c>
      <x:c r="H97" s="86" t="inlineStr">
        <x:is>
          <x:t xml:space="preserve">covered</x:t>
        </x:is>
      </x:c>
      <x:c r="I97" s="84" t="inlineStr">
        <x:is>
          <x:t xml:space="preserve">CheckboxGroup playground scenario.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Forms</x:t>
        </x:is>
      </x:c>
      <x:c r="C98" s="84" t="inlineStr">
        <x:is>
          <x:t xml:space="preserve">CheckboxGroup</x:t>
        </x:is>
      </x:c>
      <x:c r="D98" s="84" t="inlineStr">
        <x:is>
          <x:t xml:space="preserve">form value participates correctly where supported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passes manual test</x:t>
        </x:is>
      </x:c>
      <x:c r="H98" s="86" t="inlineStr">
        <x:is>
          <x:t xml:space="preserve">covered</x:t>
        </x:is>
      </x:c>
      <x:c r="I98" s="84" t="inlineStr">
        <x:is>
          <x:t xml:space="preserve">CheckboxGroup playground scenario.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Forms</x:t>
        </x:is>
      </x:c>
      <x:c r="C99" s="84" t="inlineStr">
        <x:is>
          <x:t xml:space="preserve">CheckboxGroup</x:t>
        </x:is>
      </x:c>
      <x:c r="D99" s="84" t="inlineStr">
        <x:is>
          <x:t xml:space="preserve">hidden input mirrors value/checked/disabled where supported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passes manual test</x:t>
        </x:is>
      </x:c>
      <x:c r="H99" s="86" t="inlineStr">
        <x:is>
          <x:t xml:space="preserve">covered</x:t>
        </x:is>
      </x:c>
      <x:c r="I99" s="84" t="inlineStr">
        <x:is>
          <x:t xml:space="preserve">CheckboxGroup playground scenario.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Keyboard</x:t>
        </x:is>
      </x:c>
      <x:c r="C100" s="84" t="inlineStr">
        <x:is>
          <x:t xml:space="preserve">CheckboxGroup</x:t>
        </x:is>
      </x:c>
      <x:c r="D100" s="84" t="inlineStr">
        <x:is>
          <x:t xml:space="preserve">  behavior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passes manual test</x:t>
        </x:is>
      </x:c>
      <x:c r="H100" s="86" t="inlineStr">
        <x:is>
          <x:t xml:space="preserve">covered</x:t>
        </x:is>
      </x:c>
      <x:c r="I100" s="84" t="inlineStr">
        <x:is>
          <x:t xml:space="preserve">CheckboxGroup playground scenario.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Keyboard</x:t>
        </x:is>
      </x:c>
      <x:c r="C101" s="84" t="inlineStr">
        <x:is>
          <x:t xml:space="preserve">CheckboxGroup</x:t>
        </x:is>
      </x:c>
      <x:c r="D101" s="84" t="inlineStr">
        <x:is>
          <x:t xml:space="preserve">Enter behavior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passes manual test</x:t>
        </x:is>
      </x:c>
      <x:c r="H101" s="86" t="inlineStr">
        <x:is>
          <x:t xml:space="preserve">covered</x:t>
        </x:is>
      </x:c>
      <x:c r="I101" s="84" t="inlineStr">
        <x:is>
          <x:t xml:space="preserve">CheckboxGroup playground scenario.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Keyboard</x:t>
        </x:is>
      </x:c>
      <x:c r="C102" s="84" t="inlineStr">
        <x:is>
          <x:t xml:space="preserve">CheckboxGroup</x:t>
        </x:is>
      </x:c>
      <x:c r="D102" s="84" t="inlineStr">
        <x:is>
          <x:t xml:space="preserve">Arrow key navigation follows documented orientation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passes manual test</x:t>
        </x:is>
      </x:c>
      <x:c r="H102" s="86" t="inlineStr">
        <x:is>
          <x:t xml:space="preserve">covered</x:t>
        </x:is>
      </x:c>
      <x:c r="I102" s="84" t="inlineStr">
        <x:is>
          <x:t xml:space="preserve">CheckboxGroup playground scenario.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Keyboard</x:t>
        </x:is>
      </x:c>
      <x:c r="C103" s="84" t="inlineStr">
        <x:is>
          <x:t xml:space="preserve">CheckboxGroup</x:t>
        </x:is>
      </x:c>
      <x:c r="D103" s="84" t="inlineStr">
        <x:is>
          <x:t xml:space="preserve">Home and End navigation where supported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passes manual test</x:t>
        </x:is>
      </x:c>
      <x:c r="H103" s="86" t="inlineStr">
        <x:is>
          <x:t xml:space="preserve">covered</x:t>
        </x:is>
      </x:c>
      <x:c r="I103" s="84" t="inlineStr">
        <x:is>
          <x:t xml:space="preserve">CheckboxGroup playground scenario.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Keyboard</x:t>
        </x:is>
      </x:c>
      <x:c r="C104" s="84" t="inlineStr">
        <x:is>
          <x:t xml:space="preserve">CheckboxGroup</x:t>
        </x:is>
      </x:c>
      <x:c r="D104" s="84" t="inlineStr">
        <x:is>
          <x:t xml:space="preserve">disabled items are skipped or exposed according to pattern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passes manual test</x:t>
        </x:is>
      </x:c>
      <x:c r="H104" s="86" t="inlineStr">
        <x:is>
          <x:t xml:space="preserve">covered</x:t>
        </x:is>
      </x:c>
      <x:c r="I104" s="84" t="inlineStr">
        <x:is>
          <x:t xml:space="preserve">CheckboxGroup playground scenario.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Keyboard</x:t>
        </x:is>
      </x:c>
      <x:c r="C105" s="84" t="inlineStr">
        <x:is>
          <x:t xml:space="preserve">CheckboxGroup</x:t>
        </x:is>
      </x:c>
      <x:c r="D105" s="84" t="inlineStr">
        <x:is>
          <x:t xml:space="preserve">typeahead/search behavior where supported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passes manual test</x:t>
        </x:is>
      </x:c>
      <x:c r="H105" s="86" t="inlineStr">
        <x:is>
          <x:t xml:space="preserve">covered</x:t>
        </x:is>
      </x:c>
      <x:c r="I105" s="84" t="inlineStr">
        <x:is>
          <x:t xml:space="preserve">CheckboxGroup playground scenario.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Focus</x:t>
        </x:is>
      </x:c>
      <x:c r="C106" s="84" t="inlineStr">
        <x:is>
          <x:t xml:space="preserve">CheckboxGroup</x:t>
        </x:is>
      </x:c>
      <x:c r="D106" s="84" t="inlineStr">
        <x:is>
          <x:t xml:space="preserve">roving focus or active descendant state is visible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passes manual test</x:t>
        </x:is>
      </x:c>
      <x:c r="H106" s="86" t="inlineStr">
        <x:is>
          <x:t xml:space="preserve">covered</x:t>
        </x:is>
      </x:c>
      <x:c r="I106" s="84" t="inlineStr">
        <x:is>
          <x:t xml:space="preserve">CheckboxGroup playground scenario.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Forms</x:t>
        </x:is>
      </x:c>
      <x:c r="C107" s="84" t="inlineStr">
        <x:is>
          <x:t xml:space="preserve">Root</x:t>
        </x:is>
      </x:c>
      <x:c r="D107" s="84" t="inlineStr">
        <x:is>
          <x:t xml:space="preserve">Fieldset inheritance, repeated-name FormData, one-or-more required validity, and reset</x:t>
        </x:is>
      </x:c>
      <x:c r="E107" s="76" t="inlineStr">
        <x:is>
          <x:t xml:space="preserve">yes</x:t>
        </x:is>
      </x:c>
      <x:c r="F107" s="85" t="inlineStr">
        <x:is>
          <x:t xml:space="preserve">no</x:t>
        </x:is>
      </x:c>
      <x:c r="G107" s="73" t="inlineStr">
        <x:is>
          <x:t xml:space="preserve">automated tests pass; manual pending</x:t>
        </x:is>
      </x:c>
      <x:c r="H107" s="86" t="inlineStr">
        <x:is>
          <x:t xml:space="preserve">untested</x:t>
        </x:is>
      </x:c>
      <x:c r="I107" s="84" t="inlineStr">
        <x:is>
          <x:t xml:space="preserve">Form &gt; Control: Foundation plus the component scenario and automated package tests.</x:t>
        </x:is>
      </x:c>
      <x:c r="J107" s="84" t="inlineStr">
        <x:is>
          <x:t xml:space="preserve">Run and review the form-foundation manual protocol.</x:t>
        </x:is>
      </x:c>
      <x:c r="K107" s="87" t="n">
        <x:f>IF(AND(E107="yes",F107="yes",H107="covered"),1,IF(H107="partial",0.5,0))</x:f>
        <x:v>0</x:v>
      </x:c>
    </x:row>
    <x:row r="108" s="51" customFormat="1" ht="15" customHeight="1">
      <x:c r="A108" s="73" t="n">
        <x:v>100</x:v>
      </x:c>
      <x:c r="B108" s="84" t="inlineStr">
        <x:is>
          <x:t xml:space="preserve">Validation</x:t>
        </x:is>
      </x:c>
      <x:c r="C108" s="84" t="inlineStr">
        <x:is>
          <x:t xml:space="preserve">Root/Items</x:t>
        </x:is>
      </x:c>
      <x:c r="D108" s="84" t="inlineStr">
        <x:is>
          <x:t xml:space="preserve">one-or-more required failure produces one group error and first-enabled-item focus</x:t>
        </x:is>
      </x:c>
      <x:c r="E108" s="76" t="inlineStr">
        <x:is>
          <x:t xml:space="preserve">yes</x:t>
        </x:is>
      </x:c>
      <x:c r="F108" s="85" t="inlineStr">
        <x:is>
          <x:t xml:space="preserve">no</x:t>
        </x:is>
      </x:c>
      <x:c r="G108" s="73" t="inlineStr">
        <x:is>
          <x:t xml:space="preserve">automated tests pass; manual pending</x:t>
        </x:is>
      </x:c>
      <x:c r="H108" s="86" t="inlineStr">
        <x:is>
          <x:t xml:space="preserve">untested</x:t>
        </x:is>
      </x:c>
      <x:c r="I108" s="84" t="inlineStr">
        <x:is>
          <x:t xml:space="preserve">Form &gt; Control: Foundation and automated Atom validation tests.</x:t>
        </x:is>
      </x:c>
      <x:c r="J108" s="84" t="inlineStr">
        <x:is>
          <x:t xml:space="preserve">Run and review the updated form-foundation validation steps.</x:t>
        </x:is>
      </x:c>
      <x:c r="K108" s="87" t="n">
        <x:f>IF(AND(E108="yes",F108="yes",H108="covered"),1,IF(H108="partial",0.5,0))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Collapsible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0.9054054054054054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67</x:v>
      </x:c>
      <x:c r="E4" s="70" t="inlineStr">
        <x:is>
          <x:t xml:space="preserve">Partial</x:t>
        </x:is>
      </x:c>
      <x:c r="F4" s="82" t="n">
        <x:f>COUNTIFS(A9:A1000,"&lt;&gt;",H9:H1000,"partial")</x:f>
        <x:v>7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7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Props toolbar exposes Prop Check; raw Data verifies data-prop-check is absent by default and present when enabled.</x:t>
        </x:is>
      </x:c>
      <x:c r="J9" s="90" t="n"/>
      <x:c r="K9" s="87" t="n">
        <x:f>IF(AND(E9="yes",F9="yes",H9="covered"),1,IF(H9="partial",0.5,0))</x:f>
        <x:v>1</x:v>
      </x:c>
    </x:row>
    <x:row r="10" s="51" customFormat="1" ht="4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Props toolbar exposes Root, Trigger, and Content custom slot toggles; raw Data verifies custom data-slot values.</x:t>
        </x:is>
      </x:c>
      <x:c r="J10" s="90" t="n"/>
      <x:c r="K10" s="87" t="n">
        <x:f>IF(AND(E10="yes",F10="yes",H10="covered"),1,IF(H10="partial",0.5,0))</x:f>
        <x:v>1</x:v>
      </x:c>
    </x:row>
    <x:row r="11" s="51" customFormat="1" ht="4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Collapsible</x:t>
        </x:is>
      </x:c>
      <x:c r="D11" s="84" t="inlineStr">
        <x:is>
          <x:t xml:space="preserve">scenario is reachable from top menu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Step 0 smoke check verified top menu reachability.</x:t>
        </x:is>
      </x:c>
      <x:c r="J11" s="90" t="n"/>
      <x:c r="K11" s="87" t="n">
        <x:f>IF(AND(E11="yes",F11="yes",H11="covered"),1,IF(H11="partial",0.5,0))</x:f>
        <x:v>1</x:v>
      </x:c>
    </x:row>
    <x:row r="12" s="51" customFormat="1" ht="4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Collapsible</x:t>
        </x:is>
      </x:c>
      <x:c r="D12" s="84" t="inlineStr">
        <x:is>
          <x:t xml:space="preserve">canvas source reflects current toggles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Step 5 verified Source updates for state, composition, props, slots, and blocked trigger behavior.</x:t>
        </x:is>
      </x:c>
      <x:c r="J12" s="90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Collapsible</x:t>
        </x:is>
      </x:c>
      <x:c r="D13" s="84" t="inlineStr">
        <x:is>
          <x:t xml:space="preserve">anatomy uses live DOM attributes, ARIA, and data groups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Anatomy exposes live Attributes, ARIA, and Data groups for Root, Trigger, and Content.</x:t>
        </x:is>
      </x:c>
      <x:c r="J13" s="90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Collapsible</x:t>
        </x:is>
      </x:c>
      <x:c r="D14" s="84" t="inlineStr">
        <x:is>
          <x:t xml:space="preserve">inspector selected/focused/logs work for this scenario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Inspector Selected, Focused, and Logs verified for Collapsible.</x:t>
        </x:is>
      </x:c>
      <x:c r="J14" s="90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Collapsible</x:t>
        </x:is>
      </x:c>
      <x:c r="D15" s="84" t="inlineStr">
        <x:is>
          <x:t xml:space="preserve">Supports controlled and uncontrolled open state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Collapsible manual protocol in manual-tests/collapsible.md.</x:t>
        </x:is>
      </x:c>
      <x:c r="J15" s="90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Collapsible</x:t>
        </x:is>
      </x:c>
      <x:c r="D16" s="84" t="inlineStr">
        <x:is>
          <x:t xml:space="preserve">Links trigger and content with stable ARIA IDs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Trigger aria-controls matches rendered Content id; Content aria-labelledby matches Trigger id.</x:t>
        </x:is>
      </x:c>
      <x:c r="J16" s="90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Collapsible</x:t>
        </x:is>
      </x:c>
      <x:c r="D17" s="84" t="inlineStr">
        <x:is>
          <x:t xml:space="preserve">Supports mounted and unmounted closed content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Collapsible manual protocol in manual-tests/collapsible.md.</x:t>
        </x:is>
      </x:c>
      <x:c r="J17" s="90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Collapsible</x:t>
        </x:is>
      </x:c>
      <x:c r="D18" s="84" t="inlineStr">
        <x:is>
          <x:t xml:space="preserve">Exposes measured content height for CSS animation</x:t>
        </x:is>
      </x:c>
      <x:c r="E18" s="89" t="inlineStr">
        <x:is>
          <x:t xml:space="preserve">yes</x:t>
        </x:is>
      </x:c>
      <x:c r="F18" s="89" t="str">
        <x:v>no</x:v>
      </x:c>
      <x:c r="G18" s="89" t="str">
        <x:v>manual recheck pending</x:v>
      </x:c>
      <x:c r="H18" s="89" t="str">
        <x:v>partial</x:v>
      </x:c>
      <x:c r="I18" s="90" t="str">
        <x:v>Measured size and responsive animation: /__tests/resize-lifecycle; test/browser/resize-lifecycle.spec.ts</x:v>
      </x:c>
      <x:c r="J18" s="90" t="str">
        <x:v>Repeat manual resize lifecycle protocol after observer scheduling change.</x:v>
      </x:c>
      <x:c r="K18" s="87" t="n">
        <x:f>IF(AND(E18="yes",F18="yes",H18="covered"),1,IF(H18="partial",0.5,0))</x:f>
        <x:v>0.5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Collapsible</x:t>
        </x:is>
      </x:c>
      <x:c r="D19" s="84" t="inlineStr">
        <x:is>
          <x:t xml:space="preserve">Supports `asChild` and `render` on every part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Collapsible manual protocol in manual-tests/collapsible.md.</x:t>
        </x:is>
      </x:c>
      <x:c r="J19" s="90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Collapsible manual protocol in manual-tests/collapsible.md.</x:t>
        </x:is>
      </x:c>
      <x:c r="J20" s="90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Collapsible manual protocol in manual-tests/collapsible.md.</x:t>
        </x:is>
      </x:c>
      <x:c r="J21" s="90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Collapsible manual protocol in manual-tests/collapsible.md.</x:t>
        </x:is>
      </x:c>
      <x:c r="J22" s="90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Collapsible manual protocol in manual-tests/collapsible.md.</x:t>
        </x:is>
      </x:c>
      <x:c r="J23" s="90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Root data-prop-check verified in raw Data only when Prop Check is enabled.</x:t>
        </x:is>
      </x:c>
      <x:c r="J24" s="90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Root ref verified through Anatomy Ref target row.</x:t>
        </x:is>
      </x:c>
      <x:c r="J25" s="90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Composition</x:t>
        </x:is>
      </x:c>
      <x:c r="C26" s="84" t="inlineStr">
        <x:is>
          <x:t xml:space="preserve">Root</x:t>
        </x:is>
      </x:c>
      <x:c r="D26" s="84" t="inlineStr">
        <x:is>
          <x:t xml:space="preserve">asChild prop behavior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Collapsible manual protocol in manual-tests/collapsible.md.</x:t>
        </x:is>
      </x:c>
      <x:c r="J26" s="90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Composition</x:t>
        </x:is>
      </x:c>
      <x:c r="C27" s="84" t="inlineStr">
        <x:is>
          <x:t xml:space="preserve">Root</x:t>
        </x:is>
      </x:c>
      <x:c r="D27" s="84" t="inlineStr">
        <x:is>
          <x:t xml:space="preserve">render prop behavior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Collapsible manual protocol in manual-tests/collapsible.md.</x:t>
        </x:is>
      </x:c>
      <x:c r="J27" s="90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open prop behavior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Collapsible manual protocol in manual-tests/collapsible.md.</x:t>
        </x:is>
      </x:c>
      <x:c r="J28" s="90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defaultOpen prop behavior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Collapsible manual protocol in manual-tests/collapsible.md.</x:t>
        </x:is>
      </x:c>
      <x:c r="J29" s="90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onOpenChange prop behavior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Collapsible manual protocol in manual-tests/collapsible.md.</x:t>
        </x:is>
      </x:c>
      <x:c r="J30" s="90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disabled prop behavior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Collapsible manual protocol in manual-tests/collapsible.md.</x:t>
        </x:is>
      </x:c>
      <x:c r="J31" s="90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[data-slot] prop behavior</x:t>
        </x:is>
      </x:c>
      <x:c r="E32" s="89" t="inlineStr">
        <x:is>
          <x:t xml:space="preserve">yes</x:t>
        </x:is>
      </x:c>
      <x:c r="F32" s="89" t="inlineStr">
        <x:is>
          <x:t xml:space="preserve">yes</x:t>
        </x:is>
      </x:c>
      <x:c r="G32" s="89" t="inlineStr">
        <x:is>
          <x:t xml:space="preserve">passed</x:t>
        </x:is>
      </x:c>
      <x:c r="H32" s="89" t="inlineStr">
        <x:is>
          <x:t xml:space="preserve">covered</x:t>
        </x:is>
      </x:c>
      <x:c r="I32" s="90" t="inlineStr">
        <x:is>
          <x:t xml:space="preserve">Collapsible manual protocol in manual-tests/collapsible.md.</x:t>
        </x:is>
      </x:c>
      <x:c r="J32" s="90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[data-state] prop behavior</x:t>
        </x:is>
      </x:c>
      <x:c r="E33" s="89" t="inlineStr">
        <x:is>
          <x:t xml:space="preserve">yes</x:t>
        </x:is>
      </x:c>
      <x:c r="F33" s="89" t="inlineStr">
        <x:is>
          <x:t xml:space="preserve">yes</x:t>
        </x:is>
      </x:c>
      <x:c r="G33" s="89" t="inlineStr">
        <x:is>
          <x:t xml:space="preserve">passed</x:t>
        </x:is>
      </x:c>
      <x:c r="H33" s="89" t="inlineStr">
        <x:is>
          <x:t xml:space="preserve">covered</x:t>
        </x:is>
      </x:c>
      <x:c r="I33" s="90" t="inlineStr">
        <x:is>
          <x:t xml:space="preserve">Collapsible manual protocol in manual-tests/collapsible.md.</x:t>
        </x:is>
      </x:c>
      <x:c r="J33" s="90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[data-disabled] prop behavior</x:t>
        </x:is>
      </x:c>
      <x:c r="E34" s="89" t="inlineStr">
        <x:is>
          <x:t xml:space="preserve">yes</x:t>
        </x:is>
      </x:c>
      <x:c r="F34" s="89" t="inlineStr">
        <x:is>
          <x:t xml:space="preserve">yes</x:t>
        </x:is>
      </x:c>
      <x:c r="G34" s="89" t="inlineStr">
        <x:is>
          <x:t xml:space="preserve">passed</x:t>
        </x:is>
      </x:c>
      <x:c r="H34" s="89" t="inlineStr">
        <x:is>
          <x:t xml:space="preserve">covered</x:t>
        </x:is>
      </x:c>
      <x:c r="I34" s="90" t="inlineStr">
        <x:is>
          <x:t xml:space="preserve">Collapsible manual protocol in manual-tests/collapsible.md.</x:t>
        </x:is>
      </x:c>
      <x:c r="J34" s="90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Anatomy</x:t>
        </x:is>
      </x:c>
      <x:c r="C35" s="84" t="inlineStr">
        <x:is>
          <x:t xml:space="preserve">Trigger</x:t>
        </x:is>
      </x:c>
      <x:c r="D35" s="84" t="inlineStr">
        <x:is>
          <x:t xml:space="preserve">renders correct part when expected</x:t>
        </x:is>
      </x:c>
      <x:c r="E35" s="89" t="inlineStr">
        <x:is>
          <x:t xml:space="preserve">yes</x:t>
        </x:is>
      </x:c>
      <x:c r="F35" s="89" t="inlineStr">
        <x:is>
          <x:t xml:space="preserve">yes</x:t>
        </x:is>
      </x:c>
      <x:c r="G35" s="89" t="inlineStr">
        <x:is>
          <x:t xml:space="preserve">passed</x:t>
        </x:is>
      </x:c>
      <x:c r="H35" s="89" t="inlineStr">
        <x:is>
          <x:t xml:space="preserve">covered</x:t>
        </x:is>
      </x:c>
      <x:c r="I35" s="90" t="inlineStr">
        <x:is>
          <x:t xml:space="preserve">Collapsible manual protocol in manual-tests/collapsible.md.</x:t>
        </x:is>
      </x:c>
      <x:c r="J35" s="90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Anatomy</x:t>
        </x:is>
      </x:c>
      <x:c r="C36" s="84" t="inlineStr">
        <x:is>
          <x:t xml:space="preserve">Trigger</x:t>
        </x:is>
      </x:c>
      <x:c r="D36" s="84" t="inlineStr">
        <x:is>
          <x:t xml:space="preserve">appears in documented order</x:t>
        </x:is>
      </x:c>
      <x:c r="E36" s="89" t="inlineStr">
        <x:is>
          <x:t xml:space="preserve">yes</x:t>
        </x:is>
      </x:c>
      <x:c r="F36" s="89" t="inlineStr">
        <x:is>
          <x:t xml:space="preserve">yes</x:t>
        </x:is>
      </x:c>
      <x:c r="G36" s="89" t="inlineStr">
        <x:is>
          <x:t xml:space="preserve">passed</x:t>
        </x:is>
      </x:c>
      <x:c r="H36" s="89" t="inlineStr">
        <x:is>
          <x:t xml:space="preserve">covered</x:t>
        </x:is>
      </x:c>
      <x:c r="I36" s="90" t="inlineStr">
        <x:is>
          <x:t xml:space="preserve">Collapsible manual protocol in manual-tests/collapsible.md.</x:t>
        </x:is>
      </x:c>
      <x:c r="J36" s="90" t="n"/>
      <x:c r="K36" s="87" t="n">
        <x:f>IF(AND(E36="yes",F36="yes",H36="covered"),1,IF(H36="partial",0.5,0))</x:f>
        <x:v>1</x:v>
      </x:c>
    </x:row>
    <x:row r="37" s="51" customFormat="1" ht="30" customHeight="1">
      <x:c r="A37" s="73" t="n">
        <x:v>29</x:v>
      </x:c>
      <x:c r="B37" s="84" t="inlineStr">
        <x:is>
          <x:t xml:space="preserve">Identity</x:t>
        </x:is>
      </x:c>
      <x:c r="C37" s="84" t="inlineStr">
        <x:is>
          <x:t xml:space="preserve">Trigger</x:t>
        </x:is>
      </x:c>
      <x:c r="D37" s="84" t="inlineStr">
        <x:is>
          <x:t xml:space="preserve">default tag is visible in Anatomy/Inspector</x:t>
        </x:is>
      </x:c>
      <x:c r="E37" s="89" t="inlineStr">
        <x:is>
          <x:t xml:space="preserve">yes</x:t>
        </x:is>
      </x:c>
      <x:c r="F37" s="89" t="inlineStr">
        <x:is>
          <x:t xml:space="preserve">yes</x:t>
        </x:is>
      </x:c>
      <x:c r="G37" s="89" t="inlineStr">
        <x:is>
          <x:t xml:space="preserve">passed</x:t>
        </x:is>
      </x:c>
      <x:c r="H37" s="89" t="inlineStr">
        <x:is>
          <x:t xml:space="preserve">covered</x:t>
        </x:is>
      </x:c>
      <x:c r="I37" s="90" t="inlineStr">
        <x:is>
          <x:t xml:space="preserve">Collapsible manual protocol in manual-tests/collapsible.md.</x:t>
        </x:is>
      </x:c>
      <x:c r="J37" s="90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Identity</x:t>
        </x:is>
      </x:c>
      <x:c r="C38" s="84" t="inlineStr">
        <x:is>
          <x:t xml:space="preserve">Trigger</x:t>
        </x:is>
      </x:c>
      <x:c r="D38" s="84" t="inlineStr">
        <x:is>
          <x:t xml:space="preserve">data-slot is present and correct</x:t>
        </x:is>
      </x:c>
      <x:c r="E38" s="89" t="inlineStr">
        <x:is>
          <x:t xml:space="preserve">yes</x:t>
        </x:is>
      </x:c>
      <x:c r="F38" s="89" t="inlineStr">
        <x:is>
          <x:t xml:space="preserve">yes</x:t>
        </x:is>
      </x:c>
      <x:c r="G38" s="89" t="inlineStr">
        <x:is>
          <x:t xml:space="preserve">passed</x:t>
        </x:is>
      </x:c>
      <x:c r="H38" s="89" t="inlineStr">
        <x:is>
          <x:t xml:space="preserve">covered</x:t>
        </x:is>
      </x:c>
      <x:c r="I38" s="90" t="inlineStr">
        <x:is>
          <x:t xml:space="preserve">Collapsible manual protocol in manual-tests/collapsible.md.</x:t>
        </x:is>
      </x:c>
      <x:c r="J38" s="90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Props</x:t>
        </x:is>
      </x:c>
      <x:c r="C39" s="84" t="inlineStr">
        <x:is>
          <x:t xml:space="preserve">Trigger</x:t>
        </x:is>
      </x:c>
      <x:c r="D39" s="84" t="inlineStr">
        <x:is>
          <x:t xml:space="preserve">non-Atom native props pass through with data-prop-check marker</x:t>
        </x:is>
      </x:c>
      <x:c r="E39" s="89" t="inlineStr">
        <x:is>
          <x:t xml:space="preserve">yes</x:t>
        </x:is>
      </x:c>
      <x:c r="F39" s="89" t="inlineStr">
        <x:is>
          <x:t xml:space="preserve">yes</x:t>
        </x:is>
      </x:c>
      <x:c r="G39" s="89" t="inlineStr">
        <x:is>
          <x:t xml:space="preserve">passed</x:t>
        </x:is>
      </x:c>
      <x:c r="H39" s="89" t="inlineStr">
        <x:is>
          <x:t xml:space="preserve">covered</x:t>
        </x:is>
      </x:c>
      <x:c r="I39" s="90" t="inlineStr">
        <x:is>
          <x:t xml:space="preserve">Trigger data-prop-check verified in raw Data only when Prop Check is enabled.</x:t>
        </x:is>
      </x:c>
      <x:c r="J39" s="90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Refs</x:t>
        </x:is>
      </x:c>
      <x:c r="C40" s="84" t="inlineStr">
        <x:is>
          <x:t xml:space="preserve">Trigger</x:t>
        </x:is>
      </x:c>
      <x:c r="D40" s="84" t="inlineStr">
        <x:is>
          <x:t xml:space="preserve">consumer ref receives the rendered element</x:t>
        </x:is>
      </x:c>
      <x:c r="E40" s="89" t="inlineStr">
        <x:is>
          <x:t xml:space="preserve">yes</x:t>
        </x:is>
      </x:c>
      <x:c r="F40" s="89" t="inlineStr">
        <x:is>
          <x:t xml:space="preserve">yes</x:t>
        </x:is>
      </x:c>
      <x:c r="G40" s="89" t="inlineStr">
        <x:is>
          <x:t xml:space="preserve">passed</x:t>
        </x:is>
      </x:c>
      <x:c r="H40" s="89" t="inlineStr">
        <x:is>
          <x:t xml:space="preserve">covered</x:t>
        </x:is>
      </x:c>
      <x:c r="I40" s="90" t="inlineStr">
        <x:is>
          <x:t xml:space="preserve">Trigger ref verified through Anatomy Ref target row.</x:t>
        </x:is>
      </x:c>
      <x:c r="J40" s="90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Composition</x:t>
        </x:is>
      </x:c>
      <x:c r="C41" s="84" t="inlineStr">
        <x:is>
          <x:t xml:space="preserve">Trigger</x:t>
        </x:is>
      </x:c>
      <x:c r="D41" s="84" t="inlineStr">
        <x:is>
          <x:t xml:space="preserve">asChild prop behavior</x:t>
        </x:is>
      </x:c>
      <x:c r="E41" s="89" t="inlineStr">
        <x:is>
          <x:t xml:space="preserve">yes</x:t>
        </x:is>
      </x:c>
      <x:c r="F41" s="89" t="inlineStr">
        <x:is>
          <x:t xml:space="preserve">yes</x:t>
        </x:is>
      </x:c>
      <x:c r="G41" s="89" t="inlineStr">
        <x:is>
          <x:t xml:space="preserve">passed</x:t>
        </x:is>
      </x:c>
      <x:c r="H41" s="89" t="inlineStr">
        <x:is>
          <x:t xml:space="preserve">covered</x:t>
        </x:is>
      </x:c>
      <x:c r="I41" s="90" t="inlineStr">
        <x:is>
          <x:t xml:space="preserve">Collapsible manual protocol in manual-tests/collapsible.md.</x:t>
        </x:is>
      </x:c>
      <x:c r="J41" s="90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Composition</x:t>
        </x:is>
      </x:c>
      <x:c r="C42" s="84" t="inlineStr">
        <x:is>
          <x:t xml:space="preserve">Trigger</x:t>
        </x:is>
      </x:c>
      <x:c r="D42" s="84" t="inlineStr">
        <x:is>
          <x:t xml:space="preserve">render prop behavior</x:t>
        </x:is>
      </x:c>
      <x:c r="E42" s="89" t="inlineStr">
        <x:is>
          <x:t xml:space="preserve">yes</x:t>
        </x:is>
      </x:c>
      <x:c r="F42" s="89" t="inlineStr">
        <x:is>
          <x:t xml:space="preserve">yes</x:t>
        </x:is>
      </x:c>
      <x:c r="G42" s="89" t="inlineStr">
        <x:is>
          <x:t xml:space="preserve">passed</x:t>
        </x:is>
      </x:c>
      <x:c r="H42" s="89" t="inlineStr">
        <x:is>
          <x:t xml:space="preserve">covered</x:t>
        </x:is>
      </x:c>
      <x:c r="I42" s="90" t="inlineStr">
        <x:is>
          <x:t xml:space="preserve">Collapsible manual protocol in manual-tests/collapsible.md.</x:t>
        </x:is>
      </x:c>
      <x:c r="J42" s="90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Trigger</x:t>
        </x:is>
      </x:c>
      <x:c r="D43" s="84" t="inlineStr">
        <x:is>
          <x:t xml:space="preserve">[data-slot] prop behavior</x:t>
        </x:is>
      </x:c>
      <x:c r="E43" s="89" t="inlineStr">
        <x:is>
          <x:t xml:space="preserve">yes</x:t>
        </x:is>
      </x:c>
      <x:c r="F43" s="89" t="inlineStr">
        <x:is>
          <x:t xml:space="preserve">yes</x:t>
        </x:is>
      </x:c>
      <x:c r="G43" s="89" t="inlineStr">
        <x:is>
          <x:t xml:space="preserve">passed</x:t>
        </x:is>
      </x:c>
      <x:c r="H43" s="89" t="inlineStr">
        <x:is>
          <x:t xml:space="preserve">covered</x:t>
        </x:is>
      </x:c>
      <x:c r="I43" s="90" t="inlineStr">
        <x:is>
          <x:t xml:space="preserve">Collapsible manual protocol in manual-tests/collapsible.md.</x:t>
        </x:is>
      </x:c>
      <x:c r="J43" s="90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Trigger</x:t>
        </x:is>
      </x:c>
      <x:c r="D44" s="84" t="inlineStr">
        <x:is>
          <x:t xml:space="preserve">[data-state] prop behavior</x:t>
        </x:is>
      </x:c>
      <x:c r="E44" s="89" t="inlineStr">
        <x:is>
          <x:t xml:space="preserve">yes</x:t>
        </x:is>
      </x:c>
      <x:c r="F44" s="89" t="inlineStr">
        <x:is>
          <x:t xml:space="preserve">yes</x:t>
        </x:is>
      </x:c>
      <x:c r="G44" s="89" t="inlineStr">
        <x:is>
          <x:t xml:space="preserve">passed</x:t>
        </x:is>
      </x:c>
      <x:c r="H44" s="89" t="inlineStr">
        <x:is>
          <x:t xml:space="preserve">covered</x:t>
        </x:is>
      </x:c>
      <x:c r="I44" s="90" t="inlineStr">
        <x:is>
          <x:t xml:space="preserve">Collapsible manual protocol in manual-tests/collapsible.md.</x:t>
        </x:is>
      </x:c>
      <x:c r="J44" s="90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State</x:t>
        </x:is>
      </x:c>
      <x:c r="C45" s="84" t="inlineStr">
        <x:is>
          <x:t xml:space="preserve">Trigger</x:t>
        </x:is>
      </x:c>
      <x:c r="D45" s="84" t="inlineStr">
        <x:is>
          <x:t xml:space="preserve">[data-disabled] prop behavior</x:t>
        </x:is>
      </x:c>
      <x:c r="E45" s="89" t="inlineStr">
        <x:is>
          <x:t xml:space="preserve">yes</x:t>
        </x:is>
      </x:c>
      <x:c r="F45" s="89" t="inlineStr">
        <x:is>
          <x:t xml:space="preserve">yes</x:t>
        </x:is>
      </x:c>
      <x:c r="G45" s="89" t="inlineStr">
        <x:is>
          <x:t xml:space="preserve">passed</x:t>
        </x:is>
      </x:c>
      <x:c r="H45" s="89" t="inlineStr">
        <x:is>
          <x:t xml:space="preserve">covered</x:t>
        </x:is>
      </x:c>
      <x:c r="I45" s="90" t="inlineStr">
        <x:is>
          <x:t xml:space="preserve">Collapsible manual protocol in manual-tests/collapsible.md.</x:t>
        </x:is>
      </x:c>
      <x:c r="J45" s="90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Content</x:t>
        </x:is>
      </x:c>
      <x:c r="D46" s="84" t="inlineStr">
        <x:is>
          <x:t xml:space="preserve">renders correct part when expected</x:t>
        </x:is>
      </x:c>
      <x:c r="E46" s="89" t="inlineStr">
        <x:is>
          <x:t xml:space="preserve">yes</x:t>
        </x:is>
      </x:c>
      <x:c r="F46" s="89" t="inlineStr">
        <x:is>
          <x:t xml:space="preserve">yes</x:t>
        </x:is>
      </x:c>
      <x:c r="G46" s="89" t="inlineStr">
        <x:is>
          <x:t xml:space="preserve">passed</x:t>
        </x:is>
      </x:c>
      <x:c r="H46" s="89" t="inlineStr">
        <x:is>
          <x:t xml:space="preserve">covered</x:t>
        </x:is>
      </x:c>
      <x:c r="I46" s="90" t="inlineStr">
        <x:is>
          <x:t xml:space="preserve">Collapsible manual protocol in manual-tests/collapsible.md.</x:t>
        </x:is>
      </x:c>
      <x:c r="J46" s="90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Content</x:t>
        </x:is>
      </x:c>
      <x:c r="D47" s="84" t="inlineStr">
        <x:is>
          <x:t xml:space="preserve">appears in documented order</x:t>
        </x:is>
      </x:c>
      <x:c r="E47" s="89" t="inlineStr">
        <x:is>
          <x:t xml:space="preserve">yes</x:t>
        </x:is>
      </x:c>
      <x:c r="F47" s="89" t="inlineStr">
        <x:is>
          <x:t xml:space="preserve">yes</x:t>
        </x:is>
      </x:c>
      <x:c r="G47" s="89" t="inlineStr">
        <x:is>
          <x:t xml:space="preserve">passed</x:t>
        </x:is>
      </x:c>
      <x:c r="H47" s="89" t="inlineStr">
        <x:is>
          <x:t xml:space="preserve">covered</x:t>
        </x:is>
      </x:c>
      <x:c r="I47" s="90" t="inlineStr">
        <x:is>
          <x:t xml:space="preserve">Collapsible manual protocol in manual-tests/collapsible.md.</x:t>
        </x:is>
      </x:c>
      <x:c r="J47" s="90" t="n"/>
      <x:c r="K47" s="87" t="n">
        <x:f>IF(AND(E47="yes",F47="yes",H47="covered"),1,IF(H47="partial",0.5,0))</x:f>
        <x:v>1</x:v>
      </x:c>
    </x:row>
    <x:row r="48" s="51" customFormat="1" ht="30" customHeight="1">
      <x:c r="A48" s="73" t="n">
        <x:v>40</x:v>
      </x:c>
      <x:c r="B48" s="84" t="inlineStr">
        <x:is>
          <x:t xml:space="preserve">Identity</x:t>
        </x:is>
      </x:c>
      <x:c r="C48" s="84" t="inlineStr">
        <x:is>
          <x:t xml:space="preserve">Content</x:t>
        </x:is>
      </x:c>
      <x:c r="D48" s="84" t="inlineStr">
        <x:is>
          <x:t xml:space="preserve">default tag is visible in Anatomy/Inspector</x:t>
        </x:is>
      </x:c>
      <x:c r="E48" s="89" t="inlineStr">
        <x:is>
          <x:t xml:space="preserve">yes</x:t>
        </x:is>
      </x:c>
      <x:c r="F48" s="89" t="inlineStr">
        <x:is>
          <x:t xml:space="preserve">yes</x:t>
        </x:is>
      </x:c>
      <x:c r="G48" s="89" t="inlineStr">
        <x:is>
          <x:t xml:space="preserve">passed</x:t>
        </x:is>
      </x:c>
      <x:c r="H48" s="89" t="inlineStr">
        <x:is>
          <x:t xml:space="preserve">covered</x:t>
        </x:is>
      </x:c>
      <x:c r="I48" s="90" t="inlineStr">
        <x:is>
          <x:t xml:space="preserve">Collapsible manual protocol in manual-tests/collapsible.md.</x:t>
        </x:is>
      </x:c>
      <x:c r="J48" s="90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Content</x:t>
        </x:is>
      </x:c>
      <x:c r="D49" s="84" t="inlineStr">
        <x:is>
          <x:t xml:space="preserve">data-slot is present and correct</x:t>
        </x:is>
      </x:c>
      <x:c r="E49" s="89" t="inlineStr">
        <x:is>
          <x:t xml:space="preserve">yes</x:t>
        </x:is>
      </x:c>
      <x:c r="F49" s="89" t="inlineStr">
        <x:is>
          <x:t xml:space="preserve">yes</x:t>
        </x:is>
      </x:c>
      <x:c r="G49" s="89" t="inlineStr">
        <x:is>
          <x:t xml:space="preserve">passed</x:t>
        </x:is>
      </x:c>
      <x:c r="H49" s="89" t="inlineStr">
        <x:is>
          <x:t xml:space="preserve">covered</x:t>
        </x:is>
      </x:c>
      <x:c r="I49" s="90" t="inlineStr">
        <x:is>
          <x:t xml:space="preserve">Collapsible manual protocol in manual-tests/collapsible.md.</x:t>
        </x:is>
      </x:c>
      <x:c r="J49" s="90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Props</x:t>
        </x:is>
      </x:c>
      <x:c r="C50" s="84" t="inlineStr">
        <x:is>
          <x:t xml:space="preserve">Content</x:t>
        </x:is>
      </x:c>
      <x:c r="D50" s="84" t="inlineStr">
        <x:is>
          <x:t xml:space="preserve">non-Atom native props pass through with data-prop-check marker</x:t>
        </x:is>
      </x:c>
      <x:c r="E50" s="89" t="inlineStr">
        <x:is>
          <x:t xml:space="preserve">yes</x:t>
        </x:is>
      </x:c>
      <x:c r="F50" s="89" t="inlineStr">
        <x:is>
          <x:t xml:space="preserve">yes</x:t>
        </x:is>
      </x:c>
      <x:c r="G50" s="89" t="inlineStr">
        <x:is>
          <x:t xml:space="preserve">passed</x:t>
        </x:is>
      </x:c>
      <x:c r="H50" s="89" t="inlineStr">
        <x:is>
          <x:t xml:space="preserve">covered</x:t>
        </x:is>
      </x:c>
      <x:c r="I50" s="90" t="inlineStr">
        <x:is>
          <x:t xml:space="preserve">Content data-prop-check verified in raw Data only when Prop Check is enabled.</x:t>
        </x:is>
      </x:c>
      <x:c r="J50" s="90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Refs</x:t>
        </x:is>
      </x:c>
      <x:c r="C51" s="84" t="inlineStr">
        <x:is>
          <x:t xml:space="preserve">Content</x:t>
        </x:is>
      </x:c>
      <x:c r="D51" s="84" t="inlineStr">
        <x:is>
          <x:t xml:space="preserve">consumer ref receives the rendered element</x:t>
        </x:is>
      </x:c>
      <x:c r="E51" s="89" t="inlineStr">
        <x:is>
          <x:t xml:space="preserve">yes</x:t>
        </x:is>
      </x:c>
      <x:c r="F51" s="89" t="inlineStr">
        <x:is>
          <x:t xml:space="preserve">yes</x:t>
        </x:is>
      </x:c>
      <x:c r="G51" s="89" t="inlineStr">
        <x:is>
          <x:t xml:space="preserve">passed</x:t>
        </x:is>
      </x:c>
      <x:c r="H51" s="89" t="inlineStr">
        <x:is>
          <x:t xml:space="preserve">covered</x:t>
        </x:is>
      </x:c>
      <x:c r="I51" s="90" t="inlineStr">
        <x:is>
          <x:t xml:space="preserve">Content ref verified through Anatomy Ref target row.</x:t>
        </x:is>
      </x:c>
      <x:c r="J51" s="90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Composition</x:t>
        </x:is>
      </x:c>
      <x:c r="C52" s="84" t="inlineStr">
        <x:is>
          <x:t xml:space="preserve">Content</x:t>
        </x:is>
      </x:c>
      <x:c r="D52" s="84" t="inlineStr">
        <x:is>
          <x:t xml:space="preserve">asChild prop behavior</x:t>
        </x:is>
      </x:c>
      <x:c r="E52" s="89" t="inlineStr">
        <x:is>
          <x:t xml:space="preserve">yes</x:t>
        </x:is>
      </x:c>
      <x:c r="F52" s="89" t="inlineStr">
        <x:is>
          <x:t xml:space="preserve">yes</x:t>
        </x:is>
      </x:c>
      <x:c r="G52" s="89" t="inlineStr">
        <x:is>
          <x:t xml:space="preserve">passed</x:t>
        </x:is>
      </x:c>
      <x:c r="H52" s="89" t="inlineStr">
        <x:is>
          <x:t xml:space="preserve">covered</x:t>
        </x:is>
      </x:c>
      <x:c r="I52" s="90" t="inlineStr">
        <x:is>
          <x:t xml:space="preserve">Collapsible manual protocol in manual-tests/collapsible.md.</x:t>
        </x:is>
      </x:c>
      <x:c r="J52" s="90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Composition</x:t>
        </x:is>
      </x:c>
      <x:c r="C53" s="84" t="inlineStr">
        <x:is>
          <x:t xml:space="preserve">Content</x:t>
        </x:is>
      </x:c>
      <x:c r="D53" s="84" t="inlineStr">
        <x:is>
          <x:t xml:space="preserve">render prop behavior</x:t>
        </x:is>
      </x:c>
      <x:c r="E53" s="89" t="inlineStr">
        <x:is>
          <x:t xml:space="preserve">yes</x:t>
        </x:is>
      </x:c>
      <x:c r="F53" s="89" t="inlineStr">
        <x:is>
          <x:t xml:space="preserve">yes</x:t>
        </x:is>
      </x:c>
      <x:c r="G53" s="89" t="inlineStr">
        <x:is>
          <x:t xml:space="preserve">passed</x:t>
        </x:is>
      </x:c>
      <x:c r="H53" s="89" t="inlineStr">
        <x:is>
          <x:t xml:space="preserve">covered</x:t>
        </x:is>
      </x:c>
      <x:c r="I53" s="90" t="inlineStr">
        <x:is>
          <x:t xml:space="preserve">Collapsible manual protocol in manual-tests/collapsible.md.</x:t>
        </x:is>
      </x:c>
      <x:c r="J53" s="90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Content</x:t>
        </x:is>
      </x:c>
      <x:c r="D54" s="84" t="inlineStr">
        <x:is>
          <x:t xml:space="preserve">keepMounted prop behavior</x:t>
        </x:is>
      </x:c>
      <x:c r="E54" s="89" t="inlineStr">
        <x:is>
          <x:t xml:space="preserve">yes</x:t>
        </x:is>
      </x:c>
      <x:c r="F54" s="89" t="inlineStr">
        <x:is>
          <x:t xml:space="preserve">yes</x:t>
        </x:is>
      </x:c>
      <x:c r="G54" s="89" t="inlineStr">
        <x:is>
          <x:t xml:space="preserve">passed</x:t>
        </x:is>
      </x:c>
      <x:c r="H54" s="89" t="inlineStr">
        <x:is>
          <x:t xml:space="preserve">covered</x:t>
        </x:is>
      </x:c>
      <x:c r="I54" s="90" t="inlineStr">
        <x:is>
          <x:t xml:space="preserve">Collapsible manual protocol in manual-tests/collapsible.md.</x:t>
        </x:is>
      </x:c>
      <x:c r="J54" s="90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Content</x:t>
        </x:is>
      </x:c>
      <x:c r="D55" s="84" t="inlineStr">
        <x:is>
          <x:t xml:space="preserve">[data-slot] prop behavior</x:t>
        </x:is>
      </x:c>
      <x:c r="E55" s="89" t="inlineStr">
        <x:is>
          <x:t xml:space="preserve">yes</x:t>
        </x:is>
      </x:c>
      <x:c r="F55" s="89" t="inlineStr">
        <x:is>
          <x:t xml:space="preserve">yes</x:t>
        </x:is>
      </x:c>
      <x:c r="G55" s="89" t="inlineStr">
        <x:is>
          <x:t xml:space="preserve">passed</x:t>
        </x:is>
      </x:c>
      <x:c r="H55" s="89" t="inlineStr">
        <x:is>
          <x:t xml:space="preserve">covered</x:t>
        </x:is>
      </x:c>
      <x:c r="I55" s="90" t="inlineStr">
        <x:is>
          <x:t xml:space="preserve">Collapsible manual protocol in manual-tests/collapsible.md.</x:t>
        </x:is>
      </x:c>
      <x:c r="J55" s="90" t="n"/>
      <x:c r="K55" s="87" t="n">
        <x:f>IF(AND(E55="yes",F55="yes",H55="covered"),1,IF(H55="partial",0.5,0))</x:f>
        <x:v>1</x:v>
      </x:c>
    </x:row>
    <x:row r="56" s="51" customFormat="1" ht="30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Content</x:t>
        </x:is>
      </x:c>
      <x:c r="D56" s="84" t="inlineStr">
        <x:is>
          <x:t xml:space="preserve">[data-state] prop behavior</x:t>
        </x:is>
      </x:c>
      <x:c r="E56" s="89" t="inlineStr">
        <x:is>
          <x:t xml:space="preserve">yes</x:t>
        </x:is>
      </x:c>
      <x:c r="F56" s="89" t="inlineStr">
        <x:is>
          <x:t xml:space="preserve">yes</x:t>
        </x:is>
      </x:c>
      <x:c r="G56" s="89" t="inlineStr">
        <x:is>
          <x:t xml:space="preserve">passed</x:t>
        </x:is>
      </x:c>
      <x:c r="H56" s="89" t="inlineStr">
        <x:is>
          <x:t xml:space="preserve">covered</x:t>
        </x:is>
      </x:c>
      <x:c r="I56" s="90" t="inlineStr">
        <x:is>
          <x:t xml:space="preserve">Collapsible manual protocol in manual-tests/collapsible.md.</x:t>
        </x:is>
      </x:c>
      <x:c r="J56" s="90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Public API</x:t>
        </x:is>
      </x:c>
      <x:c r="C57" s="84" t="inlineStr">
        <x:is>
          <x:t xml:space="preserve">Content</x:t>
        </x:is>
      </x:c>
      <x:c r="D57" s="84" t="inlineStr">
        <x:is>
          <x:t xml:space="preserve">--content-height prop behavior</x:t>
        </x:is>
      </x:c>
      <x:c r="E57" s="89" t="inlineStr">
        <x:is>
          <x:t xml:space="preserve">yes</x:t>
        </x:is>
      </x:c>
      <x:c r="F57" s="89" t="str">
        <x:v>no</x:v>
      </x:c>
      <x:c r="G57" s="89" t="str">
        <x:v>manual recheck pending</x:v>
      </x:c>
      <x:c r="H57" s="89" t="str">
        <x:v>partial</x:v>
      </x:c>
      <x:c r="I57" s="90" t="str">
        <x:v>Measured size and responsive animation: /__tests/resize-lifecycle; test/browser/resize-lifecycle.spec.ts</x:v>
      </x:c>
      <x:c r="J57" s="90" t="str">
        <x:v>Repeat manual resize lifecycle protocol after observer scheduling change.</x:v>
      </x:c>
      <x:c r="K57" s="87" t="n">
        <x:f>IF(AND(E57="yes",F57="yes",H57="covered"),1,IF(H57="partial",0.5,0))</x:f>
        <x:v>0.5</x:v>
      </x:c>
    </x:row>
    <x:row r="58" s="51" customFormat="1" ht="30" customHeight="1">
      <x:c r="A58" s="73" t="n">
        <x:v>50</x:v>
      </x:c>
      <x:c r="B58" s="84" t="inlineStr">
        <x:is>
          <x:t xml:space="preserve">ARIA</x:t>
        </x:is>
      </x:c>
      <x:c r="C58" s="84" t="inlineStr">
        <x:is>
          <x:t xml:space="preserve">Live DOM</x:t>
        </x:is>
      </x:c>
      <x:c r="D58" s="84" t="inlineStr">
        <x:is>
          <x:t xml:space="preserve">aria-controls is present at the correct time</x:t>
        </x:is>
      </x:c>
      <x:c r="E58" s="89" t="inlineStr">
        <x:is>
          <x:t xml:space="preserve">yes</x:t>
        </x:is>
      </x:c>
      <x:c r="F58" s="89" t="inlineStr">
        <x:is>
          <x:t xml:space="preserve">yes</x:t>
        </x:is>
      </x:c>
      <x:c r="G58" s="89" t="inlineStr">
        <x:is>
          <x:t xml:space="preserve">passed</x:t>
        </x:is>
      </x:c>
      <x:c r="H58" s="89" t="inlineStr">
        <x:is>
          <x:t xml:space="preserve">covered</x:t>
        </x:is>
      </x:c>
      <x:c r="I58" s="90" t="inlineStr">
        <x:is>
          <x:t xml:space="preserve">aria-controls verified as a generated relationship matching Content id when Content is rendered.</x:t>
        </x:is>
      </x:c>
      <x:c r="J58" s="90" t="n"/>
      <x:c r="K58" s="87" t="n">
        <x:f>IF(AND(E58="yes",F58="yes",H58="covered"),1,IF(H58="partial",0.5,0))</x:f>
        <x:v>1</x:v>
      </x:c>
    </x:row>
    <x:row r="59" s="51" customFormat="1" ht="30" customHeight="1">
      <x:c r="A59" s="73" t="n">
        <x:v>51</x:v>
      </x:c>
      <x:c r="B59" s="84" t="inlineStr">
        <x:is>
          <x:t xml:space="preserve">ARIA</x:t>
        </x:is>
      </x:c>
      <x:c r="C59" s="84" t="inlineStr">
        <x:is>
          <x:t xml:space="preserve">Live DOM</x:t>
        </x:is>
      </x:c>
      <x:c r="D59" s="84" t="inlineStr">
        <x:is>
          <x:t xml:space="preserve">aria-disabled is present at the correct time</x:t>
        </x:is>
      </x:c>
      <x:c r="E59" s="89" t="inlineStr">
        <x:is>
          <x:t xml:space="preserve">yes</x:t>
        </x:is>
      </x:c>
      <x:c r="F59" s="89" t="inlineStr">
        <x:is>
          <x:t xml:space="preserve">yes</x:t>
        </x:is>
      </x:c>
      <x:c r="G59" s="89" t="inlineStr">
        <x:is>
          <x:t xml:space="preserve">passed</x:t>
        </x:is>
      </x:c>
      <x:c r="H59" s="89" t="inlineStr">
        <x:is>
          <x:t xml:space="preserve">covered</x:t>
        </x:is>
      </x:c>
      <x:c r="I59" s="90" t="inlineStr">
        <x:is>
          <x:t xml:space="preserve">Collapsible manual protocol in manual-tests/collapsible.md.</x:t>
        </x:is>
      </x:c>
      <x:c r="J59" s="90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ARIA</x:t>
        </x:is>
      </x:c>
      <x:c r="C60" s="84" t="inlineStr">
        <x:is>
          <x:t xml:space="preserve">Live DOM</x:t>
        </x:is>
      </x:c>
      <x:c r="D60" s="84" t="inlineStr">
        <x:is>
          <x:t xml:space="preserve">aria-expanded is present at the correct time</x:t>
        </x:is>
      </x:c>
      <x:c r="E60" s="89" t="inlineStr">
        <x:is>
          <x:t xml:space="preserve">yes</x:t>
        </x:is>
      </x:c>
      <x:c r="F60" s="89" t="inlineStr">
        <x:is>
          <x:t xml:space="preserve">yes</x:t>
        </x:is>
      </x:c>
      <x:c r="G60" s="89" t="inlineStr">
        <x:is>
          <x:t xml:space="preserve">passed</x:t>
        </x:is>
      </x:c>
      <x:c r="H60" s="89" t="inlineStr">
        <x:is>
          <x:t xml:space="preserve">covered</x:t>
        </x:is>
      </x:c>
      <x:c r="I60" s="90" t="inlineStr">
        <x:is>
          <x:t xml:space="preserve">Collapsible manual protocol in manual-tests/collapsible.md.</x:t>
        </x:is>
      </x:c>
      <x:c r="J60" s="90" t="n"/>
      <x:c r="K60" s="87" t="n">
        <x:f>IF(AND(E60="yes",F60="yes",H60="covered"),1,IF(H60="partial",0.5,0))</x:f>
        <x:v>1</x:v>
      </x:c>
    </x:row>
    <x:row r="61" s="51" customFormat="1" ht="30" customHeight="1">
      <x:c r="A61" s="73" t="n">
        <x:v>53</x:v>
      </x:c>
      <x:c r="B61" s="84" t="inlineStr">
        <x:is>
          <x:t xml:space="preserve">ARIA</x:t>
        </x:is>
      </x:c>
      <x:c r="C61" s="84" t="inlineStr">
        <x:is>
          <x:t xml:space="preserve">Live DOM</x:t>
        </x:is>
      </x:c>
      <x:c r="D61" s="84" t="inlineStr">
        <x:is>
          <x:t xml:space="preserve">aria-labelledby is present at the correct time</x:t>
        </x:is>
      </x:c>
      <x:c r="E61" s="89" t="inlineStr">
        <x:is>
          <x:t xml:space="preserve">yes</x:t>
        </x:is>
      </x:c>
      <x:c r="F61" s="89" t="inlineStr">
        <x:is>
          <x:t xml:space="preserve">yes</x:t>
        </x:is>
      </x:c>
      <x:c r="G61" s="89" t="inlineStr">
        <x:is>
          <x:t xml:space="preserve">passed</x:t>
        </x:is>
      </x:c>
      <x:c r="H61" s="89" t="inlineStr">
        <x:is>
          <x:t xml:space="preserve">covered</x:t>
        </x:is>
      </x:c>
      <x:c r="I61" s="90" t="inlineStr">
        <x:is>
          <x:t xml:space="preserve">aria-labelledby verified as a generated relationship matching Trigger id.</x:t>
        </x:is>
      </x:c>
      <x:c r="J61" s="90" t="n"/>
      <x:c r="K61" s="87" t="n">
        <x:f>IF(AND(E61="yes",F61="yes",H61="covered"),1,IF(H61="partial",0.5,0))</x:f>
        <x:v>1</x:v>
      </x:c>
    </x:row>
    <x:row r="62" s="51" customFormat="1" ht="30" customHeight="1">
      <x:c r="A62" s="73" t="n">
        <x:v>54</x:v>
      </x:c>
      <x:c r="B62" s="84" t="inlineStr">
        <x:is>
          <x:t xml:space="preserve">Data</x:t>
        </x:is>
      </x:c>
      <x:c r="C62" s="84" t="inlineStr">
        <x:is>
          <x:t xml:space="preserve">Live DOM</x:t>
        </x:is>
      </x:c>
      <x:c r="D62" s="84" t="inlineStr">
        <x:is>
          <x:t xml:space="preserve">data-disabled is present at the correct time</x:t>
        </x:is>
      </x:c>
      <x:c r="E62" s="89" t="inlineStr">
        <x:is>
          <x:t xml:space="preserve">yes</x:t>
        </x:is>
      </x:c>
      <x:c r="F62" s="89" t="inlineStr">
        <x:is>
          <x:t xml:space="preserve">yes</x:t>
        </x:is>
      </x:c>
      <x:c r="G62" s="89" t="inlineStr">
        <x:is>
          <x:t xml:space="preserve">passed</x:t>
        </x:is>
      </x:c>
      <x:c r="H62" s="89" t="inlineStr">
        <x:is>
          <x:t xml:space="preserve">covered</x:t>
        </x:is>
      </x:c>
      <x:c r="I62" s="90" t="inlineStr">
        <x:is>
          <x:t xml:space="preserve">Collapsible manual protocol in manual-tests/collapsible.md.</x:t>
        </x:is>
      </x:c>
      <x:c r="J62" s="90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Data</x:t>
        </x:is>
      </x:c>
      <x:c r="C63" s="84" t="inlineStr">
        <x:is>
          <x:t xml:space="preserve">Live DOM</x:t>
        </x:is>
      </x:c>
      <x:c r="D63" s="84" t="inlineStr">
        <x:is>
          <x:t xml:space="preserve">data-slot is present at the correct time</x:t>
        </x:is>
      </x:c>
      <x:c r="E63" s="89" t="inlineStr">
        <x:is>
          <x:t xml:space="preserve">yes</x:t>
        </x:is>
      </x:c>
      <x:c r="F63" s="89" t="inlineStr">
        <x:is>
          <x:t xml:space="preserve">yes</x:t>
        </x:is>
      </x:c>
      <x:c r="G63" s="89" t="inlineStr">
        <x:is>
          <x:t xml:space="preserve">passed</x:t>
        </x:is>
      </x:c>
      <x:c r="H63" s="89" t="inlineStr">
        <x:is>
          <x:t xml:space="preserve">covered</x:t>
        </x:is>
      </x:c>
      <x:c r="I63" s="90" t="inlineStr">
        <x:is>
          <x:t xml:space="preserve">Collapsible manual protocol in manual-tests/collapsible.md.</x:t>
        </x:is>
      </x:c>
      <x:c r="J63" s="90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Data</x:t>
        </x:is>
      </x:c>
      <x:c r="C64" s="84" t="inlineStr">
        <x:is>
          <x:t xml:space="preserve">Live DOM</x:t>
        </x:is>
      </x:c>
      <x:c r="D64" s="84" t="inlineStr">
        <x:is>
          <x:t xml:space="preserve">data-state is present at the correct time</x:t>
        </x:is>
      </x:c>
      <x:c r="E64" s="89" t="inlineStr">
        <x:is>
          <x:t xml:space="preserve">yes</x:t>
        </x:is>
      </x:c>
      <x:c r="F64" s="89" t="inlineStr">
        <x:is>
          <x:t xml:space="preserve">yes</x:t>
        </x:is>
      </x:c>
      <x:c r="G64" s="89" t="inlineStr">
        <x:is>
          <x:t xml:space="preserve">passed</x:t>
        </x:is>
      </x:c>
      <x:c r="H64" s="89" t="inlineStr">
        <x:is>
          <x:t xml:space="preserve">covered</x:t>
        </x:is>
      </x:c>
      <x:c r="I64" s="90" t="inlineStr">
        <x:is>
          <x:t xml:space="preserve">Collapsible manual protocol in manual-tests/collapsible.md.</x:t>
        </x:is>
      </x:c>
      <x:c r="J64" s="90" t="n"/>
      <x:c r="K64" s="87" t="n">
        <x:f>IF(AND(E64="yes",F64="yes",H64="covered"),1,IF(H64="partial",0.5,0))</x:f>
        <x:v>1</x:v>
      </x:c>
    </x:row>
    <x:row r="65" s="51" customFormat="1" ht="30" customHeight="1">
      <x:c r="A65" s="73" t="n">
        <x:v>57</x:v>
      </x:c>
      <x:c r="B65" s="84" t="inlineStr">
        <x:is>
          <x:t xml:space="preserve">Composition</x:t>
        </x:is>
      </x:c>
      <x:c r="C65" s="84" t="inlineStr">
        <x:is>
          <x:t xml:space="preserve">Collapsible</x:t>
        </x:is>
      </x:c>
      <x:c r="D65" s="84" t="inlineStr">
        <x:is>
          <x:t xml:space="preserve">asChild preserves child content without double nesting</x:t>
        </x:is>
      </x:c>
      <x:c r="E65" s="89" t="inlineStr">
        <x:is>
          <x:t xml:space="preserve">yes</x:t>
        </x:is>
      </x:c>
      <x:c r="F65" s="89" t="inlineStr">
        <x:is>
          <x:t xml:space="preserve">yes</x:t>
        </x:is>
      </x:c>
      <x:c r="G65" s="89" t="inlineStr">
        <x:is>
          <x:t xml:space="preserve">passed</x:t>
        </x:is>
      </x:c>
      <x:c r="H65" s="89" t="inlineStr">
        <x:is>
          <x:t xml:space="preserve">covered</x:t>
        </x:is>
      </x:c>
      <x:c r="I65" s="90" t="inlineStr">
        <x:is>
          <x:t xml:space="preserve">Root, Trigger, and Content asChild modes verified without extra wrappers.</x:t>
        </x:is>
      </x:c>
      <x:c r="J65" s="90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Composition</x:t>
        </x:is>
      </x:c>
      <x:c r="C66" s="84" t="inlineStr">
        <x:is>
          <x:t xml:space="preserve">Collapsible</x:t>
        </x:is>
      </x:c>
      <x:c r="D66" s="84" t="inlineStr">
        <x:is>
          <x:t xml:space="preserve">asChild merges Atom props and consumer props</x:t>
        </x:is>
      </x:c>
      <x:c r="E66" s="89" t="inlineStr">
        <x:is>
          <x:t xml:space="preserve">yes</x:t>
        </x:is>
      </x:c>
      <x:c r="F66" s="89" t="inlineStr">
        <x:is>
          <x:t xml:space="preserve">yes</x:t>
        </x:is>
      </x:c>
      <x:c r="G66" s="89" t="inlineStr">
        <x:is>
          <x:t xml:space="preserve">passed</x:t>
        </x:is>
      </x:c>
      <x:c r="H66" s="89" t="inlineStr">
        <x:is>
          <x:t xml:space="preserve">covered</x:t>
        </x:is>
      </x:c>
      <x:c r="I66" s="90" t="inlineStr">
        <x:is>
          <x:t xml:space="preserve">asChild modes verified with Atom data/ARIA behavior and consumer props merged.</x:t>
        </x:is>
      </x:c>
      <x:c r="J66" s="90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Composition</x:t>
        </x:is>
      </x:c>
      <x:c r="C67" s="84" t="inlineStr">
        <x:is>
          <x:t xml:space="preserve">Collapsible</x:t>
        </x:is>
      </x:c>
      <x:c r="D67" s="84" t="inlineStr">
        <x:is>
          <x:t xml:space="preserve">asChild lets preventDefault block Atom behavior where supported</x:t>
        </x:is>
      </x:c>
      <x:c r="E67" s="89" t="inlineStr">
        <x:is>
          <x:t xml:space="preserve">yes</x:t>
        </x:is>
      </x:c>
      <x:c r="F67" s="89" t="inlineStr">
        <x:is>
          <x:t xml:space="preserve">yes</x:t>
        </x:is>
      </x:c>
      <x:c r="G67" s="89" t="inlineStr">
        <x:is>
          <x:t xml:space="preserve">passed</x:t>
        </x:is>
      </x:c>
      <x:c r="H67" s="89" t="inlineStr">
        <x:is>
          <x:t xml:space="preserve">covered</x:t>
        </x:is>
      </x:c>
      <x:c r="I67" s="90" t="inlineStr">
        <x:is>
          <x:t xml:space="preserve">Block trigger control verifies consumer preventDefault blocks Atom trigger behavior.</x:t>
        </x:is>
      </x:c>
      <x:c r="J67" s="90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Composition</x:t>
        </x:is>
      </x:c>
      <x:c r="C68" s="84" t="inlineStr">
        <x:is>
          <x:t xml:space="preserve">Collapsible</x:t>
        </x:is>
      </x:c>
      <x:c r="D68" s="84" t="inlineStr">
        <x:is>
          <x:t xml:space="preserve">render prop renders custom element</x:t>
        </x:is>
      </x:c>
      <x:c r="E68" s="89" t="inlineStr">
        <x:is>
          <x:t xml:space="preserve">yes</x:t>
        </x:is>
      </x:c>
      <x:c r="F68" s="89" t="inlineStr">
        <x:is>
          <x:t xml:space="preserve">yes</x:t>
        </x:is>
      </x:c>
      <x:c r="G68" s="89" t="inlineStr">
        <x:is>
          <x:t xml:space="preserve">passed</x:t>
        </x:is>
      </x:c>
      <x:c r="H68" s="89" t="inlineStr">
        <x:is>
          <x:t xml:space="preserve">covered</x:t>
        </x:is>
      </x:c>
      <x:c r="I68" s="90" t="inlineStr">
        <x:is>
          <x:t xml:space="preserve">Root, Trigger, and Content render modes verified with custom elements.</x:t>
        </x:is>
      </x:c>
      <x:c r="J68" s="90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Composition</x:t>
        </x:is>
      </x:c>
      <x:c r="C69" s="84" t="inlineStr">
        <x:is>
          <x:t xml:space="preserve">Collapsible</x:t>
        </x:is>
      </x:c>
      <x:c r="D69" s="84" t="inlineStr">
        <x:is>
          <x:t xml:space="preserve">render prop preserves refs and behavior props</x:t>
        </x:is>
      </x:c>
      <x:c r="E69" s="89" t="inlineStr">
        <x:is>
          <x:t xml:space="preserve">yes</x:t>
        </x:is>
      </x:c>
      <x:c r="F69" s="89" t="inlineStr">
        <x:is>
          <x:t xml:space="preserve">yes</x:t>
        </x:is>
      </x:c>
      <x:c r="G69" s="89" t="inlineStr">
        <x:is>
          <x:t xml:space="preserve">passed</x:t>
        </x:is>
      </x:c>
      <x:c r="H69" s="89" t="inlineStr">
        <x:is>
          <x:t xml:space="preserve">covered</x:t>
        </x:is>
      </x:c>
      <x:c r="I69" s="90" t="inlineStr">
        <x:is>
          <x:t xml:space="preserve">Render modes verified with behavior props and Ref target evidence.</x:t>
        </x:is>
      </x:c>
      <x:c r="J69" s="90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State</x:t>
        </x:is>
      </x:c>
      <x:c r="C70" s="84" t="inlineStr">
        <x:is>
          <x:t xml:space="preserve">Root</x:t>
        </x:is>
      </x:c>
      <x:c r="D70" s="84" t="inlineStr">
        <x:is>
          <x:t xml:space="preserve">controlled state path</x:t>
        </x:is>
      </x:c>
      <x:c r="E70" s="89" t="inlineStr">
        <x:is>
          <x:t xml:space="preserve">yes</x:t>
        </x:is>
      </x:c>
      <x:c r="F70" s="89" t="inlineStr">
        <x:is>
          <x:t xml:space="preserve">yes</x:t>
        </x:is>
      </x:c>
      <x:c r="G70" s="89" t="inlineStr">
        <x:is>
          <x:t xml:space="preserve">passed</x:t>
        </x:is>
      </x:c>
      <x:c r="H70" s="89" t="inlineStr">
        <x:is>
          <x:t xml:space="preserve">covered</x:t>
        </x:is>
      </x:c>
      <x:c r="I70" s="90" t="inlineStr">
        <x:is>
          <x:t xml:space="preserve">Collapsible manual protocol in manual-tests/collapsible.md.</x:t>
        </x:is>
      </x:c>
      <x:c r="J70" s="90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State</x:t>
        </x:is>
      </x:c>
      <x:c r="C71" s="84" t="inlineStr">
        <x:is>
          <x:t xml:space="preserve">Root</x:t>
        </x:is>
      </x:c>
      <x:c r="D71" s="84" t="inlineStr">
        <x:is>
          <x:t xml:space="preserve">uncontrolled default state path</x:t>
        </x:is>
      </x:c>
      <x:c r="E71" s="89" t="inlineStr">
        <x:is>
          <x:t xml:space="preserve">yes</x:t>
        </x:is>
      </x:c>
      <x:c r="F71" s="89" t="inlineStr">
        <x:is>
          <x:t xml:space="preserve">yes</x:t>
        </x:is>
      </x:c>
      <x:c r="G71" s="89" t="inlineStr">
        <x:is>
          <x:t xml:space="preserve">passed</x:t>
        </x:is>
      </x:c>
      <x:c r="H71" s="89" t="inlineStr">
        <x:is>
          <x:t xml:space="preserve">covered</x:t>
        </x:is>
      </x:c>
      <x:c r="I71" s="90" t="inlineStr">
        <x:is>
          <x:t xml:space="preserve">Collapsible manual protocol in manual-tests/collapsible.md.</x:t>
        </x:is>
      </x:c>
      <x:c r="J71" s="90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State</x:t>
        </x:is>
      </x:c>
      <x:c r="C72" s="84" t="inlineStr">
        <x:is>
          <x:t xml:space="preserve">Root</x:t>
        </x:is>
      </x:c>
      <x:c r="D72" s="84" t="inlineStr">
        <x:is>
          <x:t xml:space="preserve">state change callback fires once with correct value</x:t>
        </x:is>
      </x:c>
      <x:c r="E72" s="89" t="inlineStr">
        <x:is>
          <x:t xml:space="preserve">yes</x:t>
        </x:is>
      </x:c>
      <x:c r="F72" s="89" t="inlineStr">
        <x:is>
          <x:t xml:space="preserve">yes</x:t>
        </x:is>
      </x:c>
      <x:c r="G72" s="89" t="inlineStr">
        <x:is>
          <x:t xml:space="preserve">passed</x:t>
        </x:is>
      </x:c>
      <x:c r="H72" s="89" t="inlineStr">
        <x:is>
          <x:t xml:space="preserve">covered</x:t>
        </x:is>
      </x:c>
      <x:c r="I72" s="90" t="inlineStr">
        <x:is>
          <x:t xml:space="preserve">Collapsible manual protocol in manual-tests/collapsible.md.</x:t>
        </x:is>
      </x:c>
      <x:c r="J72" s="90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Interaction</x:t>
        </x:is>
      </x:c>
      <x:c r="C73" s="84" t="inlineStr">
        <x:is>
          <x:t xml:space="preserve">Trigger</x:t>
        </x:is>
      </x:c>
      <x:c r="D73" s="84" t="inlineStr">
        <x:is>
          <x:t xml:space="preserve">mouse click or pointer activation</x:t>
        </x:is>
      </x:c>
      <x:c r="E73" s="89" t="inlineStr">
        <x:is>
          <x:t xml:space="preserve">yes</x:t>
        </x:is>
      </x:c>
      <x:c r="F73" s="89" t="inlineStr">
        <x:is>
          <x:t xml:space="preserve">yes</x:t>
        </x:is>
      </x:c>
      <x:c r="G73" s="89" t="inlineStr">
        <x:is>
          <x:t xml:space="preserve">passed</x:t>
        </x:is>
      </x:c>
      <x:c r="H73" s="89" t="inlineStr">
        <x:is>
          <x:t xml:space="preserve">covered</x:t>
        </x:is>
      </x:c>
      <x:c r="I73" s="90" t="inlineStr">
        <x:is>
          <x:t xml:space="preserve">Collapsible manual protocol in manual-tests/collapsible.md.</x:t>
        </x:is>
      </x:c>
      <x:c r="J73" s="90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Interaction</x:t>
        </x:is>
      </x:c>
      <x:c r="C74" s="84" t="inlineStr">
        <x:is>
          <x:t xml:space="preserve">Trigger</x:t>
        </x:is>
      </x:c>
      <x:c r="D74" s="84" t="inlineStr">
        <x:is>
          <x:t xml:space="preserve">Enter key activation</x:t>
        </x:is>
      </x:c>
      <x:c r="E74" s="89" t="inlineStr">
        <x:is>
          <x:t xml:space="preserve">yes</x:t>
        </x:is>
      </x:c>
      <x:c r="F74" s="89" t="inlineStr">
        <x:is>
          <x:t xml:space="preserve">yes</x:t>
        </x:is>
      </x:c>
      <x:c r="G74" s="89" t="inlineStr">
        <x:is>
          <x:t xml:space="preserve">passed</x:t>
        </x:is>
      </x:c>
      <x:c r="H74" s="89" t="inlineStr">
        <x:is>
          <x:t xml:space="preserve">covered</x:t>
        </x:is>
      </x:c>
      <x:c r="I74" s="90" t="inlineStr">
        <x:is>
          <x:t xml:space="preserve">Collapsible manual protocol in manual-tests/collapsible.md.</x:t>
        </x:is>
      </x:c>
      <x:c r="J74" s="90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Interaction</x:t>
        </x:is>
      </x:c>
      <x:c r="C75" s="84" t="inlineStr">
        <x:is>
          <x:t xml:space="preserve">Trigger</x:t>
        </x:is>
      </x:c>
      <x:c r="D75" s="84" t="inlineStr">
        <x:is>
          <x:t xml:space="preserve">Space key activation</x:t>
        </x:is>
      </x:c>
      <x:c r="E75" s="89" t="inlineStr">
        <x:is>
          <x:t xml:space="preserve">yes</x:t>
        </x:is>
      </x:c>
      <x:c r="F75" s="89" t="inlineStr">
        <x:is>
          <x:t xml:space="preserve">yes</x:t>
        </x:is>
      </x:c>
      <x:c r="G75" s="89" t="inlineStr">
        <x:is>
          <x:t xml:space="preserve">passed</x:t>
        </x:is>
      </x:c>
      <x:c r="H75" s="89" t="inlineStr">
        <x:is>
          <x:t xml:space="preserve">covered</x:t>
        </x:is>
      </x:c>
      <x:c r="I75" s="90" t="inlineStr">
        <x:is>
          <x:t xml:space="preserve">Collapsible manual protocol in manual-tests/collapsible.md.</x:t>
        </x:is>
      </x:c>
      <x:c r="J75" s="90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Interaction</x:t>
        </x:is>
      </x:c>
      <x:c r="C76" s="84" t="inlineStr">
        <x:is>
          <x:t xml:space="preserve">Trigger</x:t>
        </x:is>
      </x:c>
      <x:c r="D76" s="84" t="inlineStr">
        <x:is>
          <x:t xml:space="preserve">disabled trigger blocks pointer and keyboard</x:t>
        </x:is>
      </x:c>
      <x:c r="E76" s="89" t="inlineStr">
        <x:is>
          <x:t xml:space="preserve">yes</x:t>
        </x:is>
      </x:c>
      <x:c r="F76" s="89" t="inlineStr">
        <x:is>
          <x:t xml:space="preserve">yes</x:t>
        </x:is>
      </x:c>
      <x:c r="G76" s="89" t="inlineStr">
        <x:is>
          <x:t xml:space="preserve">passed</x:t>
        </x:is>
      </x:c>
      <x:c r="H76" s="89" t="inlineStr">
        <x:is>
          <x:t xml:space="preserve">covered</x:t>
        </x:is>
      </x:c>
      <x:c r="I76" s="90" t="inlineStr">
        <x:is>
          <x:t xml:space="preserve">Disabled trigger verified to block pointer and keyboard activation.</x:t>
        </x:is>
      </x:c>
      <x:c r="J76" s="90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Focus</x:t>
        </x:is>
      </x:c>
      <x:c r="C77" s="84" t="inlineStr">
        <x:is>
          <x:t xml:space="preserve">Trigger</x:t>
        </x:is>
      </x:c>
      <x:c r="D77" s="84" t="inlineStr">
        <x:is>
          <x:t xml:space="preserve">focus ring and focus restoration are correct</x:t>
        </x:is>
      </x:c>
      <x:c r="E77" s="89" t="inlineStr">
        <x:is>
          <x:t xml:space="preserve">yes</x:t>
        </x:is>
      </x:c>
      <x:c r="F77" s="89" t="inlineStr">
        <x:is>
          <x:t xml:space="preserve">yes</x:t>
        </x:is>
      </x:c>
      <x:c r="G77" s="89" t="inlineStr">
        <x:is>
          <x:t xml:space="preserve">passed</x:t>
        </x:is>
      </x:c>
      <x:c r="H77" s="89" t="inlineStr">
        <x:is>
          <x:t xml:space="preserve">covered</x:t>
        </x:is>
      </x:c>
      <x:c r="I77" s="90" t="inlineStr">
        <x:is>
          <x:t xml:space="preserve">Collapsible manual protocol in manual-tests/collapsible.md.</x:t>
        </x:is>
      </x:c>
      <x:c r="J77" s="90" t="n"/>
      <x:c r="K77" s="87" t="n">
        <x:f>IF(AND(E77="yes",F77="yes",H77="covered"),1,IF(H77="partial",0.5,0))</x:f>
        <x:v>1</x:v>
      </x:c>
    </x:row>
    <x:row r="78" s="51" customFormat="1" ht="72" customHeight="1">
      <x:c r="A78" s="73" t="n">
        <x:v>70</x:v>
      </x:c>
      <x:c r="B78" s="84" t="inlineStr">
        <x:is>
          <x:t xml:space="preserve">Parity</x:t>
        </x:is>
      </x:c>
      <x:c r="C78" s="84" t="inlineStr">
        <x:is>
          <x:t xml:space="preserve">RootProvider</x:t>
        </x:is>
      </x:c>
      <x:c r="D78" s="84" t="inlineStr">
        <x:is>
          <x:t xml:space="preserve">External controller and Context expose the same disclosure state</x:t>
        </x:is>
      </x:c>
      <x:c r="E78" s="89" t="inlineStr">
        <x:is>
          <x:t xml:space="preserve">yes</x:t>
        </x:is>
      </x:c>
      <x:c r="F78" s="89" t="inlineStr">
        <x:is>
          <x:t xml:space="preserve">no</x:t>
        </x:is>
      </x:c>
      <x:c r="G78" s="89" t="inlineStr">
        <x:is>
          <x:t xml:space="preserve">manual pass unperformed</x:t>
        </x:is>
      </x:c>
      <x:c r="H78" s="89" t="inlineStr">
        <x:is>
          <x:t xml:space="preserve">partial</x:t>
        </x:is>
      </x:c>
      <x:c r="I78" s="90" t="inlineStr">
        <x:is>
          <x:t xml:space="preserve">/__tests/collapsible; test/browser/collapsible-parity.spec.ts</x:t>
        </x:is>
      </x:c>
      <x:c r="J78" s="90" t="inlineStr">
        <x:is>
          <x:t xml:space="preserve">Complete parity manual protocol</x:t>
        </x:is>
      </x:c>
      <x:c r="K78" s="87" t="n">
        <x:f>IF(AND(E78="yes",F78="yes",H78="covered"),1,IF(H78="partial",0.5,0))</x:f>
        <x:v>0.5</x:v>
      </x:c>
    </x:row>
    <x:row r="79" s="51" customFormat="1" ht="72" customHeight="1">
      <x:c r="A79" s="73" t="n">
        <x:v>71</x:v>
      </x:c>
      <x:c r="B79" s="84" t="inlineStr">
        <x:is>
          <x:t xml:space="preserve">Parity</x:t>
        </x:is>
      </x:c>
      <x:c r="C79" s="84" t="inlineStr">
        <x:is>
          <x:t xml:space="preserve">Content</x:t>
        </x:is>
      </x:c>
      <x:c r="D79" s="84" t="inlineStr">
        <x:is>
          <x:t xml:space="preserve">Partial height/width stays mounted, inert and aria-hidden while closed</x:t>
        </x:is>
      </x:c>
      <x:c r="E79" s="89" t="inlineStr">
        <x:is>
          <x:t xml:space="preserve">yes</x:t>
        </x:is>
      </x:c>
      <x:c r="F79" s="89" t="inlineStr">
        <x:is>
          <x:t xml:space="preserve">no</x:t>
        </x:is>
      </x:c>
      <x:c r="G79" s="89" t="inlineStr">
        <x:is>
          <x:t xml:space="preserve">manual pass unperformed</x:t>
        </x:is>
      </x:c>
      <x:c r="H79" s="89" t="inlineStr">
        <x:is>
          <x:t xml:space="preserve">partial</x:t>
        </x:is>
      </x:c>
      <x:c r="I79" s="90" t="inlineStr">
        <x:is>
          <x:t xml:space="preserve">/__tests/collapsible; test/browser/collapsible-parity.spec.ts</x:t>
        </x:is>
      </x:c>
      <x:c r="J79" s="90" t="inlineStr">
        <x:is>
          <x:t xml:space="preserve">Complete parity manual protocol</x:t>
        </x:is>
      </x:c>
      <x:c r="K79" s="87" t="n">
        <x:f>IF(AND(E79="yes",F79="yes",H79="covered"),1,IF(H79="partial",0.5,0))</x:f>
        <x:v>0.5</x:v>
      </x:c>
    </x:row>
    <x:row r="80" s="51" customFormat="1" ht="72" customHeight="1">
      <x:c r="A80" s="73" t="n">
        <x:v>72</x:v>
      </x:c>
      <x:c r="B80" s="84" t="inlineStr">
        <x:is>
          <x:t xml:space="preserve">Parity</x:t>
        </x:is>
      </x:c>
      <x:c r="C80" s="84" t="inlineStr">
        <x:is>
          <x:t xml:space="preserve">Content</x:t>
        </x:is>
      </x:c>
      <x:c r="D80" s="84" t="inlineStr">
        <x:is>
          <x:t xml:space="preserve">Lazy mounting, retained state and cancelled exits follow Root policy</x:t>
        </x:is>
      </x:c>
      <x:c r="E80" s="89" t="inlineStr">
        <x:is>
          <x:t xml:space="preserve">yes</x:t>
        </x:is>
      </x:c>
      <x:c r="F80" s="89" t="inlineStr">
        <x:is>
          <x:t xml:space="preserve">no</x:t>
        </x:is>
      </x:c>
      <x:c r="G80" s="89" t="inlineStr">
        <x:is>
          <x:t xml:space="preserve">manual pass unperformed</x:t>
        </x:is>
      </x:c>
      <x:c r="H80" s="89" t="inlineStr">
        <x:is>
          <x:t xml:space="preserve">partial</x:t>
        </x:is>
      </x:c>
      <x:c r="I80" s="90" t="inlineStr">
        <x:is>
          <x:t xml:space="preserve">/__tests/collapsible; test/browser/collapsible-parity.spec.ts</x:t>
        </x:is>
      </x:c>
      <x:c r="J80" s="90" t="inlineStr">
        <x:is>
          <x:t xml:space="preserve">Complete parity manual protocol</x:t>
        </x:is>
      </x:c>
      <x:c r="K80" s="87" t="n">
        <x:f>IF(AND(E80="yes",F80="yes",H80="covered"),1,IF(H80="partial",0.5,0))</x:f>
        <x:v>0.5</x:v>
      </x:c>
    </x:row>
    <x:row r="81" s="51" customFormat="1" ht="72" customHeight="1">
      <x:c r="A81" s="73" t="n">
        <x:v>73</x:v>
      </x:c>
      <x:c r="B81" s="84" t="inlineStr">
        <x:is>
          <x:t xml:space="preserve">Parity</x:t>
        </x:is>
      </x:c>
      <x:c r="C81" s="84" t="inlineStr">
        <x:is>
          <x:t xml:space="preserve">Indicator</x:t>
        </x:is>
      </x:c>
      <x:c r="D81" s="84" t="inlineStr">
        <x:is>
          <x:t xml:space="preserve">Indicator follows nearest owner in nested disclosures</x:t>
        </x:is>
      </x:c>
      <x:c r="E81" s="89" t="inlineStr">
        <x:is>
          <x:t xml:space="preserve">yes</x:t>
        </x:is>
      </x:c>
      <x:c r="F81" s="89" t="inlineStr">
        <x:is>
          <x:t xml:space="preserve">no</x:t>
        </x:is>
      </x:c>
      <x:c r="G81" s="89" t="inlineStr">
        <x:is>
          <x:t xml:space="preserve">manual pass unperformed</x:t>
        </x:is>
      </x:c>
      <x:c r="H81" s="89" t="inlineStr">
        <x:is>
          <x:t xml:space="preserve">partial</x:t>
        </x:is>
      </x:c>
      <x:c r="I81" s="90" t="inlineStr">
        <x:is>
          <x:t xml:space="preserve">/__tests/collapsible; test/browser/collapsible-parity.spec.ts</x:t>
        </x:is>
      </x:c>
      <x:c r="J81" s="90" t="inlineStr">
        <x:is>
          <x:t xml:space="preserve">Complete parity manual protocol</x:t>
        </x:is>
      </x:c>
      <x:c r="K81" s="87" t="n">
        <x:f>IF(AND(E81="yes",F81="yes",H81="covered"),1,IF(H81="partial",0.5,0))</x:f>
        <x:v>0.5</x:v>
      </x:c>
    </x:row>
    <x:row r="82" s="51" customFormat="1" ht="72" customHeight="1">
      <x:c r="A82" s="73" t="n">
        <x:v>74</x:v>
      </x:c>
      <x:c r="B82" s="84" t="inlineStr">
        <x:is>
          <x:t xml:space="preserve">Parity</x:t>
        </x:is>
      </x:c>
      <x:c r="C82" s="84" t="inlineStr">
        <x:is>
          <x:t xml:space="preserve">Content</x:t>
        </x:is>
      </x:c>
      <x:c r="D82" s="84" t="inlineStr">
        <x:is>
          <x:t xml:space="preserve">Activity mode retains state and pauses hidden effects on supported React</x:t>
        </x:is>
      </x:c>
      <x:c r="E82" s="89" t="inlineStr">
        <x:is>
          <x:t xml:space="preserve">yes</x:t>
        </x:is>
      </x:c>
      <x:c r="F82" s="89" t="inlineStr">
        <x:is>
          <x:t xml:space="preserve">no</x:t>
        </x:is>
      </x:c>
      <x:c r="G82" s="89" t="inlineStr">
        <x:is>
          <x:t xml:space="preserve">manual pass unperformed</x:t>
        </x:is>
      </x:c>
      <x:c r="H82" s="89" t="inlineStr">
        <x:is>
          <x:t xml:space="preserve">partial</x:t>
        </x:is>
      </x:c>
      <x:c r="I82" s="90" t="inlineStr">
        <x:is>
          <x:t xml:space="preserve">/__tests/collapsible; test/browser/collapsible-parity.spec.ts</x:t>
        </x:is>
      </x:c>
      <x:c r="J82" s="90" t="inlineStr">
        <x:is>
          <x:t xml:space="preserve">Complete parity manual protocol</x:t>
        </x:is>
      </x:c>
      <x:c r="K82" s="87" t="n">
        <x:f>IF(AND(E82="yes",F82="yes",H82="covered"),1,IF(H82="partial",0.5,0))</x:f>
        <x:v>0.5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Collection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IFERROR(SUM(K9:K31)/COUNTA(A9:A31),0)</x:f>
        <x:v>1</x:v>
      </x:c>
      <x:c r="C4" s="70" t="inlineStr">
        <x:is>
          <x:t xml:space="preserve">Covered</x:t>
        </x:is>
      </x:c>
      <x:c r="D4" s="82" t="n">
        <x:f>COUNTIF(H9:H31,"covered")</x:f>
        <x:v>23</x:v>
      </x:c>
      <x:c r="E4" s="70" t="inlineStr">
        <x:is>
          <x:t xml:space="preserve">Partial</x:t>
        </x:is>
      </x:c>
      <x:c r="F4" s="82" t="n">
        <x:f>COUNTIF(H9:H31,"partial")</x:f>
        <x:v>0</x:v>
      </x:c>
      <x:c r="G4" s="70" t="inlineStr">
        <x:is>
          <x:t xml:space="preserve">Missing</x:t>
        </x:is>
      </x:c>
      <x:c r="H4" s="82" t="n">
        <x:f>COUNTIF(H9:H31,"missing")</x:f>
        <x:v>0</x:v>
      </x:c>
      <x:c r="I4" s="70" t="inlineStr">
        <x:is>
          <x:t xml:space="preserve">Untested</x:t>
        </x:is>
      </x:c>
      <x:c r="J4" s="82" t="n">
        <x:f>COUNTIF(F9:F31,"no")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4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Collection</x:t>
        </x:is>
      </x:c>
      <x:c r="D9" s="90" t="inlineStr">
        <x:is>
          <x:t xml:space="preserve">scenario is reachable from top menu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Collection manual batch 1: initial values, disabled skip, next/previous focus movement, footer, Anatomy, and Log verified.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Collection</x:t>
        </x:is>
      </x:c>
      <x:c r="D10" s="90" t="inlineStr">
        <x:is>
          <x:t xml:space="preserve">canvas source reflects current toggles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Collection playground manual verification.</x:t>
        </x:is>
      </x:c>
      <x:c r="J10" s="90" t="n"/>
      <x:c r="K10" s="91" t="n">
        <x:f>IF(H10="covered",1,IF(H10="partial",0.5,0))</x:f>
        <x:v>1</x:v>
      </x:c>
    </x:row>
    <x:row r="11" s="51" customFormat="1" ht="45" customHeight="1">
      <x:c r="A11" s="89" t="n">
        <x:v>3</x:v>
      </x:c>
      <x:c r="B11" s="90" t="inlineStr">
        <x:is>
          <x:t xml:space="preserve">Playground</x:t>
        </x:is>
      </x:c>
      <x:c r="C11" s="90" t="inlineStr">
        <x:is>
          <x:t xml:space="preserve">Collection</x:t>
        </x:is>
      </x:c>
      <x:c r="D11" s="90" t="inlineStr">
        <x:is>
          <x:t xml:space="preserve">anatomy uses live DOM attributes, ARIA, and data groups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Collection manual batch 1: initial values, disabled skip, next/previous focus movement, footer, Anatomy, and Log verified.</x:t>
        </x:is>
      </x:c>
      <x:c r="J11" s="90" t="n"/>
      <x:c r="K11" s="91" t="n">
        <x:f>IF(H11="covered",1,IF(H11="partial",0.5,0))</x:f>
        <x:v>1</x:v>
      </x:c>
    </x:row>
    <x:row r="12" s="51" customFormat="1" ht="45" customHeight="1">
      <x:c r="A12" s="89" t="n">
        <x:v>4</x:v>
      </x:c>
      <x:c r="B12" s="90" t="inlineStr">
        <x:is>
          <x:t xml:space="preserve">Playground</x:t>
        </x:is>
      </x:c>
      <x:c r="C12" s="90" t="inlineStr">
        <x:is>
          <x:t xml:space="preserve">Collection</x:t>
        </x:is>
      </x:c>
      <x:c r="D12" s="90" t="inlineStr">
        <x:is>
          <x:t xml:space="preserve">inspector selected/focused/logs work for this scenario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Collection manual batch 1: initial values, disabled skip, next/previous focus movement, footer, Anatomy, and Log verified.</x:t>
        </x:is>
      </x:c>
      <x:c r="J12" s="90" t="n"/>
      <x:c r="K12" s="91" t="n">
        <x:f>IF(H12="covered",1,IF(H12="partial",0.5,0))</x:f>
        <x:v>1</x:v>
      </x:c>
    </x:row>
    <x:row r="13" s="51" customFormat="1" ht="45" customHeight="1">
      <x:c r="A13" s="89" t="n">
        <x:v>5</x:v>
      </x:c>
      <x:c r="B13" s="90" t="inlineStr">
        <x:is>
          <x:t xml:space="preserve">Feature</x:t>
        </x:is>
      </x:c>
      <x:c r="C13" s="90" t="inlineStr">
        <x:is>
          <x:t xml:space="preserve">Collection</x:t>
        </x:is>
      </x:c>
      <x:c r="D13" s="90" t="inlineStr">
        <x:is>
          <x:t xml:space="preserve">Registers items by stable value and DOM element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Collection manual batch 1: initial values, disabled skip, next/previous focus movement, footer, Anatomy, and Log verified.</x:t>
        </x:is>
      </x:c>
      <x:c r="J13" s="90" t="n"/>
      <x:c r="K13" s="91" t="n">
        <x:f>IF(H13="covered",1,IF(H13="partial",0.5,0))</x:f>
        <x:v>1</x:v>
      </x:c>
    </x:row>
    <x:row r="14" s="51" customFormat="1" ht="15" customHeight="1">
      <x:c r="A14" s="89" t="n">
        <x:v>6</x:v>
      </x:c>
      <x:c r="B14" s="90" t="inlineStr">
        <x:is>
          <x:t xml:space="preserve">Feature</x:t>
        </x:is>
      </x:c>
      <x:c r="C14" s="90" t="inlineStr">
        <x:is>
          <x:t xml:space="preserve">Collection</x:t>
        </x:is>
      </x:c>
      <x:c r="D14" s="90" t="inlineStr">
        <x:is>
          <x:t xml:space="preserve">Sorts items by live document order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Collection playground manual verification.</x:t>
        </x:is>
      </x:c>
      <x:c r="J14" s="90" t="n"/>
      <x:c r="K14" s="91" t="n">
        <x:f>IF(H14="covered",1,IF(H14="partial",0.5,0))</x:f>
        <x:v>1</x:v>
      </x:c>
    </x:row>
    <x:row r="15" s="51" customFormat="1" ht="45" customHeight="1">
      <x:c r="A15" s="89" t="n">
        <x:v>7</x:v>
      </x:c>
      <x:c r="B15" s="90" t="inlineStr">
        <x:is>
          <x:t xml:space="preserve">Feature</x:t>
        </x:is>
      </x:c>
      <x:c r="C15" s="90" t="inlineStr">
        <x:is>
          <x:t xml:space="preserve">Collection</x:t>
        </x:is>
      </x:c>
      <x:c r="D15" s="90" t="inlineStr">
        <x:is>
          <x:t xml:space="preserve">Tracks disabled state and custom item metadata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Collection manual batch 1: initial values, disabled skip, next/previous focus movement, footer, Anatomy, and Log verified.</x:t>
        </x:is>
      </x:c>
      <x:c r="J15" s="90" t="n"/>
      <x:c r="K15" s="91" t="n">
        <x:f>IF(H15="covered",1,IF(H15="partial",0.5,0))</x:f>
        <x:v>1</x:v>
      </x:c>
    </x:row>
    <x:row r="16" s="51" customFormat="1" ht="45" customHeight="1">
      <x:c r="A16" s="89" t="n">
        <x:v>8</x:v>
      </x:c>
      <x:c r="B16" s="90" t="inlineStr">
        <x:is>
          <x:t xml:space="preserve">Feature</x:t>
        </x:is>
      </x:c>
      <x:c r="C16" s="90" t="inlineStr">
        <x:is>
          <x:t xml:space="preserve">Collection</x:t>
        </x:is>
      </x:c>
      <x:c r="D16" s="90" t="inlineStr">
        <x:is>
          <x:t xml:space="preserve">Provides first, last, next, previous, enabled, and raw item lookup helpers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Collection manual batch 1: initial values, disabled skip, next/previous focus movement, footer, Anatomy, and Log verified.</x:t>
        </x:is>
      </x:c>
      <x:c r="J16" s="90" t="n"/>
      <x:c r="K16" s="91" t="n">
        <x:f>IF(H16="covered",1,IF(H16="partial",0.5,0))</x:f>
        <x:v>1</x:v>
      </x:c>
    </x:row>
    <x:row r="17" s="51" customFormat="1" ht="15" customHeight="1">
      <x:c r="A17" s="89" t="n">
        <x:v>9</x:v>
      </x:c>
      <x:c r="B17" s="90" t="inlineStr">
        <x:is>
          <x:t xml:space="preserve">Feature</x:t>
        </x:is>
      </x:c>
      <x:c r="C17" s="90" t="inlineStr">
        <x:is>
          <x:t xml:space="preserve">Collection</x:t>
        </x:is>
      </x:c>
      <x:c r="D17" s="90" t="inlineStr">
        <x:is>
          <x:t xml:space="preserve">Warns in development when duplicate values are registered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Collection playground manual verification.</x:t>
        </x:is>
      </x:c>
      <x:c r="J17" s="90" t="n"/>
      <x:c r="K17" s="91" t="n">
        <x:f>IF(H17="covered",1,IF(H17="partial",0.5,0))</x:f>
        <x:v>1</x:v>
      </x:c>
    </x:row>
    <x:row r="18" s="51" customFormat="1" ht="30" customHeight="1">
      <x:c r="A18" s="89" t="n">
        <x:v>10</x:v>
      </x:c>
      <x:c r="B18" s="90" t="inlineStr">
        <x:is>
          <x:t xml:space="preserve">Feature</x:t>
        </x:is>
      </x:c>
      <x:c r="C18" s="90" t="inlineStr">
        <x:is>
          <x:t xml:space="preserve">Collection</x:t>
        </x:is>
      </x:c>
      <x:c r="D18" s="90" t="inlineStr">
        <x:is>
          <x:t xml:space="preserve">Keeps roles, keyboard behavior, and rendered structure in the component that uses the collection</x:t>
        </x:is>
      </x:c>
      <x:c r="E18" s="89" t="inlineStr">
        <x:is>
          <x:t xml:space="preserve">yes</x:t>
        </x:is>
      </x:c>
      <x:c r="F18" s="89" t="inlineStr">
        <x:is>
          <x:t xml:space="preserve">yes</x:t>
        </x:is>
      </x:c>
      <x:c r="G18" s="89" t="inlineStr">
        <x:is>
          <x:t xml:space="preserve">passed</x:t>
        </x:is>
      </x:c>
      <x:c r="H18" s="89" t="inlineStr">
        <x:is>
          <x:t xml:space="preserve">covered</x:t>
        </x:is>
      </x:c>
      <x:c r="I18" s="90" t="inlineStr">
        <x:is>
          <x:t xml:space="preserve">Collection playground manual verification.</x:t>
        </x:is>
      </x:c>
      <x:c r="J18" s="90" t="n"/>
      <x:c r="K18" s="91" t="n">
        <x:f>IF(H18="covered",1,IF(H18="partial",0.5,0))</x:f>
        <x:v>1</x:v>
      </x:c>
    </x:row>
    <x:row r="19" s="51" customFormat="1" ht="45" customHeight="1">
      <x:c r="A19" s="89" t="n">
        <x:v>11</x:v>
      </x:c>
      <x:c r="B19" s="90" t="inlineStr">
        <x:is>
          <x:t xml:space="preserve">Anatomy</x:t>
        </x:is>
      </x:c>
      <x:c r="C19" s="90" t="inlineStr">
        <x:is>
          <x:t xml:space="preserve">Hook API</x:t>
        </x:is>
      </x:c>
      <x:c r="D19" s="90" t="inlineStr">
        <x:is>
          <x:t xml:space="preserve">hook API state appears in Anatomy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Collection manual batch 1: initial values, disabled skip, next/previous focus movement, footer, Anatomy, and Log verified.</x:t>
        </x:is>
      </x:c>
      <x:c r="J19" s="90" t="n"/>
      <x:c r="K19" s="91" t="n">
        <x:f>IF(H19="covered",1,IF(H19="partial",0.5,0))</x:f>
        <x:v>1</x:v>
      </x:c>
    </x:row>
    <x:row r="20" s="51" customFormat="1" ht="15" customHeight="1">
      <x:c r="A20" s="89" t="n">
        <x:v>12</x:v>
      </x:c>
      <x:c r="B20" s="90" t="inlineStr">
        <x:is>
          <x:t xml:space="preserve">Anatomy</x:t>
        </x:is>
      </x:c>
      <x:c r="C20" s="90" t="inlineStr">
        <x:is>
          <x:t xml:space="preserve">Hook API</x:t>
        </x:is>
      </x:c>
      <x:c r="D20" s="90" t="inlineStr">
        <x:is>
          <x:t xml:space="preserve">hook API appears before consumer DOM evidence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Collection playground manual verification.</x:t>
        </x:is>
      </x:c>
      <x:c r="J20" s="90" t="n"/>
      <x:c r="K20" s="91" t="n">
        <x:f>IF(H20="covered",1,IF(H20="partial",0.5,0))</x:f>
        <x:v>1</x:v>
      </x:c>
    </x:row>
    <x:row r="21" s="51" customFormat="1" ht="45" customHeight="1">
      <x:c r="A21" s="89" t="n">
        <x:v>13</x:v>
      </x:c>
      <x:c r="B21" s="90" t="inlineStr">
        <x:is>
          <x:t xml:space="preserve">Identity</x:t>
        </x:is>
      </x:c>
      <x:c r="C21" s="90" t="inlineStr">
        <x:is>
          <x:t xml:space="preserve">Consumer DOM</x:t>
        </x:is>
      </x:c>
      <x:c r="D21" s="90" t="inlineStr">
        <x:is>
          <x:t xml:space="preserve">demo item tag is visible in Anatomy/Inspector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Collection manual batch 1: initial values, disabled skip, next/previous focus movement, footer, Anatomy, and Log verified.</x:t>
        </x:is>
      </x:c>
      <x:c r="J21" s="90" t="n"/>
      <x:c r="K21" s="91" t="n">
        <x:f>IF(H21="covered",1,IF(H21="partial",0.5,0))</x:f>
        <x:v>1</x:v>
      </x:c>
    </x:row>
    <x:row r="22" s="51" customFormat="1" ht="15" customHeight="1">
      <x:c r="A22" s="89" t="n">
        <x:v>14</x:v>
      </x:c>
      <x:c r="B22" s="90" t="inlineStr">
        <x:is>
          <x:t xml:space="preserve">Identity</x:t>
        </x:is>
      </x:c>
      <x:c r="C22" s="90" t="inlineStr">
        <x:is>
          <x:t xml:space="preserve">Hook API</x:t>
        </x:is>
      </x:c>
      <x:c r="D22" s="90" t="inlineStr">
        <x:is>
          <x:t xml:space="preserve">Collection emits no data-slot because it renders no DOM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Collection playground manual verification.</x:t>
        </x:is>
      </x:c>
      <x:c r="J22" s="90" t="n"/>
      <x:c r="K22" s="91" t="n">
        <x:f>IF(H22="covered",1,IF(H22="partial",0.5,0))</x:f>
        <x:v>1</x:v>
      </x:c>
    </x:row>
    <x:row r="23" s="51" customFormat="1" ht="45" customHeight="1">
      <x:c r="A23" s="89" t="n">
        <x:v>15</x:v>
      </x:c>
      <x:c r="B23" s="90" t="inlineStr">
        <x:is>
          <x:t xml:space="preserve">Props</x:t>
        </x:is>
      </x:c>
      <x:c r="C23" s="90" t="inlineStr">
        <x:is>
          <x:t xml:space="preserve">Consumer DOM</x:t>
        </x:is>
      </x:c>
      <x:c r="D23" s="90" t="inlineStr">
        <x:is>
          <x:t xml:space="preserve">non-Atom marker data-prop-check appears on demo item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Collection manual batch 1: initial values, disabled skip, next/previous focus movement, footer, Anatomy, and Log verified.</x:t>
        </x:is>
      </x:c>
      <x:c r="J23" s="90" t="n"/>
      <x:c r="K23" s="91" t="n">
        <x:f>IF(H23="covered",1,IF(H23="partial",0.5,0))</x:f>
        <x:v>1</x:v>
      </x:c>
    </x:row>
    <x:row r="24" s="51" customFormat="1" ht="45" customHeight="1">
      <x:c r="A24" s="89" t="n">
        <x:v>16</x:v>
      </x:c>
      <x:c r="B24" s="90" t="inlineStr">
        <x:is>
          <x:t xml:space="preserve">Anatomy</x:t>
        </x:is>
      </x:c>
      <x:c r="C24" s="90" t="inlineStr">
        <x:is>
          <x:t xml:space="preserve">Consumer DOM</x:t>
        </x:is>
      </x:c>
      <x:c r="D24" s="90" t="inlineStr">
        <x:is>
          <x:t xml:space="preserve">registered items render in DOM evidence group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Collection manual batch 1: initial values, disabled skip, next/previous focus movement, footer, Anatomy, and Log verified.</x:t>
        </x:is>
      </x:c>
      <x:c r="J24" s="90" t="n"/>
      <x:c r="K24" s="91" t="n">
        <x:f>IF(H24="covered",1,IF(H24="partial",0.5,0))</x:f>
        <x:v>1</x:v>
      </x:c>
    </x:row>
    <x:row r="25" s="51" customFormat="1" ht="15" customHeight="1">
      <x:c r="A25" s="89" t="n">
        <x:v>17</x:v>
      </x:c>
      <x:c r="B25" s="90" t="inlineStr">
        <x:is>
          <x:t xml:space="preserve">Anatomy</x:t>
        </x:is>
      </x:c>
      <x:c r="C25" s="90" t="inlineStr">
        <x:is>
          <x:t xml:space="preserve">Consumer DOM</x:t>
        </x:is>
      </x:c>
      <x:c r="D25" s="90" t="inlineStr">
        <x:is>
          <x:t xml:space="preserve">item groups follow live DOM order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Collection playground manual verification.</x:t>
        </x:is>
      </x:c>
      <x:c r="J25" s="90" t="n"/>
      <x:c r="K25" s="91" t="n">
        <x:f>IF(H25="covered",1,IF(H25="partial",0.5,0))</x:f>
        <x:v>1</x:v>
      </x:c>
    </x:row>
    <x:row r="26" s="51" customFormat="1" ht="15" customHeight="1">
      <x:c r="A26" s="89" t="n">
        <x:v>18</x:v>
      </x:c>
      <x:c r="B26" s="90" t="inlineStr">
        <x:is>
          <x:t xml:space="preserve">Identity</x:t>
        </x:is>
      </x:c>
      <x:c r="C26" s="90" t="inlineStr">
        <x:is>
          <x:t xml:space="preserve">Consumer DOM</x:t>
        </x:is>
      </x:c>
      <x:c r="D26" s="90" t="inlineStr">
        <x:is>
          <x:t xml:space="preserve">item values are visible in Anatomy/Inspector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Collection playground manual verification.</x:t>
        </x:is>
      </x:c>
      <x:c r="J26" s="90" t="n"/>
      <x:c r="K26" s="91" t="n">
        <x:f>IF(H26="covered",1,IF(H26="partial",0.5,0))</x:f>
        <x:v>1</x:v>
      </x:c>
    </x:row>
    <x:row r="27" s="51" customFormat="1" ht="30" customHeight="1">
      <x:c r="A27" s="89" t="n">
        <x:v>19</x:v>
      </x:c>
      <x:c r="B27" s="90" t="inlineStr">
        <x:is>
          <x:t xml:space="preserve">Identity</x:t>
        </x:is>
      </x:c>
      <x:c r="C27" s="90" t="inlineStr">
        <x:is>
          <x:t xml:space="preserve">Hook API</x:t>
        </x:is>
      </x:c>
      <x:c r="D27" s="90" t="inlineStr">
        <x:is>
          <x:t xml:space="preserve">Collection emits no Atom data attributes because it renders no DOM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Collection playground manual verification.</x:t>
        </x:is>
      </x:c>
      <x:c r="J27" s="90" t="n"/>
      <x:c r="K27" s="91" t="n">
        <x:f>IF(H27="covered",1,IF(H27="partial",0.5,0))</x:f>
        <x:v>1</x:v>
      </x:c>
    </x:row>
    <x:row r="28" s="51" customFormat="1" ht="15" customHeight="1">
      <x:c r="A28" s="89" t="n">
        <x:v>20</x:v>
      </x:c>
      <x:c r="B28" s="90" t="inlineStr">
        <x:is>
          <x:t xml:space="preserve">Props</x:t>
        </x:is>
      </x:c>
      <x:c r="C28" s="90" t="inlineStr">
        <x:is>
          <x:t xml:space="preserve">Consumer DOM</x:t>
        </x:is>
      </x:c>
      <x:c r="D28" s="90" t="inlineStr">
        <x:is>
          <x:t xml:space="preserve">metadata and disabled state are visible in lookup/items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Collection playground manual verification.</x:t>
        </x:is>
      </x:c>
      <x:c r="J28" s="90" t="n"/>
      <x:c r="K28" s="91" t="n">
        <x:f>IF(H28="covered",1,IF(H28="partial",0.5,0))</x:f>
        <x:v>1</x:v>
      </x:c>
    </x:row>
    <x:row r="29" s="51" customFormat="1" ht="45" customHeight="1">
      <x:c r="A29" s="89" t="n">
        <x:v>21</x:v>
      </x:c>
      <x:c r="B29" s="90" t="inlineStr">
        <x:is>
          <x:t xml:space="preserve">Utility</x:t>
        </x:is>
      </x:c>
      <x:c r="C29" s="90" t="inlineStr">
        <x:is>
          <x:t xml:space="preserve">Collection</x:t>
        </x:is>
      </x:c>
      <x:c r="D29" s="90" t="inlineStr">
        <x:is>
          <x:t xml:space="preserve">registers enabled and disabled items in DOM order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Collection manual batch 1: initial values, disabled skip, next/previous focus movement, footer, Anatomy, and Log verified.</x:t>
        </x:is>
      </x:c>
      <x:c r="J29" s="90" t="n"/>
      <x:c r="K29" s="91" t="n">
        <x:f>IF(H29="covered",1,IF(H29="partial",0.5,0))</x:f>
        <x:v>1</x:v>
      </x:c>
    </x:row>
    <x:row r="30" s="51" customFormat="1" ht="15" customHeight="1">
      <x:c r="A30" s="89" t="n">
        <x:v>22</x:v>
      </x:c>
      <x:c r="B30" s="90" t="inlineStr">
        <x:is>
          <x:t xml:space="preserve">Utility</x:t>
        </x:is>
      </x:c>
      <x:c r="C30" s="90" t="inlineStr">
        <x:is>
          <x:t xml:space="preserve">Collection</x:t>
        </x:is>
      </x:c>
      <x:c r="D30" s="90" t="inlineStr">
        <x:is>
          <x:t xml:space="preserve">sorts disconnected items after connected items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Collection playground manual verification.</x:t>
        </x:is>
      </x:c>
      <x:c r="J30" s="90" t="n"/>
      <x:c r="K30" s="91" t="n">
        <x:f>IF(H30="covered",1,IF(H30="partial",0.5,0))</x:f>
        <x:v>1</x:v>
      </x:c>
    </x:row>
    <x:row r="31" s="51" customFormat="1" ht="15" customHeight="1">
      <x:c r="A31" s="89" t="n">
        <x:v>23</x:v>
      </x:c>
      <x:c r="B31" s="90" t="inlineStr">
        <x:is>
          <x:t xml:space="preserve">Utility</x:t>
        </x:is>
      </x:c>
      <x:c r="C31" s="90" t="inlineStr">
        <x:is>
          <x:t xml:space="preserve">Collection</x:t>
        </x:is>
      </x:c>
      <x:c r="D31" s="90" t="inlineStr">
        <x:is>
          <x:t xml:space="preserve">next/previous navigation respects loop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Collection playground manual verification.</x:t>
        </x:is>
      </x:c>
      <x:c r="J31" s="90" t="n"/>
      <x:c r="K31" s="91" t="n">
        <x:f>IF(H31="covered",1,IF(H31="partial",0.5,0))</x:f>
        <x:v>1</x:v>
      </x:c>
    </x:row>
    <x:row r="32" s="51" customFormat="1" ht="13.5" customHeight="1">
      <x:c r="A32" s="73" t="n"/>
      <x:c r="B32" s="84" t="n"/>
      <x:c r="C32" s="84" t="n"/>
      <x:c r="D32" s="84" t="n"/>
      <x:c r="E32" s="76" t="n"/>
      <x:c r="F32" s="76" t="n"/>
      <x:c r="G32" s="73" t="n"/>
      <x:c r="H32" s="92" t="n"/>
      <x:c r="I32" s="84" t="n"/>
      <x:c r="J32" s="84" t="n"/>
      <x:c r="K32" s="87" t="n"/>
    </x:row>
    <x:row r="33" s="51" customFormat="1" ht="13.5" customHeight="1">
      <x:c r="A33" s="73" t="n"/>
      <x:c r="B33" s="84" t="n"/>
      <x:c r="C33" s="84" t="n"/>
      <x:c r="D33" s="84" t="n"/>
      <x:c r="E33" s="76" t="n"/>
      <x:c r="F33" s="76" t="n"/>
      <x:c r="G33" s="73" t="n"/>
      <x:c r="H33" s="92" t="n"/>
      <x:c r="I33" s="84" t="n"/>
      <x:c r="J33" s="84" t="n"/>
      <x:c r="K33" s="87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Combobox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IFERROR(SUM(K9:K186)/COUNTA(A9:A186),0)</x:f>
        <x:v>1</x:v>
      </x:c>
      <x:c r="C4" s="70" t="inlineStr">
        <x:is>
          <x:t xml:space="preserve">Covered</x:t>
        </x:is>
      </x:c>
      <x:c r="D4" s="82" t="n">
        <x:f>COUNTIF(H9:H186,"covered")</x:f>
        <x:v>178</x:v>
      </x:c>
      <x:c r="E4" s="70" t="inlineStr">
        <x:is>
          <x:t xml:space="preserve">Partial</x:t>
        </x:is>
      </x:c>
      <x:c r="F4" s="82" t="n">
        <x:f>COUNTIF(H9:H186,"partial")</x:f>
        <x:v>0</x:v>
      </x:c>
      <x:c r="G4" s="70" t="inlineStr">
        <x:is>
          <x:t xml:space="preserve">Missing</x:t>
        </x:is>
      </x:c>
      <x:c r="H4" s="82" t="n">
        <x:f>COUNTIF(H9:H186,"missing")</x:f>
        <x:v>0</x:v>
      </x:c>
      <x:c r="I4" s="70" t="inlineStr">
        <x:is>
          <x:t xml:space="preserve">Untested</x:t>
        </x:is>
      </x:c>
      <x:c r="J4" s="82" t="n">
        <x:f>COUNTIF(F9:F186,"no")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</x:t>
        </x:is>
      </x:c>
      <x:c r="H9" s="86" t="inlineStr">
        <x:is>
          <x:t xml:space="preserve">covered</x:t>
        </x:is>
      </x:c>
      <x:c r="I9" s="84" t="inlineStr">
        <x:is>
          <x:t xml:space="preserve">Combobox playground scenario.</x:t>
        </x:is>
      </x:c>
      <x:c r="J9" s="84" t="n"/>
      <x:c r="K9" s="87" t="n">
        <x:f>IF(AND(E9="yes",F9="yes",H9="covered"),1,IF(AND(E9="yes",H9="partial"),0.5,0))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</x:t>
        </x:is>
      </x:c>
      <x:c r="H10" s="86" t="inlineStr">
        <x:is>
          <x:t xml:space="preserve">covered</x:t>
        </x:is>
      </x:c>
      <x:c r="I10" s="84" t="inlineStr">
        <x:is>
          <x:t xml:space="preserve">Combobox playground scenario.</x:t>
        </x:is>
      </x:c>
      <x:c r="J10" s="84" t="n"/>
      <x:c r="K10" s="87" t="n">
        <x:f>IF(AND(E10="yes",F10="yes",H10="covered"),1,IF(AND(E10="yes",H10="partial"),0.5,0))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Combobox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</x:t>
        </x:is>
      </x:c>
      <x:c r="H11" s="86" t="inlineStr">
        <x:is>
          <x:t xml:space="preserve">covered</x:t>
        </x:is>
      </x:c>
      <x:c r="I11" s="84" t="inlineStr">
        <x:is>
          <x:t xml:space="preserve">Combobox playground scenario.</x:t>
        </x:is>
      </x:c>
      <x:c r="J11" s="84" t="n"/>
      <x:c r="K11" s="87" t="n">
        <x:f>IF(AND(E11="yes",F11="yes",H11="covered"),1,IF(AND(E11="yes",H11="partial"),0.5,0))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Combobox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</x:t>
        </x:is>
      </x:c>
      <x:c r="H12" s="86" t="inlineStr">
        <x:is>
          <x:t xml:space="preserve">covered</x:t>
        </x:is>
      </x:c>
      <x:c r="I12" s="84" t="inlineStr">
        <x:is>
          <x:t xml:space="preserve">Combobox playground scenario.</x:t>
        </x:is>
      </x:c>
      <x:c r="J12" s="84" t="n"/>
      <x:c r="K12" s="87" t="n">
        <x:f>IF(AND(E12="yes",F12="yes",H12="covered"),1,IF(AND(E12="yes",H12="partial"),0.5,0))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Combobox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</x:t>
        </x:is>
      </x:c>
      <x:c r="H13" s="86" t="inlineStr">
        <x:is>
          <x:t xml:space="preserve">covered</x:t>
        </x:is>
      </x:c>
      <x:c r="I13" s="84" t="inlineStr">
        <x:is>
          <x:t xml:space="preserve">Combobox playground scenario.</x:t>
        </x:is>
      </x:c>
      <x:c r="J13" s="84" t="n"/>
      <x:c r="K13" s="87" t="n">
        <x:f>IF(AND(E13="yes",F13="yes",H13="covered"),1,IF(AND(E13="yes",H13="partial"),0.5,0))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Combobox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</x:t>
        </x:is>
      </x:c>
      <x:c r="H14" s="86" t="inlineStr">
        <x:is>
          <x:t xml:space="preserve">covered</x:t>
        </x:is>
      </x:c>
      <x:c r="I14" s="84" t="inlineStr">
        <x:is>
          <x:t xml:space="preserve">Combobox playground scenario.</x:t>
        </x:is>
      </x:c>
      <x:c r="J14" s="84" t="n"/>
      <x:c r="K14" s="87" t="n">
        <x:f>IF(AND(E14="yes",F14="yes",H14="covered"),1,IF(AND(E14="yes",H14="partial"),0.5,0))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Combobox</x:t>
        </x:is>
      </x:c>
      <x:c r="D15" s="84" t="inlineStr">
        <x:is>
          <x:t xml:space="preserve">Controlled and uncontrolled selected value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</x:t>
        </x:is>
      </x:c>
      <x:c r="H15" s="86" t="inlineStr">
        <x:is>
          <x:t xml:space="preserve">covered</x:t>
        </x:is>
      </x:c>
      <x:c r="I15" s="84" t="inlineStr">
        <x:is>
          <x:t xml:space="preserve">Combobox playground scenario.</x:t>
        </x:is>
      </x:c>
      <x:c r="J15" s="84" t="n"/>
      <x:c r="K15" s="87" t="n">
        <x:f>IF(AND(E15="yes",F15="yes",H15="covered"),1,IF(AND(E15="yes",H15="partial"),0.5,0))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Combobox</x:t>
        </x:is>
      </x:c>
      <x:c r="D16" s="84" t="inlineStr">
        <x:is>
          <x:t xml:space="preserve">Controlled and uncontrolled input value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</x:t>
        </x:is>
      </x:c>
      <x:c r="H16" s="86" t="inlineStr">
        <x:is>
          <x:t xml:space="preserve">covered</x:t>
        </x:is>
      </x:c>
      <x:c r="I16" s="84" t="inlineStr">
        <x:is>
          <x:t xml:space="preserve">Combobox playground scenario.</x:t>
        </x:is>
      </x:c>
      <x:c r="J16" s="84" t="n"/>
      <x:c r="K16" s="87" t="n">
        <x:f>IF(AND(E16="yes",F16="yes",H16="covered"),1,IF(AND(E16="yes",H16="partial"),0.5,0))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Combobox</x:t>
        </x:is>
      </x:c>
      <x:c r="D17" s="84" t="inlineStr">
        <x:is>
          <x:t xml:space="preserve">Controlled and uncontrolled open state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</x:t>
        </x:is>
      </x:c>
      <x:c r="H17" s="86" t="inlineStr">
        <x:is>
          <x:t xml:space="preserve">covered</x:t>
        </x:is>
      </x:c>
      <x:c r="I17" s="84" t="inlineStr">
        <x:is>
          <x:t xml:space="preserve">Combobox playground scenario.</x:t>
        </x:is>
      </x:c>
      <x:c r="J17" s="84" t="n"/>
      <x:c r="K17" s="87" t="n">
        <x:f>IF(AND(E17="yes",F17="yes",H17="covered"),1,IF(AND(E17="yes",H17="partial"),0.5,0))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Combobox</x:t>
        </x:is>
      </x:c>
      <x:c r="D18" s="84" t="inlineStr">
        <x:is>
          <x:t xml:space="preserve">Keyboard navigation with `aria-activedescendant`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</x:t>
        </x:is>
      </x:c>
      <x:c r="H18" s="86" t="inlineStr">
        <x:is>
          <x:t xml:space="preserve">covered</x:t>
        </x:is>
      </x:c>
      <x:c r="I18" s="84" t="inlineStr">
        <x:is>
          <x:t xml:space="preserve">Combobox playground scenario.</x:t>
        </x:is>
      </x:c>
      <x:c r="J18" s="84" t="n"/>
      <x:c r="K18" s="87" t="n">
        <x:f>IF(AND(E18="yes",F18="yes",H18="covered"),1,IF(AND(E18="yes",H18="partial"),0.5,0))</x:f>
        <x:v>1</x:v>
      </x:c>
    </x:row>
    <x:row r="19" s="51" customFormat="1" ht="30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Combobox</x:t>
        </x:is>
      </x:c>
      <x:c r="D19" s="84" t="inlineStr">
        <x:is>
          <x:t xml:space="preserve">Escape closes first, then clears when closed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</x:t>
        </x:is>
      </x:c>
      <x:c r="H19" s="86" t="inlineStr">
        <x:is>
          <x:t xml:space="preserve">covered</x:t>
        </x:is>
      </x:c>
      <x:c r="I19" s="84" t="inlineStr">
        <x:is>
          <x:t xml:space="preserve">Combobox playground scenario.</x:t>
        </x:is>
      </x:c>
      <x:c r="J19" s="84" t="n"/>
      <x:c r="K19" s="87" t="n">
        <x:f>IF(AND(E19="yes",F19="yes",H19="covered"),1,IF(AND(E19="yes",H19="partial"),0.5,0))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Combobox</x:t>
        </x:is>
      </x:c>
      <x:c r="D20" s="84" t="inlineStr">
        <x:is>
          <x:t xml:space="preserve">Stack-aware Escape dismissal when nested inside parent overlays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</x:t>
        </x:is>
      </x:c>
      <x:c r="H20" s="86" t="inlineStr">
        <x:is>
          <x:t xml:space="preserve">covered</x:t>
        </x:is>
      </x:c>
      <x:c r="I20" s="84" t="inlineStr">
        <x:is>
          <x:t xml:space="preserve">Combobox playground scenario.</x:t>
        </x:is>
      </x:c>
      <x:c r="J20" s="84" t="n"/>
      <x:c r="K20" s="87" t="n">
        <x:f>IF(AND(E20="yes",F20="yes",H20="covered"),1,IF(AND(E20="yes",H20="partial"),0.5,0))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Combobox</x:t>
        </x:is>
      </x:c>
      <x:c r="D21" s="84" t="inlineStr">
        <x:is>
          <x:t xml:space="preserve">Option groups, labels, empty/loading states, portal, and clear control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</x:t>
        </x:is>
      </x:c>
      <x:c r="H21" s="86" t="inlineStr">
        <x:is>
          <x:t xml:space="preserve">covered</x:t>
        </x:is>
      </x:c>
      <x:c r="I21" s="84" t="inlineStr">
        <x:is>
          <x:t xml:space="preserve">Combobox playground scenario.</x:t>
        </x:is>
      </x:c>
      <x:c r="J21" s="84" t="n"/>
      <x:c r="K21" s="87" t="n">
        <x:f>IF(AND(E21="yes",F21="yes",H21="covered"),1,IF(AND(E21="yes",H21="partial"),0.5,0))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Feature</x:t>
        </x:is>
      </x:c>
      <x:c r="C22" s="84" t="inlineStr">
        <x:is>
          <x:t xml:space="preserve">Combobox</x:t>
        </x:is>
      </x:c>
      <x:c r="D22" s="84" t="inlineStr">
        <x:is>
          <x:t xml:space="preserve">Hidden input for native form submission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</x:t>
        </x:is>
      </x:c>
      <x:c r="H22" s="86" t="inlineStr">
        <x:is>
          <x:t xml:space="preserve">covered</x:t>
        </x:is>
      </x:c>
      <x:c r="I22" s="84" t="inlineStr">
        <x:is>
          <x:t xml:space="preserve">Combobox playground scenario.</x:t>
        </x:is>
      </x:c>
      <x:c r="J22" s="84" t="n"/>
      <x:c r="K22" s="87" t="n">
        <x:f>IF(AND(E22="yes",F22="yes",H22="covered"),1,IF(AND(E22="yes",H22="partial"),0.5,0))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Anatomy</x:t>
        </x:is>
      </x:c>
      <x:c r="C23" s="84" t="inlineStr">
        <x:is>
          <x:t xml:space="preserve">Root</x:t>
        </x:is>
      </x:c>
      <x:c r="D23" s="84" t="inlineStr">
        <x:is>
          <x:t xml:space="preserve">renders correct part when expected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</x:t>
        </x:is>
      </x:c>
      <x:c r="H23" s="86" t="inlineStr">
        <x:is>
          <x:t xml:space="preserve">covered</x:t>
        </x:is>
      </x:c>
      <x:c r="I23" s="84" t="inlineStr">
        <x:is>
          <x:t xml:space="preserve">Combobox playground scenario.</x:t>
        </x:is>
      </x:c>
      <x:c r="J23" s="84" t="n"/>
      <x:c r="K23" s="87" t="n">
        <x:f>IF(AND(E23="yes",F23="yes",H23="covered"),1,IF(AND(E23="yes",H23="partial"),0.5,0))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Anatomy</x:t>
        </x:is>
      </x:c>
      <x:c r="C24" s="84" t="inlineStr">
        <x:is>
          <x:t xml:space="preserve">Root</x:t>
        </x:is>
      </x:c>
      <x:c r="D24" s="84" t="inlineStr">
        <x:is>
          <x:t xml:space="preserve">appears in documented order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</x:t>
        </x:is>
      </x:c>
      <x:c r="H24" s="86" t="inlineStr">
        <x:is>
          <x:t xml:space="preserve">covered</x:t>
        </x:is>
      </x:c>
      <x:c r="I24" s="84" t="inlineStr">
        <x:is>
          <x:t xml:space="preserve">Combobox playground scenario.</x:t>
        </x:is>
      </x:c>
      <x:c r="J24" s="84" t="n"/>
      <x:c r="K24" s="87" t="n">
        <x:f>IF(AND(E24="yes",F24="yes",H24="covered"),1,IF(AND(E24="yes",H24="partial"),0.5,0))</x:f>
        <x:v>1</x:v>
      </x:c>
    </x:row>
    <x:row r="25" s="51" customFormat="1" ht="30" customHeight="1">
      <x:c r="A25" s="73" t="n">
        <x:v>17</x:v>
      </x:c>
      <x:c r="B25" s="84" t="inlineStr">
        <x:is>
          <x:t xml:space="preserve">Identity</x:t>
        </x:is>
      </x:c>
      <x:c r="C25" s="84" t="inlineStr">
        <x:is>
          <x:t xml:space="preserve">Root</x:t>
        </x:is>
      </x:c>
      <x:c r="D25" s="84" t="inlineStr">
        <x:is>
          <x:t xml:space="preserve">default tag is visible in Anatomy/Inspector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</x:t>
        </x:is>
      </x:c>
      <x:c r="H25" s="86" t="inlineStr">
        <x:is>
          <x:t xml:space="preserve">covered</x:t>
        </x:is>
      </x:c>
      <x:c r="I25" s="84" t="inlineStr">
        <x:is>
          <x:t xml:space="preserve">Combobox playground scenario.</x:t>
        </x:is>
      </x:c>
      <x:c r="J25" s="84" t="n"/>
      <x:c r="K25" s="87" t="n">
        <x:f>IF(AND(E25="yes",F25="yes",H25="covered"),1,IF(AND(E25="yes",H25="partial"),0.5,0))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Identity</x:t>
        </x:is>
      </x:c>
      <x:c r="C26" s="84" t="inlineStr">
        <x:is>
          <x:t xml:space="preserve">Root</x:t>
        </x:is>
      </x:c>
      <x:c r="D26" s="84" t="inlineStr">
        <x:is>
          <x:t xml:space="preserve">data-slot is present and correct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</x:t>
        </x:is>
      </x:c>
      <x:c r="H26" s="86" t="inlineStr">
        <x:is>
          <x:t xml:space="preserve">covered</x:t>
        </x:is>
      </x:c>
      <x:c r="I26" s="84" t="inlineStr">
        <x:is>
          <x:t xml:space="preserve">Combobox playground scenario.</x:t>
        </x:is>
      </x:c>
      <x:c r="J26" s="84" t="n"/>
      <x:c r="K26" s="87" t="n">
        <x:f>IF(AND(E26="yes",F26="yes",H26="covered"),1,IF(AND(E26="yes",H26="partial"),0.5,0))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Props</x:t>
        </x:is>
      </x:c>
      <x:c r="C27" s="84" t="inlineStr">
        <x:is>
          <x:t xml:space="preserve">Root</x:t>
        </x:is>
      </x:c>
      <x:c r="D27" s="84" t="inlineStr">
        <x:is>
          <x:t xml:space="preserve">non-Atom native props pass through with data-prop-check marker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</x:t>
        </x:is>
      </x:c>
      <x:c r="H27" s="86" t="inlineStr">
        <x:is>
          <x:t xml:space="preserve">covered</x:t>
        </x:is>
      </x:c>
      <x:c r="I27" s="84" t="inlineStr">
        <x:is>
          <x:t xml:space="preserve">Combobox playground scenario.</x:t>
        </x:is>
      </x:c>
      <x:c r="J27" s="84" t="n"/>
      <x:c r="K27" s="87" t="n">
        <x:f>IF(AND(E27="yes",F27="yes",H27="covered"),1,IF(AND(E27="yes",H27="partial"),0.5,0))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Refs</x:t>
        </x:is>
      </x:c>
      <x:c r="C28" s="84" t="inlineStr">
        <x:is>
          <x:t xml:space="preserve">Root</x:t>
        </x:is>
      </x:c>
      <x:c r="D28" s="84" t="inlineStr">
        <x:is>
          <x:t xml:space="preserve">consumer ref receives the rendered element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</x:t>
        </x:is>
      </x:c>
      <x:c r="H28" s="86" t="inlineStr">
        <x:is>
          <x:t xml:space="preserve">covered</x:t>
        </x:is>
      </x:c>
      <x:c r="I28" s="84" t="inlineStr">
        <x:is>
          <x:t xml:space="preserve">Combobox playground scenario.</x:t>
        </x:is>
      </x:c>
      <x:c r="J28" s="84" t="n"/>
      <x:c r="K28" s="87" t="n">
        <x:f>IF(AND(E28="yes",F28="yes",H28="covered"),1,IF(AND(E28="yes",H28="partial"),0.5,0))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options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</x:t>
        </x:is>
      </x:c>
      <x:c r="H29" s="86" t="inlineStr">
        <x:is>
          <x:t xml:space="preserve">covered</x:t>
        </x:is>
      </x:c>
      <x:c r="I29" s="84" t="inlineStr">
        <x:is>
          <x:t xml:space="preserve">Combobox playground scenario.</x:t>
        </x:is>
      </x:c>
      <x:c r="J29" s="84" t="n"/>
      <x:c r="K29" s="87" t="n">
        <x:f>IF(AND(E29="yes",F29="yes",H29="covered"),1,IF(AND(E29="yes",H29="partial"),0.5,0))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value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</x:t>
        </x:is>
      </x:c>
      <x:c r="H30" s="86" t="inlineStr">
        <x:is>
          <x:t xml:space="preserve">covered</x:t>
        </x:is>
      </x:c>
      <x:c r="I30" s="84" t="inlineStr">
        <x:is>
          <x:t xml:space="preserve">Combobox playground scenario.</x:t>
        </x:is>
      </x:c>
      <x:c r="J30" s="84" t="n"/>
      <x:c r="K30" s="87" t="n">
        <x:f>IF(AND(E30="yes",F30="yes",H30="covered"),1,IF(AND(E30="yes",H30="partial"),0.5,0))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defaultValue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</x:t>
        </x:is>
      </x:c>
      <x:c r="H31" s="86" t="inlineStr">
        <x:is>
          <x:t xml:space="preserve">covered</x:t>
        </x:is>
      </x:c>
      <x:c r="I31" s="84" t="inlineStr">
        <x:is>
          <x:t xml:space="preserve">Combobox playground scenario.</x:t>
        </x:is>
      </x:c>
      <x:c r="J31" s="84" t="n"/>
      <x:c r="K31" s="87" t="n">
        <x:f>IF(AND(E31="yes",F31="yes",H31="covered"),1,IF(AND(E31="yes",H31="partial"),0.5,0))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onValueChange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</x:t>
        </x:is>
      </x:c>
      <x:c r="H32" s="86" t="inlineStr">
        <x:is>
          <x:t xml:space="preserve">covered</x:t>
        </x:is>
      </x:c>
      <x:c r="I32" s="84" t="inlineStr">
        <x:is>
          <x:t xml:space="preserve">Combobox playground scenario.</x:t>
        </x:is>
      </x:c>
      <x:c r="J32" s="84" t="n"/>
      <x:c r="K32" s="87" t="n">
        <x:f>IF(AND(E32="yes",F32="yes",H32="covered"),1,IF(AND(E32="yes",H32="partial"),0.5,0))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inputValue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</x:t>
        </x:is>
      </x:c>
      <x:c r="H33" s="86" t="inlineStr">
        <x:is>
          <x:t xml:space="preserve">covered</x:t>
        </x:is>
      </x:c>
      <x:c r="I33" s="84" t="inlineStr">
        <x:is>
          <x:t xml:space="preserve">Combobox playground scenario.</x:t>
        </x:is>
      </x:c>
      <x:c r="J33" s="84" t="n"/>
      <x:c r="K33" s="87" t="n">
        <x:f>IF(AND(E33="yes",F33="yes",H33="covered"),1,IF(AND(E33="yes",H33="partial"),0.5,0))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defaultInputValue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</x:t>
        </x:is>
      </x:c>
      <x:c r="H34" s="86" t="inlineStr">
        <x:is>
          <x:t xml:space="preserve">covered</x:t>
        </x:is>
      </x:c>
      <x:c r="I34" s="84" t="inlineStr">
        <x:is>
          <x:t xml:space="preserve">Combobox playground scenario.</x:t>
        </x:is>
      </x:c>
      <x:c r="J34" s="84" t="n"/>
      <x:c r="K34" s="87" t="n">
        <x:f>IF(AND(E34="yes",F34="yes",H34="covered"),1,IF(AND(E34="yes",H34="partial"),0.5,0))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Root</x:t>
        </x:is>
      </x:c>
      <x:c r="D35" s="84" t="inlineStr">
        <x:is>
          <x:t xml:space="preserve">onInputValueChange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</x:t>
        </x:is>
      </x:c>
      <x:c r="H35" s="86" t="inlineStr">
        <x:is>
          <x:t xml:space="preserve">covered</x:t>
        </x:is>
      </x:c>
      <x:c r="I35" s="84" t="inlineStr">
        <x:is>
          <x:t xml:space="preserve">Combobox playground scenario.</x:t>
        </x:is>
      </x:c>
      <x:c r="J35" s="84" t="n"/>
      <x:c r="K35" s="87" t="n">
        <x:f>IF(AND(E35="yes",F35="yes",H35="covered"),1,IF(AND(E35="yes",H35="partial"),0.5,0))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State</x:t>
        </x:is>
      </x:c>
      <x:c r="C36" s="84" t="inlineStr">
        <x:is>
          <x:t xml:space="preserve">Root</x:t>
        </x:is>
      </x:c>
      <x:c r="D36" s="84" t="inlineStr">
        <x:is>
          <x:t xml:space="preserve">open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</x:t>
        </x:is>
      </x:c>
      <x:c r="H36" s="86" t="inlineStr">
        <x:is>
          <x:t xml:space="preserve">covered</x:t>
        </x:is>
      </x:c>
      <x:c r="I36" s="84" t="inlineStr">
        <x:is>
          <x:t xml:space="preserve">Combobox playground scenario.</x:t>
        </x:is>
      </x:c>
      <x:c r="J36" s="84" t="n"/>
      <x:c r="K36" s="87" t="n">
        <x:f>IF(AND(E36="yes",F36="yes",H36="covered"),1,IF(AND(E36="yes",H36="partial"),0.5,0))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Root</x:t>
        </x:is>
      </x:c>
      <x:c r="D37" s="84" t="inlineStr">
        <x:is>
          <x:t xml:space="preserve">defaultOpen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</x:t>
        </x:is>
      </x:c>
      <x:c r="H37" s="86" t="inlineStr">
        <x:is>
          <x:t xml:space="preserve">covered</x:t>
        </x:is>
      </x:c>
      <x:c r="I37" s="84" t="inlineStr">
        <x:is>
          <x:t xml:space="preserve">Combobox playground scenario.</x:t>
        </x:is>
      </x:c>
      <x:c r="J37" s="84" t="n"/>
      <x:c r="K37" s="87" t="n">
        <x:f>IF(AND(E37="yes",F37="yes",H37="covered"),1,IF(AND(E37="yes",H37="partial"),0.5,0))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State</x:t>
        </x:is>
      </x:c>
      <x:c r="C38" s="84" t="inlineStr">
        <x:is>
          <x:t xml:space="preserve">Root</x:t>
        </x:is>
      </x:c>
      <x:c r="D38" s="84" t="inlineStr">
        <x:is>
          <x:t xml:space="preserve">onOpenChange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</x:t>
        </x:is>
      </x:c>
      <x:c r="H38" s="86" t="inlineStr">
        <x:is>
          <x:t xml:space="preserve">covered</x:t>
        </x:is>
      </x:c>
      <x:c r="I38" s="84" t="inlineStr">
        <x:is>
          <x:t xml:space="preserve">Combobox playground scenario.</x:t>
        </x:is>
      </x:c>
      <x:c r="J38" s="84" t="n"/>
      <x:c r="K38" s="87" t="n">
        <x:f>IF(AND(E38="yes",F38="yes",H38="covered"),1,IF(AND(E38="yes",H38="partial"),0.5,0))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State</x:t>
        </x:is>
      </x:c>
      <x:c r="C39" s="84" t="inlineStr">
        <x:is>
          <x:t xml:space="preserve">Root</x:t>
        </x:is>
      </x:c>
      <x:c r="D39" s="84" t="inlineStr">
        <x:is>
          <x:t xml:space="preserve">openOnFocus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</x:t>
        </x:is>
      </x:c>
      <x:c r="H39" s="86" t="inlineStr">
        <x:is>
          <x:t xml:space="preserve">covered</x:t>
        </x:is>
      </x:c>
      <x:c r="I39" s="84" t="inlineStr">
        <x:is>
          <x:t xml:space="preserve">Combobox playground scenario.</x:t>
        </x:is>
      </x:c>
      <x:c r="J39" s="84" t="n"/>
      <x:c r="K39" s="87" t="n">
        <x:f>IF(AND(E39="yes",F39="yes",H39="covered"),1,IF(AND(E39="yes",H39="partial"),0.5,0))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clearOnSelect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</x:t>
        </x:is>
      </x:c>
      <x:c r="H40" s="86" t="inlineStr">
        <x:is>
          <x:t xml:space="preserve">covered</x:t>
        </x:is>
      </x:c>
      <x:c r="I40" s="84" t="inlineStr">
        <x:is>
          <x:t xml:space="preserve">Combobox playground scenario.</x:t>
        </x:is>
      </x:c>
      <x:c r="J40" s="84" t="n"/>
      <x:c r="K40" s="87" t="n">
        <x:f>IF(AND(E40="yes",F40="yes",H40="covered"),1,IF(AND(E40="yes",H40="partial"),0.5,0))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Root</x:t>
        </x:is>
      </x:c>
      <x:c r="D41" s="84" t="inlineStr">
        <x:is>
          <x:t xml:space="preserve">disabled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</x:t>
        </x:is>
      </x:c>
      <x:c r="H41" s="86" t="inlineStr">
        <x:is>
          <x:t xml:space="preserve">covered</x:t>
        </x:is>
      </x:c>
      <x:c r="I41" s="84" t="inlineStr">
        <x:is>
          <x:t xml:space="preserve">Combobox playground scenario.</x:t>
        </x:is>
      </x:c>
      <x:c r="J41" s="84" t="n"/>
      <x:c r="K41" s="87" t="n">
        <x:f>IF(AND(E41="yes",F41="yes",H41="covered"),1,IF(AND(E41="yes",H41="partial"),0.5,0))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Root</x:t>
        </x:is>
      </x:c>
      <x:c r="D42" s="84" t="inlineStr">
        <x:is>
          <x:t xml:space="preserve">readOnly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</x:t>
        </x:is>
      </x:c>
      <x:c r="H42" s="86" t="inlineStr">
        <x:is>
          <x:t xml:space="preserve">covered</x:t>
        </x:is>
      </x:c>
      <x:c r="I42" s="84" t="inlineStr">
        <x:is>
          <x:t xml:space="preserve">Combobox playground scenario.</x:t>
        </x:is>
      </x:c>
      <x:c r="J42" s="84" t="n"/>
      <x:c r="K42" s="87" t="n">
        <x:f>IF(AND(E42="yes",F42="yes",H42="covered"),1,IF(AND(E42="yes",H42="partial"),0.5,0))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Root</x:t>
        </x:is>
      </x:c>
      <x:c r="D43" s="84" t="inlineStr">
        <x:is>
          <x:t xml:space="preserve">required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</x:t>
        </x:is>
      </x:c>
      <x:c r="H43" s="86" t="inlineStr">
        <x:is>
          <x:t xml:space="preserve">covered</x:t>
        </x:is>
      </x:c>
      <x:c r="I43" s="84" t="inlineStr">
        <x:is>
          <x:t xml:space="preserve">Combobox playground scenario.</x:t>
        </x:is>
      </x:c>
      <x:c r="J43" s="84" t="n"/>
      <x:c r="K43" s="87" t="n">
        <x:f>IF(AND(E43="yes",F43="yes",H43="covered"),1,IF(AND(E43="yes",H43="partial"),0.5,0))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State</x:t>
        </x:is>
      </x:c>
      <x:c r="C44" s="84" t="inlineStr">
        <x:is>
          <x:t xml:space="preserve">Root</x:t>
        </x:is>
      </x:c>
      <x:c r="D44" s="84" t="inlineStr">
        <x:is>
          <x:t xml:space="preserve">invalid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</x:t>
        </x:is>
      </x:c>
      <x:c r="H44" s="86" t="inlineStr">
        <x:is>
          <x:t xml:space="preserve">covered</x:t>
        </x:is>
      </x:c>
      <x:c r="I44" s="84" t="inlineStr">
        <x:is>
          <x:t xml:space="preserve">Combobox playground scenario.</x:t>
        </x:is>
      </x:c>
      <x:c r="J44" s="84" t="n"/>
      <x:c r="K44" s="87" t="n">
        <x:f>IF(AND(E44="yes",F44="yes",H44="covered"),1,IF(AND(E44="yes",H44="partial"),0.5,0))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Public API</x:t>
        </x:is>
      </x:c>
      <x:c r="C45" s="84" t="inlineStr">
        <x:is>
          <x:t xml:space="preserve">Root</x:t>
        </x:is>
      </x:c>
      <x:c r="D45" s="84" t="inlineStr">
        <x:is>
          <x:t xml:space="preserve">name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</x:t>
        </x:is>
      </x:c>
      <x:c r="H45" s="86" t="inlineStr">
        <x:is>
          <x:t xml:space="preserve">covered</x:t>
        </x:is>
      </x:c>
      <x:c r="I45" s="84" t="inlineStr">
        <x:is>
          <x:t xml:space="preserve">Combobox playground scenario.</x:t>
        </x:is>
      </x:c>
      <x:c r="J45" s="84" t="n"/>
      <x:c r="K45" s="87" t="n">
        <x:f>IF(AND(E45="yes",F45="yes",H45="covered"),1,IF(AND(E45="yes",H45="partial"),0.5,0))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Root</x:t>
        </x:is>
      </x:c>
      <x:c r="D46" s="84" t="inlineStr">
        <x:is>
          <x:t xml:space="preserve">form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</x:t>
        </x:is>
      </x:c>
      <x:c r="H46" s="86" t="inlineStr">
        <x:is>
          <x:t xml:space="preserve">covered</x:t>
        </x:is>
      </x:c>
      <x:c r="I46" s="84" t="inlineStr">
        <x:is>
          <x:t xml:space="preserve">Combobox playground scenario.</x:t>
        </x:is>
      </x:c>
      <x:c r="J46" s="84" t="n"/>
      <x:c r="K46" s="87" t="n">
        <x:f>IF(AND(E46="yes",F46="yes",H46="covered"),1,IF(AND(E46="yes",H46="partial"),0.5,0))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Portal</x:t>
        </x:is>
      </x:c>
      <x:c r="D47" s="84" t="inlineStr">
        <x:is>
          <x:t xml:space="preserve">renders correct part when expected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</x:t>
        </x:is>
      </x:c>
      <x:c r="H47" s="86" t="inlineStr">
        <x:is>
          <x:t xml:space="preserve">covered</x:t>
        </x:is>
      </x:c>
      <x:c r="I47" s="84" t="inlineStr">
        <x:is>
          <x:t xml:space="preserve">Combobox playground scenario.</x:t>
        </x:is>
      </x:c>
      <x:c r="J47" s="84" t="n"/>
      <x:c r="K47" s="87" t="n">
        <x:f>IF(AND(E47="yes",F47="yes",H47="covered"),1,IF(AND(E47="yes",H47="partial"),0.5,0))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Portal</x:t>
        </x:is>
      </x:c>
      <x:c r="D48" s="84" t="inlineStr">
        <x:is>
          <x:t xml:space="preserve">appears in documented order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</x:t>
        </x:is>
      </x:c>
      <x:c r="H48" s="86" t="inlineStr">
        <x:is>
          <x:t xml:space="preserve">covered</x:t>
        </x:is>
      </x:c>
      <x:c r="I48" s="84" t="inlineStr">
        <x:is>
          <x:t xml:space="preserve">Combobox playground scenario.</x:t>
        </x:is>
      </x:c>
      <x:c r="J48" s="84" t="n"/>
      <x:c r="K48" s="87" t="n">
        <x:f>IF(AND(E48="yes",F48="yes",H48="covered"),1,IF(AND(E48="yes",H48="partial"),0.5,0))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Portal</x:t>
        </x:is>
      </x:c>
      <x:c r="D49" s="84" t="inlineStr">
        <x:is>
          <x:t xml:space="preserve">default tag is visible in Anatomy/Inspector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</x:t>
        </x:is>
      </x:c>
      <x:c r="H49" s="86" t="inlineStr">
        <x:is>
          <x:t xml:space="preserve">covered</x:t>
        </x:is>
      </x:c>
      <x:c r="I49" s="84" t="inlineStr">
        <x:is>
          <x:t xml:space="preserve">Combobox playground scenario.</x:t>
        </x:is>
      </x:c>
      <x:c r="J49" s="84" t="n"/>
      <x:c r="K49" s="87" t="n">
        <x:f>IF(AND(E49="yes",F49="yes",H49="covered"),1,IF(AND(E49="yes",H49="partial"),0.5,0))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Identity</x:t>
        </x:is>
      </x:c>
      <x:c r="C50" s="84" t="inlineStr">
        <x:is>
          <x:t xml:space="preserve">Portal</x:t>
        </x:is>
      </x:c>
      <x:c r="D50" s="84" t="inlineStr">
        <x:is>
          <x:t xml:space="preserve">data-slot is present and correct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</x:t>
        </x:is>
      </x:c>
      <x:c r="H50" s="86" t="inlineStr">
        <x:is>
          <x:t xml:space="preserve">covered</x:t>
        </x:is>
      </x:c>
      <x:c r="I50" s="84" t="inlineStr">
        <x:is>
          <x:t xml:space="preserve">Combobox playground scenario.</x:t>
        </x:is>
      </x:c>
      <x:c r="J50" s="84" t="n"/>
      <x:c r="K50" s="87" t="n">
        <x:f>IF(AND(E50="yes",F50="yes",H50="covered"),1,IF(AND(E50="yes",H50="partial"),0.5,0))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Props</x:t>
        </x:is>
      </x:c>
      <x:c r="C51" s="84" t="inlineStr">
        <x:is>
          <x:t xml:space="preserve">Portal</x:t>
        </x:is>
      </x:c>
      <x:c r="D51" s="84" t="inlineStr">
        <x:is>
          <x:t xml:space="preserve">non-Atom native props pass through with data-prop-check marker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</x:t>
        </x:is>
      </x:c>
      <x:c r="H51" s="86" t="inlineStr">
        <x:is>
          <x:t xml:space="preserve">covered</x:t>
        </x:is>
      </x:c>
      <x:c r="I51" s="84" t="inlineStr">
        <x:is>
          <x:t xml:space="preserve">Combobox playground scenario.</x:t>
        </x:is>
      </x:c>
      <x:c r="J51" s="84" t="n"/>
      <x:c r="K51" s="87" t="n">
        <x:f>IF(AND(E51="yes",F51="yes",H51="covered"),1,IF(AND(E51="yes",H51="partial"),0.5,0))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Refs</x:t>
        </x:is>
      </x:c>
      <x:c r="C52" s="84" t="inlineStr">
        <x:is>
          <x:t xml:space="preserve">Portal</x:t>
        </x:is>
      </x:c>
      <x:c r="D52" s="84" t="inlineStr">
        <x:is>
          <x:t xml:space="preserve">consumer ref receives the rendered element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</x:t>
        </x:is>
      </x:c>
      <x:c r="H52" s="86" t="inlineStr">
        <x:is>
          <x:t xml:space="preserve">covered</x:t>
        </x:is>
      </x:c>
      <x:c r="I52" s="84" t="inlineStr">
        <x:is>
          <x:t xml:space="preserve">Combobox playground scenario.</x:t>
        </x:is>
      </x:c>
      <x:c r="J52" s="84" t="n"/>
      <x:c r="K52" s="87" t="n">
        <x:f>IF(AND(E52="yes",F52="yes",H52="covered"),1,IF(AND(E52="yes",H52="partial"),0.5,0))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Positioning</x:t>
        </x:is>
      </x:c>
      <x:c r="C53" s="84" t="inlineStr">
        <x:is>
          <x:t xml:space="preserve">Portal</x:t>
        </x:is>
      </x:c>
      <x:c r="D53" s="84" t="inlineStr">
        <x:is>
          <x:t xml:space="preserve">container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</x:t>
        </x:is>
      </x:c>
      <x:c r="H53" s="86" t="inlineStr">
        <x:is>
          <x:t xml:space="preserve">covered</x:t>
        </x:is>
      </x:c>
      <x:c r="I53" s="84" t="inlineStr">
        <x:is>
          <x:t xml:space="preserve">Combobox playground scenario.</x:t>
        </x:is>
      </x:c>
      <x:c r="J53" s="84" t="n"/>
      <x:c r="K53" s="87" t="n">
        <x:f>IF(AND(E53="yes",F53="yes",H53="covered"),1,IF(AND(E53="yes",H53="partial"),0.5,0))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State</x:t>
        </x:is>
      </x:c>
      <x:c r="C54" s="84" t="inlineStr">
        <x:is>
          <x:t xml:space="preserve">Portal</x:t>
        </x:is>
      </x:c>
      <x:c r="D54" s="84" t="inlineStr">
        <x:is>
          <x:t xml:space="preserve">disabled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</x:t>
        </x:is>
      </x:c>
      <x:c r="H54" s="86" t="inlineStr">
        <x:is>
          <x:t xml:space="preserve">covered</x:t>
        </x:is>
      </x:c>
      <x:c r="I54" s="84" t="inlineStr">
        <x:is>
          <x:t xml:space="preserve">Combobox playground scenario.</x:t>
        </x:is>
      </x:c>
      <x:c r="J54" s="84" t="n"/>
      <x:c r="K54" s="87" t="n">
        <x:f>IF(AND(E54="yes",F54="yes",H54="covered"),1,IF(AND(E54="yes",H54="partial"),0.5,0))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Anatomy</x:t>
        </x:is>
      </x:c>
      <x:c r="C55" s="84" t="inlineStr">
        <x:is>
          <x:t xml:space="preserve">Content</x:t>
        </x:is>
      </x:c>
      <x:c r="D55" s="84" t="inlineStr">
        <x:is>
          <x:t xml:space="preserve">renders correct part when expected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</x:t>
        </x:is>
      </x:c>
      <x:c r="H55" s="86" t="inlineStr">
        <x:is>
          <x:t xml:space="preserve">covered</x:t>
        </x:is>
      </x:c>
      <x:c r="I55" s="84" t="inlineStr">
        <x:is>
          <x:t xml:space="preserve">Combobox playground scenario.</x:t>
        </x:is>
      </x:c>
      <x:c r="J55" s="84" t="n"/>
      <x:c r="K55" s="87" t="n">
        <x:f>IF(AND(E55="yes",F55="yes",H55="covered"),1,IF(AND(E55="yes",H55="partial"),0.5,0))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Anatomy</x:t>
        </x:is>
      </x:c>
      <x:c r="C56" s="84" t="inlineStr">
        <x:is>
          <x:t xml:space="preserve">Content</x:t>
        </x:is>
      </x:c>
      <x:c r="D56" s="84" t="inlineStr">
        <x:is>
          <x:t xml:space="preserve">appears in documented order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</x:t>
        </x:is>
      </x:c>
      <x:c r="H56" s="86" t="inlineStr">
        <x:is>
          <x:t xml:space="preserve">covered</x:t>
        </x:is>
      </x:c>
      <x:c r="I56" s="84" t="inlineStr">
        <x:is>
          <x:t xml:space="preserve">Combobox playground scenario.</x:t>
        </x:is>
      </x:c>
      <x:c r="J56" s="84" t="n"/>
      <x:c r="K56" s="87" t="n">
        <x:f>IF(AND(E56="yes",F56="yes",H56="covered"),1,IF(AND(E56="yes",H56="partial"),0.5,0))</x:f>
        <x:v>1</x:v>
      </x:c>
    </x:row>
    <x:row r="57" s="51" customFormat="1" ht="30" customHeight="1">
      <x:c r="A57" s="73" t="n">
        <x:v>49</x:v>
      </x:c>
      <x:c r="B57" s="84" t="inlineStr">
        <x:is>
          <x:t xml:space="preserve">Identity</x:t>
        </x:is>
      </x:c>
      <x:c r="C57" s="84" t="inlineStr">
        <x:is>
          <x:t xml:space="preserve">Content</x:t>
        </x:is>
      </x:c>
      <x:c r="D57" s="84" t="inlineStr">
        <x:is>
          <x:t xml:space="preserve">default tag is visible in Anatomy/Inspector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</x:t>
        </x:is>
      </x:c>
      <x:c r="H57" s="86" t="inlineStr">
        <x:is>
          <x:t xml:space="preserve">covered</x:t>
        </x:is>
      </x:c>
      <x:c r="I57" s="84" t="inlineStr">
        <x:is>
          <x:t xml:space="preserve">Combobox playground scenario.</x:t>
        </x:is>
      </x:c>
      <x:c r="J57" s="84" t="n"/>
      <x:c r="K57" s="87" t="n">
        <x:f>IF(AND(E57="yes",F57="yes",H57="covered"),1,IF(AND(E57="yes",H57="partial"),0.5,0))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Identity</x:t>
        </x:is>
      </x:c>
      <x:c r="C58" s="84" t="inlineStr">
        <x:is>
          <x:t xml:space="preserve">Content</x:t>
        </x:is>
      </x:c>
      <x:c r="D58" s="84" t="inlineStr">
        <x:is>
          <x:t xml:space="preserve">data-slot is present and correct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</x:t>
        </x:is>
      </x:c>
      <x:c r="H58" s="86" t="inlineStr">
        <x:is>
          <x:t xml:space="preserve">covered</x:t>
        </x:is>
      </x:c>
      <x:c r="I58" s="84" t="inlineStr">
        <x:is>
          <x:t xml:space="preserve">Combobox playground scenario.</x:t>
        </x:is>
      </x:c>
      <x:c r="J58" s="84" t="n"/>
      <x:c r="K58" s="87" t="n">
        <x:f>IF(AND(E58="yes",F58="yes",H58="covered"),1,IF(AND(E58="yes",H58="partial"),0.5,0))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Props</x:t>
        </x:is>
      </x:c>
      <x:c r="C59" s="84" t="inlineStr">
        <x:is>
          <x:t xml:space="preserve">Content</x:t>
        </x:is>
      </x:c>
      <x:c r="D59" s="84" t="inlineStr">
        <x:is>
          <x:t xml:space="preserve">non-Atom native props pass through with data-prop-check marker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</x:t>
        </x:is>
      </x:c>
      <x:c r="H59" s="86" t="inlineStr">
        <x:is>
          <x:t xml:space="preserve">covered</x:t>
        </x:is>
      </x:c>
      <x:c r="I59" s="84" t="inlineStr">
        <x:is>
          <x:t xml:space="preserve">Combobox playground scenario.</x:t>
        </x:is>
      </x:c>
      <x:c r="J59" s="84" t="n"/>
      <x:c r="K59" s="87" t="n">
        <x:f>IF(AND(E59="yes",F59="yes",H59="covered"),1,IF(AND(E59="yes",H59="partial"),0.5,0))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Refs</x:t>
        </x:is>
      </x:c>
      <x:c r="C60" s="84" t="inlineStr">
        <x:is>
          <x:t xml:space="preserve">Content</x:t>
        </x:is>
      </x:c>
      <x:c r="D60" s="84" t="inlineStr">
        <x:is>
          <x:t xml:space="preserve">consumer ref receives the rendered element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</x:t>
        </x:is>
      </x:c>
      <x:c r="H60" s="86" t="inlineStr">
        <x:is>
          <x:t xml:space="preserve">covered</x:t>
        </x:is>
      </x:c>
      <x:c r="I60" s="84" t="inlineStr">
        <x:is>
          <x:t xml:space="preserve">Combobox playground scenario.</x:t>
        </x:is>
      </x:c>
      <x:c r="J60" s="84" t="n"/>
      <x:c r="K60" s="87" t="n">
        <x:f>IF(AND(E60="yes",F60="yes",H60="covered"),1,IF(AND(E60="yes",H60="partial"),0.5,0))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Public API</x:t>
        </x:is>
      </x:c>
      <x:c r="C61" s="84" t="inlineStr">
        <x:is>
          <x:t xml:space="preserve">Content</x:t>
        </x:is>
      </x:c>
      <x:c r="D61" s="84" t="inlineStr">
        <x:is>
          <x:t xml:space="preserve">[data-slot]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</x:t>
        </x:is>
      </x:c>
      <x:c r="H61" s="86" t="inlineStr">
        <x:is>
          <x:t xml:space="preserve">covered</x:t>
        </x:is>
      </x:c>
      <x:c r="I61" s="84" t="inlineStr">
        <x:is>
          <x:t xml:space="preserve">Combobox playground scenario.</x:t>
        </x:is>
      </x:c>
      <x:c r="J61" s="84" t="n"/>
      <x:c r="K61" s="87" t="n">
        <x:f>IF(AND(E61="yes",F61="yes",H61="covered"),1,IF(AND(E61="yes",H61="partial"),0.5,0))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Content</x:t>
        </x:is>
      </x:c>
      <x:c r="D62" s="84" t="inlineStr">
        <x:is>
          <x:t xml:space="preserve">[data-state]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</x:t>
        </x:is>
      </x:c>
      <x:c r="H62" s="86" t="inlineStr">
        <x:is>
          <x:t xml:space="preserve">covered</x:t>
        </x:is>
      </x:c>
      <x:c r="I62" s="84" t="inlineStr">
        <x:is>
          <x:t xml:space="preserve">Combobox playground scenario.</x:t>
        </x:is>
      </x:c>
      <x:c r="J62" s="84" t="n"/>
      <x:c r="K62" s="87" t="n">
        <x:f>IF(AND(E62="yes",F62="yes",H62="covered"),1,IF(AND(E62="yes",H62="partial"),0.5,0))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Anatomy</x:t>
        </x:is>
      </x:c>
      <x:c r="C63" s="84" t="inlineStr">
        <x:is>
          <x:t xml:space="preserve">Listbox</x:t>
        </x:is>
      </x:c>
      <x:c r="D63" s="84" t="inlineStr">
        <x:is>
          <x:t xml:space="preserve">renders correct part when expected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</x:t>
        </x:is>
      </x:c>
      <x:c r="H63" s="86" t="inlineStr">
        <x:is>
          <x:t xml:space="preserve">covered</x:t>
        </x:is>
      </x:c>
      <x:c r="I63" s="84" t="inlineStr">
        <x:is>
          <x:t xml:space="preserve">Combobox playground scenario.</x:t>
        </x:is>
      </x:c>
      <x:c r="J63" s="84" t="n"/>
      <x:c r="K63" s="87" t="n">
        <x:f>IF(AND(E63="yes",F63="yes",H63="covered"),1,IF(AND(E63="yes",H63="partial"),0.5,0))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Anatomy</x:t>
        </x:is>
      </x:c>
      <x:c r="C64" s="84" t="inlineStr">
        <x:is>
          <x:t xml:space="preserve">Listbox</x:t>
        </x:is>
      </x:c>
      <x:c r="D64" s="84" t="inlineStr">
        <x:is>
          <x:t xml:space="preserve">appears in documented order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</x:t>
        </x:is>
      </x:c>
      <x:c r="H64" s="86" t="inlineStr">
        <x:is>
          <x:t xml:space="preserve">covered</x:t>
        </x:is>
      </x:c>
      <x:c r="I64" s="84" t="inlineStr">
        <x:is>
          <x:t xml:space="preserve">Combobox playground scenario.</x:t>
        </x:is>
      </x:c>
      <x:c r="J64" s="84" t="n"/>
      <x:c r="K64" s="87" t="n">
        <x:f>IF(AND(E64="yes",F64="yes",H64="covered"),1,IF(AND(E64="yes",H64="partial"),0.5,0))</x:f>
        <x:v>1</x:v>
      </x:c>
    </x:row>
    <x:row r="65" s="51" customFormat="1" ht="30" customHeight="1">
      <x:c r="A65" s="73" t="n">
        <x:v>57</x:v>
      </x:c>
      <x:c r="B65" s="84" t="inlineStr">
        <x:is>
          <x:t xml:space="preserve">Identity</x:t>
        </x:is>
      </x:c>
      <x:c r="C65" s="84" t="inlineStr">
        <x:is>
          <x:t xml:space="preserve">Listbox</x:t>
        </x:is>
      </x:c>
      <x:c r="D65" s="84" t="inlineStr">
        <x:is>
          <x:t xml:space="preserve">default tag is visible in Anatomy/Inspector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</x:t>
        </x:is>
      </x:c>
      <x:c r="H65" s="86" t="inlineStr">
        <x:is>
          <x:t xml:space="preserve">covered</x:t>
        </x:is>
      </x:c>
      <x:c r="I65" s="84" t="inlineStr">
        <x:is>
          <x:t xml:space="preserve">Combobox playground scenario.</x:t>
        </x:is>
      </x:c>
      <x:c r="J65" s="84" t="n"/>
      <x:c r="K65" s="87" t="n">
        <x:f>IF(AND(E65="yes",F65="yes",H65="covered"),1,IF(AND(E65="yes",H65="partial"),0.5,0))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Identity</x:t>
        </x:is>
      </x:c>
      <x:c r="C66" s="84" t="inlineStr">
        <x:is>
          <x:t xml:space="preserve">Listbox</x:t>
        </x:is>
      </x:c>
      <x:c r="D66" s="84" t="inlineStr">
        <x:is>
          <x:t xml:space="preserve">data-slot is present and correct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</x:t>
        </x:is>
      </x:c>
      <x:c r="H66" s="86" t="inlineStr">
        <x:is>
          <x:t xml:space="preserve">covered</x:t>
        </x:is>
      </x:c>
      <x:c r="I66" s="84" t="inlineStr">
        <x:is>
          <x:t xml:space="preserve">Combobox playground scenario.</x:t>
        </x:is>
      </x:c>
      <x:c r="J66" s="84" t="n"/>
      <x:c r="K66" s="87" t="n">
        <x:f>IF(AND(E66="yes",F66="yes",H66="covered"),1,IF(AND(E66="yes",H66="partial"),0.5,0))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Props</x:t>
        </x:is>
      </x:c>
      <x:c r="C67" s="84" t="inlineStr">
        <x:is>
          <x:t xml:space="preserve">Listbox</x:t>
        </x:is>
      </x:c>
      <x:c r="D67" s="84" t="inlineStr">
        <x:is>
          <x:t xml:space="preserve">non-Atom native props pass through with data-prop-check marker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</x:t>
        </x:is>
      </x:c>
      <x:c r="H67" s="86" t="inlineStr">
        <x:is>
          <x:t xml:space="preserve">covered</x:t>
        </x:is>
      </x:c>
      <x:c r="I67" s="84" t="inlineStr">
        <x:is>
          <x:t xml:space="preserve">Combobox playground scenario.</x:t>
        </x:is>
      </x:c>
      <x:c r="J67" s="84" t="n"/>
      <x:c r="K67" s="87" t="n">
        <x:f>IF(AND(E67="yes",F67="yes",H67="covered"),1,IF(AND(E67="yes",H67="partial"),0.5,0))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Refs</x:t>
        </x:is>
      </x:c>
      <x:c r="C68" s="84" t="inlineStr">
        <x:is>
          <x:t xml:space="preserve">Listbox</x:t>
        </x:is>
      </x:c>
      <x:c r="D68" s="84" t="inlineStr">
        <x:is>
          <x:t xml:space="preserve">consumer ref receives the rendered element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</x:t>
        </x:is>
      </x:c>
      <x:c r="H68" s="86" t="inlineStr">
        <x:is>
          <x:t xml:space="preserve">covered</x:t>
        </x:is>
      </x:c>
      <x:c r="I68" s="84" t="inlineStr">
        <x:is>
          <x:t xml:space="preserve">Combobox playground scenario.</x:t>
        </x:is>
      </x:c>
      <x:c r="J68" s="84" t="n"/>
      <x:c r="K68" s="87" t="n">
        <x:f>IF(AND(E68="yes",F68="yes",H68="covered"),1,IF(AND(E68="yes",H68="partial"),0.5,0))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Public API</x:t>
        </x:is>
      </x:c>
      <x:c r="C69" s="84" t="inlineStr">
        <x:is>
          <x:t xml:space="preserve">Listbox</x:t>
        </x:is>
      </x:c>
      <x:c r="D69" s="84" t="inlineStr">
        <x:is>
          <x:t xml:space="preserve">[data-slot]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</x:t>
        </x:is>
      </x:c>
      <x:c r="H69" s="86" t="inlineStr">
        <x:is>
          <x:t xml:space="preserve">covered</x:t>
        </x:is>
      </x:c>
      <x:c r="I69" s="84" t="inlineStr">
        <x:is>
          <x:t xml:space="preserve">Combobox playground scenario.</x:t>
        </x:is>
      </x:c>
      <x:c r="J69" s="84" t="n"/>
      <x:c r="K69" s="87" t="n">
        <x:f>IF(AND(E69="yes",F69="yes",H69="covered"),1,IF(AND(E69="yes",H69="partial"),0.5,0))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Anatomy</x:t>
        </x:is>
      </x:c>
      <x:c r="C70" s="84" t="inlineStr">
        <x:is>
          <x:t xml:space="preserve">Group</x:t>
        </x:is>
      </x:c>
      <x:c r="D70" s="84" t="inlineStr">
        <x:is>
          <x:t xml:space="preserve">renders correct part when expected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</x:t>
        </x:is>
      </x:c>
      <x:c r="H70" s="86" t="inlineStr">
        <x:is>
          <x:t xml:space="preserve">covered</x:t>
        </x:is>
      </x:c>
      <x:c r="I70" s="84" t="inlineStr">
        <x:is>
          <x:t xml:space="preserve">Combobox playground scenario.</x:t>
        </x:is>
      </x:c>
      <x:c r="J70" s="84" t="n"/>
      <x:c r="K70" s="87" t="n">
        <x:f>IF(AND(E70="yes",F70="yes",H70="covered"),1,IF(AND(E70="yes",H70="partial"),0.5,0))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Anatomy</x:t>
        </x:is>
      </x:c>
      <x:c r="C71" s="84" t="inlineStr">
        <x:is>
          <x:t xml:space="preserve">Group</x:t>
        </x:is>
      </x:c>
      <x:c r="D71" s="84" t="inlineStr">
        <x:is>
          <x:t xml:space="preserve">appears in documented order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</x:t>
        </x:is>
      </x:c>
      <x:c r="H71" s="86" t="inlineStr">
        <x:is>
          <x:t xml:space="preserve">covered</x:t>
        </x:is>
      </x:c>
      <x:c r="I71" s="84" t="inlineStr">
        <x:is>
          <x:t xml:space="preserve">Combobox playground scenario.</x:t>
        </x:is>
      </x:c>
      <x:c r="J71" s="84" t="n"/>
      <x:c r="K71" s="87" t="n">
        <x:f>IF(AND(E71="yes",F71="yes",H71="covered"),1,IF(AND(E71="yes",H71="partial"),0.5,0))</x:f>
        <x:v>1</x:v>
      </x:c>
    </x:row>
    <x:row r="72" s="51" customFormat="1" ht="30" customHeight="1">
      <x:c r="A72" s="73" t="n">
        <x:v>64</x:v>
      </x:c>
      <x:c r="B72" s="84" t="inlineStr">
        <x:is>
          <x:t xml:space="preserve">Identity</x:t>
        </x:is>
      </x:c>
      <x:c r="C72" s="84" t="inlineStr">
        <x:is>
          <x:t xml:space="preserve">Group</x:t>
        </x:is>
      </x:c>
      <x:c r="D72" s="84" t="inlineStr">
        <x:is>
          <x:t xml:space="preserve">default tag is visible in Anatomy/Inspector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</x:t>
        </x:is>
      </x:c>
      <x:c r="H72" s="86" t="inlineStr">
        <x:is>
          <x:t xml:space="preserve">covered</x:t>
        </x:is>
      </x:c>
      <x:c r="I72" s="84" t="inlineStr">
        <x:is>
          <x:t xml:space="preserve">Combobox playground scenario.</x:t>
        </x:is>
      </x:c>
      <x:c r="J72" s="84" t="n"/>
      <x:c r="K72" s="87" t="n">
        <x:f>IF(AND(E72="yes",F72="yes",H72="covered"),1,IF(AND(E72="yes",H72="partial"),0.5,0))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Identity</x:t>
        </x:is>
      </x:c>
      <x:c r="C73" s="84" t="inlineStr">
        <x:is>
          <x:t xml:space="preserve">Group</x:t>
        </x:is>
      </x:c>
      <x:c r="D73" s="84" t="inlineStr">
        <x:is>
          <x:t xml:space="preserve">data-slot is present and correct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</x:t>
        </x:is>
      </x:c>
      <x:c r="H73" s="86" t="inlineStr">
        <x:is>
          <x:t xml:space="preserve">covered</x:t>
        </x:is>
      </x:c>
      <x:c r="I73" s="84" t="inlineStr">
        <x:is>
          <x:t xml:space="preserve">Combobox playground scenario.</x:t>
        </x:is>
      </x:c>
      <x:c r="J73" s="84" t="n"/>
      <x:c r="K73" s="87" t="n">
        <x:f>IF(AND(E73="yes",F73="yes",H73="covered"),1,IF(AND(E73="yes",H73="partial"),0.5,0))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Props</x:t>
        </x:is>
      </x:c>
      <x:c r="C74" s="84" t="inlineStr">
        <x:is>
          <x:t xml:space="preserve">Group</x:t>
        </x:is>
      </x:c>
      <x:c r="D74" s="84" t="inlineStr">
        <x:is>
          <x:t xml:space="preserve">non-Atom native props pass through with data-prop-check marker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</x:t>
        </x:is>
      </x:c>
      <x:c r="H74" s="86" t="inlineStr">
        <x:is>
          <x:t xml:space="preserve">covered</x:t>
        </x:is>
      </x:c>
      <x:c r="I74" s="84" t="inlineStr">
        <x:is>
          <x:t xml:space="preserve">Combobox playground scenario.</x:t>
        </x:is>
      </x:c>
      <x:c r="J74" s="84" t="n"/>
      <x:c r="K74" s="87" t="n">
        <x:f>IF(AND(E74="yes",F74="yes",H74="covered"),1,IF(AND(E74="yes",H74="partial"),0.5,0))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Refs</x:t>
        </x:is>
      </x:c>
      <x:c r="C75" s="84" t="inlineStr">
        <x:is>
          <x:t xml:space="preserve">Group</x:t>
        </x:is>
      </x:c>
      <x:c r="D75" s="84" t="inlineStr">
        <x:is>
          <x:t xml:space="preserve">consumer ref receives the rendered element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</x:t>
        </x:is>
      </x:c>
      <x:c r="H75" s="86" t="inlineStr">
        <x:is>
          <x:t xml:space="preserve">covered</x:t>
        </x:is>
      </x:c>
      <x:c r="I75" s="84" t="inlineStr">
        <x:is>
          <x:t xml:space="preserve">Combobox playground scenario.</x:t>
        </x:is>
      </x:c>
      <x:c r="J75" s="84" t="n"/>
      <x:c r="K75" s="87" t="n">
        <x:f>IF(AND(E75="yes",F75="yes",H75="covered"),1,IF(AND(E75="yes",H75="partial"),0.5,0))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Accessibility</x:t>
        </x:is>
      </x:c>
      <x:c r="C76" s="84" t="inlineStr">
        <x:is>
          <x:t xml:space="preserve">Group</x:t>
        </x:is>
      </x:c>
      <x:c r="D76" s="84" t="inlineStr">
        <x:is>
          <x:t xml:space="preserve">aria-label prop behavior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</x:t>
        </x:is>
      </x:c>
      <x:c r="H76" s="86" t="inlineStr">
        <x:is>
          <x:t xml:space="preserve">covered</x:t>
        </x:is>
      </x:c>
      <x:c r="I76" s="84" t="inlineStr">
        <x:is>
          <x:t xml:space="preserve">Combobox playground scenario.</x:t>
        </x:is>
      </x:c>
      <x:c r="J76" s="84" t="n"/>
      <x:c r="K76" s="87" t="n">
        <x:f>IF(AND(E76="yes",F76="yes",H76="covered"),1,IF(AND(E76="yes",H76="partial"),0.5,0))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Accessibility</x:t>
        </x:is>
      </x:c>
      <x:c r="C77" s="84" t="inlineStr">
        <x:is>
          <x:t xml:space="preserve">Group</x:t>
        </x:is>
      </x:c>
      <x:c r="D77" s="84" t="inlineStr">
        <x:is>
          <x:t xml:space="preserve">aria-labelledby prop behavior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</x:t>
        </x:is>
      </x:c>
      <x:c r="H77" s="86" t="inlineStr">
        <x:is>
          <x:t xml:space="preserve">covered</x:t>
        </x:is>
      </x:c>
      <x:c r="I77" s="84" t="inlineStr">
        <x:is>
          <x:t xml:space="preserve">Combobox playground scenario.</x:t>
        </x:is>
      </x:c>
      <x:c r="J77" s="84" t="n"/>
      <x:c r="K77" s="87" t="n">
        <x:f>IF(AND(E77="yes",F77="yes",H77="covered"),1,IF(AND(E77="yes",H77="partial"),0.5,0))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Public API</x:t>
        </x:is>
      </x:c>
      <x:c r="C78" s="84" t="inlineStr">
        <x:is>
          <x:t xml:space="preserve">Group</x:t>
        </x:is>
      </x:c>
      <x:c r="D78" s="84" t="inlineStr">
        <x:is>
          <x:t xml:space="preserve">[data-slot] prop behavior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</x:t>
        </x:is>
      </x:c>
      <x:c r="H78" s="86" t="inlineStr">
        <x:is>
          <x:t xml:space="preserve">covered</x:t>
        </x:is>
      </x:c>
      <x:c r="I78" s="84" t="inlineStr">
        <x:is>
          <x:t xml:space="preserve">Combobox playground scenario.</x:t>
        </x:is>
      </x:c>
      <x:c r="J78" s="84" t="n"/>
      <x:c r="K78" s="87" t="n">
        <x:f>IF(AND(E78="yes",F78="yes",H78="covered"),1,IF(AND(E78="yes",H78="partial"),0.5,0))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Anatomy</x:t>
        </x:is>
      </x:c>
      <x:c r="C79" s="84" t="inlineStr">
        <x:is>
          <x:t xml:space="preserve">Label</x:t>
        </x:is>
      </x:c>
      <x:c r="D79" s="84" t="inlineStr">
        <x:is>
          <x:t xml:space="preserve">renders correct part when expected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</x:t>
        </x:is>
      </x:c>
      <x:c r="H79" s="86" t="inlineStr">
        <x:is>
          <x:t xml:space="preserve">covered</x:t>
        </x:is>
      </x:c>
      <x:c r="I79" s="84" t="inlineStr">
        <x:is>
          <x:t xml:space="preserve">Combobox playground scenario.</x:t>
        </x:is>
      </x:c>
      <x:c r="J79" s="84" t="n"/>
      <x:c r="K79" s="87" t="n">
        <x:f>IF(AND(E79="yes",F79="yes",H79="covered"),1,IF(AND(E79="yes",H79="partial"),0.5,0))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Anatomy</x:t>
        </x:is>
      </x:c>
      <x:c r="C80" s="84" t="inlineStr">
        <x:is>
          <x:t xml:space="preserve">Label</x:t>
        </x:is>
      </x:c>
      <x:c r="D80" s="84" t="inlineStr">
        <x:is>
          <x:t xml:space="preserve">appears in documented order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</x:t>
        </x:is>
      </x:c>
      <x:c r="H80" s="86" t="inlineStr">
        <x:is>
          <x:t xml:space="preserve">covered</x:t>
        </x:is>
      </x:c>
      <x:c r="I80" s="84" t="inlineStr">
        <x:is>
          <x:t xml:space="preserve">Combobox playground scenario.</x:t>
        </x:is>
      </x:c>
      <x:c r="J80" s="84" t="n"/>
      <x:c r="K80" s="87" t="n">
        <x:f>IF(AND(E80="yes",F80="yes",H80="covered"),1,IF(AND(E80="yes",H80="partial"),0.5,0))</x:f>
        <x:v>1</x:v>
      </x:c>
    </x:row>
    <x:row r="81" s="51" customFormat="1" ht="30" customHeight="1">
      <x:c r="A81" s="73" t="n">
        <x:v>73</x:v>
      </x:c>
      <x:c r="B81" s="84" t="inlineStr">
        <x:is>
          <x:t xml:space="preserve">Identity</x:t>
        </x:is>
      </x:c>
      <x:c r="C81" s="84" t="inlineStr">
        <x:is>
          <x:t xml:space="preserve">Label</x:t>
        </x:is>
      </x:c>
      <x:c r="D81" s="84" t="inlineStr">
        <x:is>
          <x:t xml:space="preserve">default tag is visible in Anatomy/Inspector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</x:t>
        </x:is>
      </x:c>
      <x:c r="H81" s="86" t="inlineStr">
        <x:is>
          <x:t xml:space="preserve">covered</x:t>
        </x:is>
      </x:c>
      <x:c r="I81" s="84" t="inlineStr">
        <x:is>
          <x:t xml:space="preserve">Combobox playground scenario.</x:t>
        </x:is>
      </x:c>
      <x:c r="J81" s="84" t="n"/>
      <x:c r="K81" s="87" t="n">
        <x:f>IF(AND(E81="yes",F81="yes",H81="covered"),1,IF(AND(E81="yes",H81="partial"),0.5,0))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Identity</x:t>
        </x:is>
      </x:c>
      <x:c r="C82" s="84" t="inlineStr">
        <x:is>
          <x:t xml:space="preserve">Label</x:t>
        </x:is>
      </x:c>
      <x:c r="D82" s="84" t="inlineStr">
        <x:is>
          <x:t xml:space="preserve">data-slot is present and correct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</x:t>
        </x:is>
      </x:c>
      <x:c r="H82" s="86" t="inlineStr">
        <x:is>
          <x:t xml:space="preserve">covered</x:t>
        </x:is>
      </x:c>
      <x:c r="I82" s="84" t="inlineStr">
        <x:is>
          <x:t xml:space="preserve">Combobox playground scenario.</x:t>
        </x:is>
      </x:c>
      <x:c r="J82" s="84" t="n"/>
      <x:c r="K82" s="87" t="n">
        <x:f>IF(AND(E82="yes",F82="yes",H82="covered"),1,IF(AND(E82="yes",H82="partial"),0.5,0))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Props</x:t>
        </x:is>
      </x:c>
      <x:c r="C83" s="84" t="inlineStr">
        <x:is>
          <x:t xml:space="preserve">Label</x:t>
        </x:is>
      </x:c>
      <x:c r="D83" s="84" t="inlineStr">
        <x:is>
          <x:t xml:space="preserve">non-Atom native props pass through with data-prop-check marker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</x:t>
        </x:is>
      </x:c>
      <x:c r="H83" s="86" t="inlineStr">
        <x:is>
          <x:t xml:space="preserve">covered</x:t>
        </x:is>
      </x:c>
      <x:c r="I83" s="84" t="inlineStr">
        <x:is>
          <x:t xml:space="preserve">Combobox playground scenario.</x:t>
        </x:is>
      </x:c>
      <x:c r="J83" s="84" t="n"/>
      <x:c r="K83" s="87" t="n">
        <x:f>IF(AND(E83="yes",F83="yes",H83="covered"),1,IF(AND(E83="yes",H83="partial"),0.5,0))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Refs</x:t>
        </x:is>
      </x:c>
      <x:c r="C84" s="84" t="inlineStr">
        <x:is>
          <x:t xml:space="preserve">Label</x:t>
        </x:is>
      </x:c>
      <x:c r="D84" s="84" t="inlineStr">
        <x:is>
          <x:t xml:space="preserve">consumer ref receives the rendered element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</x:t>
        </x:is>
      </x:c>
      <x:c r="H84" s="86" t="inlineStr">
        <x:is>
          <x:t xml:space="preserve">covered</x:t>
        </x:is>
      </x:c>
      <x:c r="I84" s="84" t="inlineStr">
        <x:is>
          <x:t xml:space="preserve">Combobox playground scenario.</x:t>
        </x:is>
      </x:c>
      <x:c r="J84" s="84" t="n"/>
      <x:c r="K84" s="87" t="n">
        <x:f>IF(AND(E84="yes",F84="yes",H84="covered"),1,IF(AND(E84="yes",H84="partial"),0.5,0))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Public API</x:t>
        </x:is>
      </x:c>
      <x:c r="C85" s="84" t="inlineStr">
        <x:is>
          <x:t xml:space="preserve">Label</x:t>
        </x:is>
      </x:c>
      <x:c r="D85" s="84" t="inlineStr">
        <x:is>
          <x:t xml:space="preserve">[data-slot] prop behavior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</x:t>
        </x:is>
      </x:c>
      <x:c r="H85" s="86" t="inlineStr">
        <x:is>
          <x:t xml:space="preserve">covered</x:t>
        </x:is>
      </x:c>
      <x:c r="I85" s="84" t="inlineStr">
        <x:is>
          <x:t xml:space="preserve">Combobox playground scenario.</x:t>
        </x:is>
      </x:c>
      <x:c r="J85" s="84" t="n"/>
      <x:c r="K85" s="87" t="n">
        <x:f>IF(AND(E85="yes",F85="yes",H85="covered"),1,IF(AND(E85="yes",H85="partial"),0.5,0))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Anatomy</x:t>
        </x:is>
      </x:c>
      <x:c r="C86" s="84" t="inlineStr">
        <x:is>
          <x:t xml:space="preserve">Item</x:t>
        </x:is>
      </x:c>
      <x:c r="D86" s="84" t="inlineStr">
        <x:is>
          <x:t xml:space="preserve">renders correct part when expected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</x:t>
        </x:is>
      </x:c>
      <x:c r="H86" s="86" t="inlineStr">
        <x:is>
          <x:t xml:space="preserve">covered</x:t>
        </x:is>
      </x:c>
      <x:c r="I86" s="84" t="inlineStr">
        <x:is>
          <x:t xml:space="preserve">Combobox playground scenario.</x:t>
        </x:is>
      </x:c>
      <x:c r="J86" s="84" t="n"/>
      <x:c r="K86" s="87" t="n">
        <x:f>IF(AND(E86="yes",F86="yes",H86="covered"),1,IF(AND(E86="yes",H86="partial"),0.5,0))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Anatomy</x:t>
        </x:is>
      </x:c>
      <x:c r="C87" s="84" t="inlineStr">
        <x:is>
          <x:t xml:space="preserve">Item</x:t>
        </x:is>
      </x:c>
      <x:c r="D87" s="84" t="inlineStr">
        <x:is>
          <x:t xml:space="preserve">appears in documented order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</x:t>
        </x:is>
      </x:c>
      <x:c r="H87" s="86" t="inlineStr">
        <x:is>
          <x:t xml:space="preserve">covered</x:t>
        </x:is>
      </x:c>
      <x:c r="I87" s="84" t="inlineStr">
        <x:is>
          <x:t xml:space="preserve">Combobox playground scenario.</x:t>
        </x:is>
      </x:c>
      <x:c r="J87" s="84" t="n"/>
      <x:c r="K87" s="87" t="n">
        <x:f>IF(AND(E87="yes",F87="yes",H87="covered"),1,IF(AND(E87="yes",H87="partial"),0.5,0))</x:f>
        <x:v>1</x:v>
      </x:c>
    </x:row>
    <x:row r="88" s="51" customFormat="1" ht="30" customHeight="1">
      <x:c r="A88" s="73" t="n">
        <x:v>80</x:v>
      </x:c>
      <x:c r="B88" s="84" t="inlineStr">
        <x:is>
          <x:t xml:space="preserve">Identity</x:t>
        </x:is>
      </x:c>
      <x:c r="C88" s="84" t="inlineStr">
        <x:is>
          <x:t xml:space="preserve">Item</x:t>
        </x:is>
      </x:c>
      <x:c r="D88" s="84" t="inlineStr">
        <x:is>
          <x:t xml:space="preserve">default tag is visible in Anatomy/Inspector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</x:t>
        </x:is>
      </x:c>
      <x:c r="H88" s="86" t="inlineStr">
        <x:is>
          <x:t xml:space="preserve">covered</x:t>
        </x:is>
      </x:c>
      <x:c r="I88" s="84" t="inlineStr">
        <x:is>
          <x:t xml:space="preserve">Combobox playground scenario.</x:t>
        </x:is>
      </x:c>
      <x:c r="J88" s="84" t="n"/>
      <x:c r="K88" s="87" t="n">
        <x:f>IF(AND(E88="yes",F88="yes",H88="covered"),1,IF(AND(E88="yes",H88="partial"),0.5,0))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Identity</x:t>
        </x:is>
      </x:c>
      <x:c r="C89" s="84" t="inlineStr">
        <x:is>
          <x:t xml:space="preserve">Item</x:t>
        </x:is>
      </x:c>
      <x:c r="D89" s="84" t="inlineStr">
        <x:is>
          <x:t xml:space="preserve">data-slot is present and correct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</x:t>
        </x:is>
      </x:c>
      <x:c r="H89" s="86" t="inlineStr">
        <x:is>
          <x:t xml:space="preserve">covered</x:t>
        </x:is>
      </x:c>
      <x:c r="I89" s="84" t="inlineStr">
        <x:is>
          <x:t xml:space="preserve">Combobox playground scenario.</x:t>
        </x:is>
      </x:c>
      <x:c r="J89" s="84" t="n"/>
      <x:c r="K89" s="87" t="n">
        <x:f>IF(AND(E89="yes",F89="yes",H89="covered"),1,IF(AND(E89="yes",H89="partial"),0.5,0))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Props</x:t>
        </x:is>
      </x:c>
      <x:c r="C90" s="84" t="inlineStr">
        <x:is>
          <x:t xml:space="preserve">Item</x:t>
        </x:is>
      </x:c>
      <x:c r="D90" s="84" t="inlineStr">
        <x:is>
          <x:t xml:space="preserve">non-Atom native props pass through with data-prop-check marker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</x:t>
        </x:is>
      </x:c>
      <x:c r="H90" s="86" t="inlineStr">
        <x:is>
          <x:t xml:space="preserve">covered</x:t>
        </x:is>
      </x:c>
      <x:c r="I90" s="84" t="inlineStr">
        <x:is>
          <x:t xml:space="preserve">Combobox playground scenario.</x:t>
        </x:is>
      </x:c>
      <x:c r="J90" s="84" t="n"/>
      <x:c r="K90" s="87" t="n">
        <x:f>IF(AND(E90="yes",F90="yes",H90="covered"),1,IF(AND(E90="yes",H90="partial"),0.5,0))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Refs</x:t>
        </x:is>
      </x:c>
      <x:c r="C91" s="84" t="inlineStr">
        <x:is>
          <x:t xml:space="preserve">Item</x:t>
        </x:is>
      </x:c>
      <x:c r="D91" s="84" t="inlineStr">
        <x:is>
          <x:t xml:space="preserve">consumer ref receives the rendered element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</x:t>
        </x:is>
      </x:c>
      <x:c r="H91" s="86" t="inlineStr">
        <x:is>
          <x:t xml:space="preserve">covered</x:t>
        </x:is>
      </x:c>
      <x:c r="I91" s="84" t="inlineStr">
        <x:is>
          <x:t xml:space="preserve">Combobox playground scenario.</x:t>
        </x:is>
      </x:c>
      <x:c r="J91" s="84" t="n"/>
      <x:c r="K91" s="87" t="n">
        <x:f>IF(AND(E91="yes",F91="yes",H91="covered"),1,IF(AND(E91="yes",H91="partial"),0.5,0))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State</x:t>
        </x:is>
      </x:c>
      <x:c r="C92" s="84" t="inlineStr">
        <x:is>
          <x:t xml:space="preserve">Item</x:t>
        </x:is>
      </x:c>
      <x:c r="D92" s="84" t="inlineStr">
        <x:is>
          <x:t xml:space="preserve">value prop behavior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</x:t>
        </x:is>
      </x:c>
      <x:c r="H92" s="86" t="inlineStr">
        <x:is>
          <x:t xml:space="preserve">covered</x:t>
        </x:is>
      </x:c>
      <x:c r="I92" s="84" t="inlineStr">
        <x:is>
          <x:t xml:space="preserve">Combobox playground scenario.</x:t>
        </x:is>
      </x:c>
      <x:c r="J92" s="84" t="n"/>
      <x:c r="K92" s="87" t="n">
        <x:f>IF(AND(E92="yes",F92="yes",H92="covered"),1,IF(AND(E92="yes",H92="partial"),0.5,0))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Public API</x:t>
        </x:is>
      </x:c>
      <x:c r="C93" s="84" t="inlineStr">
        <x:is>
          <x:t xml:space="preserve">Item</x:t>
        </x:is>
      </x:c>
      <x:c r="D93" s="84" t="inlineStr">
        <x:is>
          <x:t xml:space="preserve">label prop behavior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</x:t>
        </x:is>
      </x:c>
      <x:c r="H93" s="86" t="inlineStr">
        <x:is>
          <x:t xml:space="preserve">covered</x:t>
        </x:is>
      </x:c>
      <x:c r="I93" s="84" t="inlineStr">
        <x:is>
          <x:t xml:space="preserve">Combobox playground scenario.</x:t>
        </x:is>
      </x:c>
      <x:c r="J93" s="84" t="n"/>
      <x:c r="K93" s="87" t="n">
        <x:f>IF(AND(E93="yes",F93="yes",H93="covered"),1,IF(AND(E93="yes",H93="partial"),0.5,0))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State</x:t>
        </x:is>
      </x:c>
      <x:c r="C94" s="84" t="inlineStr">
        <x:is>
          <x:t xml:space="preserve">Item</x:t>
        </x:is>
      </x:c>
      <x:c r="D94" s="84" t="inlineStr">
        <x:is>
          <x:t xml:space="preserve">disabled prop behavior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</x:t>
        </x:is>
      </x:c>
      <x:c r="H94" s="86" t="inlineStr">
        <x:is>
          <x:t xml:space="preserve">covered</x:t>
        </x:is>
      </x:c>
      <x:c r="I94" s="84" t="inlineStr">
        <x:is>
          <x:t xml:space="preserve">Combobox playground scenario.</x:t>
        </x:is>
      </x:c>
      <x:c r="J94" s="84" t="n"/>
      <x:c r="K94" s="87" t="n">
        <x:f>IF(AND(E94="yes",F94="yes",H94="covered"),1,IF(AND(E94="yes",H94="partial"),0.5,0))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Public API</x:t>
        </x:is>
      </x:c>
      <x:c r="C95" s="84" t="inlineStr">
        <x:is>
          <x:t xml:space="preserve">Item</x:t>
        </x:is>
      </x:c>
      <x:c r="D95" s="84" t="inlineStr">
        <x:is>
          <x:t xml:space="preserve">[data-slot] prop behavior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</x:t>
        </x:is>
      </x:c>
      <x:c r="H95" s="86" t="inlineStr">
        <x:is>
          <x:t xml:space="preserve">covered</x:t>
        </x:is>
      </x:c>
      <x:c r="I95" s="84" t="inlineStr">
        <x:is>
          <x:t xml:space="preserve">Combobox playground scenario.</x:t>
        </x:is>
      </x:c>
      <x:c r="J95" s="84" t="n"/>
      <x:c r="K95" s="87" t="n">
        <x:f>IF(AND(E95="yes",F95="yes",H95="covered"),1,IF(AND(E95="yes",H95="partial"),0.5,0))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Public API</x:t>
        </x:is>
      </x:c>
      <x:c r="C96" s="84" t="inlineStr">
        <x:is>
          <x:t xml:space="preserve">Item</x:t>
        </x:is>
      </x:c>
      <x:c r="D96" s="84" t="inlineStr">
        <x:is>
          <x:t xml:space="preserve">[data-state] prop behavior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</x:t>
        </x:is>
      </x:c>
      <x:c r="H96" s="86" t="inlineStr">
        <x:is>
          <x:t xml:space="preserve">covered</x:t>
        </x:is>
      </x:c>
      <x:c r="I96" s="84" t="inlineStr">
        <x:is>
          <x:t xml:space="preserve">Combobox playground scenario.</x:t>
        </x:is>
      </x:c>
      <x:c r="J96" s="84" t="n"/>
      <x:c r="K96" s="87" t="n">
        <x:f>IF(AND(E96="yes",F96="yes",H96="covered"),1,IF(AND(E96="yes",H96="partial"),0.5,0))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Public API</x:t>
        </x:is>
      </x:c>
      <x:c r="C97" s="84" t="inlineStr">
        <x:is>
          <x:t xml:space="preserve">Item</x:t>
        </x:is>
      </x:c>
      <x:c r="D97" s="84" t="inlineStr">
        <x:is>
          <x:t xml:space="preserve">[data-highlighted] prop behavior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</x:t>
        </x:is>
      </x:c>
      <x:c r="H97" s="86" t="inlineStr">
        <x:is>
          <x:t xml:space="preserve">covered</x:t>
        </x:is>
      </x:c>
      <x:c r="I97" s="84" t="inlineStr">
        <x:is>
          <x:t xml:space="preserve">Combobox playground scenario.</x:t>
        </x:is>
      </x:c>
      <x:c r="J97" s="84" t="n"/>
      <x:c r="K97" s="87" t="n">
        <x:f>IF(AND(E97="yes",F97="yes",H97="covered"),1,IF(AND(E97="yes",H97="partial"),0.5,0))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State</x:t>
        </x:is>
      </x:c>
      <x:c r="C98" s="84" t="inlineStr">
        <x:is>
          <x:t xml:space="preserve">Item</x:t>
        </x:is>
      </x:c>
      <x:c r="D98" s="84" t="inlineStr">
        <x:is>
          <x:t xml:space="preserve">[data-disabled] prop behavior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</x:t>
        </x:is>
      </x:c>
      <x:c r="H98" s="86" t="inlineStr">
        <x:is>
          <x:t xml:space="preserve">covered</x:t>
        </x:is>
      </x:c>
      <x:c r="I98" s="84" t="inlineStr">
        <x:is>
          <x:t xml:space="preserve">Combobox playground scenario.</x:t>
        </x:is>
      </x:c>
      <x:c r="J98" s="84" t="n"/>
      <x:c r="K98" s="87" t="n">
        <x:f>IF(AND(E98="yes",F98="yes",H98="covered"),1,IF(AND(E98="yes",H98="partial"),0.5,0))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State</x:t>
        </x:is>
      </x:c>
      <x:c r="C99" s="84" t="inlineStr">
        <x:is>
          <x:t xml:space="preserve">Item</x:t>
        </x:is>
      </x:c>
      <x:c r="D99" s="84" t="inlineStr">
        <x:is>
          <x:t xml:space="preserve">[data-value] prop behavior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</x:t>
        </x:is>
      </x:c>
      <x:c r="H99" s="86" t="inlineStr">
        <x:is>
          <x:t xml:space="preserve">covered</x:t>
        </x:is>
      </x:c>
      <x:c r="I99" s="84" t="inlineStr">
        <x:is>
          <x:t xml:space="preserve">Combobox playground scenario.</x:t>
        </x:is>
      </x:c>
      <x:c r="J99" s="84" t="n"/>
      <x:c r="K99" s="87" t="n">
        <x:f>IF(AND(E99="yes",F99="yes",H99="covered"),1,IF(AND(E99="yes",H99="partial"),0.5,0))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Anatomy</x:t>
        </x:is>
      </x:c>
      <x:c r="C100" s="84" t="inlineStr">
        <x:is>
          <x:t xml:space="preserve">Clear</x:t>
        </x:is>
      </x:c>
      <x:c r="D100" s="84" t="inlineStr">
        <x:is>
          <x:t xml:space="preserve">renders correct part when expected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</x:t>
        </x:is>
      </x:c>
      <x:c r="H100" s="86" t="inlineStr">
        <x:is>
          <x:t xml:space="preserve">covered</x:t>
        </x:is>
      </x:c>
      <x:c r="I100" s="84" t="inlineStr">
        <x:is>
          <x:t xml:space="preserve">Combobox playground scenario.</x:t>
        </x:is>
      </x:c>
      <x:c r="J100" s="84" t="n"/>
      <x:c r="K100" s="87" t="n">
        <x:f>IF(AND(E100="yes",F100="yes",H100="covered"),1,IF(AND(E100="yes",H100="partial"),0.5,0))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Anatomy</x:t>
        </x:is>
      </x:c>
      <x:c r="C101" s="84" t="inlineStr">
        <x:is>
          <x:t xml:space="preserve">Clear</x:t>
        </x:is>
      </x:c>
      <x:c r="D101" s="84" t="inlineStr">
        <x:is>
          <x:t xml:space="preserve">appears in documented order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</x:t>
        </x:is>
      </x:c>
      <x:c r="H101" s="86" t="inlineStr">
        <x:is>
          <x:t xml:space="preserve">covered</x:t>
        </x:is>
      </x:c>
      <x:c r="I101" s="84" t="inlineStr">
        <x:is>
          <x:t xml:space="preserve">Combobox playground scenario.</x:t>
        </x:is>
      </x:c>
      <x:c r="J101" s="84" t="n"/>
      <x:c r="K101" s="87" t="n">
        <x:f>IF(AND(E101="yes",F101="yes",H101="covered"),1,IF(AND(E101="yes",H101="partial"),0.5,0))</x:f>
        <x:v>1</x:v>
      </x:c>
    </x:row>
    <x:row r="102" s="51" customFormat="1" ht="30" customHeight="1">
      <x:c r="A102" s="73" t="n">
        <x:v>94</x:v>
      </x:c>
      <x:c r="B102" s="84" t="inlineStr">
        <x:is>
          <x:t xml:space="preserve">Identity</x:t>
        </x:is>
      </x:c>
      <x:c r="C102" s="84" t="inlineStr">
        <x:is>
          <x:t xml:space="preserve">Clear</x:t>
        </x:is>
      </x:c>
      <x:c r="D102" s="84" t="inlineStr">
        <x:is>
          <x:t xml:space="preserve">default tag is visible in Anatomy/Inspector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</x:t>
        </x:is>
      </x:c>
      <x:c r="H102" s="86" t="inlineStr">
        <x:is>
          <x:t xml:space="preserve">covered</x:t>
        </x:is>
      </x:c>
      <x:c r="I102" s="84" t="inlineStr">
        <x:is>
          <x:t xml:space="preserve">Combobox playground scenario.</x:t>
        </x:is>
      </x:c>
      <x:c r="J102" s="84" t="n"/>
      <x:c r="K102" s="87" t="n">
        <x:f>IF(AND(E102="yes",F102="yes",H102="covered"),1,IF(AND(E102="yes",H102="partial"),0.5,0))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Identity</x:t>
        </x:is>
      </x:c>
      <x:c r="C103" s="84" t="inlineStr">
        <x:is>
          <x:t xml:space="preserve">Clear</x:t>
        </x:is>
      </x:c>
      <x:c r="D103" s="84" t="inlineStr">
        <x:is>
          <x:t xml:space="preserve">data-slot is present and correct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</x:t>
        </x:is>
      </x:c>
      <x:c r="H103" s="86" t="inlineStr">
        <x:is>
          <x:t xml:space="preserve">covered</x:t>
        </x:is>
      </x:c>
      <x:c r="I103" s="84" t="inlineStr">
        <x:is>
          <x:t xml:space="preserve">Combobox playground scenario.</x:t>
        </x:is>
      </x:c>
      <x:c r="J103" s="84" t="n"/>
      <x:c r="K103" s="87" t="n">
        <x:f>IF(AND(E103="yes",F103="yes",H103="covered"),1,IF(AND(E103="yes",H103="partial"),0.5,0))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Props</x:t>
        </x:is>
      </x:c>
      <x:c r="C104" s="84" t="inlineStr">
        <x:is>
          <x:t xml:space="preserve">Clear</x:t>
        </x:is>
      </x:c>
      <x:c r="D104" s="84" t="inlineStr">
        <x:is>
          <x:t xml:space="preserve">non-Atom native props pass through with data-prop-check marker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</x:t>
        </x:is>
      </x:c>
      <x:c r="H104" s="86" t="inlineStr">
        <x:is>
          <x:t xml:space="preserve">covered</x:t>
        </x:is>
      </x:c>
      <x:c r="I104" s="84" t="inlineStr">
        <x:is>
          <x:t xml:space="preserve">Combobox playground scenario.</x:t>
        </x:is>
      </x:c>
      <x:c r="J104" s="84" t="n"/>
      <x:c r="K104" s="87" t="n">
        <x:f>IF(AND(E104="yes",F104="yes",H104="covered"),1,IF(AND(E104="yes",H104="partial"),0.5,0))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Refs</x:t>
        </x:is>
      </x:c>
      <x:c r="C105" s="84" t="inlineStr">
        <x:is>
          <x:t xml:space="preserve">Clear</x:t>
        </x:is>
      </x:c>
      <x:c r="D105" s="84" t="inlineStr">
        <x:is>
          <x:t xml:space="preserve">consumer ref receives the rendered element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</x:t>
        </x:is>
      </x:c>
      <x:c r="H105" s="86" t="inlineStr">
        <x:is>
          <x:t xml:space="preserve">covered</x:t>
        </x:is>
      </x:c>
      <x:c r="I105" s="84" t="inlineStr">
        <x:is>
          <x:t xml:space="preserve">Combobox playground scenario.</x:t>
        </x:is>
      </x:c>
      <x:c r="J105" s="84" t="n"/>
      <x:c r="K105" s="87" t="n">
        <x:f>IF(AND(E105="yes",F105="yes",H105="covered"),1,IF(AND(E105="yes",H105="partial"),0.5,0))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Composition</x:t>
        </x:is>
      </x:c>
      <x:c r="C106" s="84" t="inlineStr">
        <x:is>
          <x:t xml:space="preserve">Clear</x:t>
        </x:is>
      </x:c>
      <x:c r="D106" s="84" t="inlineStr">
        <x:is>
          <x:t xml:space="preserve">asChild prop behavior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</x:t>
        </x:is>
      </x:c>
      <x:c r="H106" s="86" t="inlineStr">
        <x:is>
          <x:t xml:space="preserve">covered</x:t>
        </x:is>
      </x:c>
      <x:c r="I106" s="84" t="inlineStr">
        <x:is>
          <x:t xml:space="preserve">Combobox playground scenario.</x:t>
        </x:is>
      </x:c>
      <x:c r="J106" s="84" t="n"/>
      <x:c r="K106" s="87" t="n">
        <x:f>IF(AND(E106="yes",F106="yes",H106="covered"),1,IF(AND(E106="yes",H106="partial"),0.5,0))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Composition</x:t>
        </x:is>
      </x:c>
      <x:c r="C107" s="84" t="inlineStr">
        <x:is>
          <x:t xml:space="preserve">Clear</x:t>
        </x:is>
      </x:c>
      <x:c r="D107" s="84" t="inlineStr">
        <x:is>
          <x:t xml:space="preserve">render prop behavior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</x:t>
        </x:is>
      </x:c>
      <x:c r="H107" s="86" t="inlineStr">
        <x:is>
          <x:t xml:space="preserve">covered</x:t>
        </x:is>
      </x:c>
      <x:c r="I107" s="84" t="inlineStr">
        <x:is>
          <x:t xml:space="preserve">Combobox playground scenario.</x:t>
        </x:is>
      </x:c>
      <x:c r="J107" s="84" t="n"/>
      <x:c r="K107" s="87" t="n">
        <x:f>IF(AND(E107="yes",F107="yes",H107="covered"),1,IF(AND(E107="yes",H107="partial"),0.5,0))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Public API</x:t>
        </x:is>
      </x:c>
      <x:c r="C108" s="84" t="inlineStr">
        <x:is>
          <x:t xml:space="preserve">Clear</x:t>
        </x:is>
      </x:c>
      <x:c r="D108" s="84" t="inlineStr">
        <x:is>
          <x:t xml:space="preserve">data-slot prop behavior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</x:t>
        </x:is>
      </x:c>
      <x:c r="H108" s="86" t="inlineStr">
        <x:is>
          <x:t xml:space="preserve">covered</x:t>
        </x:is>
      </x:c>
      <x:c r="I108" s="84" t="inlineStr">
        <x:is>
          <x:t xml:space="preserve">Combobox playground scenario.</x:t>
        </x:is>
      </x:c>
      <x:c r="J108" s="84" t="n"/>
      <x:c r="K108" s="87" t="n">
        <x:f>IF(AND(E108="yes",F108="yes",H108="covered"),1,IF(AND(E108="yes",H108="partial"),0.5,0))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Public API</x:t>
        </x:is>
      </x:c>
      <x:c r="C109" s="84" t="inlineStr">
        <x:is>
          <x:t xml:space="preserve">Clear</x:t>
        </x:is>
      </x:c>
      <x:c r="D109" s="84" t="inlineStr">
        <x:is>
          <x:t xml:space="preserve">[data-slot] prop behavior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</x:t>
        </x:is>
      </x:c>
      <x:c r="H109" s="86" t="inlineStr">
        <x:is>
          <x:t xml:space="preserve">covered</x:t>
        </x:is>
      </x:c>
      <x:c r="I109" s="84" t="inlineStr">
        <x:is>
          <x:t xml:space="preserve">Combobox playground scenario.</x:t>
        </x:is>
      </x:c>
      <x:c r="J109" s="84" t="n"/>
      <x:c r="K109" s="87" t="n">
        <x:f>IF(AND(E109="yes",F109="yes",H109="covered"),1,IF(AND(E109="yes",H109="partial"),0.5,0))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Public API</x:t>
        </x:is>
      </x:c>
      <x:c r="C110" s="84" t="inlineStr">
        <x:is>
          <x:t xml:space="preserve">Clear</x:t>
        </x:is>
      </x:c>
      <x:c r="D110" s="84" t="inlineStr">
        <x:is>
          <x:t xml:space="preserve">[data-hidden] prop behavior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</x:t>
        </x:is>
      </x:c>
      <x:c r="H110" s="86" t="inlineStr">
        <x:is>
          <x:t xml:space="preserve">covered</x:t>
        </x:is>
      </x:c>
      <x:c r="I110" s="84" t="inlineStr">
        <x:is>
          <x:t xml:space="preserve">Combobox playground scenario.</x:t>
        </x:is>
      </x:c>
      <x:c r="J110" s="84" t="n"/>
      <x:c r="K110" s="87" t="n">
        <x:f>IF(AND(E110="yes",F110="yes",H110="covered"),1,IF(AND(E110="yes",H110="partial"),0.5,0))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Anatomy</x:t>
        </x:is>
      </x:c>
      <x:c r="C111" s="84" t="inlineStr">
        <x:is>
          <x:t xml:space="preserve">Empty</x:t>
        </x:is>
      </x:c>
      <x:c r="D111" s="84" t="inlineStr">
        <x:is>
          <x:t xml:space="preserve">renders correct part when expected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</x:t>
        </x:is>
      </x:c>
      <x:c r="H111" s="86" t="inlineStr">
        <x:is>
          <x:t xml:space="preserve">covered</x:t>
        </x:is>
      </x:c>
      <x:c r="I111" s="84" t="inlineStr">
        <x:is>
          <x:t xml:space="preserve">Combobox playground scenario.</x:t>
        </x:is>
      </x:c>
      <x:c r="J111" s="84" t="n"/>
      <x:c r="K111" s="87" t="n">
        <x:f>IF(AND(E111="yes",F111="yes",H111="covered"),1,IF(AND(E111="yes",H111="partial"),0.5,0))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Anatomy</x:t>
        </x:is>
      </x:c>
      <x:c r="C112" s="84" t="inlineStr">
        <x:is>
          <x:t xml:space="preserve">Empty</x:t>
        </x:is>
      </x:c>
      <x:c r="D112" s="84" t="inlineStr">
        <x:is>
          <x:t xml:space="preserve">appears in documented order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</x:t>
        </x:is>
      </x:c>
      <x:c r="H112" s="86" t="inlineStr">
        <x:is>
          <x:t xml:space="preserve">covered</x:t>
        </x:is>
      </x:c>
      <x:c r="I112" s="84" t="inlineStr">
        <x:is>
          <x:t xml:space="preserve">Combobox playground scenario.</x:t>
        </x:is>
      </x:c>
      <x:c r="J112" s="84" t="n"/>
      <x:c r="K112" s="87" t="n">
        <x:f>IF(AND(E112="yes",F112="yes",H112="covered"),1,IF(AND(E112="yes",H112="partial"),0.5,0))</x:f>
        <x:v>1</x:v>
      </x:c>
    </x:row>
    <x:row r="113" s="51" customFormat="1" ht="30" customHeight="1">
      <x:c r="A113" s="73" t="n">
        <x:v>105</x:v>
      </x:c>
      <x:c r="B113" s="84" t="inlineStr">
        <x:is>
          <x:t xml:space="preserve">Identity</x:t>
        </x:is>
      </x:c>
      <x:c r="C113" s="84" t="inlineStr">
        <x:is>
          <x:t xml:space="preserve">Empty</x:t>
        </x:is>
      </x:c>
      <x:c r="D113" s="84" t="inlineStr">
        <x:is>
          <x:t xml:space="preserve">default tag is visible in Anatomy/Inspector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</x:t>
        </x:is>
      </x:c>
      <x:c r="H113" s="86" t="inlineStr">
        <x:is>
          <x:t xml:space="preserve">covered</x:t>
        </x:is>
      </x:c>
      <x:c r="I113" s="84" t="inlineStr">
        <x:is>
          <x:t xml:space="preserve">Combobox playground scenario.</x:t>
        </x:is>
      </x:c>
      <x:c r="J113" s="84" t="n"/>
      <x:c r="K113" s="87" t="n">
        <x:f>IF(AND(E113="yes",F113="yes",H113="covered"),1,IF(AND(E113="yes",H113="partial"),0.5,0))</x:f>
        <x:v>1</x:v>
      </x:c>
    </x:row>
    <x:row r="114" s="51" customFormat="1" ht="15" customHeight="1">
      <x:c r="A114" s="73" t="n">
        <x:v>106</x:v>
      </x:c>
      <x:c r="B114" s="84" t="inlineStr">
        <x:is>
          <x:t xml:space="preserve">Identity</x:t>
        </x:is>
      </x:c>
      <x:c r="C114" s="84" t="inlineStr">
        <x:is>
          <x:t xml:space="preserve">Empty</x:t>
        </x:is>
      </x:c>
      <x:c r="D114" s="84" t="inlineStr">
        <x:is>
          <x:t xml:space="preserve">data-slot is present and correct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</x:t>
        </x:is>
      </x:c>
      <x:c r="H114" s="86" t="inlineStr">
        <x:is>
          <x:t xml:space="preserve">covered</x:t>
        </x:is>
      </x:c>
      <x:c r="I114" s="84" t="inlineStr">
        <x:is>
          <x:t xml:space="preserve">Combobox playground scenario.</x:t>
        </x:is>
      </x:c>
      <x:c r="J114" s="84" t="n"/>
      <x:c r="K114" s="87" t="n">
        <x:f>IF(AND(E114="yes",F114="yes",H114="covered"),1,IF(AND(E114="yes",H114="partial"),0.5,0))</x:f>
        <x:v>1</x:v>
      </x:c>
    </x:row>
    <x:row r="115" s="51" customFormat="1" ht="15" customHeight="1">
      <x:c r="A115" s="73" t="n">
        <x:v>107</x:v>
      </x:c>
      <x:c r="B115" s="84" t="inlineStr">
        <x:is>
          <x:t xml:space="preserve">Props</x:t>
        </x:is>
      </x:c>
      <x:c r="C115" s="84" t="inlineStr">
        <x:is>
          <x:t xml:space="preserve">Empty</x:t>
        </x:is>
      </x:c>
      <x:c r="D115" s="84" t="inlineStr">
        <x:is>
          <x:t xml:space="preserve">non-Atom native props pass through with data-prop-check marker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</x:t>
        </x:is>
      </x:c>
      <x:c r="H115" s="86" t="inlineStr">
        <x:is>
          <x:t xml:space="preserve">covered</x:t>
        </x:is>
      </x:c>
      <x:c r="I115" s="84" t="inlineStr">
        <x:is>
          <x:t xml:space="preserve">Combobox playground scenario.</x:t>
        </x:is>
      </x:c>
      <x:c r="J115" s="84" t="n"/>
      <x:c r="K115" s="87" t="n">
        <x:f>IF(AND(E115="yes",F115="yes",H115="covered"),1,IF(AND(E115="yes",H115="partial"),0.5,0))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Refs</x:t>
        </x:is>
      </x:c>
      <x:c r="C116" s="84" t="inlineStr">
        <x:is>
          <x:t xml:space="preserve">Empty</x:t>
        </x:is>
      </x:c>
      <x:c r="D116" s="84" t="inlineStr">
        <x:is>
          <x:t xml:space="preserve">consumer ref receives the rendered element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</x:t>
        </x:is>
      </x:c>
      <x:c r="H116" s="86" t="inlineStr">
        <x:is>
          <x:t xml:space="preserve">covered</x:t>
        </x:is>
      </x:c>
      <x:c r="I116" s="84" t="inlineStr">
        <x:is>
          <x:t xml:space="preserve">Combobox playground scenario.</x:t>
        </x:is>
      </x:c>
      <x:c r="J116" s="84" t="n"/>
      <x:c r="K116" s="87" t="n">
        <x:f>IF(AND(E116="yes",F116="yes",H116="covered"),1,IF(AND(E116="yes",H116="partial"),0.5,0))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Public API</x:t>
        </x:is>
      </x:c>
      <x:c r="C117" s="84" t="inlineStr">
        <x:is>
          <x:t xml:space="preserve">Empty</x:t>
        </x:is>
      </x:c>
      <x:c r="D117" s="84" t="inlineStr">
        <x:is>
          <x:t xml:space="preserve">[data-slot] prop behavior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</x:t>
        </x:is>
      </x:c>
      <x:c r="H117" s="86" t="inlineStr">
        <x:is>
          <x:t xml:space="preserve">covered</x:t>
        </x:is>
      </x:c>
      <x:c r="I117" s="84" t="inlineStr">
        <x:is>
          <x:t xml:space="preserve">Combobox playground scenario.</x:t>
        </x:is>
      </x:c>
      <x:c r="J117" s="84" t="n"/>
      <x:c r="K117" s="87" t="n">
        <x:f>IF(AND(E117="yes",F117="yes",H117="covered"),1,IF(AND(E117="yes",H117="partial"),0.5,0))</x:f>
        <x:v>1</x:v>
      </x:c>
    </x:row>
    <x:row r="118" s="51" customFormat="1" ht="15" customHeight="1">
      <x:c r="A118" s="73" t="n">
        <x:v>110</x:v>
      </x:c>
      <x:c r="B118" s="84" t="inlineStr">
        <x:is>
          <x:t xml:space="preserve">Anatomy</x:t>
        </x:is>
      </x:c>
      <x:c r="C118" s="84" t="inlineStr">
        <x:is>
          <x:t xml:space="preserve">Input</x:t>
        </x:is>
      </x:c>
      <x:c r="D118" s="84" t="inlineStr">
        <x:is>
          <x:t xml:space="preserve">renders correct part when expected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</x:t>
        </x:is>
      </x:c>
      <x:c r="H118" s="86" t="inlineStr">
        <x:is>
          <x:t xml:space="preserve">covered</x:t>
        </x:is>
      </x:c>
      <x:c r="I118" s="84" t="inlineStr">
        <x:is>
          <x:t xml:space="preserve">Combobox playground scenario.</x:t>
        </x:is>
      </x:c>
      <x:c r="J118" s="84" t="n"/>
      <x:c r="K118" s="87" t="n">
        <x:f>IF(AND(E118="yes",F118="yes",H118="covered"),1,IF(AND(E118="yes",H118="partial"),0.5,0))</x:f>
        <x:v>1</x:v>
      </x:c>
    </x:row>
    <x:row r="119" s="51" customFormat="1" ht="15" customHeight="1">
      <x:c r="A119" s="73" t="n">
        <x:v>111</x:v>
      </x:c>
      <x:c r="B119" s="84" t="inlineStr">
        <x:is>
          <x:t xml:space="preserve">Anatomy</x:t>
        </x:is>
      </x:c>
      <x:c r="C119" s="84" t="inlineStr">
        <x:is>
          <x:t xml:space="preserve">Input</x:t>
        </x:is>
      </x:c>
      <x:c r="D119" s="84" t="inlineStr">
        <x:is>
          <x:t xml:space="preserve">appears in documented order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</x:t>
        </x:is>
      </x:c>
      <x:c r="H119" s="86" t="inlineStr">
        <x:is>
          <x:t xml:space="preserve">covered</x:t>
        </x:is>
      </x:c>
      <x:c r="I119" s="84" t="inlineStr">
        <x:is>
          <x:t xml:space="preserve">Combobox playground scenario.</x:t>
        </x:is>
      </x:c>
      <x:c r="J119" s="84" t="n"/>
      <x:c r="K119" s="87" t="n">
        <x:f>IF(AND(E119="yes",F119="yes",H119="covered"),1,IF(AND(E119="yes",H119="partial"),0.5,0))</x:f>
        <x:v>1</x:v>
      </x:c>
    </x:row>
    <x:row r="120" s="51" customFormat="1" ht="30" customHeight="1">
      <x:c r="A120" s="73" t="n">
        <x:v>112</x:v>
      </x:c>
      <x:c r="B120" s="84" t="inlineStr">
        <x:is>
          <x:t xml:space="preserve">Identity</x:t>
        </x:is>
      </x:c>
      <x:c r="C120" s="84" t="inlineStr">
        <x:is>
          <x:t xml:space="preserve">Input</x:t>
        </x:is>
      </x:c>
      <x:c r="D120" s="84" t="inlineStr">
        <x:is>
          <x:t xml:space="preserve">default tag is visible in Anatomy/Inspector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</x:t>
        </x:is>
      </x:c>
      <x:c r="H120" s="86" t="inlineStr">
        <x:is>
          <x:t xml:space="preserve">covered</x:t>
        </x:is>
      </x:c>
      <x:c r="I120" s="84" t="inlineStr">
        <x:is>
          <x:t xml:space="preserve">Combobox playground scenario.</x:t>
        </x:is>
      </x:c>
      <x:c r="J120" s="84" t="n"/>
      <x:c r="K120" s="87" t="n">
        <x:f>IF(AND(E120="yes",F120="yes",H120="covered"),1,IF(AND(E120="yes",H120="partial"),0.5,0))</x:f>
        <x:v>1</x:v>
      </x:c>
    </x:row>
    <x:row r="121" s="51" customFormat="1" ht="15" customHeight="1">
      <x:c r="A121" s="73" t="n">
        <x:v>113</x:v>
      </x:c>
      <x:c r="B121" s="84" t="inlineStr">
        <x:is>
          <x:t xml:space="preserve">Identity</x:t>
        </x:is>
      </x:c>
      <x:c r="C121" s="84" t="inlineStr">
        <x:is>
          <x:t xml:space="preserve">Input</x:t>
        </x:is>
      </x:c>
      <x:c r="D121" s="84" t="inlineStr">
        <x:is>
          <x:t xml:space="preserve">data-slot is present and correct</x:t>
        </x:is>
      </x:c>
      <x:c r="E121" s="76" t="inlineStr">
        <x:is>
          <x:t xml:space="preserve">yes</x:t>
        </x:is>
      </x:c>
      <x:c r="F121" s="85" t="inlineStr">
        <x:is>
          <x:t xml:space="preserve">yes</x:t>
        </x:is>
      </x:c>
      <x:c r="G121" s="73" t="inlineStr">
        <x:is>
          <x:t xml:space="preserve">passed</x:t>
        </x:is>
      </x:c>
      <x:c r="H121" s="86" t="inlineStr">
        <x:is>
          <x:t xml:space="preserve">covered</x:t>
        </x:is>
      </x:c>
      <x:c r="I121" s="84" t="inlineStr">
        <x:is>
          <x:t xml:space="preserve">Combobox playground scenario.</x:t>
        </x:is>
      </x:c>
      <x:c r="J121" s="84" t="n"/>
      <x:c r="K121" s="87" t="n">
        <x:f>IF(AND(E121="yes",F121="yes",H121="covered"),1,IF(AND(E121="yes",H121="partial"),0.5,0))</x:f>
        <x:v>1</x:v>
      </x:c>
    </x:row>
    <x:row r="122" s="51" customFormat="1" ht="15" customHeight="1">
      <x:c r="A122" s="73" t="n">
        <x:v>114</x:v>
      </x:c>
      <x:c r="B122" s="84" t="inlineStr">
        <x:is>
          <x:t xml:space="preserve">Props</x:t>
        </x:is>
      </x:c>
      <x:c r="C122" s="84" t="inlineStr">
        <x:is>
          <x:t xml:space="preserve">Input</x:t>
        </x:is>
      </x:c>
      <x:c r="D122" s="84" t="inlineStr">
        <x:is>
          <x:t xml:space="preserve">non-Atom native props pass through with data-prop-check marker</x:t>
        </x:is>
      </x:c>
      <x:c r="E122" s="76" t="inlineStr">
        <x:is>
          <x:t xml:space="preserve">yes</x:t>
        </x:is>
      </x:c>
      <x:c r="F122" s="85" t="inlineStr">
        <x:is>
          <x:t xml:space="preserve">yes</x:t>
        </x:is>
      </x:c>
      <x:c r="G122" s="73" t="inlineStr">
        <x:is>
          <x:t xml:space="preserve">passed</x:t>
        </x:is>
      </x:c>
      <x:c r="H122" s="86" t="inlineStr">
        <x:is>
          <x:t xml:space="preserve">covered</x:t>
        </x:is>
      </x:c>
      <x:c r="I122" s="84" t="inlineStr">
        <x:is>
          <x:t xml:space="preserve">Combobox playground scenario.</x:t>
        </x:is>
      </x:c>
      <x:c r="J122" s="84" t="n"/>
      <x:c r="K122" s="87" t="n">
        <x:f>IF(AND(E122="yes",F122="yes",H122="covered"),1,IF(AND(E122="yes",H122="partial"),0.5,0))</x:f>
        <x:v>1</x:v>
      </x:c>
    </x:row>
    <x:row r="123" s="51" customFormat="1" ht="15" customHeight="1">
      <x:c r="A123" s="73" t="n">
        <x:v>115</x:v>
      </x:c>
      <x:c r="B123" s="84" t="inlineStr">
        <x:is>
          <x:t xml:space="preserve">Refs</x:t>
        </x:is>
      </x:c>
      <x:c r="C123" s="84" t="inlineStr">
        <x:is>
          <x:t xml:space="preserve">Input</x:t>
        </x:is>
      </x:c>
      <x:c r="D123" s="84" t="inlineStr">
        <x:is>
          <x:t xml:space="preserve">consumer ref receives the rendered element</x:t>
        </x:is>
      </x:c>
      <x:c r="E123" s="76" t="inlineStr">
        <x:is>
          <x:t xml:space="preserve">yes</x:t>
        </x:is>
      </x:c>
      <x:c r="F123" s="85" t="inlineStr">
        <x:is>
          <x:t xml:space="preserve">yes</x:t>
        </x:is>
      </x:c>
      <x:c r="G123" s="73" t="inlineStr">
        <x:is>
          <x:t xml:space="preserve">passed</x:t>
        </x:is>
      </x:c>
      <x:c r="H123" s="86" t="inlineStr">
        <x:is>
          <x:t xml:space="preserve">covered</x:t>
        </x:is>
      </x:c>
      <x:c r="I123" s="84" t="inlineStr">
        <x:is>
          <x:t xml:space="preserve">Combobox playground scenario.</x:t>
        </x:is>
      </x:c>
      <x:c r="J123" s="84" t="n"/>
      <x:c r="K123" s="87" t="n">
        <x:f>IF(AND(E123="yes",F123="yes",H123="covered"),1,IF(AND(E123="yes",H123="partial"),0.5,0))</x:f>
        <x:v>1</x:v>
      </x:c>
    </x:row>
    <x:row r="124" s="51" customFormat="1" ht="15" customHeight="1">
      <x:c r="A124" s="73" t="n">
        <x:v>116</x:v>
      </x:c>
      <x:c r="B124" s="84" t="inlineStr">
        <x:is>
          <x:t xml:space="preserve">Public API</x:t>
        </x:is>
      </x:c>
      <x:c r="C124" s="84" t="inlineStr">
        <x:is>
          <x:t xml:space="preserve">Input</x:t>
        </x:is>
      </x:c>
      <x:c r="D124" s="84" t="inlineStr">
        <x:is>
          <x:t xml:space="preserve">data-slot prop behavior</x:t>
        </x:is>
      </x:c>
      <x:c r="E124" s="76" t="inlineStr">
        <x:is>
          <x:t xml:space="preserve">yes</x:t>
        </x:is>
      </x:c>
      <x:c r="F124" s="85" t="inlineStr">
        <x:is>
          <x:t xml:space="preserve">yes</x:t>
        </x:is>
      </x:c>
      <x:c r="G124" s="73" t="inlineStr">
        <x:is>
          <x:t xml:space="preserve">passed</x:t>
        </x:is>
      </x:c>
      <x:c r="H124" s="86" t="inlineStr">
        <x:is>
          <x:t xml:space="preserve">covered</x:t>
        </x:is>
      </x:c>
      <x:c r="I124" s="84" t="inlineStr">
        <x:is>
          <x:t xml:space="preserve">Combobox playground scenario.</x:t>
        </x:is>
      </x:c>
      <x:c r="J124" s="84" t="n"/>
      <x:c r="K124" s="87" t="n">
        <x:f>IF(AND(E124="yes",F124="yes",H124="covered"),1,IF(AND(E124="yes",H124="partial"),0.5,0))</x:f>
        <x:v>1</x:v>
      </x:c>
    </x:row>
    <x:row r="125" s="51" customFormat="1" ht="15" customHeight="1">
      <x:c r="A125" s="73" t="n">
        <x:v>117</x:v>
      </x:c>
      <x:c r="B125" s="84" t="inlineStr">
        <x:is>
          <x:t xml:space="preserve">Public API</x:t>
        </x:is>
      </x:c>
      <x:c r="C125" s="84" t="inlineStr">
        <x:is>
          <x:t xml:space="preserve">Input</x:t>
        </x:is>
      </x:c>
      <x:c r="D125" s="84" t="inlineStr">
        <x:is>
          <x:t xml:space="preserve">[data-slot] prop behavior</x:t>
        </x:is>
      </x:c>
      <x:c r="E125" s="76" t="inlineStr">
        <x:is>
          <x:t xml:space="preserve">yes</x:t>
        </x:is>
      </x:c>
      <x:c r="F125" s="85" t="inlineStr">
        <x:is>
          <x:t xml:space="preserve">yes</x:t>
        </x:is>
      </x:c>
      <x:c r="G125" s="73" t="inlineStr">
        <x:is>
          <x:t xml:space="preserve">passed</x:t>
        </x:is>
      </x:c>
      <x:c r="H125" s="86" t="inlineStr">
        <x:is>
          <x:t xml:space="preserve">covered</x:t>
        </x:is>
      </x:c>
      <x:c r="I125" s="84" t="inlineStr">
        <x:is>
          <x:t xml:space="preserve">Combobox playground scenario.</x:t>
        </x:is>
      </x:c>
      <x:c r="J125" s="84" t="n"/>
      <x:c r="K125" s="87" t="n">
        <x:f>IF(AND(E125="yes",F125="yes",H125="covered"),1,IF(AND(E125="yes",H125="partial"),0.5,0))</x:f>
        <x:v>1</x:v>
      </x:c>
    </x:row>
    <x:row r="126" s="51" customFormat="1" ht="15" customHeight="1">
      <x:c r="A126" s="73" t="n">
        <x:v>118</x:v>
      </x:c>
      <x:c r="B126" s="84" t="inlineStr">
        <x:is>
          <x:t xml:space="preserve">Public API</x:t>
        </x:is>
      </x:c>
      <x:c r="C126" s="84" t="inlineStr">
        <x:is>
          <x:t xml:space="preserve">Input</x:t>
        </x:is>
      </x:c>
      <x:c r="D126" s="84" t="inlineStr">
        <x:is>
          <x:t xml:space="preserve">[data-state] prop behavior</x:t>
        </x:is>
      </x:c>
      <x:c r="E126" s="76" t="inlineStr">
        <x:is>
          <x:t xml:space="preserve">yes</x:t>
        </x:is>
      </x:c>
      <x:c r="F126" s="85" t="inlineStr">
        <x:is>
          <x:t xml:space="preserve">yes</x:t>
        </x:is>
      </x:c>
      <x:c r="G126" s="73" t="inlineStr">
        <x:is>
          <x:t xml:space="preserve">passed</x:t>
        </x:is>
      </x:c>
      <x:c r="H126" s="86" t="inlineStr">
        <x:is>
          <x:t xml:space="preserve">covered</x:t>
        </x:is>
      </x:c>
      <x:c r="I126" s="84" t="inlineStr">
        <x:is>
          <x:t xml:space="preserve">Combobox playground scenario.</x:t>
        </x:is>
      </x:c>
      <x:c r="J126" s="84" t="n"/>
      <x:c r="K126" s="87" t="n">
        <x:f>IF(AND(E126="yes",F126="yes",H126="covered"),1,IF(AND(E126="yes",H126="partial"),0.5,0))</x:f>
        <x:v>1</x:v>
      </x:c>
    </x:row>
    <x:row r="127" s="51" customFormat="1" ht="15" customHeight="1">
      <x:c r="A127" s="73" t="n">
        <x:v>119</x:v>
      </x:c>
      <x:c r="B127" s="84" t="inlineStr">
        <x:is>
          <x:t xml:space="preserve">Public API</x:t>
        </x:is>
      </x:c>
      <x:c r="C127" s="84" t="inlineStr">
        <x:is>
          <x:t xml:space="preserve">Input</x:t>
        </x:is>
      </x:c>
      <x:c r="D127" s="84" t="inlineStr">
        <x:is>
          <x:t xml:space="preserve">[data-filled] prop behavior</x:t>
        </x:is>
      </x:c>
      <x:c r="E127" s="76" t="inlineStr">
        <x:is>
          <x:t xml:space="preserve">yes</x:t>
        </x:is>
      </x:c>
      <x:c r="F127" s="85" t="inlineStr">
        <x:is>
          <x:t xml:space="preserve">yes</x:t>
        </x:is>
      </x:c>
      <x:c r="G127" s="73" t="inlineStr">
        <x:is>
          <x:t xml:space="preserve">passed</x:t>
        </x:is>
      </x:c>
      <x:c r="H127" s="86" t="inlineStr">
        <x:is>
          <x:t xml:space="preserve">covered</x:t>
        </x:is>
      </x:c>
      <x:c r="I127" s="84" t="inlineStr">
        <x:is>
          <x:t xml:space="preserve">Combobox playground scenario.</x:t>
        </x:is>
      </x:c>
      <x:c r="J127" s="84" t="n"/>
      <x:c r="K127" s="87" t="n">
        <x:f>IF(AND(E127="yes",F127="yes",H127="covered"),1,IF(AND(E127="yes",H127="partial"),0.5,0))</x:f>
        <x:v>1</x:v>
      </x:c>
    </x:row>
    <x:row r="128" s="51" customFormat="1" ht="15" customHeight="1">
      <x:c r="A128" s="73" t="n">
        <x:v>120</x:v>
      </x:c>
      <x:c r="B128" s="84" t="inlineStr">
        <x:is>
          <x:t xml:space="preserve">State</x:t>
        </x:is>
      </x:c>
      <x:c r="C128" s="84" t="inlineStr">
        <x:is>
          <x:t xml:space="preserve">Input</x:t>
        </x:is>
      </x:c>
      <x:c r="D128" s="84" t="inlineStr">
        <x:is>
          <x:t xml:space="preserve">[data-disabled] prop behavior</x:t>
        </x:is>
      </x:c>
      <x:c r="E128" s="76" t="inlineStr">
        <x:is>
          <x:t xml:space="preserve">yes</x:t>
        </x:is>
      </x:c>
      <x:c r="F128" s="85" t="inlineStr">
        <x:is>
          <x:t xml:space="preserve">yes</x:t>
        </x:is>
      </x:c>
      <x:c r="G128" s="73" t="inlineStr">
        <x:is>
          <x:t xml:space="preserve">passed</x:t>
        </x:is>
      </x:c>
      <x:c r="H128" s="86" t="inlineStr">
        <x:is>
          <x:t xml:space="preserve">covered</x:t>
        </x:is>
      </x:c>
      <x:c r="I128" s="84" t="inlineStr">
        <x:is>
          <x:t xml:space="preserve">Combobox playground scenario.</x:t>
        </x:is>
      </x:c>
      <x:c r="J128" s="84" t="n"/>
      <x:c r="K128" s="87" t="n">
        <x:f>IF(AND(E128="yes",F128="yes",H128="covered"),1,IF(AND(E128="yes",H128="partial"),0.5,0))</x:f>
        <x:v>1</x:v>
      </x:c>
    </x:row>
    <x:row r="129" s="51" customFormat="1" ht="15" customHeight="1">
      <x:c r="A129" s="73" t="n">
        <x:v>121</x:v>
      </x:c>
      <x:c r="B129" s="84" t="inlineStr">
        <x:is>
          <x:t xml:space="preserve">State</x:t>
        </x:is>
      </x:c>
      <x:c r="C129" s="84" t="inlineStr">
        <x:is>
          <x:t xml:space="preserve">Input</x:t>
        </x:is>
      </x:c>
      <x:c r="D129" s="84" t="inlineStr">
        <x:is>
          <x:t xml:space="preserve">[data-readonly] prop behavior</x:t>
        </x:is>
      </x:c>
      <x:c r="E129" s="76" t="inlineStr">
        <x:is>
          <x:t xml:space="preserve">yes</x:t>
        </x:is>
      </x:c>
      <x:c r="F129" s="85" t="inlineStr">
        <x:is>
          <x:t xml:space="preserve">yes</x:t>
        </x:is>
      </x:c>
      <x:c r="G129" s="73" t="inlineStr">
        <x:is>
          <x:t xml:space="preserve">passed</x:t>
        </x:is>
      </x:c>
      <x:c r="H129" s="86" t="inlineStr">
        <x:is>
          <x:t xml:space="preserve">covered</x:t>
        </x:is>
      </x:c>
      <x:c r="I129" s="84" t="inlineStr">
        <x:is>
          <x:t xml:space="preserve">Combobox playground scenario.</x:t>
        </x:is>
      </x:c>
      <x:c r="J129" s="84" t="n"/>
      <x:c r="K129" s="87" t="n">
        <x:f>IF(AND(E129="yes",F129="yes",H129="covered"),1,IF(AND(E129="yes",H129="partial"),0.5,0))</x:f>
        <x:v>1</x:v>
      </x:c>
    </x:row>
    <x:row r="130" s="51" customFormat="1" ht="15" customHeight="1">
      <x:c r="A130" s="73" t="n">
        <x:v>122</x:v>
      </x:c>
      <x:c r="B130" s="84" t="inlineStr">
        <x:is>
          <x:t xml:space="preserve">State</x:t>
        </x:is>
      </x:c>
      <x:c r="C130" s="84" t="inlineStr">
        <x:is>
          <x:t xml:space="preserve">Input</x:t>
        </x:is>
      </x:c>
      <x:c r="D130" s="84" t="inlineStr">
        <x:is>
          <x:t xml:space="preserve">[data-invalid] prop behavior</x:t>
        </x:is>
      </x:c>
      <x:c r="E130" s="76" t="inlineStr">
        <x:is>
          <x:t xml:space="preserve">yes</x:t>
        </x:is>
      </x:c>
      <x:c r="F130" s="85" t="inlineStr">
        <x:is>
          <x:t xml:space="preserve">yes</x:t>
        </x:is>
      </x:c>
      <x:c r="G130" s="73" t="inlineStr">
        <x:is>
          <x:t xml:space="preserve">passed</x:t>
        </x:is>
      </x:c>
      <x:c r="H130" s="86" t="inlineStr">
        <x:is>
          <x:t xml:space="preserve">covered</x:t>
        </x:is>
      </x:c>
      <x:c r="I130" s="84" t="inlineStr">
        <x:is>
          <x:t xml:space="preserve">Combobox playground scenario.</x:t>
        </x:is>
      </x:c>
      <x:c r="J130" s="84" t="n"/>
      <x:c r="K130" s="87" t="n">
        <x:f>IF(AND(E130="yes",F130="yes",H130="covered"),1,IF(AND(E130="yes",H130="partial"),0.5,0))</x:f>
        <x:v>1</x:v>
      </x:c>
    </x:row>
    <x:row r="131" s="51" customFormat="1" ht="15" customHeight="1">
      <x:c r="A131" s="73" t="n">
        <x:v>123</x:v>
      </x:c>
      <x:c r="B131" s="84" t="inlineStr">
        <x:is>
          <x:t xml:space="preserve">Anatomy</x:t>
        </x:is>
      </x:c>
      <x:c r="C131" s="84" t="inlineStr">
        <x:is>
          <x:t xml:space="preserve">Loading</x:t>
        </x:is>
      </x:c>
      <x:c r="D131" s="84" t="inlineStr">
        <x:is>
          <x:t xml:space="preserve">renders correct part when expected</x:t>
        </x:is>
      </x:c>
      <x:c r="E131" s="76" t="inlineStr">
        <x:is>
          <x:t xml:space="preserve">yes</x:t>
        </x:is>
      </x:c>
      <x:c r="F131" s="85" t="inlineStr">
        <x:is>
          <x:t xml:space="preserve">yes</x:t>
        </x:is>
      </x:c>
      <x:c r="G131" s="73" t="inlineStr">
        <x:is>
          <x:t xml:space="preserve">passed</x:t>
        </x:is>
      </x:c>
      <x:c r="H131" s="86" t="inlineStr">
        <x:is>
          <x:t xml:space="preserve">covered</x:t>
        </x:is>
      </x:c>
      <x:c r="I131" s="84" t="inlineStr">
        <x:is>
          <x:t xml:space="preserve">Combobox playground scenario.</x:t>
        </x:is>
      </x:c>
      <x:c r="J131" s="84" t="n"/>
      <x:c r="K131" s="87" t="n">
        <x:f>IF(AND(E131="yes",F131="yes",H131="covered"),1,IF(AND(E131="yes",H131="partial"),0.5,0))</x:f>
        <x:v>1</x:v>
      </x:c>
    </x:row>
    <x:row r="132" s="51" customFormat="1" ht="15" customHeight="1">
      <x:c r="A132" s="73" t="n">
        <x:v>124</x:v>
      </x:c>
      <x:c r="B132" s="84" t="inlineStr">
        <x:is>
          <x:t xml:space="preserve">Anatomy</x:t>
        </x:is>
      </x:c>
      <x:c r="C132" s="84" t="inlineStr">
        <x:is>
          <x:t xml:space="preserve">Loading</x:t>
        </x:is>
      </x:c>
      <x:c r="D132" s="84" t="inlineStr">
        <x:is>
          <x:t xml:space="preserve">appears in documented order</x:t>
        </x:is>
      </x:c>
      <x:c r="E132" s="76" t="inlineStr">
        <x:is>
          <x:t xml:space="preserve">yes</x:t>
        </x:is>
      </x:c>
      <x:c r="F132" s="85" t="inlineStr">
        <x:is>
          <x:t xml:space="preserve">yes</x:t>
        </x:is>
      </x:c>
      <x:c r="G132" s="73" t="inlineStr">
        <x:is>
          <x:t xml:space="preserve">passed</x:t>
        </x:is>
      </x:c>
      <x:c r="H132" s="86" t="inlineStr">
        <x:is>
          <x:t xml:space="preserve">covered</x:t>
        </x:is>
      </x:c>
      <x:c r="I132" s="84" t="inlineStr">
        <x:is>
          <x:t xml:space="preserve">Combobox playground scenario.</x:t>
        </x:is>
      </x:c>
      <x:c r="J132" s="84" t="n"/>
      <x:c r="K132" s="87" t="n">
        <x:f>IF(AND(E132="yes",F132="yes",H132="covered"),1,IF(AND(E132="yes",H132="partial"),0.5,0))</x:f>
        <x:v>1</x:v>
      </x:c>
    </x:row>
    <x:row r="133" s="51" customFormat="1" ht="30" customHeight="1">
      <x:c r="A133" s="73" t="n">
        <x:v>125</x:v>
      </x:c>
      <x:c r="B133" s="84" t="inlineStr">
        <x:is>
          <x:t xml:space="preserve">Identity</x:t>
        </x:is>
      </x:c>
      <x:c r="C133" s="84" t="inlineStr">
        <x:is>
          <x:t xml:space="preserve">Loading</x:t>
        </x:is>
      </x:c>
      <x:c r="D133" s="84" t="inlineStr">
        <x:is>
          <x:t xml:space="preserve">default tag is visible in Anatomy/Inspector</x:t>
        </x:is>
      </x:c>
      <x:c r="E133" s="76" t="inlineStr">
        <x:is>
          <x:t xml:space="preserve">yes</x:t>
        </x:is>
      </x:c>
      <x:c r="F133" s="85" t="inlineStr">
        <x:is>
          <x:t xml:space="preserve">yes</x:t>
        </x:is>
      </x:c>
      <x:c r="G133" s="73" t="inlineStr">
        <x:is>
          <x:t xml:space="preserve">passed</x:t>
        </x:is>
      </x:c>
      <x:c r="H133" s="86" t="inlineStr">
        <x:is>
          <x:t xml:space="preserve">covered</x:t>
        </x:is>
      </x:c>
      <x:c r="I133" s="84" t="inlineStr">
        <x:is>
          <x:t xml:space="preserve">Combobox playground scenario.</x:t>
        </x:is>
      </x:c>
      <x:c r="J133" s="84" t="n"/>
      <x:c r="K133" s="87" t="n">
        <x:f>IF(AND(E133="yes",F133="yes",H133="covered"),1,IF(AND(E133="yes",H133="partial"),0.5,0))</x:f>
        <x:v>1</x:v>
      </x:c>
    </x:row>
    <x:row r="134" s="51" customFormat="1" ht="15" customHeight="1">
      <x:c r="A134" s="73" t="n">
        <x:v>126</x:v>
      </x:c>
      <x:c r="B134" s="84" t="inlineStr">
        <x:is>
          <x:t xml:space="preserve">Identity</x:t>
        </x:is>
      </x:c>
      <x:c r="C134" s="84" t="inlineStr">
        <x:is>
          <x:t xml:space="preserve">Loading</x:t>
        </x:is>
      </x:c>
      <x:c r="D134" s="84" t="inlineStr">
        <x:is>
          <x:t xml:space="preserve">data-slot is present and correct</x:t>
        </x:is>
      </x:c>
      <x:c r="E134" s="76" t="inlineStr">
        <x:is>
          <x:t xml:space="preserve">yes</x:t>
        </x:is>
      </x:c>
      <x:c r="F134" s="85" t="inlineStr">
        <x:is>
          <x:t xml:space="preserve">yes</x:t>
        </x:is>
      </x:c>
      <x:c r="G134" s="73" t="inlineStr">
        <x:is>
          <x:t xml:space="preserve">passed</x:t>
        </x:is>
      </x:c>
      <x:c r="H134" s="86" t="inlineStr">
        <x:is>
          <x:t xml:space="preserve">covered</x:t>
        </x:is>
      </x:c>
      <x:c r="I134" s="84" t="inlineStr">
        <x:is>
          <x:t xml:space="preserve">Combobox playground scenario.</x:t>
        </x:is>
      </x:c>
      <x:c r="J134" s="84" t="n"/>
      <x:c r="K134" s="87" t="n">
        <x:f>IF(AND(E134="yes",F134="yes",H134="covered"),1,IF(AND(E134="yes",H134="partial"),0.5,0))</x:f>
        <x:v>1</x:v>
      </x:c>
    </x:row>
    <x:row r="135" s="51" customFormat="1" ht="15" customHeight="1">
      <x:c r="A135" s="73" t="n">
        <x:v>127</x:v>
      </x:c>
      <x:c r="B135" s="84" t="inlineStr">
        <x:is>
          <x:t xml:space="preserve">Props</x:t>
        </x:is>
      </x:c>
      <x:c r="C135" s="84" t="inlineStr">
        <x:is>
          <x:t xml:space="preserve">Loading</x:t>
        </x:is>
      </x:c>
      <x:c r="D135" s="84" t="inlineStr">
        <x:is>
          <x:t xml:space="preserve">non-Atom native props pass through with data-prop-check marker</x:t>
        </x:is>
      </x:c>
      <x:c r="E135" s="76" t="inlineStr">
        <x:is>
          <x:t xml:space="preserve">yes</x:t>
        </x:is>
      </x:c>
      <x:c r="F135" s="85" t="inlineStr">
        <x:is>
          <x:t xml:space="preserve">yes</x:t>
        </x:is>
      </x:c>
      <x:c r="G135" s="73" t="inlineStr">
        <x:is>
          <x:t xml:space="preserve">passed</x:t>
        </x:is>
      </x:c>
      <x:c r="H135" s="86" t="inlineStr">
        <x:is>
          <x:t xml:space="preserve">covered</x:t>
        </x:is>
      </x:c>
      <x:c r="I135" s="84" t="inlineStr">
        <x:is>
          <x:t xml:space="preserve">Combobox playground scenario.</x:t>
        </x:is>
      </x:c>
      <x:c r="J135" s="84" t="n"/>
      <x:c r="K135" s="87" t="n">
        <x:f>IF(AND(E135="yes",F135="yes",H135="covered"),1,IF(AND(E135="yes",H135="partial"),0.5,0))</x:f>
        <x:v>1</x:v>
      </x:c>
    </x:row>
    <x:row r="136" s="51" customFormat="1" ht="15" customHeight="1">
      <x:c r="A136" s="73" t="n">
        <x:v>128</x:v>
      </x:c>
      <x:c r="B136" s="84" t="inlineStr">
        <x:is>
          <x:t xml:space="preserve">Refs</x:t>
        </x:is>
      </x:c>
      <x:c r="C136" s="84" t="inlineStr">
        <x:is>
          <x:t xml:space="preserve">Loading</x:t>
        </x:is>
      </x:c>
      <x:c r="D136" s="84" t="inlineStr">
        <x:is>
          <x:t xml:space="preserve">consumer ref receives the rendered element</x:t>
        </x:is>
      </x:c>
      <x:c r="E136" s="76" t="inlineStr">
        <x:is>
          <x:t xml:space="preserve">yes</x:t>
        </x:is>
      </x:c>
      <x:c r="F136" s="85" t="inlineStr">
        <x:is>
          <x:t xml:space="preserve">yes</x:t>
        </x:is>
      </x:c>
      <x:c r="G136" s="73" t="inlineStr">
        <x:is>
          <x:t xml:space="preserve">passed</x:t>
        </x:is>
      </x:c>
      <x:c r="H136" s="86" t="inlineStr">
        <x:is>
          <x:t xml:space="preserve">covered</x:t>
        </x:is>
      </x:c>
      <x:c r="I136" s="84" t="inlineStr">
        <x:is>
          <x:t xml:space="preserve">Combobox playground scenario.</x:t>
        </x:is>
      </x:c>
      <x:c r="J136" s="84" t="n"/>
      <x:c r="K136" s="87" t="n">
        <x:f>IF(AND(E136="yes",F136="yes",H136="covered"),1,IF(AND(E136="yes",H136="partial"),0.5,0))</x:f>
        <x:v>1</x:v>
      </x:c>
    </x:row>
    <x:row r="137" s="51" customFormat="1" ht="15" customHeight="1">
      <x:c r="A137" s="73" t="n">
        <x:v>129</x:v>
      </x:c>
      <x:c r="B137" s="84" t="inlineStr">
        <x:is>
          <x:t xml:space="preserve">Public API</x:t>
        </x:is>
      </x:c>
      <x:c r="C137" s="84" t="inlineStr">
        <x:is>
          <x:t xml:space="preserve">Loading</x:t>
        </x:is>
      </x:c>
      <x:c r="D137" s="84" t="inlineStr">
        <x:is>
          <x:t xml:space="preserve">[data-slot] prop behavior</x:t>
        </x:is>
      </x:c>
      <x:c r="E137" s="76" t="inlineStr">
        <x:is>
          <x:t xml:space="preserve">yes</x:t>
        </x:is>
      </x:c>
      <x:c r="F137" s="85" t="inlineStr">
        <x:is>
          <x:t xml:space="preserve">yes</x:t>
        </x:is>
      </x:c>
      <x:c r="G137" s="73" t="inlineStr">
        <x:is>
          <x:t xml:space="preserve">passed</x:t>
        </x:is>
      </x:c>
      <x:c r="H137" s="86" t="inlineStr">
        <x:is>
          <x:t xml:space="preserve">covered</x:t>
        </x:is>
      </x:c>
      <x:c r="I137" s="84" t="inlineStr">
        <x:is>
          <x:t xml:space="preserve">Combobox playground scenario.</x:t>
        </x:is>
      </x:c>
      <x:c r="J137" s="84" t="n"/>
      <x:c r="K137" s="87" t="n">
        <x:f>IF(AND(E137="yes",F137="yes",H137="covered"),1,IF(AND(E137="yes",H137="partial"),0.5,0))</x:f>
        <x:v>1</x:v>
      </x:c>
    </x:row>
    <x:row r="138" s="51" customFormat="1" ht="15" customHeight="1">
      <x:c r="A138" s="73" t="n">
        <x:v>130</x:v>
      </x:c>
      <x:c r="B138" s="84" t="inlineStr">
        <x:is>
          <x:t xml:space="preserve">ARIA</x:t>
        </x:is>
      </x:c>
      <x:c r="C138" s="84" t="inlineStr">
        <x:is>
          <x:t xml:space="preserve">Live DOM</x:t>
        </x:is>
      </x:c>
      <x:c r="D138" s="84" t="inlineStr">
        <x:is>
          <x:t xml:space="preserve">aria-activedescendant is present at the correct time</x:t>
        </x:is>
      </x:c>
      <x:c r="E138" s="76" t="inlineStr">
        <x:is>
          <x:t xml:space="preserve">yes</x:t>
        </x:is>
      </x:c>
      <x:c r="F138" s="85" t="inlineStr">
        <x:is>
          <x:t xml:space="preserve">yes</x:t>
        </x:is>
      </x:c>
      <x:c r="G138" s="73" t="inlineStr">
        <x:is>
          <x:t xml:space="preserve">passed</x:t>
        </x:is>
      </x:c>
      <x:c r="H138" s="86" t="inlineStr">
        <x:is>
          <x:t xml:space="preserve">covered</x:t>
        </x:is>
      </x:c>
      <x:c r="I138" s="84" t="inlineStr">
        <x:is>
          <x:t xml:space="preserve">Combobox playground scenario.</x:t>
        </x:is>
      </x:c>
      <x:c r="J138" s="84" t="n"/>
      <x:c r="K138" s="87" t="n">
        <x:f>IF(AND(E138="yes",F138="yes",H138="covered"),1,IF(AND(E138="yes",H138="partial"),0.5,0))</x:f>
        <x:v>1</x:v>
      </x:c>
    </x:row>
    <x:row r="139" s="51" customFormat="1" ht="15" customHeight="1">
      <x:c r="A139" s="73" t="n">
        <x:v>131</x:v>
      </x:c>
      <x:c r="B139" s="84" t="inlineStr">
        <x:is>
          <x:t xml:space="preserve">ARIA</x:t>
        </x:is>
      </x:c>
      <x:c r="C139" s="84" t="inlineStr">
        <x:is>
          <x:t xml:space="preserve">Live DOM</x:t>
        </x:is>
      </x:c>
      <x:c r="D139" s="84" t="inlineStr">
        <x:is>
          <x:t xml:space="preserve">aria-autocomplete is present at the correct time</x:t>
        </x:is>
      </x:c>
      <x:c r="E139" s="76" t="inlineStr">
        <x:is>
          <x:t xml:space="preserve">yes</x:t>
        </x:is>
      </x:c>
      <x:c r="F139" s="85" t="inlineStr">
        <x:is>
          <x:t xml:space="preserve">yes</x:t>
        </x:is>
      </x:c>
      <x:c r="G139" s="73" t="inlineStr">
        <x:is>
          <x:t xml:space="preserve">passed</x:t>
        </x:is>
      </x:c>
      <x:c r="H139" s="86" t="inlineStr">
        <x:is>
          <x:t xml:space="preserve">covered</x:t>
        </x:is>
      </x:c>
      <x:c r="I139" s="84" t="inlineStr">
        <x:is>
          <x:t xml:space="preserve">Combobox playground scenario.</x:t>
        </x:is>
      </x:c>
      <x:c r="J139" s="84" t="n"/>
      <x:c r="K139" s="87" t="n">
        <x:f>IF(AND(E139="yes",F139="yes",H139="covered"),1,IF(AND(E139="yes",H139="partial"),0.5,0))</x:f>
        <x:v>1</x:v>
      </x:c>
    </x:row>
    <x:row r="140" s="51" customFormat="1" ht="15" customHeight="1">
      <x:c r="A140" s="73" t="n">
        <x:v>132</x:v>
      </x:c>
      <x:c r="B140" s="84" t="inlineStr">
        <x:is>
          <x:t xml:space="preserve">ARIA</x:t>
        </x:is>
      </x:c>
      <x:c r="C140" s="84" t="inlineStr">
        <x:is>
          <x:t xml:space="preserve">Live DOM</x:t>
        </x:is>
      </x:c>
      <x:c r="D140" s="84" t="inlineStr">
        <x:is>
          <x:t xml:space="preserve">aria-controls is present at the correct time</x:t>
        </x:is>
      </x:c>
      <x:c r="E140" s="76" t="inlineStr">
        <x:is>
          <x:t xml:space="preserve">yes</x:t>
        </x:is>
      </x:c>
      <x:c r="F140" s="85" t="inlineStr">
        <x:is>
          <x:t xml:space="preserve">yes</x:t>
        </x:is>
      </x:c>
      <x:c r="G140" s="73" t="inlineStr">
        <x:is>
          <x:t xml:space="preserve">passed</x:t>
        </x:is>
      </x:c>
      <x:c r="H140" s="86" t="inlineStr">
        <x:is>
          <x:t xml:space="preserve">covered</x:t>
        </x:is>
      </x:c>
      <x:c r="I140" s="84" t="inlineStr">
        <x:is>
          <x:t xml:space="preserve">Combobox playground scenario.</x:t>
        </x:is>
      </x:c>
      <x:c r="J140" s="84" t="n"/>
      <x:c r="K140" s="87" t="n">
        <x:f>IF(AND(E140="yes",F140="yes",H140="covered"),1,IF(AND(E140="yes",H140="partial"),0.5,0))</x:f>
        <x:v>1</x:v>
      </x:c>
    </x:row>
    <x:row r="141" s="51" customFormat="1" ht="15" customHeight="1">
      <x:c r="A141" s="73" t="n">
        <x:v>133</x:v>
      </x:c>
      <x:c r="B141" s="84" t="inlineStr">
        <x:is>
          <x:t xml:space="preserve">ARIA</x:t>
        </x:is>
      </x:c>
      <x:c r="C141" s="84" t="inlineStr">
        <x:is>
          <x:t xml:space="preserve">Live DOM</x:t>
        </x:is>
      </x:c>
      <x:c r="D141" s="84" t="inlineStr">
        <x:is>
          <x:t xml:space="preserve">aria-disabled is present at the correct time</x:t>
        </x:is>
      </x:c>
      <x:c r="E141" s="76" t="inlineStr">
        <x:is>
          <x:t xml:space="preserve">yes</x:t>
        </x:is>
      </x:c>
      <x:c r="F141" s="85" t="inlineStr">
        <x:is>
          <x:t xml:space="preserve">yes</x:t>
        </x:is>
      </x:c>
      <x:c r="G141" s="73" t="inlineStr">
        <x:is>
          <x:t xml:space="preserve">passed</x:t>
        </x:is>
      </x:c>
      <x:c r="H141" s="86" t="inlineStr">
        <x:is>
          <x:t xml:space="preserve">covered</x:t>
        </x:is>
      </x:c>
      <x:c r="I141" s="84" t="inlineStr">
        <x:is>
          <x:t xml:space="preserve">Combobox playground scenario.</x:t>
        </x:is>
      </x:c>
      <x:c r="J141" s="84" t="n"/>
      <x:c r="K141" s="87" t="n">
        <x:f>IF(AND(E141="yes",F141="yes",H141="covered"),1,IF(AND(E141="yes",H141="partial"),0.5,0))</x:f>
        <x:v>1</x:v>
      </x:c>
    </x:row>
    <x:row r="142" s="51" customFormat="1" ht="15" customHeight="1">
      <x:c r="A142" s="73" t="n">
        <x:v>134</x:v>
      </x:c>
      <x:c r="B142" s="84" t="inlineStr">
        <x:is>
          <x:t xml:space="preserve">ARIA</x:t>
        </x:is>
      </x:c>
      <x:c r="C142" s="84" t="inlineStr">
        <x:is>
          <x:t xml:space="preserve">Live DOM</x:t>
        </x:is>
      </x:c>
      <x:c r="D142" s="84" t="inlineStr">
        <x:is>
          <x:t xml:space="preserve">aria-expanded is present at the correct time</x:t>
        </x:is>
      </x:c>
      <x:c r="E142" s="76" t="inlineStr">
        <x:is>
          <x:t xml:space="preserve">yes</x:t>
        </x:is>
      </x:c>
      <x:c r="F142" s="85" t="inlineStr">
        <x:is>
          <x:t xml:space="preserve">yes</x:t>
        </x:is>
      </x:c>
      <x:c r="G142" s="73" t="inlineStr">
        <x:is>
          <x:t xml:space="preserve">passed</x:t>
        </x:is>
      </x:c>
      <x:c r="H142" s="86" t="inlineStr">
        <x:is>
          <x:t xml:space="preserve">covered</x:t>
        </x:is>
      </x:c>
      <x:c r="I142" s="84" t="inlineStr">
        <x:is>
          <x:t xml:space="preserve">Combobox playground scenario.</x:t>
        </x:is>
      </x:c>
      <x:c r="J142" s="84" t="n"/>
      <x:c r="K142" s="87" t="n">
        <x:f>IF(AND(E142="yes",F142="yes",H142="covered"),1,IF(AND(E142="yes",H142="partial"),0.5,0))</x:f>
        <x:v>1</x:v>
      </x:c>
    </x:row>
    <x:row r="143" s="51" customFormat="1" ht="15" customHeight="1">
      <x:c r="A143" s="73" t="n">
        <x:v>135</x:v>
      </x:c>
      <x:c r="B143" s="84" t="inlineStr">
        <x:is>
          <x:t xml:space="preserve">ARIA</x:t>
        </x:is>
      </x:c>
      <x:c r="C143" s="84" t="inlineStr">
        <x:is>
          <x:t xml:space="preserve">Live DOM</x:t>
        </x:is>
      </x:c>
      <x:c r="D143" s="84" t="inlineStr">
        <x:is>
          <x:t xml:space="preserve">aria-haspopup is present at the correct time</x:t>
        </x:is>
      </x:c>
      <x:c r="E143" s="76" t="inlineStr">
        <x:is>
          <x:t xml:space="preserve">yes</x:t>
        </x:is>
      </x:c>
      <x:c r="F143" s="85" t="inlineStr">
        <x:is>
          <x:t xml:space="preserve">yes</x:t>
        </x:is>
      </x:c>
      <x:c r="G143" s="73" t="inlineStr">
        <x:is>
          <x:t xml:space="preserve">passed</x:t>
        </x:is>
      </x:c>
      <x:c r="H143" s="86" t="inlineStr">
        <x:is>
          <x:t xml:space="preserve">covered</x:t>
        </x:is>
      </x:c>
      <x:c r="I143" s="84" t="inlineStr">
        <x:is>
          <x:t xml:space="preserve">Combobox playground scenario.</x:t>
        </x:is>
      </x:c>
      <x:c r="J143" s="84" t="n"/>
      <x:c r="K143" s="87" t="n">
        <x:f>IF(AND(E143="yes",F143="yes",H143="covered"),1,IF(AND(E143="yes",H143="partial"),0.5,0))</x:f>
        <x:v>1</x:v>
      </x:c>
    </x:row>
    <x:row r="144" s="51" customFormat="1" ht="15" customHeight="1">
      <x:c r="A144" s="73" t="n">
        <x:v>136</x:v>
      </x:c>
      <x:c r="B144" s="84" t="inlineStr">
        <x:is>
          <x:t xml:space="preserve">ARIA</x:t>
        </x:is>
      </x:c>
      <x:c r="C144" s="84" t="inlineStr">
        <x:is>
          <x:t xml:space="preserve">Live DOM</x:t>
        </x:is>
      </x:c>
      <x:c r="D144" s="84" t="inlineStr">
        <x:is>
          <x:t xml:space="preserve">aria-hidden is present at the correct time</x:t>
        </x:is>
      </x:c>
      <x:c r="E144" s="76" t="inlineStr">
        <x:is>
          <x:t xml:space="preserve">yes</x:t>
        </x:is>
      </x:c>
      <x:c r="F144" s="85" t="inlineStr">
        <x:is>
          <x:t xml:space="preserve">yes</x:t>
        </x:is>
      </x:c>
      <x:c r="G144" s="73" t="inlineStr">
        <x:is>
          <x:t xml:space="preserve">passed</x:t>
        </x:is>
      </x:c>
      <x:c r="H144" s="86" t="inlineStr">
        <x:is>
          <x:t xml:space="preserve">covered</x:t>
        </x:is>
      </x:c>
      <x:c r="I144" s="84" t="inlineStr">
        <x:is>
          <x:t xml:space="preserve">Combobox playground scenario.</x:t>
        </x:is>
      </x:c>
      <x:c r="J144" s="84" t="n"/>
      <x:c r="K144" s="87" t="n">
        <x:f>IF(AND(E144="yes",F144="yes",H144="covered"),1,IF(AND(E144="yes",H144="partial"),0.5,0))</x:f>
        <x:v>1</x:v>
      </x:c>
    </x:row>
    <x:row r="145" s="51" customFormat="1" ht="15" customHeight="1">
      <x:c r="A145" s="73" t="n">
        <x:v>137</x:v>
      </x:c>
      <x:c r="B145" s="84" t="inlineStr">
        <x:is>
          <x:t xml:space="preserve">ARIA</x:t>
        </x:is>
      </x:c>
      <x:c r="C145" s="84" t="inlineStr">
        <x:is>
          <x:t xml:space="preserve">Live DOM</x:t>
        </x:is>
      </x:c>
      <x:c r="D145" s="84" t="inlineStr">
        <x:is>
          <x:t xml:space="preserve">aria-invalid is present at the correct time</x:t>
        </x:is>
      </x:c>
      <x:c r="E145" s="76" t="inlineStr">
        <x:is>
          <x:t xml:space="preserve">yes</x:t>
        </x:is>
      </x:c>
      <x:c r="F145" s="85" t="inlineStr">
        <x:is>
          <x:t xml:space="preserve">yes</x:t>
        </x:is>
      </x:c>
      <x:c r="G145" s="73" t="inlineStr">
        <x:is>
          <x:t xml:space="preserve">passed</x:t>
        </x:is>
      </x:c>
      <x:c r="H145" s="86" t="inlineStr">
        <x:is>
          <x:t xml:space="preserve">covered</x:t>
        </x:is>
      </x:c>
      <x:c r="I145" s="84" t="inlineStr">
        <x:is>
          <x:t xml:space="preserve">Combobox playground scenario.</x:t>
        </x:is>
      </x:c>
      <x:c r="J145" s="84" t="n"/>
      <x:c r="K145" s="87" t="n">
        <x:f>IF(AND(E145="yes",F145="yes",H145="covered"),1,IF(AND(E145="yes",H145="partial"),0.5,0))</x:f>
        <x:v>1</x:v>
      </x:c>
    </x:row>
    <x:row r="146" s="51" customFormat="1" ht="15" customHeight="1">
      <x:c r="A146" s="73" t="n">
        <x:v>138</x:v>
      </x:c>
      <x:c r="B146" s="84" t="inlineStr">
        <x:is>
          <x:t xml:space="preserve">ARIA</x:t>
        </x:is>
      </x:c>
      <x:c r="C146" s="84" t="inlineStr">
        <x:is>
          <x:t xml:space="preserve">Live DOM</x:t>
        </x:is>
      </x:c>
      <x:c r="D146" s="84" t="inlineStr">
        <x:is>
          <x:t xml:space="preserve">aria-label is present at the correct time</x:t>
        </x:is>
      </x:c>
      <x:c r="E146" s="76" t="inlineStr">
        <x:is>
          <x:t xml:space="preserve">yes</x:t>
        </x:is>
      </x:c>
      <x:c r="F146" s="85" t="inlineStr">
        <x:is>
          <x:t xml:space="preserve">yes</x:t>
        </x:is>
      </x:c>
      <x:c r="G146" s="73" t="inlineStr">
        <x:is>
          <x:t xml:space="preserve">passed</x:t>
        </x:is>
      </x:c>
      <x:c r="H146" s="86" t="inlineStr">
        <x:is>
          <x:t xml:space="preserve">covered</x:t>
        </x:is>
      </x:c>
      <x:c r="I146" s="84" t="inlineStr">
        <x:is>
          <x:t xml:space="preserve">Combobox playground scenario.</x:t>
        </x:is>
      </x:c>
      <x:c r="J146" s="84" t="n"/>
      <x:c r="K146" s="87" t="n">
        <x:f>IF(AND(E146="yes",F146="yes",H146="covered"),1,IF(AND(E146="yes",H146="partial"),0.5,0))</x:f>
        <x:v>1</x:v>
      </x:c>
    </x:row>
    <x:row r="147" s="51" customFormat="1" ht="15" customHeight="1">
      <x:c r="A147" s="73" t="n">
        <x:v>139</x:v>
      </x:c>
      <x:c r="B147" s="84" t="inlineStr">
        <x:is>
          <x:t xml:space="preserve">ARIA</x:t>
        </x:is>
      </x:c>
      <x:c r="C147" s="84" t="inlineStr">
        <x:is>
          <x:t xml:space="preserve">Live DOM</x:t>
        </x:is>
      </x:c>
      <x:c r="D147" s="84" t="inlineStr">
        <x:is>
          <x:t xml:space="preserve">aria-labelledby is present at the correct time</x:t>
        </x:is>
      </x:c>
      <x:c r="E147" s="76" t="inlineStr">
        <x:is>
          <x:t xml:space="preserve">yes</x:t>
        </x:is>
      </x:c>
      <x:c r="F147" s="85" t="inlineStr">
        <x:is>
          <x:t xml:space="preserve">yes</x:t>
        </x:is>
      </x:c>
      <x:c r="G147" s="73" t="inlineStr">
        <x:is>
          <x:t xml:space="preserve">passed</x:t>
        </x:is>
      </x:c>
      <x:c r="H147" s="86" t="inlineStr">
        <x:is>
          <x:t xml:space="preserve">covered</x:t>
        </x:is>
      </x:c>
      <x:c r="I147" s="84" t="inlineStr">
        <x:is>
          <x:t xml:space="preserve">Combobox playground scenario.</x:t>
        </x:is>
      </x:c>
      <x:c r="J147" s="84" t="n"/>
      <x:c r="K147" s="87" t="n">
        <x:f>IF(AND(E147="yes",F147="yes",H147="covered"),1,IF(AND(E147="yes",H147="partial"),0.5,0))</x:f>
        <x:v>1</x:v>
      </x:c>
    </x:row>
    <x:row r="148" s="51" customFormat="1" ht="15" customHeight="1">
      <x:c r="A148" s="73" t="n">
        <x:v>140</x:v>
      </x:c>
      <x:c r="B148" s="84" t="inlineStr">
        <x:is>
          <x:t xml:space="preserve">ARIA</x:t>
        </x:is>
      </x:c>
      <x:c r="C148" s="84" t="inlineStr">
        <x:is>
          <x:t xml:space="preserve">Live DOM</x:t>
        </x:is>
      </x:c>
      <x:c r="D148" s="84" t="inlineStr">
        <x:is>
          <x:t xml:space="preserve">aria-required is present at the correct time</x:t>
        </x:is>
      </x:c>
      <x:c r="E148" s="76" t="inlineStr">
        <x:is>
          <x:t xml:space="preserve">yes</x:t>
        </x:is>
      </x:c>
      <x:c r="F148" s="85" t="inlineStr">
        <x:is>
          <x:t xml:space="preserve">yes</x:t>
        </x:is>
      </x:c>
      <x:c r="G148" s="73" t="inlineStr">
        <x:is>
          <x:t xml:space="preserve">passed</x:t>
        </x:is>
      </x:c>
      <x:c r="H148" s="86" t="inlineStr">
        <x:is>
          <x:t xml:space="preserve">covered</x:t>
        </x:is>
      </x:c>
      <x:c r="I148" s="84" t="inlineStr">
        <x:is>
          <x:t xml:space="preserve">Combobox playground scenario.</x:t>
        </x:is>
      </x:c>
      <x:c r="J148" s="84" t="n"/>
      <x:c r="K148" s="87" t="n">
        <x:f>IF(AND(E148="yes",F148="yes",H148="covered"),1,IF(AND(E148="yes",H148="partial"),0.5,0))</x:f>
        <x:v>1</x:v>
      </x:c>
    </x:row>
    <x:row r="149" s="51" customFormat="1" ht="15" customHeight="1">
      <x:c r="A149" s="73" t="n">
        <x:v>141</x:v>
      </x:c>
      <x:c r="B149" s="84" t="inlineStr">
        <x:is>
          <x:t xml:space="preserve">ARIA</x:t>
        </x:is>
      </x:c>
      <x:c r="C149" s="84" t="inlineStr">
        <x:is>
          <x:t xml:space="preserve">Live DOM</x:t>
        </x:is>
      </x:c>
      <x:c r="D149" s="84" t="inlineStr">
        <x:is>
          <x:t xml:space="preserve">aria-selected is present at the correct time</x:t>
        </x:is>
      </x:c>
      <x:c r="E149" s="76" t="inlineStr">
        <x:is>
          <x:t xml:space="preserve">yes</x:t>
        </x:is>
      </x:c>
      <x:c r="F149" s="85" t="inlineStr">
        <x:is>
          <x:t xml:space="preserve">yes</x:t>
        </x:is>
      </x:c>
      <x:c r="G149" s="73" t="inlineStr">
        <x:is>
          <x:t xml:space="preserve">passed</x:t>
        </x:is>
      </x:c>
      <x:c r="H149" s="86" t="inlineStr">
        <x:is>
          <x:t xml:space="preserve">covered</x:t>
        </x:is>
      </x:c>
      <x:c r="I149" s="84" t="inlineStr">
        <x:is>
          <x:t xml:space="preserve">Combobox playground scenario.</x:t>
        </x:is>
      </x:c>
      <x:c r="J149" s="84" t="n"/>
      <x:c r="K149" s="87" t="n">
        <x:f>IF(AND(E149="yes",F149="yes",H149="covered"),1,IF(AND(E149="yes",H149="partial"),0.5,0))</x:f>
        <x:v>1</x:v>
      </x:c>
    </x:row>
    <x:row r="150" s="51" customFormat="1" ht="15" customHeight="1">
      <x:c r="A150" s="73" t="n">
        <x:v>142</x:v>
      </x:c>
      <x:c r="B150" s="84" t="inlineStr">
        <x:is>
          <x:t xml:space="preserve">Data</x:t>
        </x:is>
      </x:c>
      <x:c r="C150" s="84" t="inlineStr">
        <x:is>
          <x:t xml:space="preserve">Live DOM</x:t>
        </x:is>
      </x:c>
      <x:c r="D150" s="84" t="inlineStr">
        <x:is>
          <x:t xml:space="preserve">data-disabled is present at the correct time</x:t>
        </x:is>
      </x:c>
      <x:c r="E150" s="76" t="inlineStr">
        <x:is>
          <x:t xml:space="preserve">yes</x:t>
        </x:is>
      </x:c>
      <x:c r="F150" s="85" t="inlineStr">
        <x:is>
          <x:t xml:space="preserve">yes</x:t>
        </x:is>
      </x:c>
      <x:c r="G150" s="73" t="inlineStr">
        <x:is>
          <x:t xml:space="preserve">passed</x:t>
        </x:is>
      </x:c>
      <x:c r="H150" s="86" t="inlineStr">
        <x:is>
          <x:t xml:space="preserve">covered</x:t>
        </x:is>
      </x:c>
      <x:c r="I150" s="84" t="inlineStr">
        <x:is>
          <x:t xml:space="preserve">Combobox playground scenario.</x:t>
        </x:is>
      </x:c>
      <x:c r="J150" s="84" t="n"/>
      <x:c r="K150" s="87" t="n">
        <x:f>IF(AND(E150="yes",F150="yes",H150="covered"),1,IF(AND(E150="yes",H150="partial"),0.5,0))</x:f>
        <x:v>1</x:v>
      </x:c>
    </x:row>
    <x:row r="151" s="51" customFormat="1" ht="15" customHeight="1">
      <x:c r="A151" s="73" t="n">
        <x:v>143</x:v>
      </x:c>
      <x:c r="B151" s="84" t="inlineStr">
        <x:is>
          <x:t xml:space="preserve">Data</x:t>
        </x:is>
      </x:c>
      <x:c r="C151" s="84" t="inlineStr">
        <x:is>
          <x:t xml:space="preserve">Live DOM</x:t>
        </x:is>
      </x:c>
      <x:c r="D151" s="84" t="inlineStr">
        <x:is>
          <x:t xml:space="preserve">data-hidden is present at the correct time</x:t>
        </x:is>
      </x:c>
      <x:c r="E151" s="76" t="inlineStr">
        <x:is>
          <x:t xml:space="preserve">yes</x:t>
        </x:is>
      </x:c>
      <x:c r="F151" s="85" t="inlineStr">
        <x:is>
          <x:t xml:space="preserve">yes</x:t>
        </x:is>
      </x:c>
      <x:c r="G151" s="73" t="inlineStr">
        <x:is>
          <x:t xml:space="preserve">passed</x:t>
        </x:is>
      </x:c>
      <x:c r="H151" s="86" t="inlineStr">
        <x:is>
          <x:t xml:space="preserve">covered</x:t>
        </x:is>
      </x:c>
      <x:c r="I151" s="84" t="inlineStr">
        <x:is>
          <x:t xml:space="preserve">Combobox playground scenario.</x:t>
        </x:is>
      </x:c>
      <x:c r="J151" s="84" t="n"/>
      <x:c r="K151" s="87" t="n">
        <x:f>IF(AND(E151="yes",F151="yes",H151="covered"),1,IF(AND(E151="yes",H151="partial"),0.5,0))</x:f>
        <x:v>1</x:v>
      </x:c>
    </x:row>
    <x:row r="152" s="51" customFormat="1" ht="15" customHeight="1">
      <x:c r="A152" s="73" t="n">
        <x:v>144</x:v>
      </x:c>
      <x:c r="B152" s="84" t="inlineStr">
        <x:is>
          <x:t xml:space="preserve">Data</x:t>
        </x:is>
      </x:c>
      <x:c r="C152" s="84" t="inlineStr">
        <x:is>
          <x:t xml:space="preserve">Live DOM</x:t>
        </x:is>
      </x:c>
      <x:c r="D152" s="84" t="inlineStr">
        <x:is>
          <x:t xml:space="preserve">data-highlighted is present at the correct time</x:t>
        </x:is>
      </x:c>
      <x:c r="E152" s="76" t="inlineStr">
        <x:is>
          <x:t xml:space="preserve">yes</x:t>
        </x:is>
      </x:c>
      <x:c r="F152" s="85" t="inlineStr">
        <x:is>
          <x:t xml:space="preserve">yes</x:t>
        </x:is>
      </x:c>
      <x:c r="G152" s="73" t="inlineStr">
        <x:is>
          <x:t xml:space="preserve">passed</x:t>
        </x:is>
      </x:c>
      <x:c r="H152" s="86" t="inlineStr">
        <x:is>
          <x:t xml:space="preserve">covered</x:t>
        </x:is>
      </x:c>
      <x:c r="I152" s="84" t="inlineStr">
        <x:is>
          <x:t xml:space="preserve">Combobox playground scenario.</x:t>
        </x:is>
      </x:c>
      <x:c r="J152" s="84" t="n"/>
      <x:c r="K152" s="87" t="n">
        <x:f>IF(AND(E152="yes",F152="yes",H152="covered"),1,IF(AND(E152="yes",H152="partial"),0.5,0))</x:f>
        <x:v>1</x:v>
      </x:c>
    </x:row>
    <x:row r="153" s="51" customFormat="1" ht="15" customHeight="1">
      <x:c r="A153" s="73" t="n">
        <x:v>145</x:v>
      </x:c>
      <x:c r="B153" s="84" t="inlineStr">
        <x:is>
          <x:t xml:space="preserve">Data</x:t>
        </x:is>
      </x:c>
      <x:c r="C153" s="84" t="inlineStr">
        <x:is>
          <x:t xml:space="preserve">Live DOM</x:t>
        </x:is>
      </x:c>
      <x:c r="D153" s="84" t="inlineStr">
        <x:is>
          <x:t xml:space="preserve">data-invalid is present at the correct time</x:t>
        </x:is>
      </x:c>
      <x:c r="E153" s="76" t="inlineStr">
        <x:is>
          <x:t xml:space="preserve">yes</x:t>
        </x:is>
      </x:c>
      <x:c r="F153" s="85" t="inlineStr">
        <x:is>
          <x:t xml:space="preserve">yes</x:t>
        </x:is>
      </x:c>
      <x:c r="G153" s="73" t="inlineStr">
        <x:is>
          <x:t xml:space="preserve">passed</x:t>
        </x:is>
      </x:c>
      <x:c r="H153" s="86" t="inlineStr">
        <x:is>
          <x:t xml:space="preserve">covered</x:t>
        </x:is>
      </x:c>
      <x:c r="I153" s="84" t="inlineStr">
        <x:is>
          <x:t xml:space="preserve">Combobox playground scenario.</x:t>
        </x:is>
      </x:c>
      <x:c r="J153" s="84" t="n"/>
      <x:c r="K153" s="87" t="n">
        <x:f>IF(AND(E153="yes",F153="yes",H153="covered"),1,IF(AND(E153="yes",H153="partial"),0.5,0))</x:f>
        <x:v>1</x:v>
      </x:c>
    </x:row>
    <x:row r="154" s="51" customFormat="1" ht="15" customHeight="1">
      <x:c r="A154" s="73" t="n">
        <x:v>146</x:v>
      </x:c>
      <x:c r="B154" s="84" t="inlineStr">
        <x:is>
          <x:t xml:space="preserve">Data</x:t>
        </x:is>
      </x:c>
      <x:c r="C154" s="84" t="inlineStr">
        <x:is>
          <x:t xml:space="preserve">Live DOM</x:t>
        </x:is>
      </x:c>
      <x:c r="D154" s="84" t="inlineStr">
        <x:is>
          <x:t xml:space="preserve">data-positioned is present at the correct time</x:t>
        </x:is>
      </x:c>
      <x:c r="E154" s="76" t="inlineStr">
        <x:is>
          <x:t xml:space="preserve">yes</x:t>
        </x:is>
      </x:c>
      <x:c r="F154" s="85" t="inlineStr">
        <x:is>
          <x:t xml:space="preserve">yes</x:t>
        </x:is>
      </x:c>
      <x:c r="G154" s="73" t="inlineStr">
        <x:is>
          <x:t xml:space="preserve">passed</x:t>
        </x:is>
      </x:c>
      <x:c r="H154" s="86" t="inlineStr">
        <x:is>
          <x:t xml:space="preserve">covered</x:t>
        </x:is>
      </x:c>
      <x:c r="I154" s="84" t="inlineStr">
        <x:is>
          <x:t xml:space="preserve">Combobox playground scenario.</x:t>
        </x:is>
      </x:c>
      <x:c r="J154" s="84" t="n"/>
      <x:c r="K154" s="87" t="n">
        <x:f>IF(AND(E154="yes",F154="yes",H154="covered"),1,IF(AND(E154="yes",H154="partial"),0.5,0))</x:f>
        <x:v>1</x:v>
      </x:c>
    </x:row>
    <x:row r="155" s="51" customFormat="1" ht="15" customHeight="1">
      <x:c r="A155" s="73" t="n">
        <x:v>147</x:v>
      </x:c>
      <x:c r="B155" s="84" t="inlineStr">
        <x:is>
          <x:t xml:space="preserve">Data</x:t>
        </x:is>
      </x:c>
      <x:c r="C155" s="84" t="inlineStr">
        <x:is>
          <x:t xml:space="preserve">Live DOM</x:t>
        </x:is>
      </x:c>
      <x:c r="D155" s="84" t="inlineStr">
        <x:is>
          <x:t xml:space="preserve">data-readonly is present at the correct time</x:t>
        </x:is>
      </x:c>
      <x:c r="E155" s="76" t="inlineStr">
        <x:is>
          <x:t xml:space="preserve">yes</x:t>
        </x:is>
      </x:c>
      <x:c r="F155" s="85" t="inlineStr">
        <x:is>
          <x:t xml:space="preserve">yes</x:t>
        </x:is>
      </x:c>
      <x:c r="G155" s="73" t="inlineStr">
        <x:is>
          <x:t xml:space="preserve">passed</x:t>
        </x:is>
      </x:c>
      <x:c r="H155" s="86" t="inlineStr">
        <x:is>
          <x:t xml:space="preserve">covered</x:t>
        </x:is>
      </x:c>
      <x:c r="I155" s="84" t="inlineStr">
        <x:is>
          <x:t xml:space="preserve">Combobox playground scenario.</x:t>
        </x:is>
      </x:c>
      <x:c r="J155" s="84" t="n"/>
      <x:c r="K155" s="87" t="n">
        <x:f>IF(AND(E155="yes",F155="yes",H155="covered"),1,IF(AND(E155="yes",H155="partial"),0.5,0))</x:f>
        <x:v>1</x:v>
      </x:c>
    </x:row>
    <x:row r="156" s="51" customFormat="1" ht="15" customHeight="1">
      <x:c r="A156" s="73" t="n">
        <x:v>148</x:v>
      </x:c>
      <x:c r="B156" s="84" t="inlineStr">
        <x:is>
          <x:t xml:space="preserve">Data</x:t>
        </x:is>
      </x:c>
      <x:c r="C156" s="84" t="inlineStr">
        <x:is>
          <x:t xml:space="preserve">Live DOM</x:t>
        </x:is>
      </x:c>
      <x:c r="D156" s="84" t="inlineStr">
        <x:is>
          <x:t xml:space="preserve">data-slot is present at the correct time</x:t>
        </x:is>
      </x:c>
      <x:c r="E156" s="76" t="inlineStr">
        <x:is>
          <x:t xml:space="preserve">yes</x:t>
        </x:is>
      </x:c>
      <x:c r="F156" s="85" t="inlineStr">
        <x:is>
          <x:t xml:space="preserve">yes</x:t>
        </x:is>
      </x:c>
      <x:c r="G156" s="73" t="inlineStr">
        <x:is>
          <x:t xml:space="preserve">passed</x:t>
        </x:is>
      </x:c>
      <x:c r="H156" s="86" t="inlineStr">
        <x:is>
          <x:t xml:space="preserve">covered</x:t>
        </x:is>
      </x:c>
      <x:c r="I156" s="84" t="inlineStr">
        <x:is>
          <x:t xml:space="preserve">Combobox playground scenario.</x:t>
        </x:is>
      </x:c>
      <x:c r="J156" s="84" t="n"/>
      <x:c r="K156" s="87" t="n">
        <x:f>IF(AND(E156="yes",F156="yes",H156="covered"),1,IF(AND(E156="yes",H156="partial"),0.5,0))</x:f>
        <x:v>1</x:v>
      </x:c>
    </x:row>
    <x:row r="157" s="51" customFormat="1" ht="15" customHeight="1">
      <x:c r="A157" s="73" t="n">
        <x:v>149</x:v>
      </x:c>
      <x:c r="B157" s="84" t="inlineStr">
        <x:is>
          <x:t xml:space="preserve">Data</x:t>
        </x:is>
      </x:c>
      <x:c r="C157" s="84" t="inlineStr">
        <x:is>
          <x:t xml:space="preserve">Live DOM</x:t>
        </x:is>
      </x:c>
      <x:c r="D157" s="84" t="inlineStr">
        <x:is>
          <x:t xml:space="preserve">data-state is present at the correct time</x:t>
        </x:is>
      </x:c>
      <x:c r="E157" s="76" t="inlineStr">
        <x:is>
          <x:t xml:space="preserve">yes</x:t>
        </x:is>
      </x:c>
      <x:c r="F157" s="85" t="inlineStr">
        <x:is>
          <x:t xml:space="preserve">yes</x:t>
        </x:is>
      </x:c>
      <x:c r="G157" s="73" t="inlineStr">
        <x:is>
          <x:t xml:space="preserve">passed</x:t>
        </x:is>
      </x:c>
      <x:c r="H157" s="86" t="inlineStr">
        <x:is>
          <x:t xml:space="preserve">covered</x:t>
        </x:is>
      </x:c>
      <x:c r="I157" s="84" t="inlineStr">
        <x:is>
          <x:t xml:space="preserve">Combobox playground scenario.</x:t>
        </x:is>
      </x:c>
      <x:c r="J157" s="84" t="n"/>
      <x:c r="K157" s="87" t="n">
        <x:f>IF(AND(E157="yes",F157="yes",H157="covered"),1,IF(AND(E157="yes",H157="partial"),0.5,0))</x:f>
        <x:v>1</x:v>
      </x:c>
    </x:row>
    <x:row r="158" s="51" customFormat="1" ht="15" customHeight="1">
      <x:c r="A158" s="73" t="n">
        <x:v>150</x:v>
      </x:c>
      <x:c r="B158" s="84" t="inlineStr">
        <x:is>
          <x:t xml:space="preserve">Data</x:t>
        </x:is>
      </x:c>
      <x:c r="C158" s="84" t="inlineStr">
        <x:is>
          <x:t xml:space="preserve">Live DOM</x:t>
        </x:is>
      </x:c>
      <x:c r="D158" s="84" t="inlineStr">
        <x:is>
          <x:t xml:space="preserve">data-value is present at the correct time</x:t>
        </x:is>
      </x:c>
      <x:c r="E158" s="76" t="inlineStr">
        <x:is>
          <x:t xml:space="preserve">yes</x:t>
        </x:is>
      </x:c>
      <x:c r="F158" s="85" t="inlineStr">
        <x:is>
          <x:t xml:space="preserve">yes</x:t>
        </x:is>
      </x:c>
      <x:c r="G158" s="73" t="inlineStr">
        <x:is>
          <x:t xml:space="preserve">passed</x:t>
        </x:is>
      </x:c>
      <x:c r="H158" s="86" t="inlineStr">
        <x:is>
          <x:t xml:space="preserve">covered</x:t>
        </x:is>
      </x:c>
      <x:c r="I158" s="84" t="inlineStr">
        <x:is>
          <x:t xml:space="preserve">Combobox playground scenario.</x:t>
        </x:is>
      </x:c>
      <x:c r="J158" s="84" t="n"/>
      <x:c r="K158" s="87" t="n">
        <x:f>IF(AND(E158="yes",F158="yes",H158="covered"),1,IF(AND(E158="yes",H158="partial"),0.5,0))</x:f>
        <x:v>1</x:v>
      </x:c>
    </x:row>
    <x:row r="159" s="51" customFormat="1" ht="30" customHeight="1">
      <x:c r="A159" s="73" t="n">
        <x:v>151</x:v>
      </x:c>
      <x:c r="B159" s="84" t="inlineStr">
        <x:is>
          <x:t xml:space="preserve">Composition</x:t>
        </x:is>
      </x:c>
      <x:c r="C159" s="84" t="inlineStr">
        <x:is>
          <x:t xml:space="preserve">Combobox</x:t>
        </x:is>
      </x:c>
      <x:c r="D159" s="84" t="inlineStr">
        <x:is>
          <x:t xml:space="preserve">asChild preserves child content without double nesting</x:t>
        </x:is>
      </x:c>
      <x:c r="E159" s="76" t="inlineStr">
        <x:is>
          <x:t xml:space="preserve">yes</x:t>
        </x:is>
      </x:c>
      <x:c r="F159" s="85" t="inlineStr">
        <x:is>
          <x:t xml:space="preserve">yes</x:t>
        </x:is>
      </x:c>
      <x:c r="G159" s="73" t="inlineStr">
        <x:is>
          <x:t xml:space="preserve">passed</x:t>
        </x:is>
      </x:c>
      <x:c r="H159" s="86" t="inlineStr">
        <x:is>
          <x:t xml:space="preserve">covered</x:t>
        </x:is>
      </x:c>
      <x:c r="I159" s="84" t="inlineStr">
        <x:is>
          <x:t xml:space="preserve">Combobox playground scenario.</x:t>
        </x:is>
      </x:c>
      <x:c r="J159" s="84" t="n"/>
      <x:c r="K159" s="87" t="n">
        <x:f>IF(AND(E159="yes",F159="yes",H159="covered"),1,IF(AND(E159="yes",H159="partial"),0.5,0))</x:f>
        <x:v>1</x:v>
      </x:c>
    </x:row>
    <x:row r="160" s="51" customFormat="1" ht="15" customHeight="1">
      <x:c r="A160" s="73" t="n">
        <x:v>152</x:v>
      </x:c>
      <x:c r="B160" s="84" t="inlineStr">
        <x:is>
          <x:t xml:space="preserve">Composition</x:t>
        </x:is>
      </x:c>
      <x:c r="C160" s="84" t="inlineStr">
        <x:is>
          <x:t xml:space="preserve">Combobox</x:t>
        </x:is>
      </x:c>
      <x:c r="D160" s="84" t="inlineStr">
        <x:is>
          <x:t xml:space="preserve">asChild merges Atom props and consumer props</x:t>
        </x:is>
      </x:c>
      <x:c r="E160" s="76" t="inlineStr">
        <x:is>
          <x:t xml:space="preserve">yes</x:t>
        </x:is>
      </x:c>
      <x:c r="F160" s="85" t="inlineStr">
        <x:is>
          <x:t xml:space="preserve">yes</x:t>
        </x:is>
      </x:c>
      <x:c r="G160" s="73" t="inlineStr">
        <x:is>
          <x:t xml:space="preserve">passed</x:t>
        </x:is>
      </x:c>
      <x:c r="H160" s="86" t="inlineStr">
        <x:is>
          <x:t xml:space="preserve">covered</x:t>
        </x:is>
      </x:c>
      <x:c r="I160" s="84" t="inlineStr">
        <x:is>
          <x:t xml:space="preserve">Combobox playground scenario.</x:t>
        </x:is>
      </x:c>
      <x:c r="J160" s="84" t="n"/>
      <x:c r="K160" s="87" t="n">
        <x:f>IF(AND(E160="yes",F160="yes",H160="covered"),1,IF(AND(E160="yes",H160="partial"),0.5,0))</x:f>
        <x:v>1</x:v>
      </x:c>
    </x:row>
    <x:row r="161" s="51" customFormat="1" ht="15" customHeight="1">
      <x:c r="A161" s="73" t="n">
        <x:v>153</x:v>
      </x:c>
      <x:c r="B161" s="84" t="inlineStr">
        <x:is>
          <x:t xml:space="preserve">Composition</x:t>
        </x:is>
      </x:c>
      <x:c r="C161" s="84" t="inlineStr">
        <x:is>
          <x:t xml:space="preserve">Combobox</x:t>
        </x:is>
      </x:c>
      <x:c r="D161" s="84" t="inlineStr">
        <x:is>
          <x:t xml:space="preserve">asChild lets preventDefault block Atom behavior where supported</x:t>
        </x:is>
      </x:c>
      <x:c r="E161" s="76" t="inlineStr">
        <x:is>
          <x:t xml:space="preserve">yes</x:t>
        </x:is>
      </x:c>
      <x:c r="F161" s="85" t="inlineStr">
        <x:is>
          <x:t xml:space="preserve">yes</x:t>
        </x:is>
      </x:c>
      <x:c r="G161" s="73" t="inlineStr">
        <x:is>
          <x:t xml:space="preserve">passed</x:t>
        </x:is>
      </x:c>
      <x:c r="H161" s="86" t="inlineStr">
        <x:is>
          <x:t xml:space="preserve">covered</x:t>
        </x:is>
      </x:c>
      <x:c r="I161" s="84" t="inlineStr">
        <x:is>
          <x:t xml:space="preserve">Combobox playground scenario.</x:t>
        </x:is>
      </x:c>
      <x:c r="J161" s="84" t="n"/>
      <x:c r="K161" s="87" t="n">
        <x:f>IF(AND(E161="yes",F161="yes",H161="covered"),1,IF(AND(E161="yes",H161="partial"),0.5,0))</x:f>
        <x:v>1</x:v>
      </x:c>
    </x:row>
    <x:row r="162" s="51" customFormat="1" ht="15" customHeight="1">
      <x:c r="A162" s="73" t="n">
        <x:v>154</x:v>
      </x:c>
      <x:c r="B162" s="84" t="inlineStr">
        <x:is>
          <x:t xml:space="preserve">Composition</x:t>
        </x:is>
      </x:c>
      <x:c r="C162" s="84" t="inlineStr">
        <x:is>
          <x:t xml:space="preserve">Combobox</x:t>
        </x:is>
      </x:c>
      <x:c r="D162" s="84" t="inlineStr">
        <x:is>
          <x:t xml:space="preserve">render prop renders custom element</x:t>
        </x:is>
      </x:c>
      <x:c r="E162" s="76" t="inlineStr">
        <x:is>
          <x:t xml:space="preserve">yes</x:t>
        </x:is>
      </x:c>
      <x:c r="F162" s="85" t="inlineStr">
        <x:is>
          <x:t xml:space="preserve">yes</x:t>
        </x:is>
      </x:c>
      <x:c r="G162" s="73" t="inlineStr">
        <x:is>
          <x:t xml:space="preserve">passed</x:t>
        </x:is>
      </x:c>
      <x:c r="H162" s="86" t="inlineStr">
        <x:is>
          <x:t xml:space="preserve">covered</x:t>
        </x:is>
      </x:c>
      <x:c r="I162" s="84" t="inlineStr">
        <x:is>
          <x:t xml:space="preserve">Combobox playground scenario.</x:t>
        </x:is>
      </x:c>
      <x:c r="J162" s="84" t="n"/>
      <x:c r="K162" s="87" t="n">
        <x:f>IF(AND(E162="yes",F162="yes",H162="covered"),1,IF(AND(E162="yes",H162="partial"),0.5,0))</x:f>
        <x:v>1</x:v>
      </x:c>
    </x:row>
    <x:row r="163" s="51" customFormat="1" ht="15" customHeight="1">
      <x:c r="A163" s="73" t="n">
        <x:v>155</x:v>
      </x:c>
      <x:c r="B163" s="84" t="inlineStr">
        <x:is>
          <x:t xml:space="preserve">Composition</x:t>
        </x:is>
      </x:c>
      <x:c r="C163" s="84" t="inlineStr">
        <x:is>
          <x:t xml:space="preserve">Combobox</x:t>
        </x:is>
      </x:c>
      <x:c r="D163" s="84" t="inlineStr">
        <x:is>
          <x:t xml:space="preserve">render prop preserves refs and behavior props</x:t>
        </x:is>
      </x:c>
      <x:c r="E163" s="76" t="inlineStr">
        <x:is>
          <x:t xml:space="preserve">yes</x:t>
        </x:is>
      </x:c>
      <x:c r="F163" s="85" t="inlineStr">
        <x:is>
          <x:t xml:space="preserve">yes</x:t>
        </x:is>
      </x:c>
      <x:c r="G163" s="73" t="inlineStr">
        <x:is>
          <x:t xml:space="preserve">passed</x:t>
        </x:is>
      </x:c>
      <x:c r="H163" s="86" t="inlineStr">
        <x:is>
          <x:t xml:space="preserve">covered</x:t>
        </x:is>
      </x:c>
      <x:c r="I163" s="84" t="inlineStr">
        <x:is>
          <x:t xml:space="preserve">Combobox playground scenario.</x:t>
        </x:is>
      </x:c>
      <x:c r="J163" s="84" t="n"/>
      <x:c r="K163" s="87" t="n">
        <x:f>IF(AND(E163="yes",F163="yes",H163="covered"),1,IF(AND(E163="yes",H163="partial"),0.5,0))</x:f>
        <x:v>1</x:v>
      </x:c>
    </x:row>
    <x:row r="164" s="51" customFormat="1" ht="15" customHeight="1">
      <x:c r="A164" s="73" t="n">
        <x:v>156</x:v>
      </x:c>
      <x:c r="B164" s="84" t="inlineStr">
        <x:is>
          <x:t xml:space="preserve">State</x:t>
        </x:is>
      </x:c>
      <x:c r="C164" s="84" t="inlineStr">
        <x:is>
          <x:t xml:space="preserve">Root</x:t>
        </x:is>
      </x:c>
      <x:c r="D164" s="84" t="inlineStr">
        <x:is>
          <x:t xml:space="preserve">controlled state path</x:t>
        </x:is>
      </x:c>
      <x:c r="E164" s="76" t="inlineStr">
        <x:is>
          <x:t xml:space="preserve">yes</x:t>
        </x:is>
      </x:c>
      <x:c r="F164" s="85" t="inlineStr">
        <x:is>
          <x:t xml:space="preserve">yes</x:t>
        </x:is>
      </x:c>
      <x:c r="G164" s="73" t="inlineStr">
        <x:is>
          <x:t xml:space="preserve">passed</x:t>
        </x:is>
      </x:c>
      <x:c r="H164" s="86" t="inlineStr">
        <x:is>
          <x:t xml:space="preserve">covered</x:t>
        </x:is>
      </x:c>
      <x:c r="I164" s="84" t="inlineStr">
        <x:is>
          <x:t xml:space="preserve">Combobox playground scenario.</x:t>
        </x:is>
      </x:c>
      <x:c r="J164" s="84" t="n"/>
      <x:c r="K164" s="87" t="n">
        <x:f>IF(AND(E164="yes",F164="yes",H164="covered"),1,IF(AND(E164="yes",H164="partial"),0.5,0))</x:f>
        <x:v>1</x:v>
      </x:c>
    </x:row>
    <x:row r="165" s="51" customFormat="1" ht="30" customHeight="1">
      <x:c r="A165" s="73" t="n">
        <x:v>157</x:v>
      </x:c>
      <x:c r="B165" s="84" t="inlineStr">
        <x:is>
          <x:t xml:space="preserve">State</x:t>
        </x:is>
      </x:c>
      <x:c r="C165" s="84" t="inlineStr">
        <x:is>
          <x:t xml:space="preserve">Root</x:t>
        </x:is>
      </x:c>
      <x:c r="D165" s="84" t="inlineStr">
        <x:is>
          <x:t xml:space="preserve">uncontrolled default state path</x:t>
        </x:is>
      </x:c>
      <x:c r="E165" s="76" t="inlineStr">
        <x:is>
          <x:t xml:space="preserve">yes</x:t>
        </x:is>
      </x:c>
      <x:c r="F165" s="85" t="inlineStr">
        <x:is>
          <x:t xml:space="preserve">yes</x:t>
        </x:is>
      </x:c>
      <x:c r="G165" s="73" t="inlineStr">
        <x:is>
          <x:t xml:space="preserve">passed</x:t>
        </x:is>
      </x:c>
      <x:c r="H165" s="86" t="inlineStr">
        <x:is>
          <x:t xml:space="preserve">covered</x:t>
        </x:is>
      </x:c>
      <x:c r="I165" s="84" t="inlineStr">
        <x:is>
          <x:t xml:space="preserve">Combobox playground scenario.</x:t>
        </x:is>
      </x:c>
      <x:c r="J165" s="84" t="n"/>
      <x:c r="K165" s="87" t="n">
        <x:f>IF(AND(E165="yes",F165="yes",H165="covered"),1,IF(AND(E165="yes",H165="partial"),0.5,0))</x:f>
        <x:v>1</x:v>
      </x:c>
    </x:row>
    <x:row r="166" s="51" customFormat="1" ht="30" customHeight="1">
      <x:c r="A166" s="73" t="n">
        <x:v>158</x:v>
      </x:c>
      <x:c r="B166" s="84" t="inlineStr">
        <x:is>
          <x:t xml:space="preserve">State</x:t>
        </x:is>
      </x:c>
      <x:c r="C166" s="84" t="inlineStr">
        <x:is>
          <x:t xml:space="preserve">Root</x:t>
        </x:is>
      </x:c>
      <x:c r="D166" s="84" t="inlineStr">
        <x:is>
          <x:t xml:space="preserve">state change callback fires once with correct value</x:t>
        </x:is>
      </x:c>
      <x:c r="E166" s="76" t="inlineStr">
        <x:is>
          <x:t xml:space="preserve">yes</x:t>
        </x:is>
      </x:c>
      <x:c r="F166" s="85" t="inlineStr">
        <x:is>
          <x:t xml:space="preserve">yes</x:t>
        </x:is>
      </x:c>
      <x:c r="G166" s="73" t="inlineStr">
        <x:is>
          <x:t xml:space="preserve">passed</x:t>
        </x:is>
      </x:c>
      <x:c r="H166" s="86" t="inlineStr">
        <x:is>
          <x:t xml:space="preserve">covered</x:t>
        </x:is>
      </x:c>
      <x:c r="I166" s="84" t="inlineStr">
        <x:is>
          <x:t xml:space="preserve">Combobox playground scenario.</x:t>
        </x:is>
      </x:c>
      <x:c r="J166" s="84" t="n"/>
      <x:c r="K166" s="87" t="n">
        <x:f>IF(AND(E166="yes",F166="yes",H166="covered"),1,IF(AND(E166="yes",H166="partial"),0.5,0))</x:f>
        <x:v>1</x:v>
      </x:c>
    </x:row>
    <x:row r="167" s="51" customFormat="1" ht="30" customHeight="1">
      <x:c r="A167" s="73" t="n">
        <x:v>159</x:v>
      </x:c>
      <x:c r="B167" s="84" t="inlineStr">
        <x:is>
          <x:t xml:space="preserve">State</x:t>
        </x:is>
      </x:c>
      <x:c r="C167" s="84" t="inlineStr">
        <x:is>
          <x:t xml:space="preserve">Combobox</x:t>
        </x:is>
      </x:c>
      <x:c r="D167" s="84" t="inlineStr">
        <x:is>
          <x:t xml:space="preserve">disabled state blocks or exposes behavior correctly where supported</x:t>
        </x:is>
      </x:c>
      <x:c r="E167" s="76" t="inlineStr">
        <x:is>
          <x:t xml:space="preserve">yes</x:t>
        </x:is>
      </x:c>
      <x:c r="F167" s="85" t="inlineStr">
        <x:is>
          <x:t xml:space="preserve">yes</x:t>
        </x:is>
      </x:c>
      <x:c r="G167" s="73" t="inlineStr">
        <x:is>
          <x:t xml:space="preserve">passed</x:t>
        </x:is>
      </x:c>
      <x:c r="H167" s="86" t="inlineStr">
        <x:is>
          <x:t xml:space="preserve">covered</x:t>
        </x:is>
      </x:c>
      <x:c r="I167" s="84" t="inlineStr">
        <x:is>
          <x:t xml:space="preserve">Combobox playground scenario.</x:t>
        </x:is>
      </x:c>
      <x:c r="J167" s="84" t="n"/>
      <x:c r="K167" s="87" t="n">
        <x:f>IF(AND(E167="yes",F167="yes",H167="covered"),1,IF(AND(E167="yes",H167="partial"),0.5,0))</x:f>
        <x:v>1</x:v>
      </x:c>
    </x:row>
    <x:row r="168" s="51" customFormat="1" ht="30" customHeight="1">
      <x:c r="A168" s="73" t="n">
        <x:v>160</x:v>
      </x:c>
      <x:c r="B168" s="84" t="inlineStr">
        <x:is>
          <x:t xml:space="preserve">State</x:t>
        </x:is>
      </x:c>
      <x:c r="C168" s="84" t="inlineStr">
        <x:is>
          <x:t xml:space="preserve">Combobox</x:t>
        </x:is>
      </x:c>
      <x:c r="D168" s="84" t="inlineStr">
        <x:is>
          <x:t xml:space="preserve">readonly/readOnly state blocks or exposes behavior correctly where supported</x:t>
        </x:is>
      </x:c>
      <x:c r="E168" s="76" t="inlineStr">
        <x:is>
          <x:t xml:space="preserve">yes</x:t>
        </x:is>
      </x:c>
      <x:c r="F168" s="85" t="inlineStr">
        <x:is>
          <x:t xml:space="preserve">yes</x:t>
        </x:is>
      </x:c>
      <x:c r="G168" s="73" t="inlineStr">
        <x:is>
          <x:t xml:space="preserve">passed</x:t>
        </x:is>
      </x:c>
      <x:c r="H168" s="86" t="inlineStr">
        <x:is>
          <x:t xml:space="preserve">covered</x:t>
        </x:is>
      </x:c>
      <x:c r="I168" s="84" t="inlineStr">
        <x:is>
          <x:t xml:space="preserve">Combobox playground scenario.</x:t>
        </x:is>
      </x:c>
      <x:c r="J168" s="84" t="n"/>
      <x:c r="K168" s="87" t="n">
        <x:f>IF(AND(E168="yes",F168="yes",H168="covered"),1,IF(AND(E168="yes",H168="partial"),0.5,0))</x:f>
        <x:v>1</x:v>
      </x:c>
    </x:row>
    <x:row r="169" s="51" customFormat="1" ht="15" customHeight="1">
      <x:c r="A169" s="73" t="n">
        <x:v>161</x:v>
      </x:c>
      <x:c r="B169" s="84" t="inlineStr">
        <x:is>
          <x:t xml:space="preserve">State</x:t>
        </x:is>
      </x:c>
      <x:c r="C169" s="84" t="inlineStr">
        <x:is>
          <x:t xml:space="preserve">Combobox</x:t>
        </x:is>
      </x:c>
      <x:c r="D169" s="84" t="inlineStr">
        <x:is>
          <x:t xml:space="preserve">required state blocks or exposes behavior correctly where supported</x:t>
        </x:is>
      </x:c>
      <x:c r="E169" s="76" t="inlineStr">
        <x:is>
          <x:t xml:space="preserve">yes</x:t>
        </x:is>
      </x:c>
      <x:c r="F169" s="85" t="inlineStr">
        <x:is>
          <x:t xml:space="preserve">yes</x:t>
        </x:is>
      </x:c>
      <x:c r="G169" s="73" t="inlineStr">
        <x:is>
          <x:t xml:space="preserve">passed</x:t>
        </x:is>
      </x:c>
      <x:c r="H169" s="86" t="inlineStr">
        <x:is>
          <x:t xml:space="preserve">covered</x:t>
        </x:is>
      </x:c>
      <x:c r="I169" s="84" t="inlineStr">
        <x:is>
          <x:t xml:space="preserve">Combobox playground scenario.</x:t>
        </x:is>
      </x:c>
      <x:c r="J169" s="84" t="n"/>
      <x:c r="K169" s="87" t="n">
        <x:f>IF(AND(E169="yes",F169="yes",H169="covered"),1,IF(AND(E169="yes",H169="partial"),0.5,0))</x:f>
        <x:v>1</x:v>
      </x:c>
    </x:row>
    <x:row r="170" s="51" customFormat="1" ht="30" customHeight="1">
      <x:c r="A170" s="73" t="n">
        <x:v>162</x:v>
      </x:c>
      <x:c r="B170" s="84" t="inlineStr">
        <x:is>
          <x:t xml:space="preserve">State</x:t>
        </x:is>
      </x:c>
      <x:c r="C170" s="84" t="inlineStr">
        <x:is>
          <x:t xml:space="preserve">Combobox</x:t>
        </x:is>
      </x:c>
      <x:c r="D170" s="84" t="inlineStr">
        <x:is>
          <x:t xml:space="preserve">invalid state blocks or exposes behavior correctly where supported</x:t>
        </x:is>
      </x:c>
      <x:c r="E170" s="76" t="inlineStr">
        <x:is>
          <x:t xml:space="preserve">yes</x:t>
        </x:is>
      </x:c>
      <x:c r="F170" s="85" t="inlineStr">
        <x:is>
          <x:t xml:space="preserve">yes</x:t>
        </x:is>
      </x:c>
      <x:c r="G170" s="73" t="inlineStr">
        <x:is>
          <x:t xml:space="preserve">passed</x:t>
        </x:is>
      </x:c>
      <x:c r="H170" s="86" t="inlineStr">
        <x:is>
          <x:t xml:space="preserve">covered</x:t>
        </x:is>
      </x:c>
      <x:c r="I170" s="84" t="inlineStr">
        <x:is>
          <x:t xml:space="preserve">Combobox playground scenario.</x:t>
        </x:is>
      </x:c>
      <x:c r="J170" s="84" t="n"/>
      <x:c r="K170" s="87" t="n">
        <x:f>IF(AND(E170="yes",F170="yes",H170="covered"),1,IF(AND(E170="yes",H170="partial"),0.5,0))</x:f>
        <x:v>1</x:v>
      </x:c>
    </x:row>
    <x:row r="171" s="51" customFormat="1" ht="15" customHeight="1">
      <x:c r="A171" s="73" t="n">
        <x:v>163</x:v>
      </x:c>
      <x:c r="B171" s="84" t="inlineStr">
        <x:is>
          <x:t xml:space="preserve">Forms</x:t>
        </x:is>
      </x:c>
      <x:c r="C171" s="84" t="inlineStr">
        <x:is>
          <x:t xml:space="preserve">Combobox</x:t>
        </x:is>
      </x:c>
      <x:c r="D171" s="84" t="inlineStr">
        <x:is>
          <x:t xml:space="preserve">form value participates correctly where supported</x:t>
        </x:is>
      </x:c>
      <x:c r="E171" s="76" t="inlineStr">
        <x:is>
          <x:t xml:space="preserve">yes</x:t>
        </x:is>
      </x:c>
      <x:c r="F171" s="85" t="inlineStr">
        <x:is>
          <x:t xml:space="preserve">yes</x:t>
        </x:is>
      </x:c>
      <x:c r="G171" s="73" t="inlineStr">
        <x:is>
          <x:t xml:space="preserve">passed</x:t>
        </x:is>
      </x:c>
      <x:c r="H171" s="86" t="inlineStr">
        <x:is>
          <x:t xml:space="preserve">covered</x:t>
        </x:is>
      </x:c>
      <x:c r="I171" s="84" t="inlineStr">
        <x:is>
          <x:t xml:space="preserve">Combobox playground scenario.</x:t>
        </x:is>
      </x:c>
      <x:c r="J171" s="84" t="n"/>
      <x:c r="K171" s="87" t="n">
        <x:f>IF(AND(E171="yes",F171="yes",H171="covered"),1,IF(AND(E171="yes",H171="partial"),0.5,0))</x:f>
        <x:v>1</x:v>
      </x:c>
    </x:row>
    <x:row r="172" s="51" customFormat="1" ht="15" customHeight="1">
      <x:c r="A172" s="73" t="n">
        <x:v>164</x:v>
      </x:c>
      <x:c r="B172" s="84" t="inlineStr">
        <x:is>
          <x:t xml:space="preserve">Forms</x:t>
        </x:is>
      </x:c>
      <x:c r="C172" s="84" t="inlineStr">
        <x:is>
          <x:t xml:space="preserve">Combobox</x:t>
        </x:is>
      </x:c>
      <x:c r="D172" s="84" t="inlineStr">
        <x:is>
          <x:t xml:space="preserve">hidden input mirrors value/checked/disabled where supported</x:t>
        </x:is>
      </x:c>
      <x:c r="E172" s="76" t="inlineStr">
        <x:is>
          <x:t xml:space="preserve">yes</x:t>
        </x:is>
      </x:c>
      <x:c r="F172" s="85" t="inlineStr">
        <x:is>
          <x:t xml:space="preserve">yes</x:t>
        </x:is>
      </x:c>
      <x:c r="G172" s="73" t="inlineStr">
        <x:is>
          <x:t xml:space="preserve">passed</x:t>
        </x:is>
      </x:c>
      <x:c r="H172" s="86" t="inlineStr">
        <x:is>
          <x:t xml:space="preserve">covered</x:t>
        </x:is>
      </x:c>
      <x:c r="I172" s="84" t="inlineStr">
        <x:is>
          <x:t xml:space="preserve">Combobox playground scenario.</x:t>
        </x:is>
      </x:c>
      <x:c r="J172" s="84" t="n"/>
      <x:c r="K172" s="87" t="n">
        <x:f>IF(AND(E172="yes",F172="yes",H172="covered"),1,IF(AND(E172="yes",H172="partial"),0.5,0))</x:f>
        <x:v>1</x:v>
      </x:c>
    </x:row>
    <x:row r="173" s="51" customFormat="1" ht="15" customHeight="1">
      <x:c r="A173" s="73" t="n">
        <x:v>165</x:v>
      </x:c>
      <x:c r="B173" s="84" t="inlineStr">
        <x:is>
          <x:t xml:space="preserve">Keyboard</x:t>
        </x:is>
      </x:c>
      <x:c r="C173" s="84" t="inlineStr">
        <x:is>
          <x:t xml:space="preserve">Combobox</x:t>
        </x:is>
      </x:c>
      <x:c r="D173" s="84" t="inlineStr">
        <x:is>
          <x:t xml:space="preserve">Arrow key navigation follows documented orientation</x:t>
        </x:is>
      </x:c>
      <x:c r="E173" s="76" t="inlineStr">
        <x:is>
          <x:t xml:space="preserve">yes</x:t>
        </x:is>
      </x:c>
      <x:c r="F173" s="85" t="inlineStr">
        <x:is>
          <x:t xml:space="preserve">yes</x:t>
        </x:is>
      </x:c>
      <x:c r="G173" s="73" t="inlineStr">
        <x:is>
          <x:t xml:space="preserve">passed</x:t>
        </x:is>
      </x:c>
      <x:c r="H173" s="86" t="inlineStr">
        <x:is>
          <x:t xml:space="preserve">covered</x:t>
        </x:is>
      </x:c>
      <x:c r="I173" s="84" t="inlineStr">
        <x:is>
          <x:t xml:space="preserve">Combobox playground scenario.</x:t>
        </x:is>
      </x:c>
      <x:c r="J173" s="84" t="n"/>
      <x:c r="K173" s="87" t="n">
        <x:f>IF(AND(E173="yes",F173="yes",H173="covered"),1,IF(AND(E173="yes",H173="partial"),0.5,0))</x:f>
        <x:v>1</x:v>
      </x:c>
    </x:row>
    <x:row r="174" s="51" customFormat="1" ht="15" customHeight="1">
      <x:c r="A174" s="73" t="n">
        <x:v>166</x:v>
      </x:c>
      <x:c r="B174" s="84" t="inlineStr">
        <x:is>
          <x:t xml:space="preserve">Keyboard</x:t>
        </x:is>
      </x:c>
      <x:c r="C174" s="84" t="inlineStr">
        <x:is>
          <x:t xml:space="preserve">Combobox</x:t>
        </x:is>
      </x:c>
      <x:c r="D174" s="84" t="inlineStr">
        <x:is>
          <x:t xml:space="preserve">Home and End navigation where supported</x:t>
        </x:is>
      </x:c>
      <x:c r="E174" s="76" t="inlineStr">
        <x:is>
          <x:t xml:space="preserve">yes</x:t>
        </x:is>
      </x:c>
      <x:c r="F174" s="85" t="inlineStr">
        <x:is>
          <x:t xml:space="preserve">yes</x:t>
        </x:is>
      </x:c>
      <x:c r="G174" s="73" t="inlineStr">
        <x:is>
          <x:t xml:space="preserve">passed</x:t>
        </x:is>
      </x:c>
      <x:c r="H174" s="86" t="inlineStr">
        <x:is>
          <x:t xml:space="preserve">covered</x:t>
        </x:is>
      </x:c>
      <x:c r="I174" s="84" t="inlineStr">
        <x:is>
          <x:t xml:space="preserve">Combobox playground scenario.</x:t>
        </x:is>
      </x:c>
      <x:c r="J174" s="84" t="n"/>
      <x:c r="K174" s="87" t="n">
        <x:f>IF(AND(E174="yes",F174="yes",H174="covered"),1,IF(AND(E174="yes",H174="partial"),0.5,0))</x:f>
        <x:v>1</x:v>
      </x:c>
    </x:row>
    <x:row r="175" s="51" customFormat="1" ht="15" customHeight="1">
      <x:c r="A175" s="73" t="n">
        <x:v>167</x:v>
      </x:c>
      <x:c r="B175" s="84" t="inlineStr">
        <x:is>
          <x:t xml:space="preserve">Keyboard</x:t>
        </x:is>
      </x:c>
      <x:c r="C175" s="84" t="inlineStr">
        <x:is>
          <x:t xml:space="preserve">Combobox</x:t>
        </x:is>
      </x:c>
      <x:c r="D175" s="84" t="inlineStr">
        <x:is>
          <x:t xml:space="preserve">disabled items are skipped or exposed according to pattern</x:t>
        </x:is>
      </x:c>
      <x:c r="E175" s="76" t="inlineStr">
        <x:is>
          <x:t xml:space="preserve">yes</x:t>
        </x:is>
      </x:c>
      <x:c r="F175" s="85" t="inlineStr">
        <x:is>
          <x:t xml:space="preserve">yes</x:t>
        </x:is>
      </x:c>
      <x:c r="G175" s="73" t="inlineStr">
        <x:is>
          <x:t xml:space="preserve">passed</x:t>
        </x:is>
      </x:c>
      <x:c r="H175" s="86" t="inlineStr">
        <x:is>
          <x:t xml:space="preserve">covered</x:t>
        </x:is>
      </x:c>
      <x:c r="I175" s="84" t="inlineStr">
        <x:is>
          <x:t xml:space="preserve">Combobox playground scenario.</x:t>
        </x:is>
      </x:c>
      <x:c r="J175" s="84" t="n"/>
      <x:c r="K175" s="87" t="n">
        <x:f>IF(AND(E175="yes",F175="yes",H175="covered"),1,IF(AND(E175="yes",H175="partial"),0.5,0))</x:f>
        <x:v>1</x:v>
      </x:c>
    </x:row>
    <x:row r="176" s="51" customFormat="1" ht="15" customHeight="1">
      <x:c r="A176" s="73" t="n">
        <x:v>168</x:v>
      </x:c>
      <x:c r="B176" s="84" t="inlineStr">
        <x:is>
          <x:t xml:space="preserve">Keyboard</x:t>
        </x:is>
      </x:c>
      <x:c r="C176" s="84" t="inlineStr">
        <x:is>
          <x:t xml:space="preserve">Combobox</x:t>
        </x:is>
      </x:c>
      <x:c r="D176" s="84" t="inlineStr">
        <x:is>
          <x:t xml:space="preserve">typeahead/search behavior where supported</x:t>
        </x:is>
      </x:c>
      <x:c r="E176" s="76" t="inlineStr">
        <x:is>
          <x:t xml:space="preserve">yes</x:t>
        </x:is>
      </x:c>
      <x:c r="F176" s="85" t="inlineStr">
        <x:is>
          <x:t xml:space="preserve">yes</x:t>
        </x:is>
      </x:c>
      <x:c r="G176" s="73" t="inlineStr">
        <x:is>
          <x:t xml:space="preserve">passed</x:t>
        </x:is>
      </x:c>
      <x:c r="H176" s="86" t="inlineStr">
        <x:is>
          <x:t xml:space="preserve">covered</x:t>
        </x:is>
      </x:c>
      <x:c r="I176" s="84" t="inlineStr">
        <x:is>
          <x:t xml:space="preserve">Combobox playground scenario.</x:t>
        </x:is>
      </x:c>
      <x:c r="J176" s="84" t="n"/>
      <x:c r="K176" s="87" t="n">
        <x:f>IF(AND(E176="yes",F176="yes",H176="covered"),1,IF(AND(E176="yes",H176="partial"),0.5,0))</x:f>
        <x:v>1</x:v>
      </x:c>
    </x:row>
    <x:row r="177" s="51" customFormat="1" ht="15" customHeight="1">
      <x:c r="A177" s="73" t="n">
        <x:v>169</x:v>
      </x:c>
      <x:c r="B177" s="84" t="inlineStr">
        <x:is>
          <x:t xml:space="preserve">Focus</x:t>
        </x:is>
      </x:c>
      <x:c r="C177" s="84" t="inlineStr">
        <x:is>
          <x:t xml:space="preserve">Combobox</x:t>
        </x:is>
      </x:c>
      <x:c r="D177" s="84" t="inlineStr">
        <x:is>
          <x:t xml:space="preserve">roving focus or active descendant state is visible</x:t>
        </x:is>
      </x:c>
      <x:c r="E177" s="76" t="inlineStr">
        <x:is>
          <x:t xml:space="preserve">yes</x:t>
        </x:is>
      </x:c>
      <x:c r="F177" s="85" t="inlineStr">
        <x:is>
          <x:t xml:space="preserve">yes</x:t>
        </x:is>
      </x:c>
      <x:c r="G177" s="73" t="inlineStr">
        <x:is>
          <x:t xml:space="preserve">passed</x:t>
        </x:is>
      </x:c>
      <x:c r="H177" s="86" t="inlineStr">
        <x:is>
          <x:t xml:space="preserve">covered</x:t>
        </x:is>
      </x:c>
      <x:c r="I177" s="84" t="inlineStr">
        <x:is>
          <x:t xml:space="preserve">Combobox playground scenario.</x:t>
        </x:is>
      </x:c>
      <x:c r="J177" s="84" t="n"/>
      <x:c r="K177" s="87" t="n">
        <x:f>IF(AND(E177="yes",F177="yes",H177="covered"),1,IF(AND(E177="yes",H177="partial"),0.5,0))</x:f>
        <x:v>1</x:v>
      </x:c>
    </x:row>
    <x:row r="178" s="51" customFormat="1" ht="15" customHeight="1">
      <x:c r="A178" s="73" t="n">
        <x:v>170</x:v>
      </x:c>
      <x:c r="B178" s="84" t="inlineStr">
        <x:is>
          <x:t xml:space="preserve">Portal</x:t>
        </x:is>
      </x:c>
      <x:c r="C178" s="84" t="inlineStr">
        <x:is>
          <x:t xml:space="preserve">Combobox</x:t>
        </x:is>
      </x:c>
      <x:c r="D178" s="84" t="inlineStr">
        <x:is>
          <x:t xml:space="preserve">portal renders in body by default</x:t>
        </x:is>
      </x:c>
      <x:c r="E178" s="76" t="inlineStr">
        <x:is>
          <x:t xml:space="preserve">yes</x:t>
        </x:is>
      </x:c>
      <x:c r="F178" s="85" t="inlineStr">
        <x:is>
          <x:t xml:space="preserve">yes</x:t>
        </x:is>
      </x:c>
      <x:c r="G178" s="73" t="inlineStr">
        <x:is>
          <x:t xml:space="preserve">passed</x:t>
        </x:is>
      </x:c>
      <x:c r="H178" s="86" t="inlineStr">
        <x:is>
          <x:t xml:space="preserve">covered</x:t>
        </x:is>
      </x:c>
      <x:c r="I178" s="84" t="inlineStr">
        <x:is>
          <x:t xml:space="preserve">Combobox playground scenario.</x:t>
        </x:is>
      </x:c>
      <x:c r="J178" s="84" t="n"/>
      <x:c r="K178" s="87" t="n">
        <x:f>IF(AND(E178="yes",F178="yes",H178="covered"),1,IF(AND(E178="yes",H178="partial"),0.5,0))</x:f>
        <x:v>1</x:v>
      </x:c>
    </x:row>
    <x:row r="179" s="51" customFormat="1" ht="15" customHeight="1">
      <x:c r="A179" s="73" t="n">
        <x:v>171</x:v>
      </x:c>
      <x:c r="B179" s="84" t="inlineStr">
        <x:is>
          <x:t xml:space="preserve">Portal</x:t>
        </x:is>
      </x:c>
      <x:c r="C179" s="84" t="inlineStr">
        <x:is>
          <x:t xml:space="preserve">Combobox</x:t>
        </x:is>
      </x:c>
      <x:c r="D179" s="84" t="inlineStr">
        <x:is>
          <x:t xml:space="preserve">custom/disabled portal path works where supported</x:t>
        </x:is>
      </x:c>
      <x:c r="E179" s="76" t="inlineStr">
        <x:is>
          <x:t xml:space="preserve">yes</x:t>
        </x:is>
      </x:c>
      <x:c r="F179" s="85" t="inlineStr">
        <x:is>
          <x:t xml:space="preserve">yes</x:t>
        </x:is>
      </x:c>
      <x:c r="G179" s="73" t="inlineStr">
        <x:is>
          <x:t xml:space="preserve">passed</x:t>
        </x:is>
      </x:c>
      <x:c r="H179" s="86" t="inlineStr">
        <x:is>
          <x:t xml:space="preserve">covered</x:t>
        </x:is>
      </x:c>
      <x:c r="I179" s="84" t="inlineStr">
        <x:is>
          <x:t xml:space="preserve">Combobox playground scenario.</x:t>
        </x:is>
      </x:c>
      <x:c r="J179" s="84" t="n"/>
      <x:c r="K179" s="87" t="n">
        <x:f>IF(AND(E179="yes",F179="yes",H179="covered"),1,IF(AND(E179="yes",H179="partial"),0.5,0))</x:f>
        <x:v>1</x:v>
      </x:c>
    </x:row>
    <x:row r="180" s="51" customFormat="1" ht="15" customHeight="1">
      <x:c r="A180" s="73" t="n">
        <x:v>172</x:v>
      </x:c>
      <x:c r="B180" s="84" t="inlineStr">
        <x:is>
          <x:t xml:space="preserve">Positioning</x:t>
        </x:is>
      </x:c>
      <x:c r="C180" s="84" t="inlineStr">
        <x:is>
          <x:t xml:space="preserve">Combobox</x:t>
        </x:is>
      </x:c>
      <x:c r="D180" s="84" t="inlineStr">
        <x:is>
          <x:t xml:space="preserve">side options position content correctly</x:t>
        </x:is>
      </x:c>
      <x:c r="E180" s="76" t="inlineStr">
        <x:is>
          <x:t xml:space="preserve">yes</x:t>
        </x:is>
      </x:c>
      <x:c r="F180" s="85" t="inlineStr">
        <x:is>
          <x:t xml:space="preserve">yes</x:t>
        </x:is>
      </x:c>
      <x:c r="G180" s="73" t="inlineStr">
        <x:is>
          <x:t xml:space="preserve">passed</x:t>
        </x:is>
      </x:c>
      <x:c r="H180" s="86" t="inlineStr">
        <x:is>
          <x:t xml:space="preserve">covered</x:t>
        </x:is>
      </x:c>
      <x:c r="I180" s="84" t="inlineStr">
        <x:is>
          <x:t xml:space="preserve">Combobox playground scenario.</x:t>
        </x:is>
      </x:c>
      <x:c r="J180" s="84" t="n"/>
      <x:c r="K180" s="87" t="n">
        <x:f>IF(AND(E180="yes",F180="yes",H180="covered"),1,IF(AND(E180="yes",H180="partial"),0.5,0))</x:f>
        <x:v>1</x:v>
      </x:c>
    </x:row>
    <x:row r="181" s="51" customFormat="1" ht="30" customHeight="1">
      <x:c r="A181" s="73" t="n">
        <x:v>173</x:v>
      </x:c>
      <x:c r="B181" s="84" t="inlineStr">
        <x:is>
          <x:t xml:space="preserve">Positioning</x:t>
        </x:is>
      </x:c>
      <x:c r="C181" s="84" t="inlineStr">
        <x:is>
          <x:t xml:space="preserve">Combobox</x:t>
        </x:is>
      </x:c>
      <x:c r="D181" s="84" t="inlineStr">
        <x:is>
          <x:t xml:space="preserve">align options position content correctly</x:t>
        </x:is>
      </x:c>
      <x:c r="E181" s="76" t="inlineStr">
        <x:is>
          <x:t xml:space="preserve">yes</x:t>
        </x:is>
      </x:c>
      <x:c r="F181" s="85" t="inlineStr">
        <x:is>
          <x:t xml:space="preserve">yes</x:t>
        </x:is>
      </x:c>
      <x:c r="G181" s="73" t="inlineStr">
        <x:is>
          <x:t xml:space="preserve">passed</x:t>
        </x:is>
      </x:c>
      <x:c r="H181" s="86" t="inlineStr">
        <x:is>
          <x:t xml:space="preserve">covered</x:t>
        </x:is>
      </x:c>
      <x:c r="I181" s="84" t="inlineStr">
        <x:is>
          <x:t xml:space="preserve">Combobox playground scenario.</x:t>
        </x:is>
      </x:c>
      <x:c r="J181" s="84" t="n"/>
      <x:c r="K181" s="87" t="n">
        <x:f>IF(AND(E181="yes",F181="yes",H181="covered"),1,IF(AND(E181="yes",H181="partial"),0.5,0))</x:f>
        <x:v>1</x:v>
      </x:c>
    </x:row>
    <x:row r="182" s="51" customFormat="1" ht="15" customHeight="1">
      <x:c r="A182" s="73" t="n">
        <x:v>174</x:v>
      </x:c>
      <x:c r="B182" s="84" t="inlineStr">
        <x:is>
          <x:t xml:space="preserve">Positioning</x:t>
        </x:is>
      </x:c>
      <x:c r="C182" s="84" t="inlineStr">
        <x:is>
          <x:t xml:space="preserve">Combobox</x:t>
        </x:is>
      </x:c>
      <x:c r="D182" s="84" t="inlineStr">
        <x:is>
          <x:t xml:space="preserve">collision, flip, and shift stay within the manually tested desktop layout viewport</x:t>
        </x:is>
      </x:c>
      <x:c r="E182" s="76" t="inlineStr">
        <x:is>
          <x:t xml:space="preserve">yes</x:t>
        </x:is>
      </x:c>
      <x:c r="F182" s="85" t="inlineStr">
        <x:is>
          <x:t xml:space="preserve">yes</x:t>
        </x:is>
      </x:c>
      <x:c r="G182" s="73" t="inlineStr">
        <x:is>
          <x:t xml:space="preserve">passed existing desktop browser/manual baseline; mobile device qualification not run</x:t>
        </x:is>
      </x:c>
      <x:c r="H182" s="86" t="inlineStr">
        <x:is>
          <x:t xml:space="preserve">covered</x:t>
        </x:is>
      </x:c>
      <x:c r="I182" s="84" t="inlineStr">
        <x:is>
          <x:t xml:space="preserve">Existing desktop browser/manual baseline; not real iOS Safari or Android Chrome evidence.</x:t>
        </x:is>
      </x:c>
      <x:c r="J182" s="84" t="n"/>
      <x:c r="K182" s="87" t="n">
        <x:f>IF(AND(E182="yes",F182="yes",H182="covered"),1,IF(AND(E182="yes",H182="partial"),0.5,0))</x:f>
        <x:v>1</x:v>
      </x:c>
    </x:row>
    <x:row r="183" s="51" customFormat="1" ht="15" customHeight="1">
      <x:c r="A183" s="73" t="n">
        <x:v>175</x:v>
      </x:c>
      <x:c r="B183" s="84" t="inlineStr">
        <x:is>
          <x:t xml:space="preserve">Positioning</x:t>
        </x:is>
      </x:c>
      <x:c r="C183" s="84" t="inlineStr">
        <x:is>
          <x:t xml:space="preserve">Combobox</x:t>
        </x:is>
      </x:c>
      <x:c r="D183" s="84" t="inlineStr">
        <x:is>
          <x:t xml:space="preserve">arrow or anchor geometry matches content where supported</x:t>
        </x:is>
      </x:c>
      <x:c r="E183" s="76" t="inlineStr">
        <x:is>
          <x:t xml:space="preserve">yes</x:t>
        </x:is>
      </x:c>
      <x:c r="F183" s="85" t="inlineStr">
        <x:is>
          <x:t xml:space="preserve">yes</x:t>
        </x:is>
      </x:c>
      <x:c r="G183" s="73" t="inlineStr">
        <x:is>
          <x:t xml:space="preserve">passed</x:t>
        </x:is>
      </x:c>
      <x:c r="H183" s="86" t="inlineStr">
        <x:is>
          <x:t xml:space="preserve">covered</x:t>
        </x:is>
      </x:c>
      <x:c r="I183" s="84" t="inlineStr">
        <x:is>
          <x:t xml:space="preserve">Combobox playground scenario.</x:t>
        </x:is>
      </x:c>
      <x:c r="J183" s="84" t="n"/>
      <x:c r="K183" s="87" t="n">
        <x:f>IF(AND(E183="yes",F183="yes",H183="covered"),1,IF(AND(E183="yes",H183="partial"),0.5,0))</x:f>
        <x:v>1</x:v>
      </x:c>
    </x:row>
    <x:row r="184" s="51" customFormat="1" ht="13.5" customHeight="1">
      <x:c r="A184" s="50" t="n">
        <x:v>176</x:v>
      </x:c>
      <x:c r="B184" s="50" t="inlineStr">
        <x:is>
          <x:t xml:space="preserve">Interaction</x:t>
        </x:is>
      </x:c>
      <x:c r="C184" s="50" t="inlineStr">
        <x:is>
          <x:t xml:space="preserve">Item</x:t>
        </x:is>
      </x:c>
      <x:c r="D184" s="50" t="inlineStr">
        <x:is>
          <x:t xml:space="preserve">pointer selecting an already-selected option closes the listbox</x:t>
        </x:is>
      </x:c>
      <x:c r="E184" s="50" t="inlineStr">
        <x:is>
          <x:t xml:space="preserve">yes</x:t>
        </x:is>
      </x:c>
      <x:c r="F184" s="50" t="inlineStr">
        <x:is>
          <x:t xml:space="preserve">yes</x:t>
        </x:is>
      </x:c>
      <x:c r="G184" s="50" t="inlineStr">
        <x:is>
          <x:t xml:space="preserve">passed</x:t>
        </x:is>
      </x:c>
      <x:c r="H184" s="50" t="inlineStr">
        <x:is>
          <x:t xml:space="preserve">covered</x:t>
        </x:is>
      </x:c>
      <x:c r="I184" s="50" t="inlineStr">
        <x:is>
          <x:t xml:space="preserve">Combobox playground scenario.</x:t>
        </x:is>
      </x:c>
      <x:c r="K184" s="50" t="n">
        <x:f>IF(AND(E184="yes",F184="yes",H184="covered"),1,IF(AND(E184="yes",H184="partial"),0.5,0))</x:f>
        <x:v>1</x:v>
      </x:c>
    </x:row>
    <x:row r="185" s="51" customFormat="1" ht="13.5" customHeight="1">
      <x:c r="A185" s="50" t="n">
        <x:v>177</x:v>
      </x:c>
      <x:c r="B185" s="50" t="inlineStr">
        <x:is>
          <x:t xml:space="preserve">Interaction</x:t>
        </x:is>
      </x:c>
      <x:c r="C185" s="50" t="inlineStr">
        <x:is>
          <x:t xml:space="preserve">Item</x:t>
        </x:is>
      </x:c>
      <x:c r="D185" s="50" t="inlineStr">
        <x:is>
          <x:t xml:space="preserve">clearOnSelect clears input after keyboard and pointer selection</x:t>
        </x:is>
      </x:c>
      <x:c r="E185" s="50" t="inlineStr">
        <x:is>
          <x:t xml:space="preserve">yes</x:t>
        </x:is>
      </x:c>
      <x:c r="F185" s="50" t="inlineStr">
        <x:is>
          <x:t xml:space="preserve">yes</x:t>
        </x:is>
      </x:c>
      <x:c r="G185" s="50" t="inlineStr">
        <x:is>
          <x:t xml:space="preserve">passed</x:t>
        </x:is>
      </x:c>
      <x:c r="H185" s="50" t="inlineStr">
        <x:is>
          <x:t xml:space="preserve">covered</x:t>
        </x:is>
      </x:c>
      <x:c r="I185" s="50" t="inlineStr">
        <x:is>
          <x:t xml:space="preserve">Combobox playground scenario.</x:t>
        </x:is>
      </x:c>
      <x:c r="K185" s="50" t="n">
        <x:f>IF(AND(E185="yes",F185="yes",H185="covered"),1,IF(AND(E185="yes",H185="partial"),0.5,0))</x:f>
        <x:v>1</x:v>
      </x:c>
    </x:row>
    <x:row r="186" s="51" customFormat="1" ht="13.5" customHeight="1">
      <x:c r="A186" s="50" t="n">
        <x:v>178</x:v>
      </x:c>
      <x:c r="B186" s="50" t="inlineStr">
        <x:is>
          <x:t xml:space="preserve">Interaction</x:t>
        </x:is>
      </x:c>
      <x:c r="C186" s="50" t="inlineStr">
        <x:is>
          <x:t xml:space="preserve">Empty</x:t>
        </x:is>
      </x:c>
      <x:c r="D186" s="50" t="inlineStr">
        <x:is>
          <x:t xml:space="preserve">openOnFocus opens the empty state when Combobox.Empty is mounted</x:t>
        </x:is>
      </x:c>
      <x:c r="E186" s="50" t="inlineStr">
        <x:is>
          <x:t xml:space="preserve">yes</x:t>
        </x:is>
      </x:c>
      <x:c r="F186" s="50" t="inlineStr">
        <x:is>
          <x:t xml:space="preserve">yes</x:t>
        </x:is>
      </x:c>
      <x:c r="G186" s="50" t="inlineStr">
        <x:is>
          <x:t xml:space="preserve">passed</x:t>
        </x:is>
      </x:c>
      <x:c r="H186" s="50" t="inlineStr">
        <x:is>
          <x:t xml:space="preserve">covered</x:t>
        </x:is>
      </x:c>
      <x:c r="I186" s="50" t="inlineStr">
        <x:is>
          <x:t xml:space="preserve">Combobox playground scenario.</x:t>
        </x:is>
      </x:c>
      <x:c r="K186" s="50" t="n">
        <x:f>IF(AND(E186="yes",F186="yes",H186="covered"),1,IF(AND(E186="yes",H186="partial"),0.5,0))</x:f>
        <x:v>1</x:v>
      </x:c>
    </x:row>
    <x:row r="187" s="51" customFormat="1" ht="13.5" customHeight="1">
      <x:c r="A187" s="50" t="n">
        <x:v>179</x:v>
      </x:c>
      <x:c r="B187" s="50" t="inlineStr">
        <x:is>
          <x:t xml:space="preserve">Forms</x:t>
        </x:is>
      </x:c>
      <x:c r="C187" s="50" t="inlineStr">
        <x:is>
          <x:t xml:space="preserve">Root/Input</x:t>
        </x:is>
      </x:c>
      <x:c r="D187" s="50" t="inlineStr">
        <x:is>
          <x:t xml:space="preserve">Field naming/descriptions, submission, required validity, and uncontrolled reset</x:t>
        </x:is>
      </x:c>
      <x:c r="E187" s="50" t="inlineStr">
        <x:is>
          <x:t xml:space="preserve">yes</x:t>
        </x:is>
      </x:c>
      <x:c r="F187" s="50" t="inlineStr">
        <x:is>
          <x:t xml:space="preserve">no</x:t>
        </x:is>
      </x:c>
      <x:c r="G187" s="50" t="inlineStr">
        <x:is>
          <x:t xml:space="preserve">automated tests pass; manual pending</x:t>
        </x:is>
      </x:c>
      <x:c r="H187" s="50" t="inlineStr">
        <x:is>
          <x:t xml:space="preserve">untested</x:t>
        </x:is>
      </x:c>
      <x:c r="I187" s="50" t="inlineStr">
        <x:is>
          <x:t xml:space="preserve">Form &gt; Control: Foundation plus the component scenario and automated package tests.</x:t>
        </x:is>
      </x:c>
      <x:c r="J187" s="50" t="inlineStr">
        <x:is>
          <x:t xml:space="preserve">Run and review the form-foundation manual protocol.</x:t>
        </x:is>
      </x:c>
      <x:c r="K187" s="50" t="n">
        <x:f>IF(AND(E187="yes",F187="yes",H187="covered"),1,IF(H187="partial",0.5,0))</x:f>
        <x:v>0</x:v>
      </x:c>
    </x:row>
    <x:row r="188" s="51" customFormat="1" ht="13.5" customHeight="1">
      <x:c r="A188" s="50" t="n">
        <x:v>180</x:v>
      </x:c>
      <x:c r="B188" s="50" t="inlineStr">
        <x:is>
          <x:t xml:space="preserve">Validation</x:t>
        </x:is>
      </x:c>
      <x:c r="C188" s="50" t="inlineStr">
        <x:is>
          <x:t xml:space="preserve">Root/Input</x:t>
        </x:is>
      </x:c>
      <x:c r="D188" s="50" t="inlineStr">
        <x:is>
          <x:t xml:space="preserve">committed-value proxy invalidity mirrors to Combobox, Field, Error, and Form</x:t>
        </x:is>
      </x:c>
      <x:c r="E188" s="50" t="inlineStr">
        <x:is>
          <x:t xml:space="preserve">yes</x:t>
        </x:is>
      </x:c>
      <x:c r="F188" s="50" t="inlineStr">
        <x:is>
          <x:t xml:space="preserve">no</x:t>
        </x:is>
      </x:c>
      <x:c r="G188" s="50" t="inlineStr">
        <x:is>
          <x:t xml:space="preserve">automated tests pass; manual pending</x:t>
        </x:is>
      </x:c>
      <x:c r="H188" s="50" t="inlineStr">
        <x:is>
          <x:t xml:space="preserve">untested</x:t>
        </x:is>
      </x:c>
      <x:c r="I188" s="50" t="inlineStr">
        <x:is>
          <x:t xml:space="preserve">Form &gt; Control: Foundation and automated Atom validation tests.</x:t>
        </x:is>
      </x:c>
      <x:c r="J188" s="50" t="inlineStr">
        <x:is>
          <x:t xml:space="preserve">Run and review the updated form-foundation validation steps.</x:t>
        </x:is>
      </x:c>
      <x:c r="K188" s="50" t="n">
        <x:f>IF(AND(E188="yes",F188="yes",H188="covered"),1,IF(H188="partial",0.5,0))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ContextMenu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0.8380952380952381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176</x:v>
      </x:c>
      <x:c r="E4" s="70" t="inlineStr">
        <x:is>
          <x:t xml:space="preserve">Partial</x:t>
        </x:is>
      </x:c>
      <x:c r="F4" s="82" t="n">
        <x:f>COUNTIFS(A9:A1000,"&lt;&gt;",H9:H1000,"partial")</x:f>
        <x:v>10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34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76" t="inlineStr">
        <x:is>
          <x:t xml:space="preserve">yes</x:t>
        </x:is>
      </x:c>
      <x:c r="G9" s="73" t="inlineStr">
        <x:is>
          <x:t xml:space="preserve">passed manual test</x:t>
        </x:is>
      </x:c>
      <x:c r="H9" s="92" t="inlineStr">
        <x:is>
          <x:t xml:space="preserve">covered</x:t>
        </x:is>
      </x:c>
      <x:c r="I9" s="84" t="inlineStr">
        <x:is>
          <x:t xml:space="preserve">ContextMenu playground Props toolbar; Anatomy/Inspector raw Data; Source view.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76" t="inlineStr">
        <x:is>
          <x:t xml:space="preserve">yes</x:t>
        </x:is>
      </x:c>
      <x:c r="G10" s="73" t="inlineStr">
        <x:is>
          <x:t xml:space="preserve">passed manual test</x:t>
        </x:is>
      </x:c>
      <x:c r="H10" s="92" t="inlineStr">
        <x:is>
          <x:t xml:space="preserve">covered</x:t>
        </x:is>
      </x:c>
      <x:c r="I10" s="84" t="inlineStr">
        <x:is>
          <x:t xml:space="preserve">ContextMenu playground Props custom slot toggles; Anatomy/Inspector raw Data; Source view.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Public API</x:t>
        </x:is>
      </x:c>
      <x:c r="C11" s="84" t="inlineStr">
        <x:is>
          <x:t xml:space="preserve">Root</x:t>
        </x:is>
      </x:c>
      <x:c r="D11" s="84" t="inlineStr">
        <x:is>
          <x:t xml:space="preserve">open prop controls context menu visibility</x:t>
        </x:is>
      </x:c>
      <x:c r="E11" s="76" t="inlineStr">
        <x:is>
          <x:t xml:space="preserve">yes</x:t>
        </x:is>
      </x:c>
      <x:c r="F11" s="76" t="inlineStr">
        <x:is>
          <x:t xml:space="preserve">yes</x:t>
        </x:is>
      </x:c>
      <x:c r="G11" s="73" t="inlineStr">
        <x:is>
          <x:t xml:space="preserve">passed manual test</x:t>
        </x:is>
      </x:c>
      <x:c r="H11" s="92" t="inlineStr">
        <x:is>
          <x:t xml:space="preserve">covered</x:t>
        </x:is>
      </x:c>
      <x:c r="I11" s="84" t="inlineStr">
        <x:is>
          <x:t xml:space="preserve">ContextMenu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Public API</x:t>
        </x:is>
      </x:c>
      <x:c r="C12" s="84" t="inlineStr">
        <x:is>
          <x:t xml:space="preserve">Root</x:t>
        </x:is>
      </x:c>
      <x:c r="D12" s="84" t="inlineStr">
        <x:is>
          <x:t xml:space="preserve">defaultOpen initializes uncontrolled open state</x:t>
        </x:is>
      </x:c>
      <x:c r="E12" s="76" t="inlineStr">
        <x:is>
          <x:t xml:space="preserve">yes</x:t>
        </x:is>
      </x:c>
      <x:c r="F12" s="76" t="inlineStr">
        <x:is>
          <x:t xml:space="preserve">yes</x:t>
        </x:is>
      </x:c>
      <x:c r="G12" s="73" t="inlineStr">
        <x:is>
          <x:t xml:space="preserve">passed manual test</x:t>
        </x:is>
      </x:c>
      <x:c r="H12" s="92" t="inlineStr">
        <x:is>
          <x:t xml:space="preserve">covered</x:t>
        </x:is>
      </x:c>
      <x:c r="I12" s="84" t="inlineStr">
        <x:is>
          <x:t xml:space="preserve">ContextMenu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Public API</x:t>
        </x:is>
      </x:c>
      <x:c r="C13" s="84" t="inlineStr">
        <x:is>
          <x:t xml:space="preserve">Root</x:t>
        </x:is>
      </x:c>
      <x:c r="D13" s="84" t="inlineStr">
        <x:is>
          <x:t xml:space="preserve">onOpenChange fires on open and close</x:t>
        </x:is>
      </x:c>
      <x:c r="E13" s="76" t="inlineStr">
        <x:is>
          <x:t xml:space="preserve">yes</x:t>
        </x:is>
      </x:c>
      <x:c r="F13" s="76" t="inlineStr">
        <x:is>
          <x:t xml:space="preserve">yes</x:t>
        </x:is>
      </x:c>
      <x:c r="G13" s="73" t="inlineStr">
        <x:is>
          <x:t xml:space="preserve">passed manual test</x:t>
        </x:is>
      </x:c>
      <x:c r="H13" s="92" t="inlineStr">
        <x:is>
          <x:t xml:space="preserve">covered</x:t>
        </x:is>
      </x:c>
      <x:c r="I13" s="84" t="inlineStr">
        <x:is>
          <x:t xml:space="preserve">ContextMenu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Public API</x:t>
        </x:is>
      </x:c>
      <x:c r="C14" s="84" t="inlineStr">
        <x:is>
          <x:t xml:space="preserve">Root</x:t>
        </x:is>
      </x:c>
      <x:c r="D14" s="84" t="inlineStr">
        <x:is>
          <x:t xml:space="preserve">modal true locks scroll while open</x:t>
        </x:is>
      </x:c>
      <x:c r="E14" s="76" t="inlineStr">
        <x:is>
          <x:t xml:space="preserve">yes</x:t>
        </x:is>
      </x:c>
      <x:c r="F14" s="76" t="inlineStr">
        <x:is>
          <x:t xml:space="preserve">yes</x:t>
        </x:is>
      </x:c>
      <x:c r="G14" s="73" t="inlineStr">
        <x:is>
          <x:t xml:space="preserve">passed manual test</x:t>
        </x:is>
      </x:c>
      <x:c r="H14" s="92" t="inlineStr">
        <x:is>
          <x:t xml:space="preserve">covered</x:t>
        </x:is>
      </x:c>
      <x:c r="I14" s="84" t="inlineStr">
        <x:is>
          <x:t xml:space="preserve">ContextMenu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Public API</x:t>
        </x:is>
      </x:c>
      <x:c r="C15" s="84" t="inlineStr">
        <x:is>
          <x:t xml:space="preserve">Root</x:t>
        </x:is>
      </x:c>
      <x:c r="D15" s="84" t="inlineStr">
        <x:is>
          <x:t xml:space="preserve">modal false leaves page scroll unlocked</x:t>
        </x:is>
      </x:c>
      <x:c r="E15" s="76" t="inlineStr">
        <x:is>
          <x:t xml:space="preserve">yes</x:t>
        </x:is>
      </x:c>
      <x:c r="F15" s="76" t="inlineStr">
        <x:is>
          <x:t xml:space="preserve">yes</x:t>
        </x:is>
      </x:c>
      <x:c r="G15" s="73" t="inlineStr">
        <x:is>
          <x:t xml:space="preserve">passed manual test</x:t>
        </x:is>
      </x:c>
      <x:c r="H15" s="92" t="inlineStr">
        <x:is>
          <x:t xml:space="preserve">covered</x:t>
        </x:is>
      </x:c>
      <x:c r="I15" s="84" t="inlineStr">
        <x:is>
          <x:t xml:space="preserve">ContextMenu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Public API</x:t>
        </x:is>
      </x:c>
      <x:c r="C16" s="84" t="inlineStr">
        <x:is>
          <x:t xml:space="preserve">Root</x:t>
        </x:is>
      </x:c>
      <x:c r="D16" s="84" t="inlineStr">
        <x:is>
          <x:t xml:space="preserve">closeOnSelect true closes action items</x:t>
        </x:is>
      </x:c>
      <x:c r="E16" s="76" t="inlineStr">
        <x:is>
          <x:t xml:space="preserve">yes</x:t>
        </x:is>
      </x:c>
      <x:c r="F16" s="76" t="inlineStr">
        <x:is>
          <x:t xml:space="preserve">yes</x:t>
        </x:is>
      </x:c>
      <x:c r="G16" s="73" t="inlineStr">
        <x:is>
          <x:t xml:space="preserve">passed manual test</x:t>
        </x:is>
      </x:c>
      <x:c r="H16" s="92" t="inlineStr">
        <x:is>
          <x:t xml:space="preserve">covered</x:t>
        </x:is>
      </x:c>
      <x:c r="I16" s="84" t="inlineStr">
        <x:is>
          <x:t xml:space="preserve">ContextMenu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Public API</x:t>
        </x:is>
      </x:c>
      <x:c r="C17" s="84" t="inlineStr">
        <x:is>
          <x:t xml:space="preserve">Root</x:t>
        </x:is>
      </x:c>
      <x:c r="D17" s="84" t="inlineStr">
        <x:is>
          <x:t xml:space="preserve">closeOnSelect false keeps menu open after item select</x:t>
        </x:is>
      </x:c>
      <x:c r="E17" s="76" t="inlineStr">
        <x:is>
          <x:t xml:space="preserve">yes</x:t>
        </x:is>
      </x:c>
      <x:c r="F17" s="76" t="inlineStr">
        <x:is>
          <x:t xml:space="preserve">yes</x:t>
        </x:is>
      </x:c>
      <x:c r="G17" s="73" t="inlineStr">
        <x:is>
          <x:t xml:space="preserve">passed manual test</x:t>
        </x:is>
      </x:c>
      <x:c r="H17" s="92" t="inlineStr">
        <x:is>
          <x:t xml:space="preserve">covered</x:t>
        </x:is>
      </x:c>
      <x:c r="I17" s="84" t="inlineStr">
        <x:is>
          <x:t xml:space="preserve">ContextMenu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Public API</x:t>
        </x:is>
      </x:c>
      <x:c r="C18" s="84" t="inlineStr">
        <x:is>
          <x:t xml:space="preserve">Root</x:t>
        </x:is>
      </x:c>
      <x:c r="D18" s="84" t="inlineStr">
        <x:is>
          <x:t xml:space="preserve">loop true wraps keyboard highlight</x:t>
        </x:is>
      </x:c>
      <x:c r="E18" s="76" t="inlineStr">
        <x:is>
          <x:t xml:space="preserve">yes</x:t>
        </x:is>
      </x:c>
      <x:c r="F18" s="76" t="inlineStr">
        <x:is>
          <x:t xml:space="preserve">yes</x:t>
        </x:is>
      </x:c>
      <x:c r="G18" s="73" t="inlineStr">
        <x:is>
          <x:t xml:space="preserve">passed manual test</x:t>
        </x:is>
      </x:c>
      <x:c r="H18" s="92" t="inlineStr">
        <x:is>
          <x:t xml:space="preserve">covered</x:t>
        </x:is>
      </x:c>
      <x:c r="I18" s="84" t="inlineStr">
        <x:is>
          <x:t xml:space="preserve">ContextMenu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Public API</x:t>
        </x:is>
      </x:c>
      <x:c r="C19" s="84" t="inlineStr">
        <x:is>
          <x:t xml:space="preserve">Root</x:t>
        </x:is>
      </x:c>
      <x:c r="D19" s="84" t="inlineStr">
        <x:is>
          <x:t xml:space="preserve">loop false stops at first and last item</x:t>
        </x:is>
      </x:c>
      <x:c r="E19" s="76" t="inlineStr">
        <x:is>
          <x:t xml:space="preserve">yes</x:t>
        </x:is>
      </x:c>
      <x:c r="F19" s="76" t="inlineStr">
        <x:is>
          <x:t xml:space="preserve">yes</x:t>
        </x:is>
      </x:c>
      <x:c r="G19" s="73" t="inlineStr">
        <x:is>
          <x:t xml:space="preserve">passed manual test</x:t>
        </x:is>
      </x:c>
      <x:c r="H19" s="92" t="inlineStr">
        <x:is>
          <x:t xml:space="preserve">covered</x:t>
        </x:is>
      </x:c>
      <x:c r="I19" s="84" t="inlineStr">
        <x:is>
          <x:t xml:space="preserve">ContextMenu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Public API</x:t>
        </x:is>
      </x:c>
      <x:c r="C20" s="84" t="inlineStr">
        <x:is>
          <x:t xml:space="preserve">Root</x:t>
        </x:is>
      </x:c>
      <x:c r="D20" s="84" t="inlineStr">
        <x:is>
          <x:t xml:space="preserve">closeOnEscape true closes on Escape</x:t>
        </x:is>
      </x:c>
      <x:c r="E20" s="76" t="inlineStr">
        <x:is>
          <x:t xml:space="preserve">yes</x:t>
        </x:is>
      </x:c>
      <x:c r="F20" s="76" t="inlineStr">
        <x:is>
          <x:t xml:space="preserve">yes</x:t>
        </x:is>
      </x:c>
      <x:c r="G20" s="73" t="inlineStr">
        <x:is>
          <x:t xml:space="preserve">passed manual test</x:t>
        </x:is>
      </x:c>
      <x:c r="H20" s="92" t="inlineStr">
        <x:is>
          <x:t xml:space="preserve">covered</x:t>
        </x:is>
      </x:c>
      <x:c r="I20" s="84" t="inlineStr">
        <x:is>
          <x:t xml:space="preserve">ContextMenu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Public API</x:t>
        </x:is>
      </x:c>
      <x:c r="C21" s="84" t="inlineStr">
        <x:is>
          <x:t xml:space="preserve">Root</x:t>
        </x:is>
      </x:c>
      <x:c r="D21" s="84" t="inlineStr">
        <x:is>
          <x:t xml:space="preserve">closeOnEscape false ignores Escape</x:t>
        </x:is>
      </x:c>
      <x:c r="E21" s="76" t="inlineStr">
        <x:is>
          <x:t xml:space="preserve">yes</x:t>
        </x:is>
      </x:c>
      <x:c r="F21" s="76" t="inlineStr">
        <x:is>
          <x:t xml:space="preserve">yes</x:t>
        </x:is>
      </x:c>
      <x:c r="G21" s="73" t="inlineStr">
        <x:is>
          <x:t xml:space="preserve">passed manual test</x:t>
        </x:is>
      </x:c>
      <x:c r="H21" s="92" t="inlineStr">
        <x:is>
          <x:t xml:space="preserve">covered</x:t>
        </x:is>
      </x:c>
      <x:c r="I21" s="84" t="inlineStr">
        <x:is>
          <x:t xml:space="preserve">ContextMenu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Public API</x:t>
        </x:is>
      </x:c>
      <x:c r="C22" s="84" t="inlineStr">
        <x:is>
          <x:t xml:space="preserve">Root</x:t>
        </x:is>
      </x:c>
      <x:c r="D22" s="84" t="inlineStr">
        <x:is>
          <x:t xml:space="preserve">right-click anchor point controls content position</x:t>
        </x:is>
      </x:c>
      <x:c r="E22" s="76" t="inlineStr">
        <x:is>
          <x:t xml:space="preserve">yes</x:t>
        </x:is>
      </x:c>
      <x:c r="F22" s="76" t="inlineStr">
        <x:is>
          <x:t xml:space="preserve">yes</x:t>
        </x:is>
      </x:c>
      <x:c r="G22" s="73" t="inlineStr">
        <x:is>
          <x:t xml:space="preserve">passed manual test</x:t>
        </x:is>
      </x:c>
      <x:c r="H22" s="92" t="inlineStr">
        <x:is>
          <x:t xml:space="preserve">covered</x:t>
        </x:is>
      </x:c>
      <x:c r="I22" s="84" t="inlineStr">
        <x:is>
          <x:t xml:space="preserve">ContextMenu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Public API</x:t>
        </x:is>
      </x:c>
      <x:c r="C23" s="84" t="inlineStr">
        <x:is>
          <x:t xml:space="preserve">Root</x:t>
        </x:is>
      </x:c>
      <x:c r="D23" s="84" t="inlineStr">
        <x:is>
          <x:t xml:space="preserve">keyboard anchor point uses trigger bounds</x:t>
        </x:is>
      </x:c>
      <x:c r="E23" s="76" t="inlineStr">
        <x:is>
          <x:t xml:space="preserve">yes</x:t>
        </x:is>
      </x:c>
      <x:c r="F23" s="76" t="inlineStr">
        <x:is>
          <x:t xml:space="preserve">yes</x:t>
        </x:is>
      </x:c>
      <x:c r="G23" s="73" t="inlineStr">
        <x:is>
          <x:t xml:space="preserve">passed manual test</x:t>
        </x:is>
      </x:c>
      <x:c r="H23" s="92" t="inlineStr">
        <x:is>
          <x:t xml:space="preserve">covered</x:t>
        </x:is>
      </x:c>
      <x:c r="I23" s="84" t="inlineStr">
        <x:is>
          <x:t xml:space="preserve">ContextMenu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Public API</x:t>
        </x:is>
      </x:c>
      <x:c r="C24" s="84" t="inlineStr">
        <x:is>
          <x:t xml:space="preserve">Trigger</x:t>
        </x:is>
      </x:c>
      <x:c r="D24" s="84" t="inlineStr">
        <x:is>
          <x:t xml:space="preserve">renders span by default</x:t>
        </x:is>
      </x:c>
      <x:c r="E24" s="76" t="inlineStr">
        <x:is>
          <x:t xml:space="preserve">yes</x:t>
        </x:is>
      </x:c>
      <x:c r="F24" s="76" t="inlineStr">
        <x:is>
          <x:t xml:space="preserve">yes</x:t>
        </x:is>
      </x:c>
      <x:c r="G24" s="73" t="inlineStr">
        <x:is>
          <x:t xml:space="preserve">passed manual test</x:t>
        </x:is>
      </x:c>
      <x:c r="H24" s="92" t="inlineStr">
        <x:is>
          <x:t xml:space="preserve">covered</x:t>
        </x:is>
      </x:c>
      <x:c r="I24" s="84" t="inlineStr">
        <x:is>
          <x:t xml:space="preserve">ContextMenu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Public API</x:t>
        </x:is>
      </x:c>
      <x:c r="C25" s="84" t="inlineStr">
        <x:is>
          <x:t xml:space="preserve">Trigger</x:t>
        </x:is>
      </x:c>
      <x:c r="D25" s="84" t="inlineStr">
        <x:is>
          <x:t xml:space="preserve">default trigger uses display contents</x:t>
        </x:is>
      </x:c>
      <x:c r="E25" s="76" t="inlineStr">
        <x:is>
          <x:t xml:space="preserve">yes</x:t>
        </x:is>
      </x:c>
      <x:c r="F25" s="76" t="inlineStr">
        <x:is>
          <x:t xml:space="preserve">yes</x:t>
        </x:is>
      </x:c>
      <x:c r="G25" s="73" t="inlineStr">
        <x:is>
          <x:t xml:space="preserve">passed manual test</x:t>
        </x:is>
      </x:c>
      <x:c r="H25" s="92" t="inlineStr">
        <x:is>
          <x:t xml:space="preserve">covered</x:t>
        </x:is>
      </x:c>
      <x:c r="I25" s="84" t="inlineStr">
        <x:is>
          <x:t xml:space="preserve">ContextMenu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Public API</x:t>
        </x:is>
      </x:c>
      <x:c r="C26" s="84" t="inlineStr">
        <x:is>
          <x:t xml:space="preserve">Trigger</x:t>
        </x:is>
      </x:c>
      <x:c r="D26" s="84" t="inlineStr">
        <x:is>
          <x:t xml:space="preserve">trigger id is stable and present</x:t>
        </x:is>
      </x:c>
      <x:c r="E26" s="76" t="inlineStr">
        <x:is>
          <x:t xml:space="preserve">yes</x:t>
        </x:is>
      </x:c>
      <x:c r="F26" s="76" t="inlineStr">
        <x:is>
          <x:t xml:space="preserve">yes</x:t>
        </x:is>
      </x:c>
      <x:c r="G26" s="73" t="inlineStr">
        <x:is>
          <x:t xml:space="preserve">passed manual test</x:t>
        </x:is>
      </x:c>
      <x:c r="H26" s="92" t="inlineStr">
        <x:is>
          <x:t xml:space="preserve">covered</x:t>
        </x:is>
      </x:c>
      <x:c r="I26" s="84" t="inlineStr">
        <x:is>
          <x:t xml:space="preserve">ContextMenu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Public API</x:t>
        </x:is>
      </x:c>
      <x:c r="C27" s="84" t="inlineStr">
        <x:is>
          <x:t xml:space="preserve">Trigger</x:t>
        </x:is>
      </x:c>
      <x:c r="D27" s="84" t="inlineStr">
        <x:is>
          <x:t xml:space="preserve">data-slot is context-menu-trigger</x:t>
        </x:is>
      </x:c>
      <x:c r="E27" s="76" t="inlineStr">
        <x:is>
          <x:t xml:space="preserve">yes</x:t>
        </x:is>
      </x:c>
      <x:c r="F27" s="76" t="inlineStr">
        <x:is>
          <x:t xml:space="preserve">yes</x:t>
        </x:is>
      </x:c>
      <x:c r="G27" s="73" t="inlineStr">
        <x:is>
          <x:t xml:space="preserve">passed manual test</x:t>
        </x:is>
      </x:c>
      <x:c r="H27" s="92" t="inlineStr">
        <x:is>
          <x:t xml:space="preserve">covered</x:t>
        </x:is>
      </x:c>
      <x:c r="I27" s="84" t="inlineStr">
        <x:is>
          <x:t xml:space="preserve">ContextMenu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Public API</x:t>
        </x:is>
      </x:c>
      <x:c r="C28" s="84" t="inlineStr">
        <x:is>
          <x:t xml:space="preserve">Trigger</x:t>
        </x:is>
      </x:c>
      <x:c r="D28" s="84" t="inlineStr">
        <x:is>
          <x:t xml:space="preserve">data-state reflects open and closed</x:t>
        </x:is>
      </x:c>
      <x:c r="E28" s="76" t="inlineStr">
        <x:is>
          <x:t xml:space="preserve">yes</x:t>
        </x:is>
      </x:c>
      <x:c r="F28" s="76" t="inlineStr">
        <x:is>
          <x:t xml:space="preserve">yes</x:t>
        </x:is>
      </x:c>
      <x:c r="G28" s="73" t="inlineStr">
        <x:is>
          <x:t xml:space="preserve">passed manual test</x:t>
        </x:is>
      </x:c>
      <x:c r="H28" s="92" t="inlineStr">
        <x:is>
          <x:t xml:space="preserve">covered</x:t>
        </x:is>
      </x:c>
      <x:c r="I28" s="84" t="inlineStr">
        <x:is>
          <x:t xml:space="preserve">ContextMenu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Trigger</x:t>
        </x:is>
      </x:c>
      <x:c r="D29" s="84" t="inlineStr">
        <x:is>
          <x:t xml:space="preserve">disabled trigger exposes data-disabled flag</x:t>
        </x:is>
      </x:c>
      <x:c r="E29" s="76" t="inlineStr">
        <x:is>
          <x:t xml:space="preserve">yes</x:t>
        </x:is>
      </x:c>
      <x:c r="F29" s="76" t="inlineStr">
        <x:is>
          <x:t xml:space="preserve">yes</x:t>
        </x:is>
      </x:c>
      <x:c r="G29" s="73" t="inlineStr">
        <x:is>
          <x:t xml:space="preserve">passed manual test</x:t>
        </x:is>
      </x:c>
      <x:c r="H29" s="92" t="inlineStr">
        <x:is>
          <x:t xml:space="preserve">covered</x:t>
        </x:is>
      </x:c>
      <x:c r="I29" s="84" t="inlineStr">
        <x:is>
          <x:t xml:space="preserve">ContextMenu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Trigger</x:t>
        </x:is>
      </x:c>
      <x:c r="D30" s="84" t="inlineStr">
        <x:is>
          <x:t xml:space="preserve">right click prevents native browser menu</x:t>
        </x:is>
      </x:c>
      <x:c r="E30" s="76" t="inlineStr">
        <x:is>
          <x:t xml:space="preserve">yes</x:t>
        </x:is>
      </x:c>
      <x:c r="F30" s="76" t="inlineStr">
        <x:is>
          <x:t xml:space="preserve">yes</x:t>
        </x:is>
      </x:c>
      <x:c r="G30" s="73" t="inlineStr">
        <x:is>
          <x:t xml:space="preserve">passed manual test</x:t>
        </x:is>
      </x:c>
      <x:c r="H30" s="92" t="inlineStr">
        <x:is>
          <x:t xml:space="preserve">covered</x:t>
        </x:is>
      </x:c>
      <x:c r="I30" s="84" t="inlineStr">
        <x:is>
          <x:t xml:space="preserve">ContextMenu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Trigger</x:t>
        </x:is>
      </x:c>
      <x:c r="D31" s="84" t="inlineStr">
        <x:is>
          <x:t xml:space="preserve">right click opens context menu</x:t>
        </x:is>
      </x:c>
      <x:c r="E31" s="76" t="inlineStr">
        <x:is>
          <x:t xml:space="preserve">yes</x:t>
        </x:is>
      </x:c>
      <x:c r="F31" s="76" t="inlineStr">
        <x:is>
          <x:t xml:space="preserve">yes</x:t>
        </x:is>
      </x:c>
      <x:c r="G31" s="73" t="inlineStr">
        <x:is>
          <x:t xml:space="preserve">passed manual test</x:t>
        </x:is>
      </x:c>
      <x:c r="H31" s="92" t="inlineStr">
        <x:is>
          <x:t xml:space="preserve">covered</x:t>
        </x:is>
      </x:c>
      <x:c r="I31" s="84" t="inlineStr">
        <x:is>
          <x:t xml:space="preserve">ContextMenu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Trigger</x:t>
        </x:is>
      </x:c>
      <x:c r="D32" s="84" t="inlineStr">
        <x:is>
          <x:t xml:space="preserve">disabled right click does not open menu</x:t>
        </x:is>
      </x:c>
      <x:c r="E32" s="76" t="inlineStr">
        <x:is>
          <x:t xml:space="preserve">yes</x:t>
        </x:is>
      </x:c>
      <x:c r="F32" s="76" t="inlineStr">
        <x:is>
          <x:t xml:space="preserve">yes</x:t>
        </x:is>
      </x:c>
      <x:c r="G32" s="73" t="inlineStr">
        <x:is>
          <x:t xml:space="preserve">passed manual test</x:t>
        </x:is>
      </x:c>
      <x:c r="H32" s="92" t="inlineStr">
        <x:is>
          <x:t xml:space="preserve">covered</x:t>
        </x:is>
      </x:c>
      <x:c r="I32" s="84" t="inlineStr">
        <x:is>
          <x:t xml:space="preserve">ContextMenu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Trigger</x:t>
        </x:is>
      </x:c>
      <x:c r="D33" s="84" t="inlineStr">
        <x:is>
          <x:t xml:space="preserve">Shift+F10 opens context menu</x:t>
        </x:is>
      </x:c>
      <x:c r="E33" s="76" t="inlineStr">
        <x:is>
          <x:t xml:space="preserve">yes</x:t>
        </x:is>
      </x:c>
      <x:c r="F33" s="76" t="inlineStr">
        <x:is>
          <x:t xml:space="preserve">yes</x:t>
        </x:is>
      </x:c>
      <x:c r="G33" s="73" t="inlineStr">
        <x:is>
          <x:t xml:space="preserve">passed manual test</x:t>
        </x:is>
      </x:c>
      <x:c r="H33" s="92" t="inlineStr">
        <x:is>
          <x:t xml:space="preserve">covered</x:t>
        </x:is>
      </x:c>
      <x:c r="I33" s="84" t="inlineStr">
        <x:is>
          <x:t xml:space="preserve">ContextMenu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Trigger</x:t>
        </x:is>
      </x:c>
      <x:c r="D34" s="84" t="inlineStr">
        <x:is>
          <x:t xml:space="preserve">ContextMenu key opens context menu</x:t>
        </x:is>
      </x:c>
      <x:c r="E34" s="76" t="inlineStr">
        <x:is>
          <x:t xml:space="preserve">yes</x:t>
        </x:is>
      </x:c>
      <x:c r="F34" s="76" t="inlineStr">
        <x:is>
          <x:t xml:space="preserve">yes</x:t>
        </x:is>
      </x:c>
      <x:c r="G34" s="73" t="inlineStr">
        <x:is>
          <x:t xml:space="preserve">passed manual test</x:t>
        </x:is>
      </x:c>
      <x:c r="H34" s="92" t="inlineStr">
        <x:is>
          <x:t xml:space="preserve">covered</x:t>
        </x:is>
      </x:c>
      <x:c r="I34" s="84" t="inlineStr">
        <x:is>
          <x:t xml:space="preserve">ContextMenu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Trigger</x:t>
        </x:is>
      </x:c>
      <x:c r="D35" s="84" t="inlineStr">
        <x:is>
          <x:t xml:space="preserve">consumer onContextMenu runs before Atom open</x:t>
        </x:is>
      </x:c>
      <x:c r="E35" s="76" t="inlineStr">
        <x:is>
          <x:t xml:space="preserve">yes</x:t>
        </x:is>
      </x:c>
      <x:c r="F35" s="76" t="inlineStr">
        <x:is>
          <x:t xml:space="preserve">yes</x:t>
        </x:is>
      </x:c>
      <x:c r="G35" s="73" t="inlineStr">
        <x:is>
          <x:t xml:space="preserve">passed manual test</x:t>
        </x:is>
      </x:c>
      <x:c r="H35" s="92" t="inlineStr">
        <x:is>
          <x:t xml:space="preserve">covered</x:t>
        </x:is>
      </x:c>
      <x:c r="I35" s="84" t="inlineStr">
        <x:is>
          <x:t xml:space="preserve">ContextMenu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Trigger</x:t>
        </x:is>
      </x:c>
      <x:c r="D36" s="84" t="inlineStr">
        <x:is>
          <x:t xml:space="preserve">consumer onContextMenu can prevent Atom open</x:t>
        </x:is>
      </x:c>
      <x:c r="E36" s="76" t="inlineStr">
        <x:is>
          <x:t xml:space="preserve">yes</x:t>
        </x:is>
      </x:c>
      <x:c r="F36" s="76" t="inlineStr">
        <x:is>
          <x:t xml:space="preserve">yes</x:t>
        </x:is>
      </x:c>
      <x:c r="G36" s="73" t="inlineStr">
        <x:is>
          <x:t xml:space="preserve">passed manual test</x:t>
        </x:is>
      </x:c>
      <x:c r="H36" s="92" t="inlineStr">
        <x:is>
          <x:t xml:space="preserve">covered</x:t>
        </x:is>
      </x:c>
      <x:c r="I36" s="84" t="inlineStr">
        <x:is>
          <x:t xml:space="preserve">ContextMenu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Trigger</x:t>
        </x:is>
      </x:c>
      <x:c r="D37" s="84" t="inlineStr">
        <x:is>
          <x:t xml:space="preserve">consumer onKeyDown can prevent keyboard open</x:t>
        </x:is>
      </x:c>
      <x:c r="E37" s="76" t="inlineStr">
        <x:is>
          <x:t xml:space="preserve">yes</x:t>
        </x:is>
      </x:c>
      <x:c r="F37" s="76" t="inlineStr">
        <x:is>
          <x:t xml:space="preserve">yes</x:t>
        </x:is>
      </x:c>
      <x:c r="G37" s="73" t="inlineStr">
        <x:is>
          <x:t xml:space="preserve">passed manual test</x:t>
        </x:is>
      </x:c>
      <x:c r="H37" s="92" t="inlineStr">
        <x:is>
          <x:t xml:space="preserve">covered</x:t>
        </x:is>
      </x:c>
      <x:c r="I37" s="84" t="inlineStr">
        <x:is>
          <x:t xml:space="preserve">ContextMenu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30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Trigger</x:t>
        </x:is>
      </x:c>
      <x:c r="D38" s="84" t="inlineStr">
        <x:is>
          <x:t xml:space="preserve">native className and data props pass through</x:t>
        </x:is>
      </x:c>
      <x:c r="E38" s="76" t="inlineStr">
        <x:is>
          <x:t xml:space="preserve">yes</x:t>
        </x:is>
      </x:c>
      <x:c r="F38" s="76" t="inlineStr">
        <x:is>
          <x:t xml:space="preserve">yes</x:t>
        </x:is>
      </x:c>
      <x:c r="G38" s="73" t="inlineStr">
        <x:is>
          <x:t xml:space="preserve">passed manual test</x:t>
        </x:is>
      </x:c>
      <x:c r="H38" s="92" t="inlineStr">
        <x:is>
          <x:t xml:space="preserve">covered</x:t>
        </x:is>
      </x:c>
      <x:c r="I38" s="84" t="inlineStr">
        <x:is>
          <x:t xml:space="preserve">ContextMenu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Trigger</x:t>
        </x:is>
      </x:c>
      <x:c r="D39" s="84" t="inlineStr">
        <x:is>
          <x:t xml:space="preserve">asChild trigger preserves child content without nesting</x:t>
        </x:is>
      </x:c>
      <x:c r="E39" s="76" t="inlineStr">
        <x:is>
          <x:t xml:space="preserve">yes</x:t>
        </x:is>
      </x:c>
      <x:c r="F39" s="76" t="inlineStr">
        <x:is>
          <x:t xml:space="preserve">yes</x:t>
        </x:is>
      </x:c>
      <x:c r="G39" s="73" t="inlineStr">
        <x:is>
          <x:t xml:space="preserve">passed manual test</x:t>
        </x:is>
      </x:c>
      <x:c r="H39" s="92" t="inlineStr">
        <x:is>
          <x:t xml:space="preserve">covered</x:t>
        </x:is>
      </x:c>
      <x:c r="I39" s="84" t="inlineStr">
        <x:is>
          <x:t xml:space="preserve">ContextMenu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Trigger</x:t>
        </x:is>
      </x:c>
      <x:c r="D40" s="84" t="inlineStr">
        <x:is>
          <x:t xml:space="preserve">asChild trigger receives ContextMenu trigger data attributes</x:t>
        </x:is>
      </x:c>
      <x:c r="E40" s="76" t="inlineStr">
        <x:is>
          <x:t xml:space="preserve">yes</x:t>
        </x:is>
      </x:c>
      <x:c r="F40" s="76" t="inlineStr">
        <x:is>
          <x:t xml:space="preserve">yes</x:t>
        </x:is>
      </x:c>
      <x:c r="G40" s="73" t="inlineStr">
        <x:is>
          <x:t xml:space="preserve">passed manual test</x:t>
        </x:is>
      </x:c>
      <x:c r="H40" s="92" t="inlineStr">
        <x:is>
          <x:t xml:space="preserve">covered</x:t>
        </x:is>
      </x:c>
      <x:c r="I40" s="84" t="inlineStr">
        <x:is>
          <x:t xml:space="preserve">ContextMenu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Public API</x:t>
        </x:is>
      </x:c>
      <x:c r="C41" s="84" t="inlineStr">
        <x:is>
          <x:t xml:space="preserve">Trigger</x:t>
        </x:is>
      </x:c>
      <x:c r="D41" s="84" t="inlineStr">
        <x:is>
          <x:t xml:space="preserve">render trigger preserves custom element content</x:t>
        </x:is>
      </x:c>
      <x:c r="E41" s="76" t="inlineStr">
        <x:is>
          <x:t xml:space="preserve">yes</x:t>
        </x:is>
      </x:c>
      <x:c r="F41" s="76" t="inlineStr">
        <x:is>
          <x:t xml:space="preserve">yes</x:t>
        </x:is>
      </x:c>
      <x:c r="G41" s="73" t="inlineStr">
        <x:is>
          <x:t xml:space="preserve">passed manual test</x:t>
        </x:is>
      </x:c>
      <x:c r="H41" s="92" t="inlineStr">
        <x:is>
          <x:t xml:space="preserve">covered</x:t>
        </x:is>
      </x:c>
      <x:c r="I41" s="84" t="inlineStr">
        <x:is>
          <x:t xml:space="preserve">ContextMenu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Public API</x:t>
        </x:is>
      </x:c>
      <x:c r="C42" s="84" t="inlineStr">
        <x:is>
          <x:t xml:space="preserve">Trigger</x:t>
        </x:is>
      </x:c>
      <x:c r="D42" s="84" t="inlineStr">
        <x:is>
          <x:t xml:space="preserve">render trigger receives ContextMenu trigger data attributes</x:t>
        </x:is>
      </x:c>
      <x:c r="E42" s="76" t="inlineStr">
        <x:is>
          <x:t xml:space="preserve">yes</x:t>
        </x:is>
      </x:c>
      <x:c r="F42" s="76" t="inlineStr">
        <x:is>
          <x:t xml:space="preserve">yes</x:t>
        </x:is>
      </x:c>
      <x:c r="G42" s="73" t="inlineStr">
        <x:is>
          <x:t xml:space="preserve">passed manual test</x:t>
        </x:is>
      </x:c>
      <x:c r="H42" s="92" t="inlineStr">
        <x:is>
          <x:t xml:space="preserve">covered</x:t>
        </x:is>
      </x:c>
      <x:c r="I42" s="84" t="inlineStr">
        <x:is>
          <x:t xml:space="preserve">ContextMenu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Content</x:t>
        </x:is>
      </x:c>
      <x:c r="D43" s="84" t="inlineStr">
        <x:is>
          <x:t xml:space="preserve">renders only while open</x:t>
        </x:is>
      </x:c>
      <x:c r="E43" s="76" t="inlineStr">
        <x:is>
          <x:t xml:space="preserve">yes</x:t>
        </x:is>
      </x:c>
      <x:c r="F43" s="76" t="inlineStr">
        <x:is>
          <x:t xml:space="preserve">yes</x:t>
        </x:is>
      </x:c>
      <x:c r="G43" s="73" t="inlineStr">
        <x:is>
          <x:t xml:space="preserve">passed manual test</x:t>
        </x:is>
      </x:c>
      <x:c r="H43" s="92" t="inlineStr">
        <x:is>
          <x:t xml:space="preserve">covered</x:t>
        </x:is>
      </x:c>
      <x:c r="I43" s="84" t="inlineStr">
        <x:is>
          <x:t xml:space="preserve">ContextMenu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Content</x:t>
        </x:is>
      </x:c>
      <x:c r="D44" s="84" t="inlineStr">
        <x:is>
          <x:t xml:space="preserve">role is menu</x:t>
        </x:is>
      </x:c>
      <x:c r="E44" s="76" t="inlineStr">
        <x:is>
          <x:t xml:space="preserve">yes</x:t>
        </x:is>
      </x:c>
      <x:c r="F44" s="76" t="inlineStr">
        <x:is>
          <x:t xml:space="preserve">yes</x:t>
        </x:is>
      </x:c>
      <x:c r="G44" s="73" t="inlineStr">
        <x:is>
          <x:t xml:space="preserve">passed manual test</x:t>
        </x:is>
      </x:c>
      <x:c r="H44" s="92" t="inlineStr">
        <x:is>
          <x:t xml:space="preserve">covered</x:t>
        </x:is>
      </x:c>
      <x:c r="I44" s="84" t="inlineStr">
        <x:is>
          <x:t xml:space="preserve">ContextMenu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Public API</x:t>
        </x:is>
      </x:c>
      <x:c r="C45" s="84" t="inlineStr">
        <x:is>
          <x:t xml:space="preserve">Content</x:t>
        </x:is>
      </x:c>
      <x:c r="D45" s="84" t="inlineStr">
        <x:is>
          <x:t xml:space="preserve">aria-orientation is vertical</x:t>
        </x:is>
      </x:c>
      <x:c r="E45" s="76" t="inlineStr">
        <x:is>
          <x:t xml:space="preserve">yes</x:t>
        </x:is>
      </x:c>
      <x:c r="F45" s="76" t="inlineStr">
        <x:is>
          <x:t xml:space="preserve">yes</x:t>
        </x:is>
      </x:c>
      <x:c r="G45" s="73" t="inlineStr">
        <x:is>
          <x:t xml:space="preserve">passed manual test</x:t>
        </x:is>
      </x:c>
      <x:c r="H45" s="92" t="inlineStr">
        <x:is>
          <x:t xml:space="preserve">covered</x:t>
        </x:is>
      </x:c>
      <x:c r="I45" s="84" t="inlineStr">
        <x:is>
          <x:t xml:space="preserve">ContextMenu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Content</x:t>
        </x:is>
      </x:c>
      <x:c r="D46" s="84" t="inlineStr">
        <x:is>
          <x:t xml:space="preserve">aria-label prop names menu</x:t>
        </x:is>
      </x:c>
      <x:c r="E46" s="76" t="inlineStr">
        <x:is>
          <x:t xml:space="preserve">yes</x:t>
        </x:is>
      </x:c>
      <x:c r="F46" s="76" t="inlineStr">
        <x:is>
          <x:t xml:space="preserve">yes</x:t>
        </x:is>
      </x:c>
      <x:c r="G46" s="73" t="inlineStr">
        <x:is>
          <x:t xml:space="preserve">passed manual test</x:t>
        </x:is>
      </x:c>
      <x:c r="H46" s="92" t="inlineStr">
        <x:is>
          <x:t xml:space="preserve">covered</x:t>
        </x:is>
      </x:c>
      <x:c r="I46" s="84" t="inlineStr">
        <x:is>
          <x:t xml:space="preserve">ContextMenu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Public API</x:t>
        </x:is>
      </x:c>
      <x:c r="C47" s="84" t="inlineStr">
        <x:is>
          <x:t xml:space="preserve">Content</x:t>
        </x:is>
      </x:c>
      <x:c r="D47" s="84" t="inlineStr">
        <x:is>
          <x:t xml:space="preserve">aria-labelledby references trigger when ariaLabel is absent</x:t>
        </x:is>
      </x:c>
      <x:c r="E47" s="76" t="inlineStr">
        <x:is>
          <x:t xml:space="preserve">yes</x:t>
        </x:is>
      </x:c>
      <x:c r="F47" s="76" t="inlineStr">
        <x:is>
          <x:t xml:space="preserve">yes</x:t>
        </x:is>
      </x:c>
      <x:c r="G47" s="73" t="inlineStr">
        <x:is>
          <x:t xml:space="preserve">passed manual test</x:t>
        </x:is>
      </x:c>
      <x:c r="H47" s="92" t="inlineStr">
        <x:is>
          <x:t xml:space="preserve">covered</x:t>
        </x:is>
      </x:c>
      <x:c r="I47" s="84" t="inlineStr">
        <x:is>
          <x:t xml:space="preserve">ContextMenu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Public API</x:t>
        </x:is>
      </x:c>
      <x:c r="C48" s="84" t="inlineStr">
        <x:is>
          <x:t xml:space="preserve">Content</x:t>
        </x:is>
      </x:c>
      <x:c r="D48" s="84" t="inlineStr">
        <x:is>
          <x:t xml:space="preserve">tabindex attr is -1</x:t>
        </x:is>
      </x:c>
      <x:c r="E48" s="76" t="inlineStr">
        <x:is>
          <x:t xml:space="preserve">yes</x:t>
        </x:is>
      </x:c>
      <x:c r="F48" s="76" t="inlineStr">
        <x:is>
          <x:t xml:space="preserve">yes</x:t>
        </x:is>
      </x:c>
      <x:c r="G48" s="73" t="inlineStr">
        <x:is>
          <x:t xml:space="preserve">passed manual test</x:t>
        </x:is>
      </x:c>
      <x:c r="H48" s="92" t="inlineStr">
        <x:is>
          <x:t xml:space="preserve">covered</x:t>
        </x:is>
      </x:c>
      <x:c r="I48" s="84" t="inlineStr">
        <x:is>
          <x:t xml:space="preserve">ContextMenu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Public API</x:t>
        </x:is>
      </x:c>
      <x:c r="C49" s="84" t="inlineStr">
        <x:is>
          <x:t xml:space="preserve">Content</x:t>
        </x:is>
      </x:c>
      <x:c r="D49" s="84" t="inlineStr">
        <x:is>
          <x:t xml:space="preserve">id matches trigger aria-controls when available</x:t>
        </x:is>
      </x:c>
      <x:c r="E49" s="76" t="inlineStr">
        <x:is>
          <x:t xml:space="preserve">yes</x:t>
        </x:is>
      </x:c>
      <x:c r="F49" s="76" t="inlineStr">
        <x:is>
          <x:t xml:space="preserve">yes</x:t>
        </x:is>
      </x:c>
      <x:c r="G49" s="73" t="inlineStr">
        <x:is>
          <x:t xml:space="preserve">passed manual test</x:t>
        </x:is>
      </x:c>
      <x:c r="H49" s="92" t="inlineStr">
        <x:is>
          <x:t xml:space="preserve">covered</x:t>
        </x:is>
      </x:c>
      <x:c r="I49" s="84" t="inlineStr">
        <x:is>
          <x:t xml:space="preserve">ContextMenu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Content</x:t>
        </x:is>
      </x:c>
      <x:c r="D50" s="84" t="inlineStr">
        <x:is>
          <x:t xml:space="preserve">data-slot is menu-content</x:t>
        </x:is>
      </x:c>
      <x:c r="E50" s="76" t="inlineStr">
        <x:is>
          <x:t xml:space="preserve">yes</x:t>
        </x:is>
      </x:c>
      <x:c r="F50" s="76" t="inlineStr">
        <x:is>
          <x:t xml:space="preserve">yes</x:t>
        </x:is>
      </x:c>
      <x:c r="G50" s="73" t="inlineStr">
        <x:is>
          <x:t xml:space="preserve">passed manual test</x:t>
        </x:is>
      </x:c>
      <x:c r="H50" s="92" t="inlineStr">
        <x:is>
          <x:t xml:space="preserve">covered</x:t>
        </x:is>
      </x:c>
      <x:c r="I50" s="84" t="inlineStr">
        <x:is>
          <x:t xml:space="preserve">ContextMenu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Public API</x:t>
        </x:is>
      </x:c>
      <x:c r="C51" s="84" t="inlineStr">
        <x:is>
          <x:t xml:space="preserve">Content</x:t>
        </x:is>
      </x:c>
      <x:c r="D51" s="84" t="inlineStr">
        <x:is>
          <x:t xml:space="preserve">data-state is open</x:t>
        </x:is>
      </x:c>
      <x:c r="E51" s="76" t="inlineStr">
        <x:is>
          <x:t xml:space="preserve">yes</x:t>
        </x:is>
      </x:c>
      <x:c r="F51" s="76" t="inlineStr">
        <x:is>
          <x:t xml:space="preserve">yes</x:t>
        </x:is>
      </x:c>
      <x:c r="G51" s="73" t="inlineStr">
        <x:is>
          <x:t xml:space="preserve">passed manual test</x:t>
        </x:is>
      </x:c>
      <x:c r="H51" s="92" t="inlineStr">
        <x:is>
          <x:t xml:space="preserve">covered</x:t>
        </x:is>
      </x:c>
      <x:c r="I51" s="84" t="inlineStr">
        <x:is>
          <x:t xml:space="preserve">ContextMenu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Content</x:t>
        </x:is>
      </x:c>
      <x:c r="D52" s="84" t="inlineStr">
        <x:is>
          <x:t xml:space="preserve">data-side reflects final placement</x:t>
        </x:is>
      </x:c>
      <x:c r="E52" s="76" t="inlineStr">
        <x:is>
          <x:t xml:space="preserve">yes</x:t>
        </x:is>
      </x:c>
      <x:c r="F52" s="76" t="inlineStr">
        <x:is>
          <x:t xml:space="preserve">yes</x:t>
        </x:is>
      </x:c>
      <x:c r="G52" s="73" t="inlineStr">
        <x:is>
          <x:t xml:space="preserve">passed manual test</x:t>
        </x:is>
      </x:c>
      <x:c r="H52" s="92" t="inlineStr">
        <x:is>
          <x:t xml:space="preserve">covered</x:t>
        </x:is>
      </x:c>
      <x:c r="I52" s="84" t="inlineStr">
        <x:is>
          <x:t xml:space="preserve">ContextMenu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Content</x:t>
        </x:is>
      </x:c>
      <x:c r="D53" s="84" t="inlineStr">
        <x:is>
          <x:t xml:space="preserve">data-align reflects final placement</x:t>
        </x:is>
      </x:c>
      <x:c r="E53" s="76" t="inlineStr">
        <x:is>
          <x:t xml:space="preserve">yes</x:t>
        </x:is>
      </x:c>
      <x:c r="F53" s="76" t="inlineStr">
        <x:is>
          <x:t xml:space="preserve">yes</x:t>
        </x:is>
      </x:c>
      <x:c r="G53" s="73" t="inlineStr">
        <x:is>
          <x:t xml:space="preserve">passed manual test</x:t>
        </x:is>
      </x:c>
      <x:c r="H53" s="92" t="inlineStr">
        <x:is>
          <x:t xml:space="preserve">covered</x:t>
        </x:is>
      </x:c>
      <x:c r="I53" s="84" t="inlineStr">
        <x:is>
          <x:t xml:space="preserve">ContextMenu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Content</x:t>
        </x:is>
      </x:c>
      <x:c r="D54" s="84" t="inlineStr">
        <x:is>
          <x:t xml:space="preserve">data-positioned appears after positioning</x:t>
        </x:is>
      </x:c>
      <x:c r="E54" s="76" t="inlineStr">
        <x:is>
          <x:t xml:space="preserve">yes</x:t>
        </x:is>
      </x:c>
      <x:c r="F54" s="76" t="inlineStr">
        <x:is>
          <x:t xml:space="preserve">yes</x:t>
        </x:is>
      </x:c>
      <x:c r="G54" s="73" t="inlineStr">
        <x:is>
          <x:t xml:space="preserve">passed manual test</x:t>
        </x:is>
      </x:c>
      <x:c r="H54" s="92" t="inlineStr">
        <x:is>
          <x:t xml:space="preserve">covered</x:t>
        </x:is>
      </x:c>
      <x:c r="I54" s="84" t="inlineStr">
        <x:is>
          <x:t xml:space="preserve">ContextMenu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Content</x:t>
        </x:is>
      </x:c>
      <x:c r="D55" s="84" t="inlineStr">
        <x:is>
          <x:t xml:space="preserve">side prop changes placement</x:t>
        </x:is>
      </x:c>
      <x:c r="E55" s="76" t="inlineStr">
        <x:is>
          <x:t xml:space="preserve">yes</x:t>
        </x:is>
      </x:c>
      <x:c r="F55" s="76" t="inlineStr">
        <x:is>
          <x:t xml:space="preserve">yes</x:t>
        </x:is>
      </x:c>
      <x:c r="G55" s="73" t="inlineStr">
        <x:is>
          <x:t xml:space="preserve">passed manual test</x:t>
        </x:is>
      </x:c>
      <x:c r="H55" s="92" t="inlineStr">
        <x:is>
          <x:t xml:space="preserve">covered</x:t>
        </x:is>
      </x:c>
      <x:c r="I55" s="84" t="inlineStr">
        <x:is>
          <x:t xml:space="preserve">ContextMenu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Content</x:t>
        </x:is>
      </x:c>
      <x:c r="D56" s="84" t="inlineStr">
        <x:is>
          <x:t xml:space="preserve">align prop changes placement</x:t>
        </x:is>
      </x:c>
      <x:c r="E56" s="76" t="inlineStr">
        <x:is>
          <x:t xml:space="preserve">yes</x:t>
        </x:is>
      </x:c>
      <x:c r="F56" s="76" t="inlineStr">
        <x:is>
          <x:t xml:space="preserve">yes</x:t>
        </x:is>
      </x:c>
      <x:c r="G56" s="73" t="inlineStr">
        <x:is>
          <x:t xml:space="preserve">passed manual test</x:t>
        </x:is>
      </x:c>
      <x:c r="H56" s="92" t="inlineStr">
        <x:is>
          <x:t xml:space="preserve">covered</x:t>
        </x:is>
      </x:c>
      <x:c r="I56" s="84" t="inlineStr">
        <x:is>
          <x:t xml:space="preserve">ContextMenu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Public API</x:t>
        </x:is>
      </x:c>
      <x:c r="C57" s="84" t="inlineStr">
        <x:is>
          <x:t xml:space="preserve">Content</x:t>
        </x:is>
      </x:c>
      <x:c r="D57" s="84" t="inlineStr">
        <x:is>
          <x:t xml:space="preserve">sideOffset changes menu distance</x:t>
        </x:is>
      </x:c>
      <x:c r="E57" s="76" t="inlineStr">
        <x:is>
          <x:t xml:space="preserve">yes</x:t>
        </x:is>
      </x:c>
      <x:c r="F57" s="76" t="inlineStr">
        <x:is>
          <x:t xml:space="preserve">yes</x:t>
        </x:is>
      </x:c>
      <x:c r="G57" s="73" t="inlineStr">
        <x:is>
          <x:t xml:space="preserve">passed manual test</x:t>
        </x:is>
      </x:c>
      <x:c r="H57" s="92" t="inlineStr">
        <x:is>
          <x:t xml:space="preserve">covered</x:t>
        </x:is>
      </x:c>
      <x:c r="I57" s="84" t="inlineStr">
        <x:is>
          <x:t xml:space="preserve">ContextMenu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Public API</x:t>
        </x:is>
      </x:c>
      <x:c r="C58" s="84" t="inlineStr">
        <x:is>
          <x:t xml:space="preserve">Content</x:t>
        </x:is>
      </x:c>
      <x:c r="D58" s="84" t="inlineStr">
        <x:is>
          <x:t xml:space="preserve">loop prop overrides root loop</x:t>
        </x:is>
      </x:c>
      <x:c r="E58" s="76" t="inlineStr">
        <x:is>
          <x:t xml:space="preserve">yes</x:t>
        </x:is>
      </x:c>
      <x:c r="F58" s="76" t="inlineStr">
        <x:is>
          <x:t xml:space="preserve">yes</x:t>
        </x:is>
      </x:c>
      <x:c r="G58" s="73" t="inlineStr">
        <x:is>
          <x:t xml:space="preserve">passed manual test</x:t>
        </x:is>
      </x:c>
      <x:c r="H58" s="92" t="inlineStr">
        <x:is>
          <x:t xml:space="preserve">covered</x:t>
        </x:is>
      </x:c>
      <x:c r="I58" s="84" t="inlineStr">
        <x:is>
          <x:t xml:space="preserve">ContextMenu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Public API</x:t>
        </x:is>
      </x:c>
      <x:c r="C59" s="84" t="inlineStr">
        <x:is>
          <x:t xml:space="preserve">Content</x:t>
        </x:is>
      </x:c>
      <x:c r="D59" s="84" t="inlineStr">
        <x:is>
          <x:t xml:space="preserve">native className and data props pass through</x:t>
        </x:is>
      </x:c>
      <x:c r="E59" s="76" t="inlineStr">
        <x:is>
          <x:t xml:space="preserve">yes</x:t>
        </x:is>
      </x:c>
      <x:c r="F59" s="76" t="inlineStr">
        <x:is>
          <x:t xml:space="preserve">yes</x:t>
        </x:is>
      </x:c>
      <x:c r="G59" s="73" t="inlineStr">
        <x:is>
          <x:t xml:space="preserve">passed manual test</x:t>
        </x:is>
      </x:c>
      <x:c r="H59" s="92" t="inlineStr">
        <x:is>
          <x:t xml:space="preserve">covered</x:t>
        </x:is>
      </x:c>
      <x:c r="I59" s="84" t="inlineStr">
        <x:is>
          <x:t xml:space="preserve">ContextMenu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Public API</x:t>
        </x:is>
      </x:c>
      <x:c r="C60" s="84" t="inlineStr">
        <x:is>
          <x:t xml:space="preserve">Content</x:t>
        </x:is>
      </x:c>
      <x:c r="D60" s="84" t="inlineStr">
        <x:is>
          <x:t xml:space="preserve">onKeyDownCapture can block Atom key behavior</x:t>
        </x:is>
      </x:c>
      <x:c r="E60" s="76" t="inlineStr">
        <x:is>
          <x:t xml:space="preserve">yes</x:t>
        </x:is>
      </x:c>
      <x:c r="F60" s="76" t="inlineStr">
        <x:is>
          <x:t xml:space="preserve">yes</x:t>
        </x:is>
      </x:c>
      <x:c r="G60" s="73" t="inlineStr">
        <x:is>
          <x:t xml:space="preserve">passed manual test</x:t>
        </x:is>
      </x:c>
      <x:c r="H60" s="92" t="inlineStr">
        <x:is>
          <x:t xml:space="preserve">covered</x:t>
        </x:is>
      </x:c>
      <x:c r="I60" s="84" t="inlineStr">
        <x:is>
          <x:t xml:space="preserve">ContextMenu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Public API</x:t>
        </x:is>
      </x:c>
      <x:c r="C61" s="84" t="inlineStr">
        <x:is>
          <x:t xml:space="preserve">Item</x:t>
        </x:is>
      </x:c>
      <x:c r="D61" s="84" t="inlineStr">
        <x:is>
          <x:t xml:space="preserve">renders role menuitem</x:t>
        </x:is>
      </x:c>
      <x:c r="E61" s="76" t="inlineStr">
        <x:is>
          <x:t xml:space="preserve">yes</x:t>
        </x:is>
      </x:c>
      <x:c r="F61" s="76" t="inlineStr">
        <x:is>
          <x:t xml:space="preserve">yes</x:t>
        </x:is>
      </x:c>
      <x:c r="G61" s="73" t="inlineStr">
        <x:is>
          <x:t xml:space="preserve">passed manual test</x:t>
        </x:is>
      </x:c>
      <x:c r="H61" s="92" t="inlineStr">
        <x:is>
          <x:t xml:space="preserve">covered</x:t>
        </x:is>
      </x:c>
      <x:c r="I61" s="84" t="inlineStr">
        <x:is>
          <x:t xml:space="preserve">ContextMenu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Item</x:t>
        </x:is>
      </x:c>
      <x:c r="D62" s="84" t="inlineStr">
        <x:is>
          <x:t xml:space="preserve">value appears as data-value</x:t>
        </x:is>
      </x:c>
      <x:c r="E62" s="76" t="inlineStr">
        <x:is>
          <x:t xml:space="preserve">yes</x:t>
        </x:is>
      </x:c>
      <x:c r="F62" s="76" t="inlineStr">
        <x:is>
          <x:t xml:space="preserve">yes</x:t>
        </x:is>
      </x:c>
      <x:c r="G62" s="73" t="inlineStr">
        <x:is>
          <x:t xml:space="preserve">passed manual test</x:t>
        </x:is>
      </x:c>
      <x:c r="H62" s="92" t="inlineStr">
        <x:is>
          <x:t xml:space="preserve">covered</x:t>
        </x:is>
      </x:c>
      <x:c r="I62" s="84" t="inlineStr">
        <x:is>
          <x:t xml:space="preserve">ContextMenu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Public API</x:t>
        </x:is>
      </x:c>
      <x:c r="C63" s="84" t="inlineStr">
        <x:is>
          <x:t xml:space="preserve">Item</x:t>
        </x:is>
      </x:c>
      <x:c r="D63" s="84" t="inlineStr">
        <x:is>
          <x:t xml:space="preserve">data-slot is menu-item</x:t>
        </x:is>
      </x:c>
      <x:c r="E63" s="76" t="inlineStr">
        <x:is>
          <x:t xml:space="preserve">yes</x:t>
        </x:is>
      </x:c>
      <x:c r="F63" s="76" t="inlineStr">
        <x:is>
          <x:t xml:space="preserve">yes</x:t>
        </x:is>
      </x:c>
      <x:c r="G63" s="73" t="inlineStr">
        <x:is>
          <x:t xml:space="preserve">passed manual test</x:t>
        </x:is>
      </x:c>
      <x:c r="H63" s="92" t="inlineStr">
        <x:is>
          <x:t xml:space="preserve">covered</x:t>
        </x:is>
      </x:c>
      <x:c r="I63" s="84" t="inlineStr">
        <x:is>
          <x:t xml:space="preserve">ContextMenu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Item</x:t>
        </x:is>
      </x:c>
      <x:c r="D64" s="84" t="inlineStr">
        <x:is>
          <x:t xml:space="preserve">onSelect fires on click</x:t>
        </x:is>
      </x:c>
      <x:c r="E64" s="76" t="inlineStr">
        <x:is>
          <x:t xml:space="preserve">yes</x:t>
        </x:is>
      </x:c>
      <x:c r="F64" s="76" t="inlineStr">
        <x:is>
          <x:t xml:space="preserve">yes</x:t>
        </x:is>
      </x:c>
      <x:c r="G64" s="73" t="inlineStr">
        <x:is>
          <x:t xml:space="preserve">passed manual test</x:t>
        </x:is>
      </x:c>
      <x:c r="H64" s="92" t="inlineStr">
        <x:is>
          <x:t xml:space="preserve">covered</x:t>
        </x:is>
      </x:c>
      <x:c r="I64" s="84" t="inlineStr">
        <x:is>
          <x:t xml:space="preserve">ContextMenu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Public API</x:t>
        </x:is>
      </x:c>
      <x:c r="C65" s="84" t="inlineStr">
        <x:is>
          <x:t xml:space="preserve">Item</x:t>
        </x:is>
      </x:c>
      <x:c r="D65" s="84" t="inlineStr">
        <x:is>
          <x:t xml:space="preserve">onSelect fires on Enter</x:t>
        </x:is>
      </x:c>
      <x:c r="E65" s="76" t="inlineStr">
        <x:is>
          <x:t xml:space="preserve">yes</x:t>
        </x:is>
      </x:c>
      <x:c r="F65" s="76" t="inlineStr">
        <x:is>
          <x:t xml:space="preserve">yes</x:t>
        </x:is>
      </x:c>
      <x:c r="G65" s="73" t="inlineStr">
        <x:is>
          <x:t xml:space="preserve">passed manual test</x:t>
        </x:is>
      </x:c>
      <x:c r="H65" s="92" t="inlineStr">
        <x:is>
          <x:t xml:space="preserve">covered</x:t>
        </x:is>
      </x:c>
      <x:c r="I65" s="84" t="inlineStr">
        <x:is>
          <x:t xml:space="preserve">ContextMenu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Public API</x:t>
        </x:is>
      </x:c>
      <x:c r="C66" s="84" t="inlineStr">
        <x:is>
          <x:t xml:space="preserve">Item</x:t>
        </x:is>
      </x:c>
      <x:c r="D66" s="84" t="inlineStr">
        <x:is>
          <x:t xml:space="preserve">onSelect fires on Space</x:t>
        </x:is>
      </x:c>
      <x:c r="E66" s="76" t="inlineStr">
        <x:is>
          <x:t xml:space="preserve">yes</x:t>
        </x:is>
      </x:c>
      <x:c r="F66" s="76" t="inlineStr">
        <x:is>
          <x:t xml:space="preserve">yes</x:t>
        </x:is>
      </x:c>
      <x:c r="G66" s="73" t="inlineStr">
        <x:is>
          <x:t xml:space="preserve">passed manual test</x:t>
        </x:is>
      </x:c>
      <x:c r="H66" s="92" t="inlineStr">
        <x:is>
          <x:t xml:space="preserve">covered</x:t>
        </x:is>
      </x:c>
      <x:c r="I66" s="84" t="inlineStr">
        <x:is>
          <x:t xml:space="preserve">ContextMenu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Item</x:t>
        </x:is>
      </x:c>
      <x:c r="D67" s="84" t="inlineStr">
        <x:is>
          <x:t xml:space="preserve">disabled item exposes aria-disabled true</x:t>
        </x:is>
      </x:c>
      <x:c r="E67" s="76" t="inlineStr">
        <x:is>
          <x:t xml:space="preserve">yes</x:t>
        </x:is>
      </x:c>
      <x:c r="F67" s="76" t="inlineStr">
        <x:is>
          <x:t xml:space="preserve">yes</x:t>
        </x:is>
      </x:c>
      <x:c r="G67" s="73" t="inlineStr">
        <x:is>
          <x:t xml:space="preserve">passed manual test</x:t>
        </x:is>
      </x:c>
      <x:c r="H67" s="92" t="inlineStr">
        <x:is>
          <x:t xml:space="preserve">covered</x:t>
        </x:is>
      </x:c>
      <x:c r="I67" s="84" t="inlineStr">
        <x:is>
          <x:t xml:space="preserve">ContextMenu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Public API</x:t>
        </x:is>
      </x:c>
      <x:c r="C68" s="84" t="inlineStr">
        <x:is>
          <x:t xml:space="preserve">Item</x:t>
        </x:is>
      </x:c>
      <x:c r="D68" s="84" t="inlineStr">
        <x:is>
          <x:t xml:space="preserve">disabled item exposes data-disabled flag</x:t>
        </x:is>
      </x:c>
      <x:c r="E68" s="76" t="inlineStr">
        <x:is>
          <x:t xml:space="preserve">yes</x:t>
        </x:is>
      </x:c>
      <x:c r="F68" s="76" t="inlineStr">
        <x:is>
          <x:t xml:space="preserve">yes</x:t>
        </x:is>
      </x:c>
      <x:c r="G68" s="73" t="inlineStr">
        <x:is>
          <x:t xml:space="preserve">passed manual test</x:t>
        </x:is>
      </x:c>
      <x:c r="H68" s="92" t="inlineStr">
        <x:is>
          <x:t xml:space="preserve">covered</x:t>
        </x:is>
      </x:c>
      <x:c r="I68" s="84" t="inlineStr">
        <x:is>
          <x:t xml:space="preserve">ContextMenu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30" customHeight="1">
      <x:c r="A69" s="73" t="n">
        <x:v>61</x:v>
      </x:c>
      <x:c r="B69" s="84" t="inlineStr">
        <x:is>
          <x:t xml:space="preserve">Public API</x:t>
        </x:is>
      </x:c>
      <x:c r="C69" s="84" t="inlineStr">
        <x:is>
          <x:t xml:space="preserve">Item</x:t>
        </x:is>
      </x:c>
      <x:c r="D69" s="84" t="inlineStr">
        <x:is>
          <x:t xml:space="preserve">disabled item receives real keyboard focus but Enter, Space, click, and selection callbacks cannot activate it</x:t>
        </x:is>
      </x:c>
      <x:c r="E69" s="76" t="inlineStr">
        <x:is>
          <x:t xml:space="preserve">yes</x:t>
        </x:is>
      </x:c>
      <x:c r="F69" s="85" t="inlineStr">
        <x:is>
          <x:t xml:space="preserve">no</x:t>
        </x:is>
      </x:c>
      <x:c r="G69" s="73" t="inlineStr">
        <x:is>
          <x:t xml:space="preserve">automated tests pass; manual pending</x:t>
        </x:is>
      </x:c>
      <x:c r="H69" s="86" t="inlineStr">
        <x:is>
          <x:t xml:space="preserve">untested</x:t>
        </x:is>
      </x:c>
      <x:c r="I69" s="84" t="inlineStr">
        <x:is>
          <x:t xml:space="preserve">playground/manual-tests/context-menu.md</x:t>
        </x:is>
      </x:c>
      <x:c r="J69" s="84" t="inlineStr">
        <x:is>
          <x:t xml:space="preserve">Run the updated component Manual Test Protocol and named browser/device matrix.</x:t>
        </x:is>
      </x:c>
      <x:c r="K69" s="87" t="n">
        <x:f>IF(AND(E69="yes",F69="yes",H69="covered"),1,IF(H69="partial",0.5,0))</x:f>
        <x:v>0</x:v>
      </x:c>
    </x:row>
    <x:row r="70" s="51" customFormat="1" ht="15" customHeight="1">
      <x:c r="A70" s="73" t="n">
        <x:v>62</x:v>
      </x:c>
      <x:c r="B70" s="84" t="inlineStr">
        <x:is>
          <x:t xml:space="preserve">Public API</x:t>
        </x:is>
      </x:c>
      <x:c r="C70" s="84" t="inlineStr">
        <x:is>
          <x:t xml:space="preserve">Item</x:t>
        </x:is>
      </x:c>
      <x:c r="D70" s="84" t="inlineStr">
        <x:is>
          <x:t xml:space="preserve">consumer onClick can prevent Atom behavior</x:t>
        </x:is>
      </x:c>
      <x:c r="E70" s="76" t="inlineStr">
        <x:is>
          <x:t xml:space="preserve">yes</x:t>
        </x:is>
      </x:c>
      <x:c r="F70" s="76" t="inlineStr">
        <x:is>
          <x:t xml:space="preserve">yes</x:t>
        </x:is>
      </x:c>
      <x:c r="G70" s="73" t="inlineStr">
        <x:is>
          <x:t xml:space="preserve">passed manual test</x:t>
        </x:is>
      </x:c>
      <x:c r="H70" s="92" t="inlineStr">
        <x:is>
          <x:t xml:space="preserve">covered</x:t>
        </x:is>
      </x:c>
      <x:c r="I70" s="84" t="inlineStr">
        <x:is>
          <x:t xml:space="preserve">ContextMenu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Public API</x:t>
        </x:is>
      </x:c>
      <x:c r="C71" s="84" t="inlineStr">
        <x:is>
          <x:t xml:space="preserve">Item</x:t>
        </x:is>
      </x:c>
      <x:c r="D71" s="84" t="inlineStr">
        <x:is>
          <x:t xml:space="preserve">native className and data props pass through</x:t>
        </x:is>
      </x:c>
      <x:c r="E71" s="76" t="inlineStr">
        <x:is>
          <x:t xml:space="preserve">yes</x:t>
        </x:is>
      </x:c>
      <x:c r="F71" s="76" t="inlineStr">
        <x:is>
          <x:t xml:space="preserve">yes</x:t>
        </x:is>
      </x:c>
      <x:c r="G71" s="73" t="inlineStr">
        <x:is>
          <x:t xml:space="preserve">passed manual test</x:t>
        </x:is>
      </x:c>
      <x:c r="H71" s="92" t="inlineStr">
        <x:is>
          <x:t xml:space="preserve">covered</x:t>
        </x:is>
      </x:c>
      <x:c r="I71" s="84" t="inlineStr">
        <x:is>
          <x:t xml:space="preserve">ContextMenu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Public API</x:t>
        </x:is>
      </x:c>
      <x:c r="C72" s="84" t="inlineStr">
        <x:is>
          <x:t xml:space="preserve">Checkbox Item</x:t>
        </x:is>
      </x:c>
      <x:c r="D72" s="84" t="inlineStr">
        <x:is>
          <x:t xml:space="preserve">renders role menuitemcheckbox</x:t>
        </x:is>
      </x:c>
      <x:c r="E72" s="76" t="inlineStr">
        <x:is>
          <x:t xml:space="preserve">yes</x:t>
        </x:is>
      </x:c>
      <x:c r="F72" s="76" t="inlineStr">
        <x:is>
          <x:t xml:space="preserve">yes</x:t>
        </x:is>
      </x:c>
      <x:c r="G72" s="73" t="inlineStr">
        <x:is>
          <x:t xml:space="preserve">passed manual test</x:t>
        </x:is>
      </x:c>
      <x:c r="H72" s="92" t="inlineStr">
        <x:is>
          <x:t xml:space="preserve">covered</x:t>
        </x:is>
      </x:c>
      <x:c r="I72" s="84" t="inlineStr">
        <x:is>
          <x:t xml:space="preserve">ContextMenu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Public API</x:t>
        </x:is>
      </x:c>
      <x:c r="C73" s="84" t="inlineStr">
        <x:is>
          <x:t xml:space="preserve">Checkbox Item</x:t>
        </x:is>
      </x:c>
      <x:c r="D73" s="84" t="inlineStr">
        <x:is>
          <x:t xml:space="preserve">aria-checked reflects checked false</x:t>
        </x:is>
      </x:c>
      <x:c r="E73" s="76" t="inlineStr">
        <x:is>
          <x:t xml:space="preserve">yes</x:t>
        </x:is>
      </x:c>
      <x:c r="F73" s="76" t="inlineStr">
        <x:is>
          <x:t xml:space="preserve">yes</x:t>
        </x:is>
      </x:c>
      <x:c r="G73" s="73" t="inlineStr">
        <x:is>
          <x:t xml:space="preserve">passed manual test</x:t>
        </x:is>
      </x:c>
      <x:c r="H73" s="92" t="inlineStr">
        <x:is>
          <x:t xml:space="preserve">covered</x:t>
        </x:is>
      </x:c>
      <x:c r="I73" s="84" t="inlineStr">
        <x:is>
          <x:t xml:space="preserve">ContextMenu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Public API</x:t>
        </x:is>
      </x:c>
      <x:c r="C74" s="84" t="inlineStr">
        <x:is>
          <x:t xml:space="preserve">Checkbox Item</x:t>
        </x:is>
      </x:c>
      <x:c r="D74" s="84" t="inlineStr">
        <x:is>
          <x:t xml:space="preserve">aria-checked reflects checked true</x:t>
        </x:is>
      </x:c>
      <x:c r="E74" s="76" t="inlineStr">
        <x:is>
          <x:t xml:space="preserve">yes</x:t>
        </x:is>
      </x:c>
      <x:c r="F74" s="76" t="inlineStr">
        <x:is>
          <x:t xml:space="preserve">yes</x:t>
        </x:is>
      </x:c>
      <x:c r="G74" s="73" t="inlineStr">
        <x:is>
          <x:t xml:space="preserve">passed manual test</x:t>
        </x:is>
      </x:c>
      <x:c r="H74" s="92" t="inlineStr">
        <x:is>
          <x:t xml:space="preserve">covered</x:t>
        </x:is>
      </x:c>
      <x:c r="I74" s="84" t="inlineStr">
        <x:is>
          <x:t xml:space="preserve">ContextMenu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Public API</x:t>
        </x:is>
      </x:c>
      <x:c r="C75" s="84" t="inlineStr">
        <x:is>
          <x:t xml:space="preserve">Checkbox Item</x:t>
        </x:is>
      </x:c>
      <x:c r="D75" s="84" t="inlineStr">
        <x:is>
          <x:t xml:space="preserve">data-checked appears when checked</x:t>
        </x:is>
      </x:c>
      <x:c r="E75" s="76" t="inlineStr">
        <x:is>
          <x:t xml:space="preserve">yes</x:t>
        </x:is>
      </x:c>
      <x:c r="F75" s="76" t="inlineStr">
        <x:is>
          <x:t xml:space="preserve">yes</x:t>
        </x:is>
      </x:c>
      <x:c r="G75" s="73" t="inlineStr">
        <x:is>
          <x:t xml:space="preserve">passed manual test</x:t>
        </x:is>
      </x:c>
      <x:c r="H75" s="92" t="inlineStr">
        <x:is>
          <x:t xml:space="preserve">covered</x:t>
        </x:is>
      </x:c>
      <x:c r="I75" s="84" t="inlineStr">
        <x:is>
          <x:t xml:space="preserve">ContextMenu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Public API</x:t>
        </x:is>
      </x:c>
      <x:c r="C76" s="84" t="inlineStr">
        <x:is>
          <x:t xml:space="preserve">Checkbox Item</x:t>
        </x:is>
      </x:c>
      <x:c r="D76" s="84" t="inlineStr">
        <x:is>
          <x:t xml:space="preserve">onCheckedChange fires on click</x:t>
        </x:is>
      </x:c>
      <x:c r="E76" s="76" t="inlineStr">
        <x:is>
          <x:t xml:space="preserve">yes</x:t>
        </x:is>
      </x:c>
      <x:c r="F76" s="76" t="inlineStr">
        <x:is>
          <x:t xml:space="preserve">yes</x:t>
        </x:is>
      </x:c>
      <x:c r="G76" s="73" t="inlineStr">
        <x:is>
          <x:t xml:space="preserve">passed manual test</x:t>
        </x:is>
      </x:c>
      <x:c r="H76" s="92" t="inlineStr">
        <x:is>
          <x:t xml:space="preserve">covered</x:t>
        </x:is>
      </x:c>
      <x:c r="I76" s="84" t="inlineStr">
        <x:is>
          <x:t xml:space="preserve">ContextMenu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Public API</x:t>
        </x:is>
      </x:c>
      <x:c r="C77" s="84" t="inlineStr">
        <x:is>
          <x:t xml:space="preserve">Checkbox Item</x:t>
        </x:is>
      </x:c>
      <x:c r="D77" s="84" t="inlineStr">
        <x:is>
          <x:t xml:space="preserve">closeOnSelect false keeps menu open</x:t>
        </x:is>
      </x:c>
      <x:c r="E77" s="76" t="inlineStr">
        <x:is>
          <x:t xml:space="preserve">yes</x:t>
        </x:is>
      </x:c>
      <x:c r="F77" s="76" t="inlineStr">
        <x:is>
          <x:t xml:space="preserve">yes</x:t>
        </x:is>
      </x:c>
      <x:c r="G77" s="73" t="inlineStr">
        <x:is>
          <x:t xml:space="preserve">passed manual test</x:t>
        </x:is>
      </x:c>
      <x:c r="H77" s="92" t="inlineStr">
        <x:is>
          <x:t xml:space="preserve">covered</x:t>
        </x:is>
      </x:c>
      <x:c r="I77" s="84" t="inlineStr">
        <x:is>
          <x:t xml:space="preserve">ContextMenu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Public API</x:t>
        </x:is>
      </x:c>
      <x:c r="C78" s="84" t="inlineStr">
        <x:is>
          <x:t xml:space="preserve">Checkbox Item</x:t>
        </x:is>
      </x:c>
      <x:c r="D78" s="84" t="inlineStr">
        <x:is>
          <x:t xml:space="preserve">closeOnSelect true closes menu</x:t>
        </x:is>
      </x:c>
      <x:c r="E78" s="76" t="inlineStr">
        <x:is>
          <x:t xml:space="preserve">yes</x:t>
        </x:is>
      </x:c>
      <x:c r="F78" s="76" t="inlineStr">
        <x:is>
          <x:t xml:space="preserve">yes</x:t>
        </x:is>
      </x:c>
      <x:c r="G78" s="73" t="inlineStr">
        <x:is>
          <x:t xml:space="preserve">passed manual test</x:t>
        </x:is>
      </x:c>
      <x:c r="H78" s="92" t="inlineStr">
        <x:is>
          <x:t xml:space="preserve">covered</x:t>
        </x:is>
      </x:c>
      <x:c r="I78" s="84" t="inlineStr">
        <x:is>
          <x:t xml:space="preserve">ContextMenu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30" customHeight="1">
      <x:c r="A79" s="73" t="n">
        <x:v>71</x:v>
      </x:c>
      <x:c r="B79" s="84" t="inlineStr">
        <x:is>
          <x:t xml:space="preserve">Public API</x:t>
        </x:is>
      </x:c>
      <x:c r="C79" s="84" t="inlineStr">
        <x:is>
          <x:t xml:space="preserve">Checkbox Item</x:t>
        </x:is>
      </x:c>
      <x:c r="D79" s="84" t="inlineStr">
        <x:is>
          <x:t xml:space="preserve">disabled checkbox receives real keyboard focus but cannot toggle or close the menu</x:t>
        </x:is>
      </x:c>
      <x:c r="E79" s="76" t="inlineStr">
        <x:is>
          <x:t xml:space="preserve">yes</x:t>
        </x:is>
      </x:c>
      <x:c r="F79" s="85" t="inlineStr">
        <x:is>
          <x:t xml:space="preserve">no</x:t>
        </x:is>
      </x:c>
      <x:c r="G79" s="73" t="inlineStr">
        <x:is>
          <x:t xml:space="preserve">automated tests pass; manual pending</x:t>
        </x:is>
      </x:c>
      <x:c r="H79" s="86" t="inlineStr">
        <x:is>
          <x:t xml:space="preserve">untested</x:t>
        </x:is>
      </x:c>
      <x:c r="I79" s="84" t="inlineStr">
        <x:is>
          <x:t xml:space="preserve">playground/manual-tests/context-menu.md</x:t>
        </x:is>
      </x:c>
      <x:c r="J79" s="84" t="inlineStr">
        <x:is>
          <x:t xml:space="preserve">Run the updated component Manual Test Protocol and named browser/device matrix.</x:t>
        </x:is>
      </x:c>
      <x:c r="K79" s="87" t="n">
        <x:f>IF(AND(E79="yes",F79="yes",H79="covered"),1,IF(H79="partial",0.5,0))</x:f>
        <x:v>0</x:v>
      </x:c>
    </x:row>
    <x:row r="80" s="51" customFormat="1" ht="15" customHeight="1">
      <x:c r="A80" s="73" t="n">
        <x:v>72</x:v>
      </x:c>
      <x:c r="B80" s="84" t="inlineStr">
        <x:is>
          <x:t xml:space="preserve">Public API</x:t>
        </x:is>
      </x:c>
      <x:c r="C80" s="84" t="inlineStr">
        <x:is>
          <x:t xml:space="preserve">Radio Group</x:t>
        </x:is>
      </x:c>
      <x:c r="D80" s="84" t="inlineStr">
        <x:is>
          <x:t xml:space="preserve">renders role group</x:t>
        </x:is>
      </x:c>
      <x:c r="E80" s="76" t="inlineStr">
        <x:is>
          <x:t xml:space="preserve">yes</x:t>
        </x:is>
      </x:c>
      <x:c r="F80" s="76" t="inlineStr">
        <x:is>
          <x:t xml:space="preserve">yes</x:t>
        </x:is>
      </x:c>
      <x:c r="G80" s="73" t="inlineStr">
        <x:is>
          <x:t xml:space="preserve">passed manual test</x:t>
        </x:is>
      </x:c>
      <x:c r="H80" s="92" t="inlineStr">
        <x:is>
          <x:t xml:space="preserve">covered</x:t>
        </x:is>
      </x:c>
      <x:c r="I80" s="84" t="inlineStr">
        <x:is>
          <x:t xml:space="preserve">ContextMenu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Public API</x:t>
        </x:is>
      </x:c>
      <x:c r="C81" s="84" t="inlineStr">
        <x:is>
          <x:t xml:space="preserve">Radio Group</x:t>
        </x:is>
      </x:c>
      <x:c r="D81" s="84" t="inlineStr">
        <x:is>
          <x:t xml:space="preserve">data-slot is menu-radio-group</x:t>
        </x:is>
      </x:c>
      <x:c r="E81" s="76" t="inlineStr">
        <x:is>
          <x:t xml:space="preserve">yes</x:t>
        </x:is>
      </x:c>
      <x:c r="F81" s="76" t="inlineStr">
        <x:is>
          <x:t xml:space="preserve">yes</x:t>
        </x:is>
      </x:c>
      <x:c r="G81" s="73" t="inlineStr">
        <x:is>
          <x:t xml:space="preserve">passed manual test</x:t>
        </x:is>
      </x:c>
      <x:c r="H81" s="92" t="inlineStr">
        <x:is>
          <x:t xml:space="preserve">covered</x:t>
        </x:is>
      </x:c>
      <x:c r="I81" s="84" t="inlineStr">
        <x:is>
          <x:t xml:space="preserve">ContextMenu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Public API</x:t>
        </x:is>
      </x:c>
      <x:c r="C82" s="84" t="inlineStr">
        <x:is>
          <x:t xml:space="preserve">Radio Group</x:t>
        </x:is>
      </x:c>
      <x:c r="D82" s="84" t="inlineStr">
        <x:is>
          <x:t xml:space="preserve">value controls checked radio item</x:t>
        </x:is>
      </x:c>
      <x:c r="E82" s="76" t="inlineStr">
        <x:is>
          <x:t xml:space="preserve">yes</x:t>
        </x:is>
      </x:c>
      <x:c r="F82" s="76" t="inlineStr">
        <x:is>
          <x:t xml:space="preserve">yes</x:t>
        </x:is>
      </x:c>
      <x:c r="G82" s="73" t="inlineStr">
        <x:is>
          <x:t xml:space="preserve">passed manual test</x:t>
        </x:is>
      </x:c>
      <x:c r="H82" s="92" t="inlineStr">
        <x:is>
          <x:t xml:space="preserve">covered</x:t>
        </x:is>
      </x:c>
      <x:c r="I82" s="84" t="inlineStr">
        <x:is>
          <x:t xml:space="preserve">ContextMenu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Public API</x:t>
        </x:is>
      </x:c>
      <x:c r="C83" s="84" t="inlineStr">
        <x:is>
          <x:t xml:space="preserve">Radio Group</x:t>
        </x:is>
      </x:c>
      <x:c r="D83" s="84" t="inlineStr">
        <x:is>
          <x:t xml:space="preserve">onValueChange fires when radio changes</x:t>
        </x:is>
      </x:c>
      <x:c r="E83" s="76" t="inlineStr">
        <x:is>
          <x:t xml:space="preserve">yes</x:t>
        </x:is>
      </x:c>
      <x:c r="F83" s="76" t="inlineStr">
        <x:is>
          <x:t xml:space="preserve">yes</x:t>
        </x:is>
      </x:c>
      <x:c r="G83" s="73" t="inlineStr">
        <x:is>
          <x:t xml:space="preserve">passed manual test</x:t>
        </x:is>
      </x:c>
      <x:c r="H83" s="92" t="inlineStr">
        <x:is>
          <x:t xml:space="preserve">covered</x:t>
        </x:is>
      </x:c>
      <x:c r="I83" s="84" t="inlineStr">
        <x:is>
          <x:t xml:space="preserve">ContextMenu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Public API</x:t>
        </x:is>
      </x:c>
      <x:c r="C84" s="84" t="inlineStr">
        <x:is>
          <x:t xml:space="preserve">Radio Group</x:t>
        </x:is>
      </x:c>
      <x:c r="D84" s="84" t="inlineStr">
        <x:is>
          <x:t xml:space="preserve">native className and data props pass through</x:t>
        </x:is>
      </x:c>
      <x:c r="E84" s="76" t="inlineStr">
        <x:is>
          <x:t xml:space="preserve">yes</x:t>
        </x:is>
      </x:c>
      <x:c r="F84" s="76" t="inlineStr">
        <x:is>
          <x:t xml:space="preserve">yes</x:t>
        </x:is>
      </x:c>
      <x:c r="G84" s="73" t="inlineStr">
        <x:is>
          <x:t xml:space="preserve">passed manual test</x:t>
        </x:is>
      </x:c>
      <x:c r="H84" s="92" t="inlineStr">
        <x:is>
          <x:t xml:space="preserve">covered</x:t>
        </x:is>
      </x:c>
      <x:c r="I84" s="84" t="inlineStr">
        <x:is>
          <x:t xml:space="preserve">ContextMenu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Public API</x:t>
        </x:is>
      </x:c>
      <x:c r="C85" s="84" t="inlineStr">
        <x:is>
          <x:t xml:space="preserve">Radio Item</x:t>
        </x:is>
      </x:c>
      <x:c r="D85" s="84" t="inlineStr">
        <x:is>
          <x:t xml:space="preserve">renders role menuitemradio</x:t>
        </x:is>
      </x:c>
      <x:c r="E85" s="76" t="inlineStr">
        <x:is>
          <x:t xml:space="preserve">yes</x:t>
        </x:is>
      </x:c>
      <x:c r="F85" s="76" t="inlineStr">
        <x:is>
          <x:t xml:space="preserve">yes</x:t>
        </x:is>
      </x:c>
      <x:c r="G85" s="73" t="inlineStr">
        <x:is>
          <x:t xml:space="preserve">passed manual test</x:t>
        </x:is>
      </x:c>
      <x:c r="H85" s="92" t="inlineStr">
        <x:is>
          <x:t xml:space="preserve">covered</x:t>
        </x:is>
      </x:c>
      <x:c r="I85" s="84" t="inlineStr">
        <x:is>
          <x:t xml:space="preserve">ContextMenu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Public API</x:t>
        </x:is>
      </x:c>
      <x:c r="C86" s="84" t="inlineStr">
        <x:is>
          <x:t xml:space="preserve">Radio Item</x:t>
        </x:is>
      </x:c>
      <x:c r="D86" s="84" t="inlineStr">
        <x:is>
          <x:t xml:space="preserve">aria-checked reflects selected item</x:t>
        </x:is>
      </x:c>
      <x:c r="E86" s="76" t="inlineStr">
        <x:is>
          <x:t xml:space="preserve">yes</x:t>
        </x:is>
      </x:c>
      <x:c r="F86" s="76" t="inlineStr">
        <x:is>
          <x:t xml:space="preserve">yes</x:t>
        </x:is>
      </x:c>
      <x:c r="G86" s="73" t="inlineStr">
        <x:is>
          <x:t xml:space="preserve">passed manual test</x:t>
        </x:is>
      </x:c>
      <x:c r="H86" s="92" t="inlineStr">
        <x:is>
          <x:t xml:space="preserve">covered</x:t>
        </x:is>
      </x:c>
      <x:c r="I86" s="84" t="inlineStr">
        <x:is>
          <x:t xml:space="preserve">ContextMenu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Public API</x:t>
        </x:is>
      </x:c>
      <x:c r="C87" s="84" t="inlineStr">
        <x:is>
          <x:t xml:space="preserve">Radio Item</x:t>
        </x:is>
      </x:c>
      <x:c r="D87" s="84" t="inlineStr">
        <x:is>
          <x:t xml:space="preserve">data-checked appears on selected item</x:t>
        </x:is>
      </x:c>
      <x:c r="E87" s="76" t="inlineStr">
        <x:is>
          <x:t xml:space="preserve">yes</x:t>
        </x:is>
      </x:c>
      <x:c r="F87" s="76" t="inlineStr">
        <x:is>
          <x:t xml:space="preserve">yes</x:t>
        </x:is>
      </x:c>
      <x:c r="G87" s="73" t="inlineStr">
        <x:is>
          <x:t xml:space="preserve">passed manual test</x:t>
        </x:is>
      </x:c>
      <x:c r="H87" s="92" t="inlineStr">
        <x:is>
          <x:t xml:space="preserve">covered</x:t>
        </x:is>
      </x:c>
      <x:c r="I87" s="84" t="inlineStr">
        <x:is>
          <x:t xml:space="preserve">ContextMenu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Public API</x:t>
        </x:is>
      </x:c>
      <x:c r="C88" s="84" t="inlineStr">
        <x:is>
          <x:t xml:space="preserve">Radio Item</x:t>
        </x:is>
      </x:c>
      <x:c r="D88" s="84" t="inlineStr">
        <x:is>
          <x:t xml:space="preserve">value appears as data-value without internal group id</x:t>
        </x:is>
      </x:c>
      <x:c r="E88" s="76" t="inlineStr">
        <x:is>
          <x:t xml:space="preserve">yes</x:t>
        </x:is>
      </x:c>
      <x:c r="F88" s="76" t="inlineStr">
        <x:is>
          <x:t xml:space="preserve">yes</x:t>
        </x:is>
      </x:c>
      <x:c r="G88" s="73" t="inlineStr">
        <x:is>
          <x:t xml:space="preserve">passed manual test</x:t>
        </x:is>
      </x:c>
      <x:c r="H88" s="92" t="inlineStr">
        <x:is>
          <x:t xml:space="preserve">covered</x:t>
        </x:is>
      </x:c>
      <x:c r="I88" s="84" t="inlineStr">
        <x:is>
          <x:t xml:space="preserve">ContextMenu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30" customHeight="1">
      <x:c r="A89" s="73" t="n">
        <x:v>81</x:v>
      </x:c>
      <x:c r="B89" s="84" t="inlineStr">
        <x:is>
          <x:t xml:space="preserve">Public API</x:t>
        </x:is>
      </x:c>
      <x:c r="C89" s="84" t="inlineStr">
        <x:is>
          <x:t xml:space="preserve">Radio Item</x:t>
        </x:is>
      </x:c>
      <x:c r="D89" s="84" t="inlineStr">
        <x:is>
          <x:t xml:space="preserve">disabled radio item receives real keyboard focus but cannot change selection</x:t>
        </x:is>
      </x:c>
      <x:c r="E89" s="76" t="inlineStr">
        <x:is>
          <x:t xml:space="preserve">yes</x:t>
        </x:is>
      </x:c>
      <x:c r="F89" s="85" t="inlineStr">
        <x:is>
          <x:t xml:space="preserve">no</x:t>
        </x:is>
      </x:c>
      <x:c r="G89" s="73" t="inlineStr">
        <x:is>
          <x:t xml:space="preserve">automated tests pass; manual pending</x:t>
        </x:is>
      </x:c>
      <x:c r="H89" s="86" t="inlineStr">
        <x:is>
          <x:t xml:space="preserve">untested</x:t>
        </x:is>
      </x:c>
      <x:c r="I89" s="84" t="inlineStr">
        <x:is>
          <x:t xml:space="preserve">playground/manual-tests/context-menu.md</x:t>
        </x:is>
      </x:c>
      <x:c r="J89" s="84" t="inlineStr">
        <x:is>
          <x:t xml:space="preserve">Run the updated component Manual Test Protocol and named browser/device matrix.</x:t>
        </x:is>
      </x:c>
      <x:c r="K89" s="87" t="n">
        <x:f>IF(AND(E89="yes",F89="yes",H89="covered"),1,IF(H89="partial",0.5,0))</x:f>
        <x:v>0</x:v>
      </x:c>
    </x:row>
    <x:row r="90" s="51" customFormat="1" ht="15" customHeight="1">
      <x:c r="A90" s="73" t="n">
        <x:v>82</x:v>
      </x:c>
      <x:c r="B90" s="84" t="inlineStr">
        <x:is>
          <x:t xml:space="preserve">Public API</x:t>
        </x:is>
      </x:c>
      <x:c r="C90" s="84" t="inlineStr">
        <x:is>
          <x:t xml:space="preserve">Radio Item</x:t>
        </x:is>
      </x:c>
      <x:c r="D90" s="84" t="inlineStr">
        <x:is>
          <x:t xml:space="preserve">closeOnSelect false keeps menu open</x:t>
        </x:is>
      </x:c>
      <x:c r="E90" s="76" t="inlineStr">
        <x:is>
          <x:t xml:space="preserve">yes</x:t>
        </x:is>
      </x:c>
      <x:c r="F90" s="76" t="inlineStr">
        <x:is>
          <x:t xml:space="preserve">yes</x:t>
        </x:is>
      </x:c>
      <x:c r="G90" s="73" t="inlineStr">
        <x:is>
          <x:t xml:space="preserve">passed manual test</x:t>
        </x:is>
      </x:c>
      <x:c r="H90" s="92" t="inlineStr">
        <x:is>
          <x:t xml:space="preserve">covered</x:t>
        </x:is>
      </x:c>
      <x:c r="I90" s="84" t="inlineStr">
        <x:is>
          <x:t xml:space="preserve">ContextMenu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Public API</x:t>
        </x:is>
      </x:c>
      <x:c r="C91" s="84" t="inlineStr">
        <x:is>
          <x:t xml:space="preserve">Radio Item</x:t>
        </x:is>
      </x:c>
      <x:c r="D91" s="84" t="inlineStr">
        <x:is>
          <x:t xml:space="preserve">closeOnSelect true closes menu</x:t>
        </x:is>
      </x:c>
      <x:c r="E91" s="76" t="inlineStr">
        <x:is>
          <x:t xml:space="preserve">yes</x:t>
        </x:is>
      </x:c>
      <x:c r="F91" s="76" t="inlineStr">
        <x:is>
          <x:t xml:space="preserve">yes</x:t>
        </x:is>
      </x:c>
      <x:c r="G91" s="73" t="inlineStr">
        <x:is>
          <x:t xml:space="preserve">passed manual test</x:t>
        </x:is>
      </x:c>
      <x:c r="H91" s="92" t="inlineStr">
        <x:is>
          <x:t xml:space="preserve">covered</x:t>
        </x:is>
      </x:c>
      <x:c r="I91" s="84" t="inlineStr">
        <x:is>
          <x:t xml:space="preserve">ContextMenu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Public API</x:t>
        </x:is>
      </x:c>
      <x:c r="C92" s="84" t="inlineStr">
        <x:is>
          <x:t xml:space="preserve">Group</x:t>
        </x:is>
      </x:c>
      <x:c r="D92" s="84" t="inlineStr">
        <x:is>
          <x:t xml:space="preserve">renders role group</x:t>
        </x:is>
      </x:c>
      <x:c r="E92" s="76" t="inlineStr">
        <x:is>
          <x:t xml:space="preserve">yes</x:t>
        </x:is>
      </x:c>
      <x:c r="F92" s="76" t="inlineStr">
        <x:is>
          <x:t xml:space="preserve">yes</x:t>
        </x:is>
      </x:c>
      <x:c r="G92" s="73" t="inlineStr">
        <x:is>
          <x:t xml:space="preserve">passed manual test</x:t>
        </x:is>
      </x:c>
      <x:c r="H92" s="92" t="inlineStr">
        <x:is>
          <x:t xml:space="preserve">covered</x:t>
        </x:is>
      </x:c>
      <x:c r="I92" s="84" t="inlineStr">
        <x:is>
          <x:t xml:space="preserve">ContextMenu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Public API</x:t>
        </x:is>
      </x:c>
      <x:c r="C93" s="84" t="inlineStr">
        <x:is>
          <x:t xml:space="preserve">Group</x:t>
        </x:is>
      </x:c>
      <x:c r="D93" s="84" t="inlineStr">
        <x:is>
          <x:t xml:space="preserve">data-slot is menu-group</x:t>
        </x:is>
      </x:c>
      <x:c r="E93" s="76" t="inlineStr">
        <x:is>
          <x:t xml:space="preserve">yes</x:t>
        </x:is>
      </x:c>
      <x:c r="F93" s="76" t="inlineStr">
        <x:is>
          <x:t xml:space="preserve">yes</x:t>
        </x:is>
      </x:c>
      <x:c r="G93" s="73" t="inlineStr">
        <x:is>
          <x:t xml:space="preserve">passed manual test</x:t>
        </x:is>
      </x:c>
      <x:c r="H93" s="92" t="inlineStr">
        <x:is>
          <x:t xml:space="preserve">covered</x:t>
        </x:is>
      </x:c>
      <x:c r="I93" s="84" t="inlineStr">
        <x:is>
          <x:t xml:space="preserve">ContextMenu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Public API</x:t>
        </x:is>
      </x:c>
      <x:c r="C94" s="84" t="inlineStr">
        <x:is>
          <x:t xml:space="preserve">Group</x:t>
        </x:is>
      </x:c>
      <x:c r="D94" s="84" t="inlineStr">
        <x:is>
          <x:t xml:space="preserve">native className and data props pass through</x:t>
        </x:is>
      </x:c>
      <x:c r="E94" s="76" t="inlineStr">
        <x:is>
          <x:t xml:space="preserve">yes</x:t>
        </x:is>
      </x:c>
      <x:c r="F94" s="76" t="inlineStr">
        <x:is>
          <x:t xml:space="preserve">yes</x:t>
        </x:is>
      </x:c>
      <x:c r="G94" s="73" t="inlineStr">
        <x:is>
          <x:t xml:space="preserve">passed manual test</x:t>
        </x:is>
      </x:c>
      <x:c r="H94" s="92" t="inlineStr">
        <x:is>
          <x:t xml:space="preserve">covered</x:t>
        </x:is>
      </x:c>
      <x:c r="I94" s="84" t="inlineStr">
        <x:is>
          <x:t xml:space="preserve">ContextMenu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Public API</x:t>
        </x:is>
      </x:c>
      <x:c r="C95" s="84" t="inlineStr">
        <x:is>
          <x:t xml:space="preserve">Separator</x:t>
        </x:is>
      </x:c>
      <x:c r="D95" s="84" t="inlineStr">
        <x:is>
          <x:t xml:space="preserve">renders role separator</x:t>
        </x:is>
      </x:c>
      <x:c r="E95" s="76" t="inlineStr">
        <x:is>
          <x:t xml:space="preserve">yes</x:t>
        </x:is>
      </x:c>
      <x:c r="F95" s="76" t="inlineStr">
        <x:is>
          <x:t xml:space="preserve">yes</x:t>
        </x:is>
      </x:c>
      <x:c r="G95" s="73" t="inlineStr">
        <x:is>
          <x:t xml:space="preserve">passed manual test</x:t>
        </x:is>
      </x:c>
      <x:c r="H95" s="92" t="inlineStr">
        <x:is>
          <x:t xml:space="preserve">covered</x:t>
        </x:is>
      </x:c>
      <x:c r="I95" s="84" t="inlineStr">
        <x:is>
          <x:t xml:space="preserve">ContextMenu playground scenario.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Public API</x:t>
        </x:is>
      </x:c>
      <x:c r="C96" s="84" t="inlineStr">
        <x:is>
          <x:t xml:space="preserve">Separator</x:t>
        </x:is>
      </x:c>
      <x:c r="D96" s="84" t="inlineStr">
        <x:is>
          <x:t xml:space="preserve">aria-orientation is horizontal</x:t>
        </x:is>
      </x:c>
      <x:c r="E96" s="76" t="inlineStr">
        <x:is>
          <x:t xml:space="preserve">yes</x:t>
        </x:is>
      </x:c>
      <x:c r="F96" s="76" t="inlineStr">
        <x:is>
          <x:t xml:space="preserve">yes</x:t>
        </x:is>
      </x:c>
      <x:c r="G96" s="73" t="inlineStr">
        <x:is>
          <x:t xml:space="preserve">passed manual test</x:t>
        </x:is>
      </x:c>
      <x:c r="H96" s="92" t="inlineStr">
        <x:is>
          <x:t xml:space="preserve">covered</x:t>
        </x:is>
      </x:c>
      <x:c r="I96" s="84" t="inlineStr">
        <x:is>
          <x:t xml:space="preserve">ContextMenu playground scenario.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Public API</x:t>
        </x:is>
      </x:c>
      <x:c r="C97" s="84" t="inlineStr">
        <x:is>
          <x:t xml:space="preserve">Separator</x:t>
        </x:is>
      </x:c>
      <x:c r="D97" s="84" t="inlineStr">
        <x:is>
          <x:t xml:space="preserve">data-slot is menu-separator</x:t>
        </x:is>
      </x:c>
      <x:c r="E97" s="76" t="inlineStr">
        <x:is>
          <x:t xml:space="preserve">yes</x:t>
        </x:is>
      </x:c>
      <x:c r="F97" s="76" t="inlineStr">
        <x:is>
          <x:t xml:space="preserve">yes</x:t>
        </x:is>
      </x:c>
      <x:c r="G97" s="73" t="inlineStr">
        <x:is>
          <x:t xml:space="preserve">passed manual test</x:t>
        </x:is>
      </x:c>
      <x:c r="H97" s="92" t="inlineStr">
        <x:is>
          <x:t xml:space="preserve">covered</x:t>
        </x:is>
      </x:c>
      <x:c r="I97" s="84" t="inlineStr">
        <x:is>
          <x:t xml:space="preserve">ContextMenu playground scenario.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Public API</x:t>
        </x:is>
      </x:c>
      <x:c r="C98" s="84" t="inlineStr">
        <x:is>
          <x:t xml:space="preserve">Sub</x:t>
        </x:is>
      </x:c>
      <x:c r="D98" s="84" t="inlineStr">
        <x:is>
          <x:t xml:space="preserve">defaultOpen initializes uncontrolled submenu</x:t>
        </x:is>
      </x:c>
      <x:c r="E98" s="76" t="inlineStr">
        <x:is>
          <x:t xml:space="preserve">yes</x:t>
        </x:is>
      </x:c>
      <x:c r="F98" s="76" t="inlineStr">
        <x:is>
          <x:t xml:space="preserve">yes</x:t>
        </x:is>
      </x:c>
      <x:c r="G98" s="73" t="inlineStr">
        <x:is>
          <x:t xml:space="preserve">passed manual test</x:t>
        </x:is>
      </x:c>
      <x:c r="H98" s="92" t="inlineStr">
        <x:is>
          <x:t xml:space="preserve">covered</x:t>
        </x:is>
      </x:c>
      <x:c r="I98" s="84" t="inlineStr">
        <x:is>
          <x:t xml:space="preserve">ContextMenu playground scenario.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Public API</x:t>
        </x:is>
      </x:c>
      <x:c r="C99" s="84" t="inlineStr">
        <x:is>
          <x:t xml:space="preserve">Sub</x:t>
        </x:is>
      </x:c>
      <x:c r="D99" s="84" t="inlineStr">
        <x:is>
          <x:t xml:space="preserve">open prop controls submenu</x:t>
        </x:is>
      </x:c>
      <x:c r="E99" s="76" t="inlineStr">
        <x:is>
          <x:t xml:space="preserve">yes</x:t>
        </x:is>
      </x:c>
      <x:c r="F99" s="76" t="inlineStr">
        <x:is>
          <x:t xml:space="preserve">yes</x:t>
        </x:is>
      </x:c>
      <x:c r="G99" s="73" t="inlineStr">
        <x:is>
          <x:t xml:space="preserve">passed manual test</x:t>
        </x:is>
      </x:c>
      <x:c r="H99" s="92" t="inlineStr">
        <x:is>
          <x:t xml:space="preserve">covered</x:t>
        </x:is>
      </x:c>
      <x:c r="I99" s="84" t="inlineStr">
        <x:is>
          <x:t xml:space="preserve">ContextMenu playground scenario.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Public API</x:t>
        </x:is>
      </x:c>
      <x:c r="C100" s="84" t="inlineStr">
        <x:is>
          <x:t xml:space="preserve">Sub</x:t>
        </x:is>
      </x:c>
      <x:c r="D100" s="84" t="inlineStr">
        <x:is>
          <x:t xml:space="preserve">onOpenChange fires for controlled submenu</x:t>
        </x:is>
      </x:c>
      <x:c r="E100" s="76" t="inlineStr">
        <x:is>
          <x:t xml:space="preserve">yes</x:t>
        </x:is>
      </x:c>
      <x:c r="F100" s="76" t="inlineStr">
        <x:is>
          <x:t xml:space="preserve">yes</x:t>
        </x:is>
      </x:c>
      <x:c r="G100" s="73" t="inlineStr">
        <x:is>
          <x:t xml:space="preserve">passed manual test</x:t>
        </x:is>
      </x:c>
      <x:c r="H100" s="92" t="inlineStr">
        <x:is>
          <x:t xml:space="preserve">covered</x:t>
        </x:is>
      </x:c>
      <x:c r="I100" s="84" t="inlineStr">
        <x:is>
          <x:t xml:space="preserve">ContextMenu playground scenario.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Public API</x:t>
        </x:is>
      </x:c>
      <x:c r="C101" s="84" t="inlineStr">
        <x:is>
          <x:t xml:space="preserve">Sub</x:t>
        </x:is>
      </x:c>
      <x:c r="D101" s="84" t="inlineStr">
        <x:is>
          <x:t xml:space="preserve">only one uncontrolled submenu is open at a time</x:t>
        </x:is>
      </x:c>
      <x:c r="E101" s="76" t="inlineStr">
        <x:is>
          <x:t xml:space="preserve">yes</x:t>
        </x:is>
      </x:c>
      <x:c r="F101" s="76" t="inlineStr">
        <x:is>
          <x:t xml:space="preserve">yes</x:t>
        </x:is>
      </x:c>
      <x:c r="G101" s="73" t="inlineStr">
        <x:is>
          <x:t xml:space="preserve">passed manual test</x:t>
        </x:is>
      </x:c>
      <x:c r="H101" s="92" t="inlineStr">
        <x:is>
          <x:t xml:space="preserve">covered</x:t>
        </x:is>
      </x:c>
      <x:c r="I101" s="84" t="inlineStr">
        <x:is>
          <x:t xml:space="preserve">ContextMenu playground scenario.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Public API</x:t>
        </x:is>
      </x:c>
      <x:c r="C102" s="84" t="inlineStr">
        <x:is>
          <x:t xml:space="preserve">Sub Trigger</x:t>
        </x:is>
      </x:c>
      <x:c r="D102" s="84" t="inlineStr">
        <x:is>
          <x:t xml:space="preserve">renders role menuitem</x:t>
        </x:is>
      </x:c>
      <x:c r="E102" s="76" t="inlineStr">
        <x:is>
          <x:t xml:space="preserve">yes</x:t>
        </x:is>
      </x:c>
      <x:c r="F102" s="76" t="inlineStr">
        <x:is>
          <x:t xml:space="preserve">yes</x:t>
        </x:is>
      </x:c>
      <x:c r="G102" s="73" t="inlineStr">
        <x:is>
          <x:t xml:space="preserve">passed manual test</x:t>
        </x:is>
      </x:c>
      <x:c r="H102" s="92" t="inlineStr">
        <x:is>
          <x:t xml:space="preserve">covered</x:t>
        </x:is>
      </x:c>
      <x:c r="I102" s="84" t="inlineStr">
        <x:is>
          <x:t xml:space="preserve">ContextMenu playground scenario.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Public API</x:t>
        </x:is>
      </x:c>
      <x:c r="C103" s="84" t="inlineStr">
        <x:is>
          <x:t xml:space="preserve">Sub Trigger</x:t>
        </x:is>
      </x:c>
      <x:c r="D103" s="84" t="inlineStr">
        <x:is>
          <x:t xml:space="preserve">aria-haspopup is menu</x:t>
        </x:is>
      </x:c>
      <x:c r="E103" s="76" t="inlineStr">
        <x:is>
          <x:t xml:space="preserve">yes</x:t>
        </x:is>
      </x:c>
      <x:c r="F103" s="76" t="inlineStr">
        <x:is>
          <x:t xml:space="preserve">yes</x:t>
        </x:is>
      </x:c>
      <x:c r="G103" s="73" t="inlineStr">
        <x:is>
          <x:t xml:space="preserve">passed manual test</x:t>
        </x:is>
      </x:c>
      <x:c r="H103" s="92" t="inlineStr">
        <x:is>
          <x:t xml:space="preserve">covered</x:t>
        </x:is>
      </x:c>
      <x:c r="I103" s="84" t="inlineStr">
        <x:is>
          <x:t xml:space="preserve">ContextMenu playground scenario.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Public API</x:t>
        </x:is>
      </x:c>
      <x:c r="C104" s="84" t="inlineStr">
        <x:is>
          <x:t xml:space="preserve">Sub Trigger</x:t>
        </x:is>
      </x:c>
      <x:c r="D104" s="84" t="inlineStr">
        <x:is>
          <x:t xml:space="preserve">aria-expanded reflects submenu open state</x:t>
        </x:is>
      </x:c>
      <x:c r="E104" s="76" t="inlineStr">
        <x:is>
          <x:t xml:space="preserve">yes</x:t>
        </x:is>
      </x:c>
      <x:c r="F104" s="76" t="inlineStr">
        <x:is>
          <x:t xml:space="preserve">yes</x:t>
        </x:is>
      </x:c>
      <x:c r="G104" s="73" t="inlineStr">
        <x:is>
          <x:t xml:space="preserve">passed manual test</x:t>
        </x:is>
      </x:c>
      <x:c r="H104" s="92" t="inlineStr">
        <x:is>
          <x:t xml:space="preserve">covered</x:t>
        </x:is>
      </x:c>
      <x:c r="I104" s="84" t="inlineStr">
        <x:is>
          <x:t xml:space="preserve">ContextMenu playground scenario.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Public API</x:t>
        </x:is>
      </x:c>
      <x:c r="C105" s="84" t="inlineStr">
        <x:is>
          <x:t xml:space="preserve">Sub Trigger</x:t>
        </x:is>
      </x:c>
      <x:c r="D105" s="84" t="inlineStr">
        <x:is>
          <x:t xml:space="preserve">data-state reflects submenu state</x:t>
        </x:is>
      </x:c>
      <x:c r="E105" s="76" t="inlineStr">
        <x:is>
          <x:t xml:space="preserve">yes</x:t>
        </x:is>
      </x:c>
      <x:c r="F105" s="76" t="inlineStr">
        <x:is>
          <x:t xml:space="preserve">yes</x:t>
        </x:is>
      </x:c>
      <x:c r="G105" s="73" t="inlineStr">
        <x:is>
          <x:t xml:space="preserve">passed manual test</x:t>
        </x:is>
      </x:c>
      <x:c r="H105" s="92" t="inlineStr">
        <x:is>
          <x:t xml:space="preserve">covered</x:t>
        </x:is>
      </x:c>
      <x:c r="I105" s="84" t="inlineStr">
        <x:is>
          <x:t xml:space="preserve">ContextMenu playground scenario.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Public API</x:t>
        </x:is>
      </x:c>
      <x:c r="C106" s="84" t="inlineStr">
        <x:is>
          <x:t xml:space="preserve">Sub Trigger</x:t>
        </x:is>
      </x:c>
      <x:c r="D106" s="84" t="inlineStr">
        <x:is>
          <x:t xml:space="preserve">data-slot is menu-sub-trigger</x:t>
        </x:is>
      </x:c>
      <x:c r="E106" s="76" t="inlineStr">
        <x:is>
          <x:t xml:space="preserve">yes</x:t>
        </x:is>
      </x:c>
      <x:c r="F106" s="76" t="inlineStr">
        <x:is>
          <x:t xml:space="preserve">yes</x:t>
        </x:is>
      </x:c>
      <x:c r="G106" s="73" t="inlineStr">
        <x:is>
          <x:t xml:space="preserve">passed manual test</x:t>
        </x:is>
      </x:c>
      <x:c r="H106" s="92" t="inlineStr">
        <x:is>
          <x:t xml:space="preserve">covered</x:t>
        </x:is>
      </x:c>
      <x:c r="I106" s="84" t="inlineStr">
        <x:is>
          <x:t xml:space="preserve">ContextMenu playground scenario.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Public API</x:t>
        </x:is>
      </x:c>
      <x:c r="C107" s="84" t="inlineStr">
        <x:is>
          <x:t xml:space="preserve">Sub Trigger</x:t>
        </x:is>
      </x:c>
      <x:c r="D107" s="84" t="inlineStr">
        <x:is>
          <x:t xml:space="preserve">hover opens submenu after delay</x:t>
        </x:is>
      </x:c>
      <x:c r="E107" s="76" t="inlineStr">
        <x:is>
          <x:t xml:space="preserve">yes</x:t>
        </x:is>
      </x:c>
      <x:c r="F107" s="76" t="inlineStr">
        <x:is>
          <x:t xml:space="preserve">yes</x:t>
        </x:is>
      </x:c>
      <x:c r="G107" s="73" t="inlineStr">
        <x:is>
          <x:t xml:space="preserve">passed manual test</x:t>
        </x:is>
      </x:c>
      <x:c r="H107" s="92" t="inlineStr">
        <x:is>
          <x:t xml:space="preserve">covered</x:t>
        </x:is>
      </x:c>
      <x:c r="I107" s="84" t="inlineStr">
        <x:is>
          <x:t xml:space="preserve">ContextMenu playground scenario.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Public API</x:t>
        </x:is>
      </x:c>
      <x:c r="C108" s="84" t="inlineStr">
        <x:is>
          <x:t xml:space="preserve">Sub Trigger</x:t>
        </x:is>
      </x:c>
      <x:c r="D108" s="84" t="inlineStr">
        <x:is>
          <x:t xml:space="preserve">click toggles submenu</x:t>
        </x:is>
      </x:c>
      <x:c r="E108" s="76" t="inlineStr">
        <x:is>
          <x:t xml:space="preserve">yes</x:t>
        </x:is>
      </x:c>
      <x:c r="F108" s="76" t="inlineStr">
        <x:is>
          <x:t xml:space="preserve">yes</x:t>
        </x:is>
      </x:c>
      <x:c r="G108" s="73" t="inlineStr">
        <x:is>
          <x:t xml:space="preserve">passed manual test</x:t>
        </x:is>
      </x:c>
      <x:c r="H108" s="92" t="inlineStr">
        <x:is>
          <x:t xml:space="preserve">covered</x:t>
        </x:is>
      </x:c>
      <x:c r="I108" s="84" t="inlineStr">
        <x:is>
          <x:t xml:space="preserve">ContextMenu playground scenario.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Public API</x:t>
        </x:is>
      </x:c>
      <x:c r="C109" s="84" t="inlineStr">
        <x:is>
          <x:t xml:space="preserve">Sub Trigger</x:t>
        </x:is>
      </x:c>
      <x:c r="D109" s="84" t="inlineStr">
        <x:is>
          <x:t xml:space="preserve">ArrowRight opens submenu</x:t>
        </x:is>
      </x:c>
      <x:c r="E109" s="76" t="inlineStr">
        <x:is>
          <x:t xml:space="preserve">yes</x:t>
        </x:is>
      </x:c>
      <x:c r="F109" s="76" t="inlineStr">
        <x:is>
          <x:t xml:space="preserve">yes</x:t>
        </x:is>
      </x:c>
      <x:c r="G109" s="73" t="inlineStr">
        <x:is>
          <x:t xml:space="preserve">passed manual test</x:t>
        </x:is>
      </x:c>
      <x:c r="H109" s="92" t="inlineStr">
        <x:is>
          <x:t xml:space="preserve">covered</x:t>
        </x:is>
      </x:c>
      <x:c r="I109" s="84" t="inlineStr">
        <x:is>
          <x:t xml:space="preserve">ContextMenu playground scenario.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30" customHeight="1">
      <x:c r="A110" s="73" t="n">
        <x:v>102</x:v>
      </x:c>
      <x:c r="B110" s="84" t="inlineStr">
        <x:is>
          <x:t xml:space="preserve">Public API</x:t>
        </x:is>
      </x:c>
      <x:c r="C110" s="84" t="inlineStr">
        <x:is>
          <x:t xml:space="preserve">Sub Trigger</x:t>
        </x:is>
      </x:c>
      <x:c r="D110" s="84" t="inlineStr">
        <x:is>
          <x:t xml:space="preserve">disabled sub trigger receives real keyboard focus but cannot open its submenu</x:t>
        </x:is>
      </x:c>
      <x:c r="E110" s="76" t="inlineStr">
        <x:is>
          <x:t xml:space="preserve">yes</x:t>
        </x:is>
      </x:c>
      <x:c r="F110" s="85" t="inlineStr">
        <x:is>
          <x:t xml:space="preserve">no</x:t>
        </x:is>
      </x:c>
      <x:c r="G110" s="73" t="inlineStr">
        <x:is>
          <x:t xml:space="preserve">automated tests pass; manual pending</x:t>
        </x:is>
      </x:c>
      <x:c r="H110" s="86" t="inlineStr">
        <x:is>
          <x:t xml:space="preserve">untested</x:t>
        </x:is>
      </x:c>
      <x:c r="I110" s="84" t="inlineStr">
        <x:is>
          <x:t xml:space="preserve">playground/manual-tests/context-menu.md</x:t>
        </x:is>
      </x:c>
      <x:c r="J110" s="84" t="inlineStr">
        <x:is>
          <x:t xml:space="preserve">Run the updated component Manual Test Protocol and named browser/device matrix.</x:t>
        </x:is>
      </x:c>
      <x:c r="K110" s="87" t="n">
        <x:f>IF(AND(E110="yes",F110="yes",H110="covered"),1,IF(H110="partial",0.5,0))</x:f>
        <x:v>0</x:v>
      </x:c>
    </x:row>
    <x:row r="111" s="51" customFormat="1" ht="15" customHeight="1">
      <x:c r="A111" s="73" t="n">
        <x:v>103</x:v>
      </x:c>
      <x:c r="B111" s="84" t="inlineStr">
        <x:is>
          <x:t xml:space="preserve">Public API</x:t>
        </x:is>
      </x:c>
      <x:c r="C111" s="84" t="inlineStr">
        <x:is>
          <x:t xml:space="preserve">Sub Trigger</x:t>
        </x:is>
      </x:c>
      <x:c r="D111" s="84" t="inlineStr">
        <x:is>
          <x:t xml:space="preserve">textValue is used for typeahead</x:t>
        </x:is>
      </x:c>
      <x:c r="E111" s="76" t="inlineStr">
        <x:is>
          <x:t xml:space="preserve">yes</x:t>
        </x:is>
      </x:c>
      <x:c r="F111" s="76" t="inlineStr">
        <x:is>
          <x:t xml:space="preserve">yes</x:t>
        </x:is>
      </x:c>
      <x:c r="G111" s="73" t="inlineStr">
        <x:is>
          <x:t xml:space="preserve">passed manual test</x:t>
        </x:is>
      </x:c>
      <x:c r="H111" s="92" t="inlineStr">
        <x:is>
          <x:t xml:space="preserve">covered</x:t>
        </x:is>
      </x:c>
      <x:c r="I111" s="84" t="inlineStr">
        <x:is>
          <x:t xml:space="preserve">ContextMenu playground scenario.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30" customHeight="1">
      <x:c r="A112" s="73" t="n">
        <x:v>104</x:v>
      </x:c>
      <x:c r="B112" s="84" t="inlineStr">
        <x:is>
          <x:t xml:space="preserve">Public API</x:t>
        </x:is>
      </x:c>
      <x:c r="C112" s="84" t="inlineStr">
        <x:is>
          <x:t xml:space="preserve">Sub Content</x:t>
        </x:is>
      </x:c>
      <x:c r="D112" s="84" t="inlineStr">
        <x:is>
          <x:t xml:space="preserve">renders role menu</x:t>
        </x:is>
      </x:c>
      <x:c r="E112" s="76" t="inlineStr">
        <x:is>
          <x:t xml:space="preserve">yes</x:t>
        </x:is>
      </x:c>
      <x:c r="F112" s="76" t="inlineStr">
        <x:is>
          <x:t xml:space="preserve">yes</x:t>
        </x:is>
      </x:c>
      <x:c r="G112" s="73" t="inlineStr">
        <x:is>
          <x:t xml:space="preserve">passed manual test</x:t>
        </x:is>
      </x:c>
      <x:c r="H112" s="92" t="inlineStr">
        <x:is>
          <x:t xml:space="preserve">covered</x:t>
        </x:is>
      </x:c>
      <x:c r="I112" s="84" t="inlineStr">
        <x:is>
          <x:t xml:space="preserve">ContextMenu playground scenario.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15" customHeight="1">
      <x:c r="A113" s="73" t="n">
        <x:v>105</x:v>
      </x:c>
      <x:c r="B113" s="84" t="inlineStr">
        <x:is>
          <x:t xml:space="preserve">Public API</x:t>
        </x:is>
      </x:c>
      <x:c r="C113" s="84" t="inlineStr">
        <x:is>
          <x:t xml:space="preserve">Sub Content</x:t>
        </x:is>
      </x:c>
      <x:c r="D113" s="84" t="inlineStr">
        <x:is>
          <x:t xml:space="preserve">aria-label prop names submenu</x:t>
        </x:is>
      </x:c>
      <x:c r="E113" s="76" t="inlineStr">
        <x:is>
          <x:t xml:space="preserve">yes</x:t>
        </x:is>
      </x:c>
      <x:c r="F113" s="76" t="inlineStr">
        <x:is>
          <x:t xml:space="preserve">yes</x:t>
        </x:is>
      </x:c>
      <x:c r="G113" s="73" t="inlineStr">
        <x:is>
          <x:t xml:space="preserve">passed manual test</x:t>
        </x:is>
      </x:c>
      <x:c r="H113" s="92" t="inlineStr">
        <x:is>
          <x:t xml:space="preserve">covered</x:t>
        </x:is>
      </x:c>
      <x:c r="I113" s="84" t="inlineStr">
        <x:is>
          <x:t xml:space="preserve">ContextMenu playground scenario.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15" customHeight="1">
      <x:c r="A114" s="73" t="n">
        <x:v>106</x:v>
      </x:c>
      <x:c r="B114" s="84" t="inlineStr">
        <x:is>
          <x:t xml:space="preserve">Public API</x:t>
        </x:is>
      </x:c>
      <x:c r="C114" s="84" t="inlineStr">
        <x:is>
          <x:t xml:space="preserve">Sub Content</x:t>
        </x:is>
      </x:c>
      <x:c r="D114" s="84" t="inlineStr">
        <x:is>
          <x:t xml:space="preserve">aria-labelledby references sub trigger when ariaLabel is absent</x:t>
        </x:is>
      </x:c>
      <x:c r="E114" s="76" t="inlineStr">
        <x:is>
          <x:t xml:space="preserve">yes</x:t>
        </x:is>
      </x:c>
      <x:c r="F114" s="76" t="inlineStr">
        <x:is>
          <x:t xml:space="preserve">yes</x:t>
        </x:is>
      </x:c>
      <x:c r="G114" s="73" t="inlineStr">
        <x:is>
          <x:t xml:space="preserve">passed manual test</x:t>
        </x:is>
      </x:c>
      <x:c r="H114" s="92" t="inlineStr">
        <x:is>
          <x:t xml:space="preserve">covered</x:t>
        </x:is>
      </x:c>
      <x:c r="I114" s="84" t="inlineStr">
        <x:is>
          <x:t xml:space="preserve">ContextMenu playground scenario.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15" customHeight="1">
      <x:c r="A115" s="73" t="n">
        <x:v>107</x:v>
      </x:c>
      <x:c r="B115" s="84" t="inlineStr">
        <x:is>
          <x:t xml:space="preserve">Public API</x:t>
        </x:is>
      </x:c>
      <x:c r="C115" s="84" t="inlineStr">
        <x:is>
          <x:t xml:space="preserve">Sub Content</x:t>
        </x:is>
      </x:c>
      <x:c r="D115" s="84" t="inlineStr">
        <x:is>
          <x:t xml:space="preserve">data-slot is menu-sub-content</x:t>
        </x:is>
      </x:c>
      <x:c r="E115" s="76" t="inlineStr">
        <x:is>
          <x:t xml:space="preserve">yes</x:t>
        </x:is>
      </x:c>
      <x:c r="F115" s="76" t="inlineStr">
        <x:is>
          <x:t xml:space="preserve">yes</x:t>
        </x:is>
      </x:c>
      <x:c r="G115" s="73" t="inlineStr">
        <x:is>
          <x:t xml:space="preserve">passed manual test</x:t>
        </x:is>
      </x:c>
      <x:c r="H115" s="92" t="inlineStr">
        <x:is>
          <x:t xml:space="preserve">covered</x:t>
        </x:is>
      </x:c>
      <x:c r="I115" s="84" t="inlineStr">
        <x:is>
          <x:t xml:space="preserve">ContextMenu playground scenario.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Public API</x:t>
        </x:is>
      </x:c>
      <x:c r="C116" s="84" t="inlineStr">
        <x:is>
          <x:t xml:space="preserve">Sub Content</x:t>
        </x:is>
      </x:c>
      <x:c r="D116" s="84" t="inlineStr">
        <x:is>
          <x:t xml:space="preserve">data-state is open</x:t>
        </x:is>
      </x:c>
      <x:c r="E116" s="76" t="inlineStr">
        <x:is>
          <x:t xml:space="preserve">yes</x:t>
        </x:is>
      </x:c>
      <x:c r="F116" s="76" t="inlineStr">
        <x:is>
          <x:t xml:space="preserve">yes</x:t>
        </x:is>
      </x:c>
      <x:c r="G116" s="73" t="inlineStr">
        <x:is>
          <x:t xml:space="preserve">passed manual test</x:t>
        </x:is>
      </x:c>
      <x:c r="H116" s="92" t="inlineStr">
        <x:is>
          <x:t xml:space="preserve">covered</x:t>
        </x:is>
      </x:c>
      <x:c r="I116" s="84" t="inlineStr">
        <x:is>
          <x:t xml:space="preserve">ContextMenu playground scenario.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Public API</x:t>
        </x:is>
      </x:c>
      <x:c r="C117" s="84" t="inlineStr">
        <x:is>
          <x:t xml:space="preserve">Sub Content</x:t>
        </x:is>
      </x:c>
      <x:c r="D117" s="84" t="inlineStr">
        <x:is>
          <x:t xml:space="preserve">data-side reflects final placement</x:t>
        </x:is>
      </x:c>
      <x:c r="E117" s="76" t="inlineStr">
        <x:is>
          <x:t xml:space="preserve">yes</x:t>
        </x:is>
      </x:c>
      <x:c r="F117" s="76" t="inlineStr">
        <x:is>
          <x:t xml:space="preserve">yes</x:t>
        </x:is>
      </x:c>
      <x:c r="G117" s="73" t="inlineStr">
        <x:is>
          <x:t xml:space="preserve">passed manual test</x:t>
        </x:is>
      </x:c>
      <x:c r="H117" s="92" t="inlineStr">
        <x:is>
          <x:t xml:space="preserve">covered</x:t>
        </x:is>
      </x:c>
      <x:c r="I117" s="84" t="inlineStr">
        <x:is>
          <x:t xml:space="preserve">ContextMenu playground scenario.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15" customHeight="1">
      <x:c r="A118" s="73" t="n">
        <x:v>110</x:v>
      </x:c>
      <x:c r="B118" s="84" t="inlineStr">
        <x:is>
          <x:t xml:space="preserve">Public API</x:t>
        </x:is>
      </x:c>
      <x:c r="C118" s="84" t="inlineStr">
        <x:is>
          <x:t xml:space="preserve">Sub Content</x:t>
        </x:is>
      </x:c>
      <x:c r="D118" s="84" t="inlineStr">
        <x:is>
          <x:t xml:space="preserve">data-positioned appears after positioning</x:t>
        </x:is>
      </x:c>
      <x:c r="E118" s="76" t="inlineStr">
        <x:is>
          <x:t xml:space="preserve">yes</x:t>
        </x:is>
      </x:c>
      <x:c r="F118" s="76" t="inlineStr">
        <x:is>
          <x:t xml:space="preserve">yes</x:t>
        </x:is>
      </x:c>
      <x:c r="G118" s="73" t="inlineStr">
        <x:is>
          <x:t xml:space="preserve">passed manual test</x:t>
        </x:is>
      </x:c>
      <x:c r="H118" s="92" t="inlineStr">
        <x:is>
          <x:t xml:space="preserve">covered</x:t>
        </x:is>
      </x:c>
      <x:c r="I118" s="84" t="inlineStr">
        <x:is>
          <x:t xml:space="preserve">ContextMenu playground scenario.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15" customHeight="1">
      <x:c r="A119" s="73" t="n">
        <x:v>111</x:v>
      </x:c>
      <x:c r="B119" s="84" t="inlineStr">
        <x:is>
          <x:t xml:space="preserve">Public API</x:t>
        </x:is>
      </x:c>
      <x:c r="C119" s="84" t="inlineStr">
        <x:is>
          <x:t xml:space="preserve">Sub Content</x:t>
        </x:is>
      </x:c>
      <x:c r="D119" s="84" t="inlineStr">
        <x:is>
          <x:t xml:space="preserve">sideOffset changes submenu distance</x:t>
        </x:is>
      </x:c>
      <x:c r="E119" s="76" t="inlineStr">
        <x:is>
          <x:t xml:space="preserve">yes</x:t>
        </x:is>
      </x:c>
      <x:c r="F119" s="76" t="inlineStr">
        <x:is>
          <x:t xml:space="preserve">yes</x:t>
        </x:is>
      </x:c>
      <x:c r="G119" s="73" t="inlineStr">
        <x:is>
          <x:t xml:space="preserve">passed manual test</x:t>
        </x:is>
      </x:c>
      <x:c r="H119" s="92" t="inlineStr">
        <x:is>
          <x:t xml:space="preserve">covered</x:t>
        </x:is>
      </x:c>
      <x:c r="I119" s="84" t="inlineStr">
        <x:is>
          <x:t xml:space="preserve">ContextMenu playground scenario.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15" customHeight="1">
      <x:c r="A120" s="73" t="n">
        <x:v>112</x:v>
      </x:c>
      <x:c r="B120" s="84" t="inlineStr">
        <x:is>
          <x:t xml:space="preserve">Public API</x:t>
        </x:is>
      </x:c>
      <x:c r="C120" s="84" t="inlineStr">
        <x:is>
          <x:t xml:space="preserve">Sub Content</x:t>
        </x:is>
      </x:c>
      <x:c r="D120" s="84" t="inlineStr">
        <x:is>
          <x:t xml:space="preserve">loop prop controls submenu wrapping</x:t>
        </x:is>
      </x:c>
      <x:c r="E120" s="76" t="inlineStr">
        <x:is>
          <x:t xml:space="preserve">yes</x:t>
        </x:is>
      </x:c>
      <x:c r="F120" s="76" t="inlineStr">
        <x:is>
          <x:t xml:space="preserve">yes</x:t>
        </x:is>
      </x:c>
      <x:c r="G120" s="73" t="inlineStr">
        <x:is>
          <x:t xml:space="preserve">passed manual test</x:t>
        </x:is>
      </x:c>
      <x:c r="H120" s="92" t="inlineStr">
        <x:is>
          <x:t xml:space="preserve">covered</x:t>
        </x:is>
      </x:c>
      <x:c r="I120" s="84" t="inlineStr">
        <x:is>
          <x:t xml:space="preserve">ContextMenu playground scenario.</x:t>
        </x:is>
      </x:c>
      <x:c r="J120" s="84" t="n"/>
      <x:c r="K120" s="87" t="n">
        <x:f>IF(AND(E120="yes",F120="yes",H120="covered"),1,IF(H120="partial",0.5,0))</x:f>
        <x:v>1</x:v>
      </x:c>
    </x:row>
    <x:row r="121" s="51" customFormat="1" ht="15" customHeight="1">
      <x:c r="A121" s="73" t="n">
        <x:v>113</x:v>
      </x:c>
      <x:c r="B121" s="84" t="inlineStr">
        <x:is>
          <x:t xml:space="preserve">Interaction</x:t>
        </x:is>
      </x:c>
      <x:c r="C121" s="84" t="inlineStr">
        <x:is>
          <x:t xml:space="preserve">Open And Close</x:t>
        </x:is>
      </x:c>
      <x:c r="D121" s="84" t="inlineStr">
        <x:is>
          <x:t xml:space="preserve">right click opens at pointer location</x:t>
        </x:is>
      </x:c>
      <x:c r="E121" s="76" t="inlineStr">
        <x:is>
          <x:t xml:space="preserve">yes</x:t>
        </x:is>
      </x:c>
      <x:c r="F121" s="76" t="inlineStr">
        <x:is>
          <x:t xml:space="preserve">yes</x:t>
        </x:is>
      </x:c>
      <x:c r="G121" s="73" t="inlineStr">
        <x:is>
          <x:t xml:space="preserve">passed manual test</x:t>
        </x:is>
      </x:c>
      <x:c r="H121" s="92" t="inlineStr">
        <x:is>
          <x:t xml:space="preserve">covered</x:t>
        </x:is>
      </x:c>
      <x:c r="I121" s="84" t="inlineStr">
        <x:is>
          <x:t xml:space="preserve">ContextMenu playground scenario.</x:t>
        </x:is>
      </x:c>
      <x:c r="J121" s="84" t="n"/>
      <x:c r="K121" s="87" t="n">
        <x:f>IF(AND(E121="yes",F121="yes",H121="covered"),1,IF(H121="partial",0.5,0))</x:f>
        <x:v>1</x:v>
      </x:c>
    </x:row>
    <x:row r="122" s="51" customFormat="1" ht="15" customHeight="1">
      <x:c r="A122" s="73" t="n">
        <x:v>114</x:v>
      </x:c>
      <x:c r="B122" s="84" t="inlineStr">
        <x:is>
          <x:t xml:space="preserve">Interaction</x:t>
        </x:is>
      </x:c>
      <x:c r="C122" s="84" t="inlineStr">
        <x:is>
          <x:t xml:space="preserve">Open And Close</x:t>
        </x:is>
      </x:c>
      <x:c r="D122" s="84" t="inlineStr">
        <x:is>
          <x:t xml:space="preserve">keyboard opens at trigger center</x:t>
        </x:is>
      </x:c>
      <x:c r="E122" s="76" t="inlineStr">
        <x:is>
          <x:t xml:space="preserve">yes</x:t>
        </x:is>
      </x:c>
      <x:c r="F122" s="76" t="inlineStr">
        <x:is>
          <x:t xml:space="preserve">yes</x:t>
        </x:is>
      </x:c>
      <x:c r="G122" s="73" t="inlineStr">
        <x:is>
          <x:t xml:space="preserve">passed manual test</x:t>
        </x:is>
      </x:c>
      <x:c r="H122" s="92" t="inlineStr">
        <x:is>
          <x:t xml:space="preserve">covered</x:t>
        </x:is>
      </x:c>
      <x:c r="I122" s="84" t="inlineStr">
        <x:is>
          <x:t xml:space="preserve">ContextMenu playground scenario.</x:t>
        </x:is>
      </x:c>
      <x:c r="J122" s="84" t="n"/>
      <x:c r="K122" s="87" t="n">
        <x:f>IF(AND(E122="yes",F122="yes",H122="covered"),1,IF(H122="partial",0.5,0))</x:f>
        <x:v>1</x:v>
      </x:c>
    </x:row>
    <x:row r="123" s="51" customFormat="1" ht="15" customHeight="1">
      <x:c r="A123" s="73" t="n">
        <x:v>115</x:v>
      </x:c>
      <x:c r="B123" s="84" t="inlineStr">
        <x:is>
          <x:t xml:space="preserve">Interaction</x:t>
        </x:is>
      </x:c>
      <x:c r="C123" s="84" t="inlineStr">
        <x:is>
          <x:t xml:space="preserve">Open And Close</x:t>
        </x:is>
      </x:c>
      <x:c r="D123" s="84" t="inlineStr">
        <x:is>
          <x:t xml:space="preserve">outside click closes menu</x:t>
        </x:is>
      </x:c>
      <x:c r="E123" s="76" t="inlineStr">
        <x:is>
          <x:t xml:space="preserve">yes</x:t>
        </x:is>
      </x:c>
      <x:c r="F123" s="76" t="inlineStr">
        <x:is>
          <x:t xml:space="preserve">yes</x:t>
        </x:is>
      </x:c>
      <x:c r="G123" s="73" t="inlineStr">
        <x:is>
          <x:t xml:space="preserve">passed manual test</x:t>
        </x:is>
      </x:c>
      <x:c r="H123" s="92" t="inlineStr">
        <x:is>
          <x:t xml:space="preserve">covered</x:t>
        </x:is>
      </x:c>
      <x:c r="I123" s="84" t="inlineStr">
        <x:is>
          <x:t xml:space="preserve">ContextMenu playground scenario.</x:t>
        </x:is>
      </x:c>
      <x:c r="J123" s="84" t="n"/>
      <x:c r="K123" s="87" t="n">
        <x:f>IF(AND(E123="yes",F123="yes",H123="covered"),1,IF(H123="partial",0.5,0))</x:f>
        <x:v>1</x:v>
      </x:c>
    </x:row>
    <x:row r="124" s="51" customFormat="1" ht="30" customHeight="1">
      <x:c r="A124" s="73" t="n">
        <x:v>116</x:v>
      </x:c>
      <x:c r="B124" s="84" t="inlineStr">
        <x:is>
          <x:t xml:space="preserve">Interaction</x:t>
        </x:is>
      </x:c>
      <x:c r="C124" s="84" t="inlineStr">
        <x:is>
          <x:t xml:space="preserve">Open And Close</x:t>
        </x:is>
      </x:c>
      <x:c r="D124" s="84" t="inlineStr">
        <x:is>
          <x:t xml:space="preserve">Tab closes every menu level and moves focus after the complete ContextMenu owner boundary</x:t>
        </x:is>
      </x:c>
      <x:c r="E124" s="76" t="inlineStr">
        <x:is>
          <x:t xml:space="preserve">yes</x:t>
        </x:is>
      </x:c>
      <x:c r="F124" s="85" t="inlineStr">
        <x:is>
          <x:t xml:space="preserve">no</x:t>
        </x:is>
      </x:c>
      <x:c r="G124" s="73" t="inlineStr">
        <x:is>
          <x:t xml:space="preserve">automated tests pass; manual pending</x:t>
        </x:is>
      </x:c>
      <x:c r="H124" s="86" t="inlineStr">
        <x:is>
          <x:t xml:space="preserve">untested</x:t>
        </x:is>
      </x:c>
      <x:c r="I124" s="84" t="inlineStr">
        <x:is>
          <x:t xml:space="preserve">playground/manual-tests/context-menu.md</x:t>
        </x:is>
      </x:c>
      <x:c r="J124" s="84" t="inlineStr">
        <x:is>
          <x:t xml:space="preserve">Run the updated component Manual Test Protocol and named browser/device matrix.</x:t>
        </x:is>
      </x:c>
      <x:c r="K124" s="87" t="n">
        <x:f>IF(AND(E124="yes",F124="yes",H124="covered"),1,IF(H124="partial",0.5,0))</x:f>
        <x:v>0</x:v>
      </x:c>
    </x:row>
    <x:row r="125" s="51" customFormat="1" ht="15" customHeight="1">
      <x:c r="A125" s="73" t="n">
        <x:v>117</x:v>
      </x:c>
      <x:c r="B125" s="84" t="inlineStr">
        <x:is>
          <x:t xml:space="preserve">Interaction</x:t>
        </x:is>
      </x:c>
      <x:c r="C125" s="84" t="inlineStr">
        <x:is>
          <x:t xml:space="preserve">Open And Close</x:t>
        </x:is>
      </x:c>
      <x:c r="D125" s="84" t="inlineStr">
        <x:is>
          <x:t xml:space="preserve">Escape closes menu when no submenu is open</x:t>
        </x:is>
      </x:c>
      <x:c r="E125" s="76" t="inlineStr">
        <x:is>
          <x:t xml:space="preserve">yes</x:t>
        </x:is>
      </x:c>
      <x:c r="F125" s="76" t="inlineStr">
        <x:is>
          <x:t xml:space="preserve">yes</x:t>
        </x:is>
      </x:c>
      <x:c r="G125" s="73" t="inlineStr">
        <x:is>
          <x:t xml:space="preserve">passed manual test</x:t>
        </x:is>
      </x:c>
      <x:c r="H125" s="92" t="inlineStr">
        <x:is>
          <x:t xml:space="preserve">covered</x:t>
        </x:is>
      </x:c>
      <x:c r="I125" s="84" t="inlineStr">
        <x:is>
          <x:t xml:space="preserve">ContextMenu playground scenario.</x:t>
        </x:is>
      </x:c>
      <x:c r="J125" s="84" t="n"/>
      <x:c r="K125" s="87" t="n">
        <x:f>IF(AND(E125="yes",F125="yes",H125="covered"),1,IF(H125="partial",0.5,0))</x:f>
        <x:v>1</x:v>
      </x:c>
    </x:row>
    <x:row r="126" s="51" customFormat="1" ht="30" customHeight="1">
      <x:c r="A126" s="73" t="n">
        <x:v>118</x:v>
      </x:c>
      <x:c r="B126" s="84" t="inlineStr">
        <x:is>
          <x:t xml:space="preserve">Interaction</x:t>
        </x:is>
      </x:c>
      <x:c r="C126" s="84" t="inlineStr">
        <x:is>
          <x:t xml:space="preserve">Open And Close</x:t>
        </x:is>
      </x:c>
      <x:c r="D126" s="84" t="inlineStr">
        <x:is>
          <x:t xml:space="preserve">Escape closes the innermost submenu first and restores real focus to its SubTrigger</x:t>
        </x:is>
      </x:c>
      <x:c r="E126" s="76" t="inlineStr">
        <x:is>
          <x:t xml:space="preserve">yes</x:t>
        </x:is>
      </x:c>
      <x:c r="F126" s="85" t="inlineStr">
        <x:is>
          <x:t xml:space="preserve">no</x:t>
        </x:is>
      </x:c>
      <x:c r="G126" s="73" t="inlineStr">
        <x:is>
          <x:t xml:space="preserve">automated tests pass; manual pending</x:t>
        </x:is>
      </x:c>
      <x:c r="H126" s="86" t="inlineStr">
        <x:is>
          <x:t xml:space="preserve">untested</x:t>
        </x:is>
      </x:c>
      <x:c r="I126" s="84" t="inlineStr">
        <x:is>
          <x:t xml:space="preserve">playground/manual-tests/context-menu.md</x:t>
        </x:is>
      </x:c>
      <x:c r="J126" s="84" t="inlineStr">
        <x:is>
          <x:t xml:space="preserve">Run the updated component Manual Test Protocol and named browser/device matrix.</x:t>
        </x:is>
      </x:c>
      <x:c r="K126" s="87" t="n">
        <x:f>IF(AND(E126="yes",F126="yes",H126="covered"),1,IF(H126="partial",0.5,0))</x:f>
        <x:v>0</x:v>
      </x:c>
    </x:row>
    <x:row r="127" s="51" customFormat="1" ht="15" customHeight="1">
      <x:c r="A127" s="73" t="n">
        <x:v>119</x:v>
      </x:c>
      <x:c r="B127" s="84" t="inlineStr">
        <x:is>
          <x:t xml:space="preserve">Interaction</x:t>
        </x:is>
      </x:c>
      <x:c r="C127" s="84" t="inlineStr">
        <x:is>
          <x:t xml:space="preserve">Open And Close</x:t>
        </x:is>
      </x:c>
      <x:c r="D127" s="84" t="inlineStr">
        <x:is>
          <x:t xml:space="preserve">selecting action item closes menu when enabled</x:t>
        </x:is>
      </x:c>
      <x:c r="E127" s="76" t="inlineStr">
        <x:is>
          <x:t xml:space="preserve">yes</x:t>
        </x:is>
      </x:c>
      <x:c r="F127" s="76" t="inlineStr">
        <x:is>
          <x:t xml:space="preserve">yes</x:t>
        </x:is>
      </x:c>
      <x:c r="G127" s="73" t="inlineStr">
        <x:is>
          <x:t xml:space="preserve">passed manual test</x:t>
        </x:is>
      </x:c>
      <x:c r="H127" s="92" t="inlineStr">
        <x:is>
          <x:t xml:space="preserve">covered</x:t>
        </x:is>
      </x:c>
      <x:c r="I127" s="84" t="inlineStr">
        <x:is>
          <x:t xml:space="preserve">ContextMenu playground scenario.</x:t>
        </x:is>
      </x:c>
      <x:c r="J127" s="84" t="n"/>
      <x:c r="K127" s="87" t="n">
        <x:f>IF(AND(E127="yes",F127="yes",H127="covered"),1,IF(H127="partial",0.5,0))</x:f>
        <x:v>1</x:v>
      </x:c>
    </x:row>
    <x:row r="128" s="51" customFormat="1" ht="15" customHeight="1">
      <x:c r="A128" s="73" t="n">
        <x:v>120</x:v>
      </x:c>
      <x:c r="B128" s="84" t="inlineStr">
        <x:is>
          <x:t xml:space="preserve">Interaction</x:t>
        </x:is>
      </x:c>
      <x:c r="C128" s="84" t="inlineStr">
        <x:is>
          <x:t xml:space="preserve">Open And Close</x:t>
        </x:is>
      </x:c>
      <x:c r="D128" s="84" t="inlineStr">
        <x:is>
          <x:t xml:space="preserve">selecting checkbox/radio can keep menu open</x:t>
        </x:is>
      </x:c>
      <x:c r="E128" s="76" t="inlineStr">
        <x:is>
          <x:t xml:space="preserve">yes</x:t>
        </x:is>
      </x:c>
      <x:c r="F128" s="76" t="inlineStr">
        <x:is>
          <x:t xml:space="preserve">yes</x:t>
        </x:is>
      </x:c>
      <x:c r="G128" s="73" t="inlineStr">
        <x:is>
          <x:t xml:space="preserve">passed manual test</x:t>
        </x:is>
      </x:c>
      <x:c r="H128" s="92" t="inlineStr">
        <x:is>
          <x:t xml:space="preserve">covered</x:t>
        </x:is>
      </x:c>
      <x:c r="I128" s="84" t="inlineStr">
        <x:is>
          <x:t xml:space="preserve">ContextMenu playground scenario.</x:t>
        </x:is>
      </x:c>
      <x:c r="J128" s="84" t="n"/>
      <x:c r="K128" s="87" t="n">
        <x:f>IF(AND(E128="yes",F128="yes",H128="covered"),1,IF(H128="partial",0.5,0))</x:f>
        <x:v>1</x:v>
      </x:c>
    </x:row>
    <x:row r="129" s="51" customFormat="1" ht="15" customHeight="1">
      <x:c r="A129" s="73" t="n">
        <x:v>121</x:v>
      </x:c>
      <x:c r="B129" s="84" t="inlineStr">
        <x:is>
          <x:t xml:space="preserve">Interaction</x:t>
        </x:is>
      </x:c>
      <x:c r="C129" s="84" t="inlineStr">
        <x:is>
          <x:t xml:space="preserve">Open And Close</x:t>
        </x:is>
      </x:c>
      <x:c r="D129" s="84" t="inlineStr">
        <x:is>
          <x:t xml:space="preserve">selecting submenu item closes submenu and parent menu</x:t>
        </x:is>
      </x:c>
      <x:c r="E129" s="76" t="inlineStr">
        <x:is>
          <x:t xml:space="preserve">yes</x:t>
        </x:is>
      </x:c>
      <x:c r="F129" s="76" t="inlineStr">
        <x:is>
          <x:t xml:space="preserve">yes</x:t>
        </x:is>
      </x:c>
      <x:c r="G129" s="73" t="inlineStr">
        <x:is>
          <x:t xml:space="preserve">passed manual test</x:t>
        </x:is>
      </x:c>
      <x:c r="H129" s="92" t="inlineStr">
        <x:is>
          <x:t xml:space="preserve">covered</x:t>
        </x:is>
      </x:c>
      <x:c r="I129" s="84" t="inlineStr">
        <x:is>
          <x:t xml:space="preserve">ContextMenu playground scenario.</x:t>
        </x:is>
      </x:c>
      <x:c r="J129" s="84" t="n"/>
      <x:c r="K129" s="87" t="n">
        <x:f>IF(AND(E129="yes",F129="yes",H129="covered"),1,IF(H129="partial",0.5,0))</x:f>
        <x:v>1</x:v>
      </x:c>
    </x:row>
    <x:row r="130" s="51" customFormat="1" ht="30" customHeight="1">
      <x:c r="A130" s="73" t="n">
        <x:v>122</x:v>
      </x:c>
      <x:c r="B130" s="84" t="inlineStr">
        <x:is>
          <x:t xml:space="preserve">Keyboard</x:t>
        </x:is>
      </x:c>
      <x:c r="C130" s="84" t="inlineStr">
        <x:is>
          <x:t xml:space="preserve">Navigation</x:t>
        </x:is>
      </x:c>
      <x:c r="D130" s="84" t="inlineStr">
        <x:is>
          <x:t xml:space="preserve">ArrowDown moves real focus forward, including onto disabled items</x:t>
        </x:is>
      </x:c>
      <x:c r="E130" s="76" t="inlineStr">
        <x:is>
          <x:t xml:space="preserve">yes</x:t>
        </x:is>
      </x:c>
      <x:c r="F130" s="85" t="inlineStr">
        <x:is>
          <x:t xml:space="preserve">no</x:t>
        </x:is>
      </x:c>
      <x:c r="G130" s="73" t="inlineStr">
        <x:is>
          <x:t xml:space="preserve">automated tests pass; manual pending</x:t>
        </x:is>
      </x:c>
      <x:c r="H130" s="86" t="inlineStr">
        <x:is>
          <x:t xml:space="preserve">untested</x:t>
        </x:is>
      </x:c>
      <x:c r="I130" s="84" t="inlineStr">
        <x:is>
          <x:t xml:space="preserve">playground/manual-tests/context-menu.md</x:t>
        </x:is>
      </x:c>
      <x:c r="J130" s="84" t="inlineStr">
        <x:is>
          <x:t xml:space="preserve">Run the updated component Manual Test Protocol and named browser/device matrix.</x:t>
        </x:is>
      </x:c>
      <x:c r="K130" s="87" t="n">
        <x:f>IF(AND(E130="yes",F130="yes",H130="covered"),1,IF(H130="partial",0.5,0))</x:f>
        <x:v>0</x:v>
      </x:c>
    </x:row>
    <x:row r="131" s="51" customFormat="1" ht="30" customHeight="1">
      <x:c r="A131" s="73" t="n">
        <x:v>123</x:v>
      </x:c>
      <x:c r="B131" s="84" t="inlineStr">
        <x:is>
          <x:t xml:space="preserve">Keyboard</x:t>
        </x:is>
      </x:c>
      <x:c r="C131" s="84" t="inlineStr">
        <x:is>
          <x:t xml:space="preserve">Navigation</x:t>
        </x:is>
      </x:c>
      <x:c r="D131" s="84" t="inlineStr">
        <x:is>
          <x:t xml:space="preserve">ArrowUp moves real focus backward, including onto disabled items</x:t>
        </x:is>
      </x:c>
      <x:c r="E131" s="76" t="inlineStr">
        <x:is>
          <x:t xml:space="preserve">yes</x:t>
        </x:is>
      </x:c>
      <x:c r="F131" s="85" t="inlineStr">
        <x:is>
          <x:t xml:space="preserve">no</x:t>
        </x:is>
      </x:c>
      <x:c r="G131" s="73" t="inlineStr">
        <x:is>
          <x:t xml:space="preserve">automated tests pass; manual pending</x:t>
        </x:is>
      </x:c>
      <x:c r="H131" s="86" t="inlineStr">
        <x:is>
          <x:t xml:space="preserve">untested</x:t>
        </x:is>
      </x:c>
      <x:c r="I131" s="84" t="inlineStr">
        <x:is>
          <x:t xml:space="preserve">playground/manual-tests/context-menu.md</x:t>
        </x:is>
      </x:c>
      <x:c r="J131" s="84" t="inlineStr">
        <x:is>
          <x:t xml:space="preserve">Run the updated component Manual Test Protocol and named browser/device matrix.</x:t>
        </x:is>
      </x:c>
      <x:c r="K131" s="87" t="n">
        <x:f>IF(AND(E131="yes",F131="yes",H131="covered"),1,IF(H131="partial",0.5,0))</x:f>
        <x:v>0</x:v>
      </x:c>
    </x:row>
    <x:row r="132" s="51" customFormat="1" ht="15" customHeight="1">
      <x:c r="A132" s="73" t="n">
        <x:v>124</x:v>
      </x:c>
      <x:c r="B132" s="84" t="inlineStr">
        <x:is>
          <x:t xml:space="preserve">Keyboard</x:t>
        </x:is>
      </x:c>
      <x:c r="C132" s="84" t="inlineStr">
        <x:is>
          <x:t xml:space="preserve">Navigation</x:t>
        </x:is>
      </x:c>
      <x:c r="D132" s="84" t="inlineStr">
        <x:is>
          <x:t xml:space="preserve">Home moves highlight to first item</x:t>
        </x:is>
      </x:c>
      <x:c r="E132" s="76" t="inlineStr">
        <x:is>
          <x:t xml:space="preserve">yes</x:t>
        </x:is>
      </x:c>
      <x:c r="F132" s="76" t="inlineStr">
        <x:is>
          <x:t xml:space="preserve">yes</x:t>
        </x:is>
      </x:c>
      <x:c r="G132" s="73" t="inlineStr">
        <x:is>
          <x:t xml:space="preserve">passed manual test</x:t>
        </x:is>
      </x:c>
      <x:c r="H132" s="92" t="inlineStr">
        <x:is>
          <x:t xml:space="preserve">covered</x:t>
        </x:is>
      </x:c>
      <x:c r="I132" s="84" t="inlineStr">
        <x:is>
          <x:t xml:space="preserve">ContextMenu playground scenario.</x:t>
        </x:is>
      </x:c>
      <x:c r="J132" s="84" t="n"/>
      <x:c r="K132" s="87" t="n">
        <x:f>IF(AND(E132="yes",F132="yes",H132="covered"),1,IF(H132="partial",0.5,0))</x:f>
        <x:v>1</x:v>
      </x:c>
    </x:row>
    <x:row r="133" s="51" customFormat="1" ht="15" customHeight="1">
      <x:c r="A133" s="73" t="n">
        <x:v>125</x:v>
      </x:c>
      <x:c r="B133" s="84" t="inlineStr">
        <x:is>
          <x:t xml:space="preserve">Keyboard</x:t>
        </x:is>
      </x:c>
      <x:c r="C133" s="84" t="inlineStr">
        <x:is>
          <x:t xml:space="preserve">Navigation</x:t>
        </x:is>
      </x:c>
      <x:c r="D133" s="84" t="inlineStr">
        <x:is>
          <x:t xml:space="preserve">End moves highlight to last item</x:t>
        </x:is>
      </x:c>
      <x:c r="E133" s="76" t="inlineStr">
        <x:is>
          <x:t xml:space="preserve">yes</x:t>
        </x:is>
      </x:c>
      <x:c r="F133" s="76" t="inlineStr">
        <x:is>
          <x:t xml:space="preserve">yes</x:t>
        </x:is>
      </x:c>
      <x:c r="G133" s="73" t="inlineStr">
        <x:is>
          <x:t xml:space="preserve">passed manual test</x:t>
        </x:is>
      </x:c>
      <x:c r="H133" s="92" t="inlineStr">
        <x:is>
          <x:t xml:space="preserve">covered</x:t>
        </x:is>
      </x:c>
      <x:c r="I133" s="84" t="inlineStr">
        <x:is>
          <x:t xml:space="preserve">ContextMenu playground scenario.</x:t>
        </x:is>
      </x:c>
      <x:c r="J133" s="84" t="n"/>
      <x:c r="K133" s="87" t="n">
        <x:f>IF(AND(E133="yes",F133="yes",H133="covered"),1,IF(H133="partial",0.5,0))</x:f>
        <x:v>1</x:v>
      </x:c>
    </x:row>
    <x:row r="134" s="51" customFormat="1" ht="30" customHeight="1">
      <x:c r="A134" s="73" t="n">
        <x:v>126</x:v>
      </x:c>
      <x:c r="B134" s="84" t="inlineStr">
        <x:is>
          <x:t xml:space="preserve">Keyboard</x:t>
        </x:is>
      </x:c>
      <x:c r="C134" s="84" t="inlineStr">
        <x:is>
          <x:t xml:space="preserve">Navigation</x:t>
        </x:is>
      </x:c>
      <x:c r="D134" s="84" t="inlineStr">
        <x:is>
          <x:t xml:space="preserve">disabled items participate in Arrow and typeahead focus movement but never activate</x:t>
        </x:is>
      </x:c>
      <x:c r="E134" s="76" t="inlineStr">
        <x:is>
          <x:t xml:space="preserve">yes</x:t>
        </x:is>
      </x:c>
      <x:c r="F134" s="85" t="inlineStr">
        <x:is>
          <x:t xml:space="preserve">no</x:t>
        </x:is>
      </x:c>
      <x:c r="G134" s="73" t="inlineStr">
        <x:is>
          <x:t xml:space="preserve">automated tests pass; manual pending</x:t>
        </x:is>
      </x:c>
      <x:c r="H134" s="86" t="inlineStr">
        <x:is>
          <x:t xml:space="preserve">untested</x:t>
        </x:is>
      </x:c>
      <x:c r="I134" s="84" t="inlineStr">
        <x:is>
          <x:t xml:space="preserve">playground/manual-tests/context-menu.md</x:t>
        </x:is>
      </x:c>
      <x:c r="J134" s="84" t="inlineStr">
        <x:is>
          <x:t xml:space="preserve">Run the updated component Manual Test Protocol and named browser/device matrix.</x:t>
        </x:is>
      </x:c>
      <x:c r="K134" s="87" t="n">
        <x:f>IF(AND(E134="yes",F134="yes",H134="covered"),1,IF(H134="partial",0.5,0))</x:f>
        <x:v>0</x:v>
      </x:c>
    </x:row>
    <x:row r="135" s="51" customFormat="1" ht="15" customHeight="1">
      <x:c r="A135" s="73" t="n">
        <x:v>127</x:v>
      </x:c>
      <x:c r="B135" s="84" t="inlineStr">
        <x:is>
          <x:t xml:space="preserve">Keyboard</x:t>
        </x:is>
      </x:c>
      <x:c r="C135" s="84" t="inlineStr">
        <x:is>
          <x:t xml:space="preserve">Navigation</x:t>
        </x:is>
      </x:c>
      <x:c r="D135" s="84" t="inlineStr">
        <x:is>
          <x:t xml:space="preserve">loop forward wraps to first</x:t>
        </x:is>
      </x:c>
      <x:c r="E135" s="76" t="inlineStr">
        <x:is>
          <x:t xml:space="preserve">yes</x:t>
        </x:is>
      </x:c>
      <x:c r="F135" s="76" t="inlineStr">
        <x:is>
          <x:t xml:space="preserve">yes</x:t>
        </x:is>
      </x:c>
      <x:c r="G135" s="73" t="inlineStr">
        <x:is>
          <x:t xml:space="preserve">passed manual test</x:t>
        </x:is>
      </x:c>
      <x:c r="H135" s="92" t="inlineStr">
        <x:is>
          <x:t xml:space="preserve">covered</x:t>
        </x:is>
      </x:c>
      <x:c r="I135" s="84" t="inlineStr">
        <x:is>
          <x:t xml:space="preserve">ContextMenu playground scenario.</x:t>
        </x:is>
      </x:c>
      <x:c r="J135" s="84" t="n"/>
      <x:c r="K135" s="87" t="n">
        <x:f>IF(AND(E135="yes",F135="yes",H135="covered"),1,IF(H135="partial",0.5,0))</x:f>
        <x:v>1</x:v>
      </x:c>
    </x:row>
    <x:row r="136" s="51" customFormat="1" ht="15" customHeight="1">
      <x:c r="A136" s="73" t="n">
        <x:v>128</x:v>
      </x:c>
      <x:c r="B136" s="84" t="inlineStr">
        <x:is>
          <x:t xml:space="preserve">Keyboard</x:t>
        </x:is>
      </x:c>
      <x:c r="C136" s="84" t="inlineStr">
        <x:is>
          <x:t xml:space="preserve">Navigation</x:t>
        </x:is>
      </x:c>
      <x:c r="D136" s="84" t="inlineStr">
        <x:is>
          <x:t xml:space="preserve">loop backward wraps to last</x:t>
        </x:is>
      </x:c>
      <x:c r="E136" s="76" t="inlineStr">
        <x:is>
          <x:t xml:space="preserve">yes</x:t>
        </x:is>
      </x:c>
      <x:c r="F136" s="76" t="inlineStr">
        <x:is>
          <x:t xml:space="preserve">yes</x:t>
        </x:is>
      </x:c>
      <x:c r="G136" s="73" t="inlineStr">
        <x:is>
          <x:t xml:space="preserve">passed manual test</x:t>
        </x:is>
      </x:c>
      <x:c r="H136" s="92" t="inlineStr">
        <x:is>
          <x:t xml:space="preserve">covered</x:t>
        </x:is>
      </x:c>
      <x:c r="I136" s="84" t="inlineStr">
        <x:is>
          <x:t xml:space="preserve">ContextMenu playground scenario.</x:t>
        </x:is>
      </x:c>
      <x:c r="J136" s="84" t="n"/>
      <x:c r="K136" s="87" t="n">
        <x:f>IF(AND(E136="yes",F136="yes",H136="covered"),1,IF(H136="partial",0.5,0))</x:f>
        <x:v>1</x:v>
      </x:c>
    </x:row>
    <x:row r="137" s="51" customFormat="1" ht="15" customHeight="1">
      <x:c r="A137" s="73" t="n">
        <x:v>129</x:v>
      </x:c>
      <x:c r="B137" s="84" t="inlineStr">
        <x:is>
          <x:t xml:space="preserve">Keyboard</x:t>
        </x:is>
      </x:c>
      <x:c r="C137" s="84" t="inlineStr">
        <x:is>
          <x:t xml:space="preserve">Navigation</x:t>
        </x:is>
      </x:c>
      <x:c r="D137" s="84" t="inlineStr">
        <x:is>
          <x:t xml:space="preserve">loop off does not wrap forward</x:t>
        </x:is>
      </x:c>
      <x:c r="E137" s="76" t="inlineStr">
        <x:is>
          <x:t xml:space="preserve">yes</x:t>
        </x:is>
      </x:c>
      <x:c r="F137" s="76" t="inlineStr">
        <x:is>
          <x:t xml:space="preserve">yes</x:t>
        </x:is>
      </x:c>
      <x:c r="G137" s="73" t="inlineStr">
        <x:is>
          <x:t xml:space="preserve">passed manual test</x:t>
        </x:is>
      </x:c>
      <x:c r="H137" s="92" t="inlineStr">
        <x:is>
          <x:t xml:space="preserve">covered</x:t>
        </x:is>
      </x:c>
      <x:c r="I137" s="84" t="inlineStr">
        <x:is>
          <x:t xml:space="preserve">ContextMenu playground scenario.</x:t>
        </x:is>
      </x:c>
      <x:c r="J137" s="84" t="n"/>
      <x:c r="K137" s="87" t="n">
        <x:f>IF(AND(E137="yes",F137="yes",H137="covered"),1,IF(H137="partial",0.5,0))</x:f>
        <x:v>1</x:v>
      </x:c>
    </x:row>
    <x:row r="138" s="51" customFormat="1" ht="15" customHeight="1">
      <x:c r="A138" s="73" t="n">
        <x:v>130</x:v>
      </x:c>
      <x:c r="B138" s="84" t="inlineStr">
        <x:is>
          <x:t xml:space="preserve">Keyboard</x:t>
        </x:is>
      </x:c>
      <x:c r="C138" s="84" t="inlineStr">
        <x:is>
          <x:t xml:space="preserve">Navigation</x:t>
        </x:is>
      </x:c>
      <x:c r="D138" s="84" t="inlineStr">
        <x:is>
          <x:t xml:space="preserve">loop off does not wrap backward</x:t>
        </x:is>
      </x:c>
      <x:c r="E138" s="76" t="inlineStr">
        <x:is>
          <x:t xml:space="preserve">yes</x:t>
        </x:is>
      </x:c>
      <x:c r="F138" s="76" t="inlineStr">
        <x:is>
          <x:t xml:space="preserve">yes</x:t>
        </x:is>
      </x:c>
      <x:c r="G138" s="73" t="inlineStr">
        <x:is>
          <x:t xml:space="preserve">passed manual test</x:t>
        </x:is>
      </x:c>
      <x:c r="H138" s="92" t="inlineStr">
        <x:is>
          <x:t xml:space="preserve">covered</x:t>
        </x:is>
      </x:c>
      <x:c r="I138" s="84" t="inlineStr">
        <x:is>
          <x:t xml:space="preserve">ContextMenu playground scenario.</x:t>
        </x:is>
      </x:c>
      <x:c r="J138" s="84" t="n"/>
      <x:c r="K138" s="87" t="n">
        <x:f>IF(AND(E138="yes",F138="yes",H138="covered"),1,IF(H138="partial",0.5,0))</x:f>
        <x:v>1</x:v>
      </x:c>
    </x:row>
    <x:row r="139" s="51" customFormat="1" ht="15" customHeight="1">
      <x:c r="A139" s="73" t="n">
        <x:v>131</x:v>
      </x:c>
      <x:c r="B139" s="84" t="inlineStr">
        <x:is>
          <x:t xml:space="preserve">Keyboard</x:t>
        </x:is>
      </x:c>
      <x:c r="C139" s="84" t="inlineStr">
        <x:is>
          <x:t xml:space="preserve">Navigation</x:t>
        </x:is>
      </x:c>
      <x:c r="D139" s="84" t="inlineStr">
        <x:is>
          <x:t xml:space="preserve">Enter activates highlighted item</x:t>
        </x:is>
      </x:c>
      <x:c r="E139" s="76" t="inlineStr">
        <x:is>
          <x:t xml:space="preserve">yes</x:t>
        </x:is>
      </x:c>
      <x:c r="F139" s="76" t="inlineStr">
        <x:is>
          <x:t xml:space="preserve">yes</x:t>
        </x:is>
      </x:c>
      <x:c r="G139" s="73" t="inlineStr">
        <x:is>
          <x:t xml:space="preserve">passed manual test</x:t>
        </x:is>
      </x:c>
      <x:c r="H139" s="92" t="inlineStr">
        <x:is>
          <x:t xml:space="preserve">covered</x:t>
        </x:is>
      </x:c>
      <x:c r="I139" s="84" t="inlineStr">
        <x:is>
          <x:t xml:space="preserve">ContextMenu playground scenario.</x:t>
        </x:is>
      </x:c>
      <x:c r="J139" s="84" t="n"/>
      <x:c r="K139" s="87" t="n">
        <x:f>IF(AND(E139="yes",F139="yes",H139="covered"),1,IF(H139="partial",0.5,0))</x:f>
        <x:v>1</x:v>
      </x:c>
    </x:row>
    <x:row r="140" s="51" customFormat="1" ht="15" customHeight="1">
      <x:c r="A140" s="73" t="n">
        <x:v>132</x:v>
      </x:c>
      <x:c r="B140" s="84" t="inlineStr">
        <x:is>
          <x:t xml:space="preserve">Keyboard</x:t>
        </x:is>
      </x:c>
      <x:c r="C140" s="84" t="inlineStr">
        <x:is>
          <x:t xml:space="preserve">Navigation</x:t>
        </x:is>
      </x:c>
      <x:c r="D140" s="84" t="inlineStr">
        <x:is>
          <x:t xml:space="preserve">Space activates highlighted item</x:t>
        </x:is>
      </x:c>
      <x:c r="E140" s="76" t="inlineStr">
        <x:is>
          <x:t xml:space="preserve">yes</x:t>
        </x:is>
      </x:c>
      <x:c r="F140" s="76" t="inlineStr">
        <x:is>
          <x:t xml:space="preserve">yes</x:t>
        </x:is>
      </x:c>
      <x:c r="G140" s="73" t="inlineStr">
        <x:is>
          <x:t xml:space="preserve">passed manual test</x:t>
        </x:is>
      </x:c>
      <x:c r="H140" s="92" t="inlineStr">
        <x:is>
          <x:t xml:space="preserve">covered</x:t>
        </x:is>
      </x:c>
      <x:c r="I140" s="84" t="inlineStr">
        <x:is>
          <x:t xml:space="preserve">ContextMenu playground scenario.</x:t>
        </x:is>
      </x:c>
      <x:c r="J140" s="84" t="n"/>
      <x:c r="K140" s="87" t="n">
        <x:f>IF(AND(E140="yes",F140="yes",H140="covered"),1,IF(H140="partial",0.5,0))</x:f>
        <x:v>1</x:v>
      </x:c>
    </x:row>
    <x:row r="141" s="51" customFormat="1" ht="15" customHeight="1">
      <x:c r="A141" s="73" t="n">
        <x:v>133</x:v>
      </x:c>
      <x:c r="B141" s="84" t="inlineStr">
        <x:is>
          <x:t xml:space="preserve">Keyboard</x:t>
        </x:is>
      </x:c>
      <x:c r="C141" s="84" t="inlineStr">
        <x:is>
          <x:t xml:space="preserve">Navigation</x:t>
        </x:is>
      </x:c>
      <x:c r="D141" s="84" t="inlineStr">
        <x:is>
          <x:t xml:space="preserve">typeahead highlights matching item</x:t>
        </x:is>
      </x:c>
      <x:c r="E141" s="76" t="inlineStr">
        <x:is>
          <x:t xml:space="preserve">yes</x:t>
        </x:is>
      </x:c>
      <x:c r="F141" s="76" t="inlineStr">
        <x:is>
          <x:t xml:space="preserve">yes</x:t>
        </x:is>
      </x:c>
      <x:c r="G141" s="73" t="inlineStr">
        <x:is>
          <x:t xml:space="preserve">passed manual test</x:t>
        </x:is>
      </x:c>
      <x:c r="H141" s="92" t="inlineStr">
        <x:is>
          <x:t xml:space="preserve">covered</x:t>
        </x:is>
      </x:c>
      <x:c r="I141" s="84" t="inlineStr">
        <x:is>
          <x:t xml:space="preserve">ContextMenu playground scenario.</x:t>
        </x:is>
      </x:c>
      <x:c r="J141" s="84" t="n"/>
      <x:c r="K141" s="87" t="n">
        <x:f>IF(AND(E141="yes",F141="yes",H141="covered"),1,IF(H141="partial",0.5,0))</x:f>
        <x:v>1</x:v>
      </x:c>
    </x:row>
    <x:row r="142" s="51" customFormat="1" ht="15" customHeight="1">
      <x:c r="A142" s="73" t="n">
        <x:v>134</x:v>
      </x:c>
      <x:c r="B142" s="84" t="inlineStr">
        <x:is>
          <x:t xml:space="preserve">Keyboard</x:t>
        </x:is>
      </x:c>
      <x:c r="C142" s="84" t="inlineStr">
        <x:is>
          <x:t xml:space="preserve">Navigation</x:t>
        </x:is>
      </x:c>
      <x:c r="D142" s="84" t="inlineStr">
        <x:is>
          <x:t xml:space="preserve">single-character typeahead cycles same-letter matches</x:t>
        </x:is>
      </x:c>
      <x:c r="E142" s="76" t="inlineStr">
        <x:is>
          <x:t xml:space="preserve">yes</x:t>
        </x:is>
      </x:c>
      <x:c r="F142" s="76" t="inlineStr">
        <x:is>
          <x:t xml:space="preserve">yes</x:t>
        </x:is>
      </x:c>
      <x:c r="G142" s="73" t="inlineStr">
        <x:is>
          <x:t xml:space="preserve">passed manual test</x:t>
        </x:is>
      </x:c>
      <x:c r="H142" s="92" t="inlineStr">
        <x:is>
          <x:t xml:space="preserve">covered</x:t>
        </x:is>
      </x:c>
      <x:c r="I142" s="84" t="inlineStr">
        <x:is>
          <x:t xml:space="preserve">ContextMenu playground scenario.</x:t>
        </x:is>
      </x:c>
      <x:c r="J142" s="84" t="n"/>
      <x:c r="K142" s="87" t="n">
        <x:f>IF(AND(E142="yes",F142="yes",H142="covered"),1,IF(H142="partial",0.5,0))</x:f>
        <x:v>1</x:v>
      </x:c>
    </x:row>
    <x:row r="143" s="51" customFormat="1" ht="15" customHeight="1">
      <x:c r="A143" s="73" t="n">
        <x:v>135</x:v>
      </x:c>
      <x:c r="B143" s="84" t="inlineStr">
        <x:is>
          <x:t xml:space="preserve">Keyboard</x:t>
        </x:is>
      </x:c>
      <x:c r="C143" s="84" t="inlineStr">
        <x:is>
          <x:t xml:space="preserve">Navigation</x:t>
        </x:is>
      </x:c>
      <x:c r="D143" s="84" t="inlineStr">
        <x:is>
          <x:t xml:space="preserve">multi-character typeahead matches exact prefix</x:t>
        </x:is>
      </x:c>
      <x:c r="E143" s="76" t="inlineStr">
        <x:is>
          <x:t xml:space="preserve">yes</x:t>
        </x:is>
      </x:c>
      <x:c r="F143" s="76" t="inlineStr">
        <x:is>
          <x:t xml:space="preserve">yes</x:t>
        </x:is>
      </x:c>
      <x:c r="G143" s="73" t="inlineStr">
        <x:is>
          <x:t xml:space="preserve">passed manual test</x:t>
        </x:is>
      </x:c>
      <x:c r="H143" s="92" t="inlineStr">
        <x:is>
          <x:t xml:space="preserve">covered</x:t>
        </x:is>
      </x:c>
      <x:c r="I143" s="84" t="inlineStr">
        <x:is>
          <x:t xml:space="preserve">ContextMenu playground scenario.</x:t>
        </x:is>
      </x:c>
      <x:c r="J143" s="84" t="n"/>
      <x:c r="K143" s="87" t="n">
        <x:f>IF(AND(E143="yes",F143="yes",H143="covered"),1,IF(H143="partial",0.5,0))</x:f>
        <x:v>1</x:v>
      </x:c>
    </x:row>
    <x:row r="144" s="51" customFormat="1" ht="15" customHeight="1">
      <x:c r="A144" s="73" t="n">
        <x:v>136</x:v>
      </x:c>
      <x:c r="B144" s="84" t="inlineStr">
        <x:is>
          <x:t xml:space="preserve">Keyboard</x:t>
        </x:is>
      </x:c>
      <x:c r="C144" s="84" t="inlineStr">
        <x:is>
          <x:t xml:space="preserve">Navigation</x:t>
        </x:is>
      </x:c>
      <x:c r="D144" s="84" t="inlineStr">
        <x:is>
          <x:t xml:space="preserve">submenu has independent highlight state</x:t>
        </x:is>
      </x:c>
      <x:c r="E144" s="76" t="inlineStr">
        <x:is>
          <x:t xml:space="preserve">yes</x:t>
        </x:is>
      </x:c>
      <x:c r="F144" s="76" t="inlineStr">
        <x:is>
          <x:t xml:space="preserve">yes</x:t>
        </x:is>
      </x:c>
      <x:c r="G144" s="73" t="inlineStr">
        <x:is>
          <x:t xml:space="preserve">passed manual test</x:t>
        </x:is>
      </x:c>
      <x:c r="H144" s="92" t="inlineStr">
        <x:is>
          <x:t xml:space="preserve">covered</x:t>
        </x:is>
      </x:c>
      <x:c r="I144" s="84" t="inlineStr">
        <x:is>
          <x:t xml:space="preserve">ContextMenu playground scenario.</x:t>
        </x:is>
      </x:c>
      <x:c r="J144" s="84" t="n"/>
      <x:c r="K144" s="87" t="n">
        <x:f>IF(AND(E144="yes",F144="yes",H144="covered"),1,IF(H144="partial",0.5,0))</x:f>
        <x:v>1</x:v>
      </x:c>
    </x:row>
    <x:row r="145" s="51" customFormat="1" ht="15" customHeight="1">
      <x:c r="A145" s="73" t="n">
        <x:v>137</x:v>
      </x:c>
      <x:c r="B145" s="84" t="inlineStr">
        <x:is>
          <x:t xml:space="preserve">Keyboard</x:t>
        </x:is>
      </x:c>
      <x:c r="C145" s="84" t="inlineStr">
        <x:is>
          <x:t xml:space="preserve">Navigation</x:t>
        </x:is>
      </x:c>
      <x:c r="D145" s="84" t="inlineStr">
        <x:is>
          <x:t xml:space="preserve">ArrowLeft closes submenu</x:t>
        </x:is>
      </x:c>
      <x:c r="E145" s="76" t="inlineStr">
        <x:is>
          <x:t xml:space="preserve">yes</x:t>
        </x:is>
      </x:c>
      <x:c r="F145" s="76" t="inlineStr">
        <x:is>
          <x:t xml:space="preserve">yes</x:t>
        </x:is>
      </x:c>
      <x:c r="G145" s="73" t="inlineStr">
        <x:is>
          <x:t xml:space="preserve">passed manual test</x:t>
        </x:is>
      </x:c>
      <x:c r="H145" s="92" t="inlineStr">
        <x:is>
          <x:t xml:space="preserve">covered</x:t>
        </x:is>
      </x:c>
      <x:c r="I145" s="84" t="inlineStr">
        <x:is>
          <x:t xml:space="preserve">ContextMenu playground scenario.</x:t>
        </x:is>
      </x:c>
      <x:c r="J145" s="84" t="n"/>
      <x:c r="K145" s="87" t="n">
        <x:f>IF(AND(E145="yes",F145="yes",H145="covered"),1,IF(H145="partial",0.5,0))</x:f>
        <x:v>1</x:v>
      </x:c>
    </x:row>
    <x:row r="146" s="51" customFormat="1" ht="15" customHeight="1">
      <x:c r="A146" s="73" t="n">
        <x:v>138</x:v>
      </x:c>
      <x:c r="B146" s="84" t="inlineStr">
        <x:is>
          <x:t xml:space="preserve">Keyboard</x:t>
        </x:is>
      </x:c>
      <x:c r="C146" s="84" t="inlineStr">
        <x:is>
          <x:t xml:space="preserve">Navigation</x:t>
        </x:is>
      </x:c>
      <x:c r="D146" s="84" t="inlineStr">
        <x:is>
          <x:t xml:space="preserve">ArrowRight opens nested submenu from submenu</x:t>
        </x:is>
      </x:c>
      <x:c r="E146" s="76" t="inlineStr">
        <x:is>
          <x:t xml:space="preserve">yes</x:t>
        </x:is>
      </x:c>
      <x:c r="F146" s="76" t="inlineStr">
        <x:is>
          <x:t xml:space="preserve">yes</x:t>
        </x:is>
      </x:c>
      <x:c r="G146" s="73" t="inlineStr">
        <x:is>
          <x:t xml:space="preserve">passed manual test</x:t>
        </x:is>
      </x:c>
      <x:c r="H146" s="92" t="inlineStr">
        <x:is>
          <x:t xml:space="preserve">covered</x:t>
        </x:is>
      </x:c>
      <x:c r="I146" s="84" t="inlineStr">
        <x:is>
          <x:t xml:space="preserve">ContextMenu playground scenario.</x:t>
        </x:is>
      </x:c>
      <x:c r="J146" s="84" t="n"/>
      <x:c r="K146" s="87" t="n">
        <x:f>IF(AND(E146="yes",F146="yes",H146="covered"),1,IF(H146="partial",0.5,0))</x:f>
        <x:v>1</x:v>
      </x:c>
    </x:row>
    <x:row r="147" s="51" customFormat="1" ht="15" customHeight="1">
      <x:c r="A147" s="73" t="n">
        <x:v>139</x:v>
      </x:c>
      <x:c r="B147" s="84" t="inlineStr">
        <x:is>
          <x:t xml:space="preserve">Pointer</x:t>
        </x:is>
      </x:c>
      <x:c r="C147" s="84" t="inlineStr">
        <x:is>
          <x:t xml:space="preserve">Highlight</x:t>
        </x:is>
      </x:c>
      <x:c r="D147" s="84" t="inlineStr">
        <x:is>
          <x:t xml:space="preserve">pointer open starts with no highlighted item</x:t>
        </x:is>
      </x:c>
      <x:c r="E147" s="76" t="inlineStr">
        <x:is>
          <x:t xml:space="preserve">yes</x:t>
        </x:is>
      </x:c>
      <x:c r="F147" s="76" t="inlineStr">
        <x:is>
          <x:t xml:space="preserve">yes</x:t>
        </x:is>
      </x:c>
      <x:c r="G147" s="73" t="inlineStr">
        <x:is>
          <x:t xml:space="preserve">passed manual test</x:t>
        </x:is>
      </x:c>
      <x:c r="H147" s="92" t="inlineStr">
        <x:is>
          <x:t xml:space="preserve">covered</x:t>
        </x:is>
      </x:c>
      <x:c r="I147" s="84" t="inlineStr">
        <x:is>
          <x:t xml:space="preserve">ContextMenu playground scenario.</x:t>
        </x:is>
      </x:c>
      <x:c r="J147" s="84" t="n"/>
      <x:c r="K147" s="87" t="n">
        <x:f>IF(AND(E147="yes",F147="yes",H147="covered"),1,IF(H147="partial",0.5,0))</x:f>
        <x:v>1</x:v>
      </x:c>
    </x:row>
    <x:row r="148" s="51" customFormat="1" ht="15" customHeight="1">
      <x:c r="A148" s="73" t="n">
        <x:v>140</x:v>
      </x:c>
      <x:c r="B148" s="84" t="inlineStr">
        <x:is>
          <x:t xml:space="preserve">Pointer</x:t>
        </x:is>
      </x:c>
      <x:c r="C148" s="84" t="inlineStr">
        <x:is>
          <x:t xml:space="preserve">Highlight</x:t>
        </x:is>
      </x:c>
      <x:c r="D148" s="84" t="inlineStr">
        <x:is>
          <x:t xml:space="preserve">hovering item highlights it</x:t>
        </x:is>
      </x:c>
      <x:c r="E148" s="76" t="inlineStr">
        <x:is>
          <x:t xml:space="preserve">yes</x:t>
        </x:is>
      </x:c>
      <x:c r="F148" s="76" t="inlineStr">
        <x:is>
          <x:t xml:space="preserve">yes</x:t>
        </x:is>
      </x:c>
      <x:c r="G148" s="73" t="inlineStr">
        <x:is>
          <x:t xml:space="preserve">passed manual test</x:t>
        </x:is>
      </x:c>
      <x:c r="H148" s="92" t="inlineStr">
        <x:is>
          <x:t xml:space="preserve">covered</x:t>
        </x:is>
      </x:c>
      <x:c r="I148" s="84" t="inlineStr">
        <x:is>
          <x:t xml:space="preserve">ContextMenu playground scenario.</x:t>
        </x:is>
      </x:c>
      <x:c r="J148" s="84" t="n"/>
      <x:c r="K148" s="87" t="n">
        <x:f>IF(AND(E148="yes",F148="yes",H148="covered"),1,IF(H148="partial",0.5,0))</x:f>
        <x:v>1</x:v>
      </x:c>
    </x:row>
    <x:row r="149" s="51" customFormat="1" ht="30" customHeight="1">
      <x:c r="A149" s="73" t="n">
        <x:v>141</x:v>
      </x:c>
      <x:c r="B149" s="84" t="inlineStr">
        <x:is>
          <x:t xml:space="preserve">Pointer</x:t>
        </x:is>
      </x:c>
      <x:c r="C149" s="84" t="inlineStr">
        <x:is>
          <x:t xml:space="preserve">Highlight</x:t>
        </x:is>
      </x:c>
      <x:c r="D149" s="84" t="inlineStr">
        <x:is>
          <x:t xml:space="preserve">mouse hover may focus and highlight a disabled item without activating it</x:t>
        </x:is>
      </x:c>
      <x:c r="E149" s="76" t="inlineStr">
        <x:is>
          <x:t xml:space="preserve">yes</x:t>
        </x:is>
      </x:c>
      <x:c r="F149" s="85" t="inlineStr">
        <x:is>
          <x:t xml:space="preserve">no</x:t>
        </x:is>
      </x:c>
      <x:c r="G149" s="73" t="inlineStr">
        <x:is>
          <x:t xml:space="preserve">automated tests pass; manual pending</x:t>
        </x:is>
      </x:c>
      <x:c r="H149" s="86" t="inlineStr">
        <x:is>
          <x:t xml:space="preserve">untested</x:t>
        </x:is>
      </x:c>
      <x:c r="I149" s="84" t="inlineStr">
        <x:is>
          <x:t xml:space="preserve">playground/manual-tests/context-menu.md</x:t>
        </x:is>
      </x:c>
      <x:c r="J149" s="84" t="inlineStr">
        <x:is>
          <x:t xml:space="preserve">Run the updated component Manual Test Protocol and named browser/device matrix.</x:t>
        </x:is>
      </x:c>
      <x:c r="K149" s="87" t="n">
        <x:f>IF(AND(E149="yes",F149="yes",H149="covered"),1,IF(H149="partial",0.5,0))</x:f>
        <x:v>0</x:v>
      </x:c>
    </x:row>
    <x:row r="150" s="51" customFormat="1" ht="15" customHeight="1">
      <x:c r="A150" s="73" t="n">
        <x:v>142</x:v>
      </x:c>
      <x:c r="B150" s="84" t="inlineStr">
        <x:is>
          <x:t xml:space="preserve">Pointer</x:t>
        </x:is>
      </x:c>
      <x:c r="C150" s="84" t="inlineStr">
        <x:is>
          <x:t xml:space="preserve">Highlight</x:t>
        </x:is>
      </x:c>
      <x:c r="D150" s="84" t="inlineStr">
        <x:is>
          <x:t xml:space="preserve">hovering item closes previously open submenu</x:t>
        </x:is>
      </x:c>
      <x:c r="E150" s="76" t="inlineStr">
        <x:is>
          <x:t xml:space="preserve">yes</x:t>
        </x:is>
      </x:c>
      <x:c r="F150" s="76" t="inlineStr">
        <x:is>
          <x:t xml:space="preserve">yes</x:t>
        </x:is>
      </x:c>
      <x:c r="G150" s="73" t="inlineStr">
        <x:is>
          <x:t xml:space="preserve">passed manual test</x:t>
        </x:is>
      </x:c>
      <x:c r="H150" s="92" t="inlineStr">
        <x:is>
          <x:t xml:space="preserve">covered</x:t>
        </x:is>
      </x:c>
      <x:c r="I150" s="84" t="inlineStr">
        <x:is>
          <x:t xml:space="preserve">ContextMenu playground scenario.</x:t>
        </x:is>
      </x:c>
      <x:c r="J150" s="84" t="n"/>
      <x:c r="K150" s="87" t="n">
        <x:f>IF(AND(E150="yes",F150="yes",H150="covered"),1,IF(H150="partial",0.5,0))</x:f>
        <x:v>1</x:v>
      </x:c>
    </x:row>
    <x:row r="151" s="51" customFormat="1" ht="15" customHeight="1">
      <x:c r="A151" s="73" t="n">
        <x:v>143</x:v>
      </x:c>
      <x:c r="B151" s="84" t="inlineStr">
        <x:is>
          <x:t xml:space="preserve">Pointer</x:t>
        </x:is>
      </x:c>
      <x:c r="C151" s="84" t="inlineStr">
        <x:is>
          <x:t xml:space="preserve">Highlight</x:t>
        </x:is>
      </x:c>
      <x:c r="D151" s="84" t="inlineStr">
        <x:is>
          <x:t xml:space="preserve">reopening from pointer does not alternate stale first highlight</x:t>
        </x:is>
      </x:c>
      <x:c r="E151" s="76" t="inlineStr">
        <x:is>
          <x:t xml:space="preserve">yes</x:t>
        </x:is>
      </x:c>
      <x:c r="F151" s="76" t="inlineStr">
        <x:is>
          <x:t xml:space="preserve">yes</x:t>
        </x:is>
      </x:c>
      <x:c r="G151" s="73" t="inlineStr">
        <x:is>
          <x:t xml:space="preserve">passed manual test</x:t>
        </x:is>
      </x:c>
      <x:c r="H151" s="92" t="inlineStr">
        <x:is>
          <x:t xml:space="preserve">covered</x:t>
        </x:is>
      </x:c>
      <x:c r="I151" s="84" t="inlineStr">
        <x:is>
          <x:t xml:space="preserve">ContextMenu playground scenario.</x:t>
        </x:is>
      </x:c>
      <x:c r="J151" s="84" t="n"/>
      <x:c r="K151" s="87" t="n">
        <x:f>IF(AND(E151="yes",F151="yes",H151="covered"),1,IF(H151="partial",0.5,0))</x:f>
        <x:v>1</x:v>
      </x:c>
    </x:row>
    <x:row r="152" s="51" customFormat="1" ht="15" customHeight="1">
      <x:c r="A152" s="73" t="n">
        <x:v>144</x:v>
      </x:c>
      <x:c r="B152" s="84" t="inlineStr">
        <x:is>
          <x:t xml:space="preserve">Accessibility</x:t>
        </x:is>
      </x:c>
      <x:c r="C152" s="84" t="inlineStr">
        <x:is>
          <x:t xml:space="preserve">Relationships</x:t>
        </x:is>
      </x:c>
      <x:c r="D152" s="84" t="inlineStr">
        <x:is>
          <x:t xml:space="preserve">trigger has accessible text</x:t>
        </x:is>
      </x:c>
      <x:c r="E152" s="76" t="inlineStr">
        <x:is>
          <x:t xml:space="preserve">yes</x:t>
        </x:is>
      </x:c>
      <x:c r="F152" s="76" t="inlineStr">
        <x:is>
          <x:t xml:space="preserve">yes</x:t>
        </x:is>
      </x:c>
      <x:c r="G152" s="73" t="inlineStr">
        <x:is>
          <x:t xml:space="preserve">passed manual test</x:t>
        </x:is>
      </x:c>
      <x:c r="H152" s="92" t="inlineStr">
        <x:is>
          <x:t xml:space="preserve">covered</x:t>
        </x:is>
      </x:c>
      <x:c r="I152" s="84" t="inlineStr">
        <x:is>
          <x:t xml:space="preserve">ContextMenu playground scenario.</x:t>
        </x:is>
      </x:c>
      <x:c r="J152" s="84" t="n"/>
      <x:c r="K152" s="87" t="n">
        <x:f>IF(AND(E152="yes",F152="yes",H152="covered"),1,IF(H152="partial",0.5,0))</x:f>
        <x:v>1</x:v>
      </x:c>
    </x:row>
    <x:row r="153" s="51" customFormat="1" ht="15" customHeight="1">
      <x:c r="A153" s="73" t="n">
        <x:v>145</x:v>
      </x:c>
      <x:c r="B153" s="84" t="inlineStr">
        <x:is>
          <x:t xml:space="preserve">Accessibility</x:t>
        </x:is>
      </x:c>
      <x:c r="C153" s="84" t="inlineStr">
        <x:is>
          <x:t xml:space="preserve">Relationships</x:t>
        </x:is>
      </x:c>
      <x:c r="D153" s="84" t="inlineStr">
        <x:is>
          <x:t xml:space="preserve">content has accessible name</x:t>
        </x:is>
      </x:c>
      <x:c r="E153" s="76" t="inlineStr">
        <x:is>
          <x:t xml:space="preserve">yes</x:t>
        </x:is>
      </x:c>
      <x:c r="F153" s="76" t="inlineStr">
        <x:is>
          <x:t xml:space="preserve">yes</x:t>
        </x:is>
      </x:c>
      <x:c r="G153" s="73" t="inlineStr">
        <x:is>
          <x:t xml:space="preserve">passed manual test</x:t>
        </x:is>
      </x:c>
      <x:c r="H153" s="92" t="inlineStr">
        <x:is>
          <x:t xml:space="preserve">covered</x:t>
        </x:is>
      </x:c>
      <x:c r="I153" s="84" t="inlineStr">
        <x:is>
          <x:t xml:space="preserve">ContextMenu playground scenario.</x:t>
        </x:is>
      </x:c>
      <x:c r="J153" s="84" t="n"/>
      <x:c r="K153" s="87" t="n">
        <x:f>IF(AND(E153="yes",F153="yes",H153="covered"),1,IF(H153="partial",0.5,0))</x:f>
        <x:v>1</x:v>
      </x:c>
    </x:row>
    <x:row r="154" s="51" customFormat="1" ht="15" customHeight="1">
      <x:c r="A154" s="73" t="n">
        <x:v>146</x:v>
      </x:c>
      <x:c r="B154" s="84" t="inlineStr">
        <x:is>
          <x:t xml:space="preserve">Accessibility</x:t>
        </x:is>
      </x:c>
      <x:c r="C154" s="84" t="inlineStr">
        <x:is>
          <x:t xml:space="preserve">Relationships</x:t>
        </x:is>
      </x:c>
      <x:c r="D154" s="84" t="inlineStr">
        <x:is>
          <x:t xml:space="preserve">content references trigger when unnamed</x:t>
        </x:is>
      </x:c>
      <x:c r="E154" s="76" t="inlineStr">
        <x:is>
          <x:t xml:space="preserve">yes</x:t>
        </x:is>
      </x:c>
      <x:c r="F154" s="76" t="inlineStr">
        <x:is>
          <x:t xml:space="preserve">yes</x:t>
        </x:is>
      </x:c>
      <x:c r="G154" s="73" t="inlineStr">
        <x:is>
          <x:t xml:space="preserve">passed manual test</x:t>
        </x:is>
      </x:c>
      <x:c r="H154" s="92" t="inlineStr">
        <x:is>
          <x:t xml:space="preserve">covered</x:t>
        </x:is>
      </x:c>
      <x:c r="I154" s="84" t="inlineStr">
        <x:is>
          <x:t xml:space="preserve">ContextMenu playground scenario.</x:t>
        </x:is>
      </x:c>
      <x:c r="J154" s="84" t="n"/>
      <x:c r="K154" s="87" t="n">
        <x:f>IF(AND(E154="yes",F154="yes",H154="covered"),1,IF(H154="partial",0.5,0))</x:f>
        <x:v>1</x:v>
      </x:c>
    </x:row>
    <x:row r="155" s="51" customFormat="1" ht="15" customHeight="1">
      <x:c r="A155" s="73" t="n">
        <x:v>147</x:v>
      </x:c>
      <x:c r="B155" s="84" t="inlineStr">
        <x:is>
          <x:t xml:space="preserve">Accessibility</x:t>
        </x:is>
      </x:c>
      <x:c r="C155" s="84" t="inlineStr">
        <x:is>
          <x:t xml:space="preserve">Relationships</x:t>
        </x:is>
      </x:c>
      <x:c r="D155" s="84" t="inlineStr">
        <x:is>
          <x:t xml:space="preserve">sub content references sub trigger when unnamed</x:t>
        </x:is>
      </x:c>
      <x:c r="E155" s="76" t="inlineStr">
        <x:is>
          <x:t xml:space="preserve">yes</x:t>
        </x:is>
      </x:c>
      <x:c r="F155" s="76" t="inlineStr">
        <x:is>
          <x:t xml:space="preserve">yes</x:t>
        </x:is>
      </x:c>
      <x:c r="G155" s="73" t="inlineStr">
        <x:is>
          <x:t xml:space="preserve">passed manual test</x:t>
        </x:is>
      </x:c>
      <x:c r="H155" s="92" t="inlineStr">
        <x:is>
          <x:t xml:space="preserve">covered</x:t>
        </x:is>
      </x:c>
      <x:c r="I155" s="84" t="inlineStr">
        <x:is>
          <x:t xml:space="preserve">ContextMenu playground scenario.</x:t>
        </x:is>
      </x:c>
      <x:c r="J155" s="84" t="n"/>
      <x:c r="K155" s="87" t="n">
        <x:f>IF(AND(E155="yes",F155="yes",H155="covered"),1,IF(H155="partial",0.5,0))</x:f>
        <x:v>1</x:v>
      </x:c>
    </x:row>
    <x:row r="156" s="51" customFormat="1" ht="15" customHeight="1">
      <x:c r="A156" s="73" t="n">
        <x:v>148</x:v>
      </x:c>
      <x:c r="B156" s="84" t="inlineStr">
        <x:is>
          <x:t xml:space="preserve">Accessibility</x:t>
        </x:is>
      </x:c>
      <x:c r="C156" s="84" t="inlineStr">
        <x:is>
          <x:t xml:space="preserve">Relationships</x:t>
        </x:is>
      </x:c>
      <x:c r="D156" s="84" t="inlineStr">
        <x:is>
          <x:t xml:space="preserve">checked states are exposed through aria-checked</x:t>
        </x:is>
      </x:c>
      <x:c r="E156" s="76" t="inlineStr">
        <x:is>
          <x:t xml:space="preserve">yes</x:t>
        </x:is>
      </x:c>
      <x:c r="F156" s="76" t="inlineStr">
        <x:is>
          <x:t xml:space="preserve">yes</x:t>
        </x:is>
      </x:c>
      <x:c r="G156" s="73" t="inlineStr">
        <x:is>
          <x:t xml:space="preserve">passed manual test</x:t>
        </x:is>
      </x:c>
      <x:c r="H156" s="92" t="inlineStr">
        <x:is>
          <x:t xml:space="preserve">covered</x:t>
        </x:is>
      </x:c>
      <x:c r="I156" s="84" t="inlineStr">
        <x:is>
          <x:t xml:space="preserve">ContextMenu playground scenario.</x:t>
        </x:is>
      </x:c>
      <x:c r="J156" s="84" t="n"/>
      <x:c r="K156" s="87" t="n">
        <x:f>IF(AND(E156="yes",F156="yes",H156="covered"),1,IF(H156="partial",0.5,0))</x:f>
        <x:v>1</x:v>
      </x:c>
    </x:row>
    <x:row r="157" s="51" customFormat="1" ht="15" customHeight="1">
      <x:c r="A157" s="73" t="n">
        <x:v>149</x:v>
      </x:c>
      <x:c r="B157" s="84" t="inlineStr">
        <x:is>
          <x:t xml:space="preserve">Accessibility</x:t>
        </x:is>
      </x:c>
      <x:c r="C157" s="84" t="inlineStr">
        <x:is>
          <x:t xml:space="preserve">Relationships</x:t>
        </x:is>
      </x:c>
      <x:c r="D157" s="84" t="inlineStr">
        <x:is>
          <x:t xml:space="preserve">disabled states are exposed through aria-disabled</x:t>
        </x:is>
      </x:c>
      <x:c r="E157" s="76" t="inlineStr">
        <x:is>
          <x:t xml:space="preserve">yes</x:t>
        </x:is>
      </x:c>
      <x:c r="F157" s="76" t="inlineStr">
        <x:is>
          <x:t xml:space="preserve">yes</x:t>
        </x:is>
      </x:c>
      <x:c r="G157" s="73" t="inlineStr">
        <x:is>
          <x:t xml:space="preserve">passed manual test</x:t>
        </x:is>
      </x:c>
      <x:c r="H157" s="92" t="inlineStr">
        <x:is>
          <x:t xml:space="preserve">covered</x:t>
        </x:is>
      </x:c>
      <x:c r="I157" s="84" t="inlineStr">
        <x:is>
          <x:t xml:space="preserve">ContextMenu playground scenario.</x:t>
        </x:is>
      </x:c>
      <x:c r="J157" s="84" t="n"/>
      <x:c r="K157" s="87" t="n">
        <x:f>IF(AND(E157="yes",F157="yes",H157="covered"),1,IF(H157="partial",0.5,0))</x:f>
        <x:v>1</x:v>
      </x:c>
    </x:row>
    <x:row r="158" s="51" customFormat="1" ht="15" customHeight="1">
      <x:c r="A158" s="73" t="n">
        <x:v>150</x:v>
      </x:c>
      <x:c r="B158" s="84" t="inlineStr">
        <x:is>
          <x:t xml:space="preserve">Accessibility</x:t>
        </x:is>
      </x:c>
      <x:c r="C158" s="84" t="inlineStr">
        <x:is>
          <x:t xml:space="preserve">Relationships</x:t>
        </x:is>
      </x:c>
      <x:c r="D158" s="84" t="inlineStr">
        <x:is>
          <x:t xml:space="preserve">nested ContextMenu Escape does not close parent overlay</x:t>
        </x:is>
      </x:c>
      <x:c r="E158" s="76" t="inlineStr">
        <x:is>
          <x:t xml:space="preserve">yes</x:t>
        </x:is>
      </x:c>
      <x:c r="F158" s="76" t="inlineStr">
        <x:is>
          <x:t xml:space="preserve">yes</x:t>
        </x:is>
      </x:c>
      <x:c r="G158" s="73" t="inlineStr">
        <x:is>
          <x:t xml:space="preserve">passed manual test</x:t>
        </x:is>
      </x:c>
      <x:c r="H158" s="92" t="inlineStr">
        <x:is>
          <x:t xml:space="preserve">covered</x:t>
        </x:is>
      </x:c>
      <x:c r="I158" s="84" t="inlineStr">
        <x:is>
          <x:t xml:space="preserve">ContextMenu playground scenario.</x:t>
        </x:is>
      </x:c>
      <x:c r="J158" s="84" t="n"/>
      <x:c r="K158" s="87" t="n">
        <x:f>IF(AND(E158="yes",F158="yes",H158="covered"),1,IF(H158="partial",0.5,0))</x:f>
        <x:v>1</x:v>
      </x:c>
    </x:row>
    <x:row r="159" s="51" customFormat="1" ht="15" customHeight="1">
      <x:c r="A159" s="73" t="n">
        <x:v>151</x:v>
      </x:c>
      <x:c r="B159" s="84" t="inlineStr">
        <x:is>
          <x:t xml:space="preserve">Composition</x:t>
        </x:is>
      </x:c>
      <x:c r="C159" s="84" t="inlineStr">
        <x:is>
          <x:t xml:space="preserve">Trigger Composition</x:t>
        </x:is>
      </x:c>
      <x:c r="D159" s="84" t="inlineStr">
        <x:is>
          <x:t xml:space="preserve">trigger asChild preserves child content</x:t>
        </x:is>
      </x:c>
      <x:c r="E159" s="76" t="inlineStr">
        <x:is>
          <x:t xml:space="preserve">yes</x:t>
        </x:is>
      </x:c>
      <x:c r="F159" s="76" t="inlineStr">
        <x:is>
          <x:t xml:space="preserve">yes</x:t>
        </x:is>
      </x:c>
      <x:c r="G159" s="73" t="inlineStr">
        <x:is>
          <x:t xml:space="preserve">passed manual test</x:t>
        </x:is>
      </x:c>
      <x:c r="H159" s="92" t="inlineStr">
        <x:is>
          <x:t xml:space="preserve">covered</x:t>
        </x:is>
      </x:c>
      <x:c r="I159" s="84" t="inlineStr">
        <x:is>
          <x:t xml:space="preserve">ContextMenu playground scenario.</x:t>
        </x:is>
      </x:c>
      <x:c r="J159" s="84" t="n"/>
      <x:c r="K159" s="87" t="n">
        <x:f>IF(AND(E159="yes",F159="yes",H159="covered"),1,IF(H159="partial",0.5,0))</x:f>
        <x:v>1</x:v>
      </x:c>
    </x:row>
    <x:row r="160" s="51" customFormat="1" ht="15" customHeight="1">
      <x:c r="A160" s="73" t="n">
        <x:v>152</x:v>
      </x:c>
      <x:c r="B160" s="84" t="inlineStr">
        <x:is>
          <x:t xml:space="preserve">Composition</x:t>
        </x:is>
      </x:c>
      <x:c r="C160" s="84" t="inlineStr">
        <x:is>
          <x:t xml:space="preserve">Trigger Composition</x:t>
        </x:is>
      </x:c>
      <x:c r="D160" s="84" t="inlineStr">
        <x:is>
          <x:t xml:space="preserve">trigger render preserves child content</x:t>
        </x:is>
      </x:c>
      <x:c r="E160" s="76" t="inlineStr">
        <x:is>
          <x:t xml:space="preserve">yes</x:t>
        </x:is>
      </x:c>
      <x:c r="F160" s="76" t="inlineStr">
        <x:is>
          <x:t xml:space="preserve">yes</x:t>
        </x:is>
      </x:c>
      <x:c r="G160" s="73" t="inlineStr">
        <x:is>
          <x:t xml:space="preserve">passed manual test</x:t>
        </x:is>
      </x:c>
      <x:c r="H160" s="92" t="inlineStr">
        <x:is>
          <x:t xml:space="preserve">covered</x:t>
        </x:is>
      </x:c>
      <x:c r="I160" s="84" t="inlineStr">
        <x:is>
          <x:t xml:space="preserve">ContextMenu playground scenario.</x:t>
        </x:is>
      </x:c>
      <x:c r="J160" s="84" t="n"/>
      <x:c r="K160" s="87" t="n">
        <x:f>IF(AND(E160="yes",F160="yes",H160="covered"),1,IF(H160="partial",0.5,0))</x:f>
        <x:v>1</x:v>
      </x:c>
    </x:row>
    <x:row r="161" s="51" customFormat="1" ht="15" customHeight="1">
      <x:c r="A161" s="73" t="n">
        <x:v>153</x:v>
      </x:c>
      <x:c r="B161" s="84" t="inlineStr">
        <x:is>
          <x:t xml:space="preserve">Composition</x:t>
        </x:is>
      </x:c>
      <x:c r="C161" s="84" t="inlineStr">
        <x:is>
          <x:t xml:space="preserve">Item Composition</x:t>
        </x:is>
      </x:c>
      <x:c r="D161" s="84" t="inlineStr">
        <x:is>
          <x:t xml:space="preserve">Item asChild preserves child content</x:t>
        </x:is>
      </x:c>
      <x:c r="E161" s="76" t="inlineStr">
        <x:is>
          <x:t xml:space="preserve">yes</x:t>
        </x:is>
      </x:c>
      <x:c r="F161" s="76" t="inlineStr">
        <x:is>
          <x:t xml:space="preserve">yes</x:t>
        </x:is>
      </x:c>
      <x:c r="G161" s="73" t="inlineStr">
        <x:is>
          <x:t xml:space="preserve">passed manual test</x:t>
        </x:is>
      </x:c>
      <x:c r="H161" s="92" t="inlineStr">
        <x:is>
          <x:t xml:space="preserve">covered</x:t>
        </x:is>
      </x:c>
      <x:c r="I161" s="84" t="inlineStr">
        <x:is>
          <x:t xml:space="preserve">ContextMenu playground scenario.</x:t>
        </x:is>
      </x:c>
      <x:c r="J161" s="84" t="n"/>
      <x:c r="K161" s="87" t="n">
        <x:f>IF(AND(E161="yes",F161="yes",H161="covered"),1,IF(H161="partial",0.5,0))</x:f>
        <x:v>1</x:v>
      </x:c>
    </x:row>
    <x:row r="162" s="51" customFormat="1" ht="15" customHeight="1">
      <x:c r="A162" s="73" t="n">
        <x:v>154</x:v>
      </x:c>
      <x:c r="B162" s="84" t="inlineStr">
        <x:is>
          <x:t xml:space="preserve">Composition</x:t>
        </x:is>
      </x:c>
      <x:c r="C162" s="84" t="inlineStr">
        <x:is>
          <x:t xml:space="preserve">Item Composition</x:t>
        </x:is>
      </x:c>
      <x:c r="D162" s="84" t="inlineStr">
        <x:is>
          <x:t xml:space="preserve">Item render preserves child content</x:t>
        </x:is>
      </x:c>
      <x:c r="E162" s="76" t="inlineStr">
        <x:is>
          <x:t xml:space="preserve">yes</x:t>
        </x:is>
      </x:c>
      <x:c r="F162" s="76" t="inlineStr">
        <x:is>
          <x:t xml:space="preserve">yes</x:t>
        </x:is>
      </x:c>
      <x:c r="G162" s="73" t="inlineStr">
        <x:is>
          <x:t xml:space="preserve">passed manual test</x:t>
        </x:is>
      </x:c>
      <x:c r="H162" s="92" t="inlineStr">
        <x:is>
          <x:t xml:space="preserve">covered</x:t>
        </x:is>
      </x:c>
      <x:c r="I162" s="84" t="inlineStr">
        <x:is>
          <x:t xml:space="preserve">ContextMenu playground scenario.</x:t>
        </x:is>
      </x:c>
      <x:c r="J162" s="84" t="n"/>
      <x:c r="K162" s="87" t="n">
        <x:f>IF(AND(E162="yes",F162="yes",H162="covered"),1,IF(H162="partial",0.5,0))</x:f>
        <x:v>1</x:v>
      </x:c>
    </x:row>
    <x:row r="163" s="51" customFormat="1" ht="15" customHeight="1">
      <x:c r="A163" s="73" t="n">
        <x:v>155</x:v>
      </x:c>
      <x:c r="B163" s="84" t="inlineStr">
        <x:is>
          <x:t xml:space="preserve">Composition</x:t>
        </x:is>
      </x:c>
      <x:c r="C163" s="84" t="inlineStr">
        <x:is>
          <x:t xml:space="preserve">Native Props</x:t>
        </x:is>
      </x:c>
      <x:c r="D163" s="84" t="inlineStr">
        <x:is>
          <x:t xml:space="preserve">Trigger native props pass through</x:t>
        </x:is>
      </x:c>
      <x:c r="E163" s="76" t="inlineStr">
        <x:is>
          <x:t xml:space="preserve">yes</x:t>
        </x:is>
      </x:c>
      <x:c r="F163" s="76" t="inlineStr">
        <x:is>
          <x:t xml:space="preserve">yes</x:t>
        </x:is>
      </x:c>
      <x:c r="G163" s="73" t="inlineStr">
        <x:is>
          <x:t xml:space="preserve">passed manual test</x:t>
        </x:is>
      </x:c>
      <x:c r="H163" s="92" t="inlineStr">
        <x:is>
          <x:t xml:space="preserve">covered</x:t>
        </x:is>
      </x:c>
      <x:c r="I163" s="84" t="inlineStr">
        <x:is>
          <x:t xml:space="preserve">ContextMenu playground scenario.</x:t>
        </x:is>
      </x:c>
      <x:c r="J163" s="84" t="n"/>
      <x:c r="K163" s="87" t="n">
        <x:f>IF(AND(E163="yes",F163="yes",H163="covered"),1,IF(H163="partial",0.5,0))</x:f>
        <x:v>1</x:v>
      </x:c>
    </x:row>
    <x:row r="164" s="51" customFormat="1" ht="15" customHeight="1">
      <x:c r="A164" s="73" t="n">
        <x:v>156</x:v>
      </x:c>
      <x:c r="B164" s="84" t="inlineStr">
        <x:is>
          <x:t xml:space="preserve">Composition</x:t>
        </x:is>
      </x:c>
      <x:c r="C164" s="84" t="inlineStr">
        <x:is>
          <x:t xml:space="preserve">Native Props</x:t>
        </x:is>
      </x:c>
      <x:c r="D164" s="84" t="inlineStr">
        <x:is>
          <x:t xml:space="preserve">Content native props pass through</x:t>
        </x:is>
      </x:c>
      <x:c r="E164" s="76" t="inlineStr">
        <x:is>
          <x:t xml:space="preserve">yes</x:t>
        </x:is>
      </x:c>
      <x:c r="F164" s="76" t="inlineStr">
        <x:is>
          <x:t xml:space="preserve">yes</x:t>
        </x:is>
      </x:c>
      <x:c r="G164" s="73" t="inlineStr">
        <x:is>
          <x:t xml:space="preserve">passed manual test</x:t>
        </x:is>
      </x:c>
      <x:c r="H164" s="92" t="inlineStr">
        <x:is>
          <x:t xml:space="preserve">covered</x:t>
        </x:is>
      </x:c>
      <x:c r="I164" s="84" t="inlineStr">
        <x:is>
          <x:t xml:space="preserve">ContextMenu playground scenario.</x:t>
        </x:is>
      </x:c>
      <x:c r="J164" s="84" t="n"/>
      <x:c r="K164" s="87" t="n">
        <x:f>IF(AND(E164="yes",F164="yes",H164="covered"),1,IF(H164="partial",0.5,0))</x:f>
        <x:v>1</x:v>
      </x:c>
    </x:row>
    <x:row r="165" s="51" customFormat="1" ht="15" customHeight="1">
      <x:c r="A165" s="73" t="n">
        <x:v>157</x:v>
      </x:c>
      <x:c r="B165" s="84" t="inlineStr">
        <x:is>
          <x:t xml:space="preserve">Composition</x:t>
        </x:is>
      </x:c>
      <x:c r="C165" s="84" t="inlineStr">
        <x:is>
          <x:t xml:space="preserve">Native Props</x:t>
        </x:is>
      </x:c>
      <x:c r="D165" s="84" t="inlineStr">
        <x:is>
          <x:t xml:space="preserve">Item native props pass through</x:t>
        </x:is>
      </x:c>
      <x:c r="E165" s="76" t="inlineStr">
        <x:is>
          <x:t xml:space="preserve">yes</x:t>
        </x:is>
      </x:c>
      <x:c r="F165" s="76" t="inlineStr">
        <x:is>
          <x:t xml:space="preserve">yes</x:t>
        </x:is>
      </x:c>
      <x:c r="G165" s="73" t="inlineStr">
        <x:is>
          <x:t xml:space="preserve">passed manual test</x:t>
        </x:is>
      </x:c>
      <x:c r="H165" s="92" t="inlineStr">
        <x:is>
          <x:t xml:space="preserve">covered</x:t>
        </x:is>
      </x:c>
      <x:c r="I165" s="84" t="inlineStr">
        <x:is>
          <x:t xml:space="preserve">ContextMenu playground scenario.</x:t>
        </x:is>
      </x:c>
      <x:c r="J165" s="84" t="n"/>
      <x:c r="K165" s="87" t="n">
        <x:f>IF(AND(E165="yes",F165="yes",H165="covered"),1,IF(H165="partial",0.5,0))</x:f>
        <x:v>1</x:v>
      </x:c>
    </x:row>
    <x:row r="166" s="51" customFormat="1" ht="15" customHeight="1">
      <x:c r="A166" s="73" t="n">
        <x:v>158</x:v>
      </x:c>
      <x:c r="B166" s="84" t="inlineStr">
        <x:is>
          <x:t xml:space="preserve">Composition</x:t>
        </x:is>
      </x:c>
      <x:c r="C166" s="84" t="inlineStr">
        <x:is>
          <x:t xml:space="preserve">Native Props</x:t>
        </x:is>
      </x:c>
      <x:c r="D166" s="84" t="inlineStr">
        <x:is>
          <x:t xml:space="preserve">CheckboxItem native props pass through</x:t>
        </x:is>
      </x:c>
      <x:c r="E166" s="76" t="inlineStr">
        <x:is>
          <x:t xml:space="preserve">yes</x:t>
        </x:is>
      </x:c>
      <x:c r="F166" s="76" t="inlineStr">
        <x:is>
          <x:t xml:space="preserve">yes</x:t>
        </x:is>
      </x:c>
      <x:c r="G166" s="73" t="inlineStr">
        <x:is>
          <x:t xml:space="preserve">passed manual test</x:t>
        </x:is>
      </x:c>
      <x:c r="H166" s="92" t="inlineStr">
        <x:is>
          <x:t xml:space="preserve">covered</x:t>
        </x:is>
      </x:c>
      <x:c r="I166" s="84" t="inlineStr">
        <x:is>
          <x:t xml:space="preserve">ContextMenu playground scenario.</x:t>
        </x:is>
      </x:c>
      <x:c r="J166" s="84" t="n"/>
      <x:c r="K166" s="87" t="n">
        <x:f>IF(AND(E166="yes",F166="yes",H166="covered"),1,IF(H166="partial",0.5,0))</x:f>
        <x:v>1</x:v>
      </x:c>
    </x:row>
    <x:row r="167" s="51" customFormat="1" ht="15" customHeight="1">
      <x:c r="A167" s="73" t="n">
        <x:v>159</x:v>
      </x:c>
      <x:c r="B167" s="84" t="inlineStr">
        <x:is>
          <x:t xml:space="preserve">Composition</x:t>
        </x:is>
      </x:c>
      <x:c r="C167" s="84" t="inlineStr">
        <x:is>
          <x:t xml:space="preserve">Native Props</x:t>
        </x:is>
      </x:c>
      <x:c r="D167" s="84" t="inlineStr">
        <x:is>
          <x:t xml:space="preserve">RadioGroup native props pass through</x:t>
        </x:is>
      </x:c>
      <x:c r="E167" s="76" t="inlineStr">
        <x:is>
          <x:t xml:space="preserve">yes</x:t>
        </x:is>
      </x:c>
      <x:c r="F167" s="76" t="inlineStr">
        <x:is>
          <x:t xml:space="preserve">yes</x:t>
        </x:is>
      </x:c>
      <x:c r="G167" s="73" t="inlineStr">
        <x:is>
          <x:t xml:space="preserve">passed manual test</x:t>
        </x:is>
      </x:c>
      <x:c r="H167" s="92" t="inlineStr">
        <x:is>
          <x:t xml:space="preserve">covered</x:t>
        </x:is>
      </x:c>
      <x:c r="I167" s="84" t="inlineStr">
        <x:is>
          <x:t xml:space="preserve">ContextMenu playground scenario.</x:t>
        </x:is>
      </x:c>
      <x:c r="J167" s="84" t="n"/>
      <x:c r="K167" s="87" t="n">
        <x:f>IF(AND(E167="yes",F167="yes",H167="covered"),1,IF(H167="partial",0.5,0))</x:f>
        <x:v>1</x:v>
      </x:c>
    </x:row>
    <x:row r="168" s="51" customFormat="1" ht="15" customHeight="1">
      <x:c r="A168" s="73" t="n">
        <x:v>160</x:v>
      </x:c>
      <x:c r="B168" s="84" t="inlineStr">
        <x:is>
          <x:t xml:space="preserve">Composition</x:t>
        </x:is>
      </x:c>
      <x:c r="C168" s="84" t="inlineStr">
        <x:is>
          <x:t xml:space="preserve">Native Props</x:t>
        </x:is>
      </x:c>
      <x:c r="D168" s="84" t="inlineStr">
        <x:is>
          <x:t xml:space="preserve">RadioItem native props pass through</x:t>
        </x:is>
      </x:c>
      <x:c r="E168" s="76" t="inlineStr">
        <x:is>
          <x:t xml:space="preserve">yes</x:t>
        </x:is>
      </x:c>
      <x:c r="F168" s="76" t="inlineStr">
        <x:is>
          <x:t xml:space="preserve">yes</x:t>
        </x:is>
      </x:c>
      <x:c r="G168" s="73" t="inlineStr">
        <x:is>
          <x:t xml:space="preserve">passed manual test</x:t>
        </x:is>
      </x:c>
      <x:c r="H168" s="92" t="inlineStr">
        <x:is>
          <x:t xml:space="preserve">covered</x:t>
        </x:is>
      </x:c>
      <x:c r="I168" s="84" t="inlineStr">
        <x:is>
          <x:t xml:space="preserve">ContextMenu playground scenario.</x:t>
        </x:is>
      </x:c>
      <x:c r="J168" s="84" t="n"/>
      <x:c r="K168" s="87" t="n">
        <x:f>IF(AND(E168="yes",F168="yes",H168="covered"),1,IF(H168="partial",0.5,0))</x:f>
        <x:v>1</x:v>
      </x:c>
    </x:row>
    <x:row r="169" s="51" customFormat="1" ht="15" customHeight="1">
      <x:c r="A169" s="73" t="n">
        <x:v>161</x:v>
      </x:c>
      <x:c r="B169" s="84" t="inlineStr">
        <x:is>
          <x:t xml:space="preserve">Composition</x:t>
        </x:is>
      </x:c>
      <x:c r="C169" s="84" t="inlineStr">
        <x:is>
          <x:t xml:space="preserve">Native Props</x:t>
        </x:is>
      </x:c>
      <x:c r="D169" s="84" t="inlineStr">
        <x:is>
          <x:t xml:space="preserve">Group native props pass through</x:t>
        </x:is>
      </x:c>
      <x:c r="E169" s="76" t="inlineStr">
        <x:is>
          <x:t xml:space="preserve">yes</x:t>
        </x:is>
      </x:c>
      <x:c r="F169" s="76" t="inlineStr">
        <x:is>
          <x:t xml:space="preserve">yes</x:t>
        </x:is>
      </x:c>
      <x:c r="G169" s="73" t="inlineStr">
        <x:is>
          <x:t xml:space="preserve">passed manual test</x:t>
        </x:is>
      </x:c>
      <x:c r="H169" s="92" t="inlineStr">
        <x:is>
          <x:t xml:space="preserve">covered</x:t>
        </x:is>
      </x:c>
      <x:c r="I169" s="84" t="inlineStr">
        <x:is>
          <x:t xml:space="preserve">ContextMenu playground scenario.</x:t>
        </x:is>
      </x:c>
      <x:c r="J169" s="84" t="n"/>
      <x:c r="K169" s="87" t="n">
        <x:f>IF(AND(E169="yes",F169="yes",H169="covered"),1,IF(H169="partial",0.5,0))</x:f>
        <x:v>1</x:v>
      </x:c>
    </x:row>
    <x:row r="170" s="51" customFormat="1" ht="15" customHeight="1">
      <x:c r="A170" s="73" t="n">
        <x:v>162</x:v>
      </x:c>
      <x:c r="B170" s="84" t="inlineStr">
        <x:is>
          <x:t xml:space="preserve">Composition</x:t>
        </x:is>
      </x:c>
      <x:c r="C170" s="84" t="inlineStr">
        <x:is>
          <x:t xml:space="preserve">Native Props</x:t>
        </x:is>
      </x:c>
      <x:c r="D170" s="84" t="inlineStr">
        <x:is>
          <x:t xml:space="preserve">SubContent native props pass through</x:t>
        </x:is>
      </x:c>
      <x:c r="E170" s="76" t="inlineStr">
        <x:is>
          <x:t xml:space="preserve">yes</x:t>
        </x:is>
      </x:c>
      <x:c r="F170" s="76" t="inlineStr">
        <x:is>
          <x:t xml:space="preserve">yes</x:t>
        </x:is>
      </x:c>
      <x:c r="G170" s="73" t="inlineStr">
        <x:is>
          <x:t xml:space="preserve">passed manual test</x:t>
        </x:is>
      </x:c>
      <x:c r="H170" s="92" t="inlineStr">
        <x:is>
          <x:t xml:space="preserve">covered</x:t>
        </x:is>
      </x:c>
      <x:c r="I170" s="84" t="inlineStr">
        <x:is>
          <x:t xml:space="preserve">ContextMenu playground scenario.</x:t>
        </x:is>
      </x:c>
      <x:c r="J170" s="84" t="n"/>
      <x:c r="K170" s="87" t="n">
        <x:f>IF(AND(E170="yes",F170="yes",H170="covered"),1,IF(H170="partial",0.5,0))</x:f>
        <x:v>1</x:v>
      </x:c>
    </x:row>
    <x:row r="171" s="51" customFormat="1" ht="15" customHeight="1">
      <x:c r="A171" s="73" t="n">
        <x:v>163</x:v>
      </x:c>
      <x:c r="B171" s="84" t="inlineStr">
        <x:is>
          <x:t xml:space="preserve">Styling Hooks</x:t>
        </x:is>
      </x:c>
      <x:c r="C171" s="84" t="inlineStr">
        <x:is>
          <x:t xml:space="preserve">Data Attributes</x:t>
        </x:is>
      </x:c>
      <x:c r="D171" s="84" t="inlineStr">
        <x:is>
          <x:t xml:space="preserve">trigger open state visible through data-state</x:t>
        </x:is>
      </x:c>
      <x:c r="E171" s="76" t="inlineStr">
        <x:is>
          <x:t xml:space="preserve">yes</x:t>
        </x:is>
      </x:c>
      <x:c r="F171" s="76" t="inlineStr">
        <x:is>
          <x:t xml:space="preserve">yes</x:t>
        </x:is>
      </x:c>
      <x:c r="G171" s="73" t="inlineStr">
        <x:is>
          <x:t xml:space="preserve">passed manual test</x:t>
        </x:is>
      </x:c>
      <x:c r="H171" s="92" t="inlineStr">
        <x:is>
          <x:t xml:space="preserve">covered</x:t>
        </x:is>
      </x:c>
      <x:c r="I171" s="84" t="inlineStr">
        <x:is>
          <x:t xml:space="preserve">ContextMenu playground scenario.</x:t>
        </x:is>
      </x:c>
      <x:c r="J171" s="84" t="n"/>
      <x:c r="K171" s="87" t="n">
        <x:f>IF(AND(E171="yes",F171="yes",H171="covered"),1,IF(H171="partial",0.5,0))</x:f>
        <x:v>1</x:v>
      </x:c>
    </x:row>
    <x:row r="172" s="51" customFormat="1" ht="15" customHeight="1">
      <x:c r="A172" s="73" t="n">
        <x:v>164</x:v>
      </x:c>
      <x:c r="B172" s="84" t="inlineStr">
        <x:is>
          <x:t xml:space="preserve">Styling Hooks</x:t>
        </x:is>
      </x:c>
      <x:c r="C172" s="84" t="inlineStr">
        <x:is>
          <x:t xml:space="preserve">Data Attributes</x:t>
        </x:is>
      </x:c>
      <x:c r="D172" s="84" t="inlineStr">
        <x:is>
          <x:t xml:space="preserve">content open state visible through data-state</x:t>
        </x:is>
      </x:c>
      <x:c r="E172" s="76" t="inlineStr">
        <x:is>
          <x:t xml:space="preserve">yes</x:t>
        </x:is>
      </x:c>
      <x:c r="F172" s="76" t="inlineStr">
        <x:is>
          <x:t xml:space="preserve">yes</x:t>
        </x:is>
      </x:c>
      <x:c r="G172" s="73" t="inlineStr">
        <x:is>
          <x:t xml:space="preserve">passed manual test</x:t>
        </x:is>
      </x:c>
      <x:c r="H172" s="92" t="inlineStr">
        <x:is>
          <x:t xml:space="preserve">covered</x:t>
        </x:is>
      </x:c>
      <x:c r="I172" s="84" t="inlineStr">
        <x:is>
          <x:t xml:space="preserve">ContextMenu playground scenario.</x:t>
        </x:is>
      </x:c>
      <x:c r="J172" s="84" t="n"/>
      <x:c r="K172" s="87" t="n">
        <x:f>IF(AND(E172="yes",F172="yes",H172="covered"),1,IF(H172="partial",0.5,0))</x:f>
        <x:v>1</x:v>
      </x:c>
    </x:row>
    <x:row r="173" s="51" customFormat="1" ht="15" customHeight="1">
      <x:c r="A173" s="73" t="n">
        <x:v>165</x:v>
      </x:c>
      <x:c r="B173" s="84" t="inlineStr">
        <x:is>
          <x:t xml:space="preserve">Styling Hooks</x:t>
        </x:is>
      </x:c>
      <x:c r="C173" s="84" t="inlineStr">
        <x:is>
          <x:t xml:space="preserve">Data Attributes</x:t>
        </x:is>
      </x:c>
      <x:c r="D173" s="84" t="inlineStr">
        <x:is>
          <x:t xml:space="preserve">disabled trigger visible through data-disabled</x:t>
        </x:is>
      </x:c>
      <x:c r="E173" s="76" t="inlineStr">
        <x:is>
          <x:t xml:space="preserve">yes</x:t>
        </x:is>
      </x:c>
      <x:c r="F173" s="76" t="inlineStr">
        <x:is>
          <x:t xml:space="preserve">yes</x:t>
        </x:is>
      </x:c>
      <x:c r="G173" s="73" t="inlineStr">
        <x:is>
          <x:t xml:space="preserve">passed manual test</x:t>
        </x:is>
      </x:c>
      <x:c r="H173" s="92" t="inlineStr">
        <x:is>
          <x:t xml:space="preserve">covered</x:t>
        </x:is>
      </x:c>
      <x:c r="I173" s="84" t="inlineStr">
        <x:is>
          <x:t xml:space="preserve">ContextMenu playground scenario.</x:t>
        </x:is>
      </x:c>
      <x:c r="J173" s="84" t="n"/>
      <x:c r="K173" s="87" t="n">
        <x:f>IF(AND(E173="yes",F173="yes",H173="covered"),1,IF(H173="partial",0.5,0))</x:f>
        <x:v>1</x:v>
      </x:c>
    </x:row>
    <x:row r="174" s="51" customFormat="1" ht="15" customHeight="1">
      <x:c r="A174" s="73" t="n">
        <x:v>166</x:v>
      </x:c>
      <x:c r="B174" s="84" t="inlineStr">
        <x:is>
          <x:t xml:space="preserve">Styling Hooks</x:t>
        </x:is>
      </x:c>
      <x:c r="C174" s="84" t="inlineStr">
        <x:is>
          <x:t xml:space="preserve">Data Attributes</x:t>
        </x:is>
      </x:c>
      <x:c r="D174" s="84" t="inlineStr">
        <x:is>
          <x:t xml:space="preserve">disabled item visible through data-disabled</x:t>
        </x:is>
      </x:c>
      <x:c r="E174" s="76" t="inlineStr">
        <x:is>
          <x:t xml:space="preserve">yes</x:t>
        </x:is>
      </x:c>
      <x:c r="F174" s="76" t="inlineStr">
        <x:is>
          <x:t xml:space="preserve">yes</x:t>
        </x:is>
      </x:c>
      <x:c r="G174" s="73" t="inlineStr">
        <x:is>
          <x:t xml:space="preserve">passed manual test</x:t>
        </x:is>
      </x:c>
      <x:c r="H174" s="92" t="inlineStr">
        <x:is>
          <x:t xml:space="preserve">covered</x:t>
        </x:is>
      </x:c>
      <x:c r="I174" s="84" t="inlineStr">
        <x:is>
          <x:t xml:space="preserve">ContextMenu playground scenario.</x:t>
        </x:is>
      </x:c>
      <x:c r="J174" s="84" t="n"/>
      <x:c r="K174" s="87" t="n">
        <x:f>IF(AND(E174="yes",F174="yes",H174="covered"),1,IF(H174="partial",0.5,0))</x:f>
        <x:v>1</x:v>
      </x:c>
    </x:row>
    <x:row r="175" s="51" customFormat="1" ht="30" customHeight="1">
      <x:c r="A175" s="73" t="n">
        <x:v>167</x:v>
      </x:c>
      <x:c r="B175" s="84" t="inlineStr">
        <x:is>
          <x:t xml:space="preserve">Styling Hooks</x:t>
        </x:is>
      </x:c>
      <x:c r="C175" s="84" t="inlineStr">
        <x:is>
          <x:t xml:space="preserve">Data Attributes</x:t>
        </x:is>
      </x:c>
      <x:c r="D175" s="84" t="inlineStr">
        <x:is>
          <x:t xml:space="preserve">checked item visible through data-checked</x:t>
        </x:is>
      </x:c>
      <x:c r="E175" s="76" t="inlineStr">
        <x:is>
          <x:t xml:space="preserve">yes</x:t>
        </x:is>
      </x:c>
      <x:c r="F175" s="76" t="inlineStr">
        <x:is>
          <x:t xml:space="preserve">yes</x:t>
        </x:is>
      </x:c>
      <x:c r="G175" s="73" t="inlineStr">
        <x:is>
          <x:t xml:space="preserve">passed manual test</x:t>
        </x:is>
      </x:c>
      <x:c r="H175" s="92" t="inlineStr">
        <x:is>
          <x:t xml:space="preserve">covered</x:t>
        </x:is>
      </x:c>
      <x:c r="I175" s="84" t="inlineStr">
        <x:is>
          <x:t xml:space="preserve">ContextMenu playground scenario.</x:t>
        </x:is>
      </x:c>
      <x:c r="J175" s="84" t="n"/>
      <x:c r="K175" s="87" t="n">
        <x:f>IF(AND(E175="yes",F175="yes",H175="covered"),1,IF(H175="partial",0.5,0))</x:f>
        <x:v>1</x:v>
      </x:c>
    </x:row>
    <x:row r="176" s="51" customFormat="1" ht="30" customHeight="1">
      <x:c r="A176" s="73" t="n">
        <x:v>168</x:v>
      </x:c>
      <x:c r="B176" s="84" t="inlineStr">
        <x:is>
          <x:t xml:space="preserve">Styling Hooks</x:t>
        </x:is>
      </x:c>
      <x:c r="C176" s="84" t="inlineStr">
        <x:is>
          <x:t xml:space="preserve">Data Attributes</x:t>
        </x:is>
      </x:c>
      <x:c r="D176" s="84" t="inlineStr">
        <x:is>
          <x:t xml:space="preserve">positioned state visible through data-positioned</x:t>
        </x:is>
      </x:c>
      <x:c r="E176" s="76" t="inlineStr">
        <x:is>
          <x:t xml:space="preserve">yes</x:t>
        </x:is>
      </x:c>
      <x:c r="F176" s="76" t="inlineStr">
        <x:is>
          <x:t xml:space="preserve">yes</x:t>
        </x:is>
      </x:c>
      <x:c r="G176" s="73" t="inlineStr">
        <x:is>
          <x:t xml:space="preserve">passed manual test</x:t>
        </x:is>
      </x:c>
      <x:c r="H176" s="92" t="inlineStr">
        <x:is>
          <x:t xml:space="preserve">covered</x:t>
        </x:is>
      </x:c>
      <x:c r="I176" s="84" t="inlineStr">
        <x:is>
          <x:t xml:space="preserve">ContextMenu playground scenario.</x:t>
        </x:is>
      </x:c>
      <x:c r="J176" s="84" t="n"/>
      <x:c r="K176" s="87" t="n">
        <x:f>IF(AND(E176="yes",F176="yes",H176="covered"),1,IF(H176="partial",0.5,0))</x:f>
        <x:v>1</x:v>
      </x:c>
    </x:row>
    <x:row r="177" s="51" customFormat="1" ht="30" customHeight="1">
      <x:c r="A177" s="73" t="n">
        <x:v>169</x:v>
      </x:c>
      <x:c r="B177" s="84" t="inlineStr">
        <x:is>
          <x:t xml:space="preserve">Portal And Positioning</x:t>
        </x:is>
      </x:c>
      <x:c r="C177" s="84" t="inlineStr">
        <x:is>
          <x:t xml:space="preserve">Portal</x:t>
        </x:is>
      </x:c>
      <x:c r="D177" s="84" t="inlineStr">
        <x:is>
          <x:t xml:space="preserve">content portals to body</x:t>
        </x:is>
      </x:c>
      <x:c r="E177" s="76" t="inlineStr">
        <x:is>
          <x:t xml:space="preserve">yes</x:t>
        </x:is>
      </x:c>
      <x:c r="F177" s="76" t="inlineStr">
        <x:is>
          <x:t xml:space="preserve">yes</x:t>
        </x:is>
      </x:c>
      <x:c r="G177" s="73" t="inlineStr">
        <x:is>
          <x:t xml:space="preserve">passed manual test</x:t>
        </x:is>
      </x:c>
      <x:c r="H177" s="92" t="inlineStr">
        <x:is>
          <x:t xml:space="preserve">covered</x:t>
        </x:is>
      </x:c>
      <x:c r="I177" s="84" t="inlineStr">
        <x:is>
          <x:t xml:space="preserve">ContextMenu playground scenario.</x:t>
        </x:is>
      </x:c>
      <x:c r="J177" s="84" t="n"/>
      <x:c r="K177" s="87" t="n">
        <x:f>IF(AND(E177="yes",F177="yes",H177="covered"),1,IF(H177="partial",0.5,0))</x:f>
        <x:v>1</x:v>
      </x:c>
    </x:row>
    <x:row r="178" s="51" customFormat="1" ht="30" customHeight="1">
      <x:c r="A178" s="73" t="n">
        <x:v>170</x:v>
      </x:c>
      <x:c r="B178" s="84" t="inlineStr">
        <x:is>
          <x:t xml:space="preserve">Portal And Positioning</x:t>
        </x:is>
      </x:c>
      <x:c r="C178" s="84" t="inlineStr">
        <x:is>
          <x:t xml:space="preserve">Portal</x:t>
        </x:is>
      </x:c>
      <x:c r="D178" s="84" t="inlineStr">
        <x:is>
          <x:t xml:space="preserve">sub content portals to body</x:t>
        </x:is>
      </x:c>
      <x:c r="E178" s="76" t="inlineStr">
        <x:is>
          <x:t xml:space="preserve">yes</x:t>
        </x:is>
      </x:c>
      <x:c r="F178" s="76" t="inlineStr">
        <x:is>
          <x:t xml:space="preserve">yes</x:t>
        </x:is>
      </x:c>
      <x:c r="G178" s="73" t="inlineStr">
        <x:is>
          <x:t xml:space="preserve">passed manual test</x:t>
        </x:is>
      </x:c>
      <x:c r="H178" s="92" t="inlineStr">
        <x:is>
          <x:t xml:space="preserve">covered</x:t>
        </x:is>
      </x:c>
      <x:c r="I178" s="84" t="inlineStr">
        <x:is>
          <x:t xml:space="preserve">ContextMenu playground scenario.</x:t>
        </x:is>
      </x:c>
      <x:c r="J178" s="84" t="n"/>
      <x:c r="K178" s="87" t="n">
        <x:f>IF(AND(E178="yes",F178="yes",H178="covered"),1,IF(H178="partial",0.5,0))</x:f>
        <x:v>1</x:v>
      </x:c>
    </x:row>
    <x:row r="179" s="51" customFormat="1" ht="30" customHeight="1">
      <x:c r="A179" s="73" t="n">
        <x:v>171</x:v>
      </x:c>
      <x:c r="B179" s="84" t="inlineStr">
        <x:is>
          <x:t xml:space="preserve">Portal And Positioning</x:t>
        </x:is>
      </x:c>
      <x:c r="C179" s="84" t="inlineStr">
        <x:is>
          <x:t xml:space="preserve">Portal</x:t>
        </x:is>
      </x:c>
      <x:c r="D179" s="84" t="inlineStr">
        <x:is>
          <x:t xml:space="preserve">content positions relative to pointer anchor</x:t>
        </x:is>
      </x:c>
      <x:c r="E179" s="76" t="inlineStr">
        <x:is>
          <x:t xml:space="preserve">yes</x:t>
        </x:is>
      </x:c>
      <x:c r="F179" s="76" t="inlineStr">
        <x:is>
          <x:t xml:space="preserve">yes</x:t>
        </x:is>
      </x:c>
      <x:c r="G179" s="73" t="inlineStr">
        <x:is>
          <x:t xml:space="preserve">passed manual test</x:t>
        </x:is>
      </x:c>
      <x:c r="H179" s="92" t="inlineStr">
        <x:is>
          <x:t xml:space="preserve">covered</x:t>
        </x:is>
      </x:c>
      <x:c r="I179" s="84" t="inlineStr">
        <x:is>
          <x:t xml:space="preserve">ContextMenu playground scenario.</x:t>
        </x:is>
      </x:c>
      <x:c r="J179" s="84" t="n"/>
      <x:c r="K179" s="87" t="n">
        <x:f>IF(AND(E179="yes",F179="yes",H179="covered"),1,IF(H179="partial",0.5,0))</x:f>
        <x:v>1</x:v>
      </x:c>
    </x:row>
    <x:row r="180" s="51" customFormat="1" ht="15" customHeight="1">
      <x:c r="A180" s="73" t="n">
        <x:v>172</x:v>
      </x:c>
      <x:c r="B180" s="84" t="inlineStr">
        <x:is>
          <x:t xml:space="preserve">Portal And Positioning</x:t>
        </x:is>
      </x:c>
      <x:c r="C180" s="84" t="inlineStr">
        <x:is>
          <x:t xml:space="preserve">Portal</x:t>
        </x:is>
      </x:c>
      <x:c r="D180" s="84" t="inlineStr">
        <x:is>
          <x:t xml:space="preserve">content positions relative to trigger for keyboard open</x:t>
        </x:is>
      </x:c>
      <x:c r="E180" s="76" t="inlineStr">
        <x:is>
          <x:t xml:space="preserve">yes</x:t>
        </x:is>
      </x:c>
      <x:c r="F180" s="76" t="inlineStr">
        <x:is>
          <x:t xml:space="preserve">yes</x:t>
        </x:is>
      </x:c>
      <x:c r="G180" s="73" t="inlineStr">
        <x:is>
          <x:t xml:space="preserve">passed manual test</x:t>
        </x:is>
      </x:c>
      <x:c r="H180" s="92" t="inlineStr">
        <x:is>
          <x:t xml:space="preserve">covered</x:t>
        </x:is>
      </x:c>
      <x:c r="I180" s="84" t="inlineStr">
        <x:is>
          <x:t xml:space="preserve">ContextMenu playground scenario.</x:t>
        </x:is>
      </x:c>
      <x:c r="J180" s="84" t="n"/>
      <x:c r="K180" s="87" t="n">
        <x:f>IF(AND(E180="yes",F180="yes",H180="covered"),1,IF(H180="partial",0.5,0))</x:f>
        <x:v>1</x:v>
      </x:c>
    </x:row>
    <x:row r="181" s="51" customFormat="1" ht="15" customHeight="1">
      <x:c r="A181" s="73" t="n">
        <x:v>173</x:v>
      </x:c>
      <x:c r="B181" s="84" t="inlineStr">
        <x:is>
          <x:t xml:space="preserve">Portal And Positioning</x:t>
        </x:is>
      </x:c>
      <x:c r="C181" s="84" t="inlineStr">
        <x:is>
          <x:t xml:space="preserve">Portal</x:t>
        </x:is>
      </x:c>
      <x:c r="D181" s="84" t="inlineStr">
        <x:is>
          <x:t xml:space="preserve">placement flips or shifts near the edge of the manually tested desktop layout viewport</x:t>
        </x:is>
      </x:c>
      <x:c r="E181" s="76" t="inlineStr">
        <x:is>
          <x:t xml:space="preserve">yes</x:t>
        </x:is>
      </x:c>
      <x:c r="F181" s="76" t="inlineStr">
        <x:is>
          <x:t xml:space="preserve">yes</x:t>
        </x:is>
      </x:c>
      <x:c r="G181" s="73" t="inlineStr">
        <x:is>
          <x:t xml:space="preserve">passed existing desktop browser/manual baseline; mobile device qualification not run</x:t>
        </x:is>
      </x:c>
      <x:c r="H181" s="92" t="inlineStr">
        <x:is>
          <x:t xml:space="preserve">covered</x:t>
        </x:is>
      </x:c>
      <x:c r="I181" s="84" t="inlineStr">
        <x:is>
          <x:t xml:space="preserve">Existing desktop browser/manual baseline; not real iOS Safari or Android Chrome evidence.</x:t>
        </x:is>
      </x:c>
      <x:c r="J181" s="84" t="n"/>
      <x:c r="K181" s="87" t="n">
        <x:f>IF(AND(E181="yes",F181="yes",H181="covered"),1,IF(H181="partial",0.5,0))</x:f>
        <x:v>1</x:v>
      </x:c>
    </x:row>
    <x:row r="182" s="51" customFormat="1" ht="15" customHeight="1">
      <x:c r="A182" s="73" t="n">
        <x:v>174</x:v>
      </x:c>
      <x:c r="B182" s="84" t="inlineStr">
        <x:is>
          <x:t xml:space="preserve">Regression</x:t>
        </x:is>
      </x:c>
      <x:c r="C182" s="84" t="inlineStr">
        <x:is>
          <x:t xml:space="preserve">Recent Fixes</x:t>
        </x:is>
      </x:c>
      <x:c r="D182" s="84" t="inlineStr">
        <x:is>
          <x:t xml:space="preserve">Escape closes topmost context menu before parent overlay</x:t>
        </x:is>
      </x:c>
      <x:c r="E182" s="76" t="inlineStr">
        <x:is>
          <x:t xml:space="preserve">yes</x:t>
        </x:is>
      </x:c>
      <x:c r="F182" s="76" t="inlineStr">
        <x:is>
          <x:t xml:space="preserve">yes</x:t>
        </x:is>
      </x:c>
      <x:c r="G182" s="73" t="inlineStr">
        <x:is>
          <x:t xml:space="preserve">passed manual test</x:t>
        </x:is>
      </x:c>
      <x:c r="H182" s="92" t="inlineStr">
        <x:is>
          <x:t xml:space="preserve">covered</x:t>
        </x:is>
      </x:c>
      <x:c r="I182" s="84" t="inlineStr">
        <x:is>
          <x:t xml:space="preserve">ContextMenu playground scenario.</x:t>
        </x:is>
      </x:c>
      <x:c r="J182" s="84" t="n"/>
      <x:c r="K182" s="87" t="n">
        <x:f>IF(AND(E182="yes",F182="yes",H182="covered"),1,IF(H182="partial",0.5,0))</x:f>
        <x:v>1</x:v>
      </x:c>
    </x:row>
    <x:row r="183" s="51" customFormat="1" ht="15" customHeight="1">
      <x:c r="A183" s="73" t="n">
        <x:v>175</x:v>
      </x:c>
      <x:c r="B183" s="84" t="inlineStr">
        <x:is>
          <x:t xml:space="preserve">Regression</x:t>
        </x:is>
      </x:c>
      <x:c r="C183" s="84" t="inlineStr">
        <x:is>
          <x:t xml:space="preserve">Recent Fixes</x:t>
        </x:is>
      </x:c>
      <x:c r="D183" s="84" t="inlineStr">
        <x:is>
          <x:t xml:space="preserve">typeahead same-letter cycling works in context menu</x:t>
        </x:is>
      </x:c>
      <x:c r="E183" s="76" t="inlineStr">
        <x:is>
          <x:t xml:space="preserve">yes</x:t>
        </x:is>
      </x:c>
      <x:c r="F183" s="76" t="inlineStr">
        <x:is>
          <x:t xml:space="preserve">yes</x:t>
        </x:is>
      </x:c>
      <x:c r="G183" s="73" t="inlineStr">
        <x:is>
          <x:t xml:space="preserve">passed manual test</x:t>
        </x:is>
      </x:c>
      <x:c r="H183" s="92" t="inlineStr">
        <x:is>
          <x:t xml:space="preserve">covered</x:t>
        </x:is>
      </x:c>
      <x:c r="I183" s="84" t="inlineStr">
        <x:is>
          <x:t xml:space="preserve">ContextMenu playground scenario.</x:t>
        </x:is>
      </x:c>
      <x:c r="J183" s="84" t="n"/>
      <x:c r="K183" s="87" t="n">
        <x:f>IF(AND(E183="yes",F183="yes",H183="covered"),1,IF(H183="partial",0.5,0))</x:f>
        <x:v>1</x:v>
      </x:c>
    </x:row>
    <x:row r="184" s="51" customFormat="1" ht="15" customHeight="1">
      <x:c r="A184" s="73" t="n">
        <x:v>176</x:v>
      </x:c>
      <x:c r="B184" s="84" t="inlineStr">
        <x:is>
          <x:t xml:space="preserve">Regression</x:t>
        </x:is>
      </x:c>
      <x:c r="C184" s="84" t="inlineStr">
        <x:is>
          <x:t xml:space="preserve">Recent Fixes</x:t>
        </x:is>
      </x:c>
      <x:c r="D184" s="84" t="inlineStr">
        <x:is>
          <x:t xml:space="preserve">trigger disabled right click does not open menu</x:t>
        </x:is>
      </x:c>
      <x:c r="E184" s="76" t="inlineStr">
        <x:is>
          <x:t xml:space="preserve">yes</x:t>
        </x:is>
      </x:c>
      <x:c r="F184" s="76" t="inlineStr">
        <x:is>
          <x:t xml:space="preserve">yes</x:t>
        </x:is>
      </x:c>
      <x:c r="G184" s="73" t="inlineStr">
        <x:is>
          <x:t xml:space="preserve">passed manual test</x:t>
        </x:is>
      </x:c>
      <x:c r="H184" s="92" t="inlineStr">
        <x:is>
          <x:t xml:space="preserve">covered</x:t>
        </x:is>
      </x:c>
      <x:c r="I184" s="84" t="inlineStr">
        <x:is>
          <x:t xml:space="preserve">ContextMenu playground scenario.</x:t>
        </x:is>
      </x:c>
      <x:c r="J184" s="84" t="n"/>
      <x:c r="K184" s="87" t="n">
        <x:f>IF(AND(E184="yes",F184="yes",H184="covered"),1,IF(H184="partial",0.5,0))</x:f>
        <x:v>1</x:v>
      </x:c>
    </x:row>
    <x:row r="185" s="51" customFormat="1" ht="15" customHeight="1">
      <x:c r="A185" s="73" t="n">
        <x:v>177</x:v>
      </x:c>
      <x:c r="B185" s="84" t="inlineStr">
        <x:is>
          <x:t xml:space="preserve">Regression</x:t>
        </x:is>
      </x:c>
      <x:c r="C185" s="84" t="inlineStr">
        <x:is>
          <x:t xml:space="preserve">Recent Fixes</x:t>
        </x:is>
      </x:c>
      <x:c r="D185" s="84" t="inlineStr">
        <x:is>
          <x:t xml:space="preserve">trigger asChild composition keeps one child element</x:t>
        </x:is>
      </x:c>
      <x:c r="E185" s="76" t="inlineStr">
        <x:is>
          <x:t xml:space="preserve">yes</x:t>
        </x:is>
      </x:c>
      <x:c r="F185" s="76" t="inlineStr">
        <x:is>
          <x:t xml:space="preserve">yes</x:t>
        </x:is>
      </x:c>
      <x:c r="G185" s="73" t="inlineStr">
        <x:is>
          <x:t xml:space="preserve">passed manual test</x:t>
        </x:is>
      </x:c>
      <x:c r="H185" s="92" t="inlineStr">
        <x:is>
          <x:t xml:space="preserve">covered</x:t>
        </x:is>
      </x:c>
      <x:c r="I185" s="84" t="inlineStr">
        <x:is>
          <x:t xml:space="preserve">ContextMenu playground scenario.</x:t>
        </x:is>
      </x:c>
      <x:c r="J185" s="84" t="n"/>
      <x:c r="K185" s="87" t="n">
        <x:f>IF(AND(E185="yes",F185="yes",H185="covered"),1,IF(H185="partial",0.5,0))</x:f>
        <x:v>1</x:v>
      </x:c>
    </x:row>
    <x:row r="186" s="51" customFormat="1" ht="30" customHeight="1">
      <x:c r="A186" s="73" t="n">
        <x:v>178</x:v>
      </x:c>
      <x:c r="B186" s="84" t="inlineStr">
        <x:is>
          <x:t xml:space="preserve">Regression</x:t>
        </x:is>
      </x:c>
      <x:c r="C186" s="84" t="inlineStr">
        <x:is>
          <x:t xml:space="preserve">Recent Fixes</x:t>
        </x:is>
      </x:c>
      <x:c r="D186" s="84" t="inlineStr">
        <x:is>
          <x:t xml:space="preserve">outside click closes portalled context menu</x:t>
        </x:is>
      </x:c>
      <x:c r="E186" s="76" t="inlineStr">
        <x:is>
          <x:t xml:space="preserve">yes</x:t>
        </x:is>
      </x:c>
      <x:c r="F186" s="76" t="inlineStr">
        <x:is>
          <x:t xml:space="preserve">yes</x:t>
        </x:is>
      </x:c>
      <x:c r="G186" s="73" t="inlineStr">
        <x:is>
          <x:t xml:space="preserve">passed manual test</x:t>
        </x:is>
      </x:c>
      <x:c r="H186" s="92" t="inlineStr">
        <x:is>
          <x:t xml:space="preserve">covered</x:t>
        </x:is>
      </x:c>
      <x:c r="I186" s="84" t="inlineStr">
        <x:is>
          <x:t xml:space="preserve">ContextMenu playground scenario.</x:t>
        </x:is>
      </x:c>
      <x:c r="J186" s="84" t="n"/>
      <x:c r="K186" s="87" t="n">
        <x:f>IF(AND(E186="yes",F186="yes",H186="covered"),1,IF(H186="partial",0.5,0))</x:f>
        <x:v>1</x:v>
      </x:c>
    </x:row>
    <x:row r="187" s="51" customFormat="1" ht="30" customHeight="1">
      <x:c r="A187" s="73" t="n">
        <x:v>179</x:v>
      </x:c>
      <x:c r="B187" s="84" t="inlineStr">
        <x:is>
          <x:t xml:space="preserve">Regression</x:t>
        </x:is>
      </x:c>
      <x:c r="C187" s="84" t="inlineStr">
        <x:is>
          <x:t xml:space="preserve">Recent Fixes</x:t>
        </x:is>
      </x:c>
      <x:c r="D187" s="84" t="inlineStr">
        <x:is>
          <x:t xml:space="preserve">submenu focus returns to its immediate SubTrigger on close</x:t>
        </x:is>
      </x:c>
      <x:c r="E187" s="76" t="inlineStr">
        <x:is>
          <x:t xml:space="preserve">yes</x:t>
        </x:is>
      </x:c>
      <x:c r="F187" s="85" t="inlineStr">
        <x:is>
          <x:t xml:space="preserve">no</x:t>
        </x:is>
      </x:c>
      <x:c r="G187" s="73" t="inlineStr">
        <x:is>
          <x:t xml:space="preserve">automated tests pass; manual pending</x:t>
        </x:is>
      </x:c>
      <x:c r="H187" s="86" t="inlineStr">
        <x:is>
          <x:t xml:space="preserve">untested</x:t>
        </x:is>
      </x:c>
      <x:c r="I187" s="84" t="inlineStr">
        <x:is>
          <x:t xml:space="preserve">playground/manual-tests/context-menu.md</x:t>
        </x:is>
      </x:c>
      <x:c r="J187" s="84" t="inlineStr">
        <x:is>
          <x:t xml:space="preserve">Run the updated component Manual Test Protocol and named browser/device matrix.</x:t>
        </x:is>
      </x:c>
      <x:c r="K187" s="87" t="n">
        <x:f>IF(AND(E187="yes",F187="yes",H187="covered"),1,IF(H187="partial",0.5,0))</x:f>
        <x:v>0</x:v>
      </x:c>
    </x:row>
    <x:row r="188" s="51" customFormat="1" ht="15" customHeight="1">
      <x:c r="A188" s="73" t="n">
        <x:v>180</x:v>
      </x:c>
      <x:c r="B188" s="84" t="inlineStr">
        <x:is>
          <x:t xml:space="preserve">Regression</x:t>
        </x:is>
      </x:c>
      <x:c r="C188" s="84" t="inlineStr">
        <x:is>
          <x:t xml:space="preserve">Recent Fixes</x:t>
        </x:is>
      </x:c>
      <x:c r="D188" s="84" t="inlineStr">
        <x:is>
          <x:t xml:space="preserve">hovering non-item content does not reset highlight to first item</x:t>
        </x:is>
      </x:c>
      <x:c r="E188" s="76" t="inlineStr">
        <x:is>
          <x:t xml:space="preserve">yes</x:t>
        </x:is>
      </x:c>
      <x:c r="F188" s="76" t="inlineStr">
        <x:is>
          <x:t xml:space="preserve">yes</x:t>
        </x:is>
      </x:c>
      <x:c r="G188" s="73" t="inlineStr">
        <x:is>
          <x:t xml:space="preserve">passed manual test</x:t>
        </x:is>
      </x:c>
      <x:c r="H188" s="92" t="inlineStr">
        <x:is>
          <x:t xml:space="preserve">covered</x:t>
        </x:is>
      </x:c>
      <x:c r="I188" s="84" t="inlineStr">
        <x:is>
          <x:t xml:space="preserve">ContextMenu playground scenario.</x:t>
        </x:is>
      </x:c>
      <x:c r="J188" s="84" t="n"/>
      <x:c r="K188" s="87" t="n">
        <x:f>IF(AND(E188="yes",F188="yes",H188="covered"),1,IF(H188="partial",0.5,0))</x:f>
        <x:v>1</x:v>
      </x:c>
    </x:row>
    <x:row r="189" s="51" customFormat="1" ht="30" customHeight="1">
      <x:c r="A189" s="73" t="n">
        <x:v>181</x:v>
      </x:c>
      <x:c r="B189" s="84" t="inlineStr">
        <x:is>
          <x:t xml:space="preserve">Interaction</x:t>
        </x:is>
      </x:c>
      <x:c r="C189" s="84" t="inlineStr">
        <x:is>
          <x:t xml:space="preserve">Outside interaction</x:t>
        </x:is>
      </x:c>
      <x:c r="D189" s="84" t="inlineStr">
        <x:is>
          <x:t xml:space="preserve">mouse outside press closes immediately; touch or pen outside release closes only after an uncancelled gesture</x:t>
        </x:is>
      </x:c>
      <x:c r="E189" s="76" t="inlineStr">
        <x:is>
          <x:t xml:space="preserve">yes</x:t>
        </x:is>
      </x:c>
      <x:c r="F189" s="85" t="inlineStr">
        <x:is>
          <x:t xml:space="preserve">no</x:t>
        </x:is>
      </x:c>
      <x:c r="G189" s="73" t="inlineStr">
        <x:is>
          <x:t xml:space="preserve">automated tests pass; manual pending</x:t>
        </x:is>
      </x:c>
      <x:c r="H189" s="86" t="inlineStr">
        <x:is>
          <x:t xml:space="preserve">untested</x:t>
        </x:is>
      </x:c>
      <x:c r="I189" s="84" t="inlineStr">
        <x:is>
          <x:t xml:space="preserve">playground/manual-tests/context-menu.md</x:t>
        </x:is>
      </x:c>
      <x:c r="J189" s="84" t="inlineStr">
        <x:is>
          <x:t xml:space="preserve">Run the updated component Manual Test Protocol and named browser/device matrix.</x:t>
        </x:is>
      </x:c>
      <x:c r="K189" s="87" t="n">
        <x:f>IF(AND(E189="yes",F189="yes",H189="covered"),1,IF(H189="partial",0.5,0))</x:f>
        <x:v>0</x:v>
      </x:c>
    </x:row>
    <x:row r="190" s="51" customFormat="1" ht="15" customHeight="1">
      <x:c r="A190" s="73" t="n">
        <x:v>182</x:v>
      </x:c>
      <x:c r="B190" s="84" t="inlineStr">
        <x:is>
          <x:t xml:space="preserve">Interaction</x:t>
        </x:is>
      </x:c>
      <x:c r="C190" s="84" t="inlineStr">
        <x:is>
          <x:t xml:space="preserve">Item</x:t>
        </x:is>
      </x:c>
      <x:c r="D190" s="84" t="inlineStr">
        <x:is>
          <x:t xml:space="preserve">pointer/click activation selects an action item in the existing desktop manual scenario</x:t>
        </x:is>
      </x:c>
      <x:c r="E190" s="76" t="inlineStr">
        <x:is>
          <x:t xml:space="preserve">yes</x:t>
        </x:is>
      </x:c>
      <x:c r="F190" s="76" t="inlineStr">
        <x:is>
          <x:t xml:space="preserve">yes</x:t>
        </x:is>
      </x:c>
      <x:c r="G190" s="73" t="inlineStr">
        <x:is>
          <x:t xml:space="preserve">passed existing desktop browser/manual baseline; mobile device qualification not run</x:t>
        </x:is>
      </x:c>
      <x:c r="H190" s="92" t="inlineStr">
        <x:is>
          <x:t xml:space="preserve">covered</x:t>
        </x:is>
      </x:c>
      <x:c r="I190" s="84" t="inlineStr">
        <x:is>
          <x:t xml:space="preserve">Existing desktop browser/manual baseline; not real iOS Safari or Android Chrome evidence.</x:t>
        </x:is>
      </x:c>
      <x:c r="J190" s="84" t="n"/>
      <x:c r="K190" s="87" t="n">
        <x:f>IF(AND(E190="yes",F190="yes",H190="covered"),1,IF(H190="partial",0.5,0))</x:f>
        <x:v>1</x:v>
      </x:c>
    </x:row>
    <x:row r="191" s="51" customFormat="1" ht="15" customHeight="1">
      <x:c r="A191" s="73" t="n">
        <x:v>183</x:v>
      </x:c>
      <x:c r="B191" s="84" t="inlineStr">
        <x:is>
          <x:t xml:space="preserve">Interaction</x:t>
        </x:is>
      </x:c>
      <x:c r="C191" s="84" t="inlineStr">
        <x:is>
          <x:t xml:space="preserve">Checkbox item</x:t>
        </x:is>
      </x:c>
      <x:c r="D191" s="84" t="inlineStr">
        <x:is>
          <x:t xml:space="preserve">pointer/click activation toggles a checkbox item in the existing desktop manual scenario</x:t>
        </x:is>
      </x:c>
      <x:c r="E191" s="76" t="inlineStr">
        <x:is>
          <x:t xml:space="preserve">yes</x:t>
        </x:is>
      </x:c>
      <x:c r="F191" s="76" t="inlineStr">
        <x:is>
          <x:t xml:space="preserve">yes</x:t>
        </x:is>
      </x:c>
      <x:c r="G191" s="73" t="inlineStr">
        <x:is>
          <x:t xml:space="preserve">passed existing desktop browser/manual baseline; mobile device qualification not run</x:t>
        </x:is>
      </x:c>
      <x:c r="H191" s="92" t="inlineStr">
        <x:is>
          <x:t xml:space="preserve">covered</x:t>
        </x:is>
      </x:c>
      <x:c r="I191" s="84" t="inlineStr">
        <x:is>
          <x:t xml:space="preserve">Existing desktop browser/manual baseline; not real iOS Safari or Android Chrome evidence.</x:t>
        </x:is>
      </x:c>
      <x:c r="J191" s="84" t="n"/>
      <x:c r="K191" s="87" t="n">
        <x:f>IF(AND(E191="yes",F191="yes",H191="covered"),1,IF(H191="partial",0.5,0))</x:f>
        <x:v>1</x:v>
      </x:c>
    </x:row>
    <x:row r="192" s="51" customFormat="1" ht="15" customHeight="1">
      <x:c r="A192" s="73" t="n">
        <x:v>184</x:v>
      </x:c>
      <x:c r="B192" s="84" t="inlineStr">
        <x:is>
          <x:t xml:space="preserve">Interaction</x:t>
        </x:is>
      </x:c>
      <x:c r="C192" s="84" t="inlineStr">
        <x:is>
          <x:t xml:space="preserve">Radio item</x:t>
        </x:is>
      </x:c>
      <x:c r="D192" s="84" t="inlineStr">
        <x:is>
          <x:t xml:space="preserve">pointer/click activation selects a radio item in the existing desktop manual scenario</x:t>
        </x:is>
      </x:c>
      <x:c r="E192" s="76" t="inlineStr">
        <x:is>
          <x:t xml:space="preserve">yes</x:t>
        </x:is>
      </x:c>
      <x:c r="F192" s="76" t="inlineStr">
        <x:is>
          <x:t xml:space="preserve">yes</x:t>
        </x:is>
      </x:c>
      <x:c r="G192" s="73" t="inlineStr">
        <x:is>
          <x:t xml:space="preserve">passed existing desktop browser/manual baseline; mobile device qualification not run</x:t>
        </x:is>
      </x:c>
      <x:c r="H192" s="92" t="inlineStr">
        <x:is>
          <x:t xml:space="preserve">covered</x:t>
        </x:is>
      </x:c>
      <x:c r="I192" s="84" t="inlineStr">
        <x:is>
          <x:t xml:space="preserve">Existing desktop browser/manual baseline; not real iOS Safari or Android Chrome evidence.</x:t>
        </x:is>
      </x:c>
      <x:c r="J192" s="84" t="n"/>
      <x:c r="K192" s="87" t="n">
        <x:f>IF(AND(E192="yes",F192="yes",H192="covered"),1,IF(H192="partial",0.5,0))</x:f>
        <x:v>1</x:v>
      </x:c>
    </x:row>
    <x:row r="193" s="51" customFormat="1" ht="30" customHeight="1">
      <x:c r="A193" s="73" t="n">
        <x:v>185</x:v>
      </x:c>
      <x:c r="B193" s="84" t="inlineStr">
        <x:is>
          <x:t xml:space="preserve">Interaction</x:t>
        </x:is>
      </x:c>
      <x:c r="C193" s="84" t="inlineStr">
        <x:is>
          <x:t xml:space="preserve">Submenu</x:t>
        </x:is>
      </x:c>
      <x:c r="D193" s="84" t="inlineStr">
        <x:is>
          <x:t xml:space="preserve">pointer/click activation opens a submenu in the existing desktop manual scenario</x:t>
        </x:is>
      </x:c>
      <x:c r="E193" s="76" t="inlineStr">
        <x:is>
          <x:t xml:space="preserve">yes</x:t>
        </x:is>
      </x:c>
      <x:c r="F193" s="76" t="inlineStr">
        <x:is>
          <x:t xml:space="preserve">yes</x:t>
        </x:is>
      </x:c>
      <x:c r="G193" s="73" t="inlineStr">
        <x:is>
          <x:t xml:space="preserve">passed existing desktop browser/manual baseline; mobile device qualification not run</x:t>
        </x:is>
      </x:c>
      <x:c r="H193" s="92" t="inlineStr">
        <x:is>
          <x:t xml:space="preserve">covered</x:t>
        </x:is>
      </x:c>
      <x:c r="I193" s="84" t="inlineStr">
        <x:is>
          <x:t xml:space="preserve">Existing desktop browser/manual baseline; not real iOS Safari or Android Chrome evidence.</x:t>
        </x:is>
      </x:c>
      <x:c r="J193" s="84" t="n"/>
      <x:c r="K193" s="87" t="n">
        <x:f>IF(AND(E193="yes",F193="yes",H193="covered"),1,IF(H193="partial",0.5,0))</x:f>
        <x:v>1</x:v>
      </x:c>
    </x:row>
    <x:row r="194" s="51" customFormat="1" ht="30" customHeight="1">
      <x:c r="A194" s="73" t="n">
        <x:v>186</x:v>
      </x:c>
      <x:c r="B194" s="84" t="inlineStr">
        <x:is>
          <x:t xml:space="preserve">Direction</x:t>
        </x:is>
      </x:c>
      <x:c r="C194" s="84" t="inlineStr">
        <x:is>
          <x:t xml:space="preserve">Submenu</x:t>
        </x:is>
      </x:c>
      <x:c r="D194" s="84" t="inlineStr">
        <x:is>
          <x:t xml:space="preserve">reads Direction.Provider context for submenu keyboard behavior</x:t>
        </x:is>
      </x:c>
      <x:c r="E194" s="88" t="inlineStr">
        <x:is>
          <x:t xml:space="preserve">yes</x:t>
        </x:is>
      </x:c>
      <x:c r="F194" s="85" t="inlineStr">
        <x:is>
          <x:t xml:space="preserve">yes</x:t>
        </x:is>
      </x:c>
      <x:c r="G194" s="73" t="inlineStr">
        <x:is>
          <x:t xml:space="preserve">pass</x:t>
        </x:is>
      </x:c>
      <x:c r="H194" s="88" t="inlineStr">
        <x:is>
          <x:t xml:space="preserve">covered</x:t>
        </x:is>
      </x:c>
      <x:c r="I194" s="84" t="inlineStr">
        <x:is>
          <x:t xml:space="preserve">ContextMenu playground direction scenario; manually verified.</x:t>
        </x:is>
      </x:c>
      <x:c r="J194" s="84" t="n"/>
      <x:c r="K194" s="87" t="n">
        <x:f>IF(AND(E194="yes",F194="yes",H194="covered"),1,IF(H194="partial",0.5,0))</x:f>
        <x:v>1</x:v>
      </x:c>
    </x:row>
    <x:row r="195" s="51" customFormat="1" ht="30" customHeight="1">
      <x:c r="A195" s="73" t="n">
        <x:v>187</x:v>
      </x:c>
      <x:c r="B195" s="84" t="inlineStr">
        <x:is>
          <x:t xml:space="preserve">Direction</x:t>
        </x:is>
      </x:c>
      <x:c r="C195" s="84" t="inlineStr">
        <x:is>
          <x:t xml:space="preserve">Submenu</x:t>
        </x:is>
      </x:c>
      <x:c r="D195" s="84" t="inlineStr">
        <x:is>
          <x:t xml:space="preserve">RTL mirrors submenu ArrowLeft and ArrowRight open/close behavior</x:t>
        </x:is>
      </x:c>
      <x:c r="E195" s="88" t="inlineStr">
        <x:is>
          <x:t xml:space="preserve">yes</x:t>
        </x:is>
      </x:c>
      <x:c r="F195" s="85" t="inlineStr">
        <x:is>
          <x:t xml:space="preserve">yes</x:t>
        </x:is>
      </x:c>
      <x:c r="G195" s="73" t="inlineStr">
        <x:is>
          <x:t xml:space="preserve">pass</x:t>
        </x:is>
      </x:c>
      <x:c r="H195" s="88" t="inlineStr">
        <x:is>
          <x:t xml:space="preserve">covered</x:t>
        </x:is>
      </x:c>
      <x:c r="I195" s="84" t="inlineStr">
        <x:is>
          <x:t xml:space="preserve">ContextMenu playground direction scenario; manually verified.</x:t>
        </x:is>
      </x:c>
      <x:c r="J195" s="84" t="n"/>
      <x:c r="K195" s="87" t="n">
        <x:f>IF(AND(E195="yes",F195="yes",H195="covered"),1,IF(H195="partial",0.5,0))</x:f>
        <x:v>1</x:v>
      </x:c>
    </x:row>
    <x:row r="196" s="51" customFormat="1" ht="30" customHeight="1">
      <x:c r="A196" s="73" t="n">
        <x:v>188</x:v>
      </x:c>
      <x:c r="B196" s="84" t="inlineStr">
        <x:is>
          <x:t xml:space="preserve">Playground</x:t>
        </x:is>
      </x:c>
      <x:c r="C196" s="84" t="inlineStr">
        <x:is>
          <x:t xml:space="preserve">Direction controls</x:t>
        </x:is>
      </x:c>
      <x:c r="D196" s="84" t="inlineStr">
        <x:is>
          <x:t xml:space="preserve">scenario exposes provider direction controls</x:t>
        </x:is>
      </x:c>
      <x:c r="E196" s="88" t="inlineStr">
        <x:is>
          <x:t xml:space="preserve">yes</x:t>
        </x:is>
      </x:c>
      <x:c r="F196" s="85" t="inlineStr">
        <x:is>
          <x:t xml:space="preserve">yes</x:t>
        </x:is>
      </x:c>
      <x:c r="G196" s="73" t="inlineStr">
        <x:is>
          <x:t xml:space="preserve">pass</x:t>
        </x:is>
      </x:c>
      <x:c r="H196" s="88" t="inlineStr">
        <x:is>
          <x:t xml:space="preserve">covered</x:t>
        </x:is>
      </x:c>
      <x:c r="I196" s="84" t="inlineStr">
        <x:is>
          <x:t xml:space="preserve">ContextMenu playground direction scenario; manually verified.</x:t>
        </x:is>
      </x:c>
      <x:c r="J196" s="84" t="n"/>
      <x:c r="K196" s="87" t="n">
        <x:f>IF(AND(E196="yes",F196="yes",H196="covered"),1,IF(H196="partial",0.5,0))</x:f>
        <x:v>1</x:v>
      </x:c>
    </x:row>
    <x:row r="197" s="51" customFormat="1" ht="30" customHeight="1">
      <x:c r="A197" s="73" t="n">
        <x:v>189</x:v>
      </x:c>
      <x:c r="B197" s="84" t="inlineStr">
        <x:is>
          <x:t xml:space="preserve">Focus</x:t>
        </x:is>
      </x:c>
      <x:c r="C197" s="84" t="inlineStr">
        <x:is>
          <x:t xml:space="preserve">Trigger</x:t>
        </x:is>
      </x:c>
      <x:c r="D197" s="84" t="inlineStr">
        <x:is>
          <x:t xml:space="preserve">right click, Shift+F10, ContextMenu key, and completed long press open with real focus on the first item</x:t>
        </x:is>
      </x:c>
      <x:c r="E197" s="76" t="inlineStr">
        <x:is>
          <x:t xml:space="preserve">yes</x:t>
        </x:is>
      </x:c>
      <x:c r="F197" s="85" t="inlineStr">
        <x:is>
          <x:t xml:space="preserve">no</x:t>
        </x:is>
      </x:c>
      <x:c r="G197" s="73" t="inlineStr">
        <x:is>
          <x:t xml:space="preserve">automated tests pass; manual pending</x:t>
        </x:is>
      </x:c>
      <x:c r="H197" s="86" t="inlineStr">
        <x:is>
          <x:t xml:space="preserve">untested</x:t>
        </x:is>
      </x:c>
      <x:c r="I197" s="84" t="inlineStr">
        <x:is>
          <x:t xml:space="preserve">playground/manual-tests/context-menu.md</x:t>
        </x:is>
      </x:c>
      <x:c r="J197" s="84" t="inlineStr">
        <x:is>
          <x:t xml:space="preserve">Run the updated component Manual Test Protocol and named browser/device matrix.</x:t>
        </x:is>
      </x:c>
      <x:c r="K197" s="87" t="n">
        <x:f>IF(AND(E197="yes",F197="yes",H197="covered"),1,IF(H197="partial",0.5,0))</x:f>
        <x:v>0</x:v>
      </x:c>
    </x:row>
    <x:row r="198" s="51" customFormat="1" ht="30" customHeight="1">
      <x:c r="A198" s="73" t="n">
        <x:v>190</x:v>
      </x:c>
      <x:c r="B198" s="84" t="inlineStr">
        <x:is>
          <x:t xml:space="preserve">Focus</x:t>
        </x:is>
      </x:c>
      <x:c r="C198" s="84" t="inlineStr">
        <x:is>
          <x:t xml:space="preserve">Open And Close</x:t>
        </x:is>
      </x:c>
      <x:c r="D198" s="84" t="inlineStr">
        <x:is>
          <x:t xml:space="preserve">Shift+Tab closes every menu level and moves focus before the complete ContextMenu owner boundary</x:t>
        </x:is>
      </x:c>
      <x:c r="E198" s="76" t="inlineStr">
        <x:is>
          <x:t xml:space="preserve">yes</x:t>
        </x:is>
      </x:c>
      <x:c r="F198" s="85" t="inlineStr">
        <x:is>
          <x:t xml:space="preserve">no</x:t>
        </x:is>
      </x:c>
      <x:c r="G198" s="73" t="inlineStr">
        <x:is>
          <x:t xml:space="preserve">automated tests pass; manual pending</x:t>
        </x:is>
      </x:c>
      <x:c r="H198" s="86" t="inlineStr">
        <x:is>
          <x:t xml:space="preserve">untested</x:t>
        </x:is>
      </x:c>
      <x:c r="I198" s="84" t="inlineStr">
        <x:is>
          <x:t xml:space="preserve">playground/manual-tests/context-menu.md</x:t>
        </x:is>
      </x:c>
      <x:c r="J198" s="84" t="inlineStr">
        <x:is>
          <x:t xml:space="preserve">Run the updated component Manual Test Protocol and named browser/device matrix.</x:t>
        </x:is>
      </x:c>
      <x:c r="K198" s="87" t="n">
        <x:f>IF(AND(E198="yes",F198="yes",H198="covered"),1,IF(H198="partial",0.5,0))</x:f>
        <x:v>0</x:v>
      </x:c>
    </x:row>
    <x:row r="199" s="51" customFormat="1" ht="30" customHeight="1">
      <x:c r="A199" s="73" t="n">
        <x:v>191</x:v>
      </x:c>
      <x:c r="B199" s="84" t="inlineStr">
        <x:is>
          <x:t xml:space="preserve">Shared Menu Integration</x:t>
        </x:is>
      </x:c>
      <x:c r="C199" s="84" t="inlineStr">
        <x:is>
          <x:t xml:space="preserve">Anatomy</x:t>
        </x:is>
      </x:c>
      <x:c r="D199" s="84" t="inlineStr">
        <x:is>
          <x:t xml:space="preserve">Portal, Arrow, Label, and ItemIndicator render with shared Menu semantics and geometry</x:t>
        </x:is>
      </x:c>
      <x:c r="E199" s="76" t="inlineStr">
        <x:is>
          <x:t xml:space="preserve">yes</x:t>
        </x:is>
      </x:c>
      <x:c r="F199" s="85" t="inlineStr">
        <x:is>
          <x:t xml:space="preserve">no</x:t>
        </x:is>
      </x:c>
      <x:c r="G199" s="73" t="inlineStr">
        <x:is>
          <x:t xml:space="preserve">automated tests pass; manual pending</x:t>
        </x:is>
      </x:c>
      <x:c r="H199" s="86" t="inlineStr">
        <x:is>
          <x:t xml:space="preserve">untested</x:t>
        </x:is>
      </x:c>
      <x:c r="I199" s="84" t="inlineStr">
        <x:is>
          <x:t xml:space="preserve">playground/manual-tests/context-menu.md</x:t>
        </x:is>
      </x:c>
      <x:c r="J199" s="84" t="inlineStr">
        <x:is>
          <x:t xml:space="preserve">Run the updated component Manual Test Protocol and named browser/device matrix.</x:t>
        </x:is>
      </x:c>
      <x:c r="K199" s="87" t="n">
        <x:f>IF(AND(E199="yes",F199="yes",H199="covered"),1,IF(H199="partial",0.5,0))</x:f>
        <x:v>0</x:v>
      </x:c>
    </x:row>
    <x:row r="200" s="51" customFormat="1" ht="30" customHeight="1">
      <x:c r="A200" s="73" t="n">
        <x:v>192</x:v>
      </x:c>
      <x:c r="B200" s="84" t="inlineStr">
        <x:is>
          <x:t xml:space="preserve">Pointer</x:t>
        </x:is>
      </x:c>
      <x:c r="C200" s="84" t="inlineStr">
        <x:is>
          <x:t xml:space="preserve">Trigger</x:t>
        </x:is>
      </x:c>
      <x:c r="D200" s="84" t="inlineStr">
        <x:is>
          <x:t xml:space="preserve">one primary touch or pen long press opens once at the contact point after 700 ms</x:t>
        </x:is>
      </x:c>
      <x:c r="E200" s="76" t="inlineStr">
        <x:is>
          <x:t xml:space="preserve">yes</x:t>
        </x:is>
      </x:c>
      <x:c r="F200" s="85" t="inlineStr">
        <x:is>
          <x:t xml:space="preserve">no</x:t>
        </x:is>
      </x:c>
      <x:c r="G200" s="73" t="inlineStr">
        <x:is>
          <x:t xml:space="preserve">automated tests pass; manual pending</x:t>
        </x:is>
      </x:c>
      <x:c r="H200" s="86" t="inlineStr">
        <x:is>
          <x:t xml:space="preserve">untested</x:t>
        </x:is>
      </x:c>
      <x:c r="I200" s="84" t="inlineStr">
        <x:is>
          <x:t xml:space="preserve">playground/manual-tests/context-menu.md</x:t>
        </x:is>
      </x:c>
      <x:c r="J200" s="84" t="inlineStr">
        <x:is>
          <x:t xml:space="preserve">Run the updated component Manual Test Protocol and named browser/device matrix.</x:t>
        </x:is>
      </x:c>
      <x:c r="K200" s="87" t="n">
        <x:f>IF(AND(E200="yes",F200="yes",H200="covered"),1,IF(H200="partial",0.5,0))</x:f>
        <x:v>0</x:v>
      </x:c>
    </x:row>
    <x:row r="201" s="51" customFormat="1" ht="30" customHeight="1">
      <x:c r="A201" s="73" t="n">
        <x:v>193</x:v>
      </x:c>
      <x:c r="B201" s="84" t="inlineStr">
        <x:is>
          <x:t xml:space="preserve">Pointer</x:t>
        </x:is>
      </x:c>
      <x:c r="C201" s="84" t="inlineStr">
        <x:is>
          <x:t xml:space="preserve">Trigger</x:t>
        </x:is>
      </x:c>
      <x:c r="D201" s="84" t="inlineStr">
        <x:is>
          <x:t xml:space="preserve">long press cancels on movement beyond 10 px, scroll, early release, pointer cancellation, second contact, disabled transition, or unmount</x:t>
        </x:is>
      </x:c>
      <x:c r="E201" s="76" t="inlineStr">
        <x:is>
          <x:t xml:space="preserve">yes</x:t>
        </x:is>
      </x:c>
      <x:c r="F201" s="85" t="inlineStr">
        <x:is>
          <x:t xml:space="preserve">no</x:t>
        </x:is>
      </x:c>
      <x:c r="G201" s="73" t="inlineStr">
        <x:is>
          <x:t xml:space="preserve">automated tests pass; manual pending</x:t>
        </x:is>
      </x:c>
      <x:c r="H201" s="86" t="inlineStr">
        <x:is>
          <x:t xml:space="preserve">untested</x:t>
        </x:is>
      </x:c>
      <x:c r="I201" s="84" t="inlineStr">
        <x:is>
          <x:t xml:space="preserve">playground/manual-tests/context-menu.md</x:t>
        </x:is>
      </x:c>
      <x:c r="J201" s="84" t="inlineStr">
        <x:is>
          <x:t xml:space="preserve">Run the updated component Manual Test Protocol and named browser/device matrix.</x:t>
        </x:is>
      </x:c>
      <x:c r="K201" s="87" t="n">
        <x:f>IF(AND(E201="yes",F201="yes",H201="covered"),1,IF(H201="partial",0.5,0))</x:f>
        <x:v>0</x:v>
      </x:c>
    </x:row>
    <x:row r="202" s="51" customFormat="1" ht="30" customHeight="1">
      <x:c r="A202" s="73" t="n">
        <x:v>194</x:v>
      </x:c>
      <x:c r="B202" s="84" t="inlineStr">
        <x:is>
          <x:t xml:space="preserve">Pointer</x:t>
        </x:is>
      </x:c>
      <x:c r="C202" s="84" t="inlineStr">
        <x:is>
          <x:t xml:space="preserve">Trigger</x:t>
        </x:is>
      </x:c>
      <x:c r="D202" s="84" t="inlineStr">
        <x:is>
          <x:t xml:space="preserve">data-pressed exists only while a long-press session is pending and selection or callout styles are restored</x:t>
        </x:is>
      </x:c>
      <x:c r="E202" s="76" t="inlineStr">
        <x:is>
          <x:t xml:space="preserve">yes</x:t>
        </x:is>
      </x:c>
      <x:c r="F202" s="85" t="inlineStr">
        <x:is>
          <x:t xml:space="preserve">no</x:t>
        </x:is>
      </x:c>
      <x:c r="G202" s="73" t="inlineStr">
        <x:is>
          <x:t xml:space="preserve">automated tests pass; manual pending</x:t>
        </x:is>
      </x:c>
      <x:c r="H202" s="86" t="inlineStr">
        <x:is>
          <x:t xml:space="preserve">untested</x:t>
        </x:is>
      </x:c>
      <x:c r="I202" s="84" t="inlineStr">
        <x:is>
          <x:t xml:space="preserve">playground/manual-tests/context-menu.md</x:t>
        </x:is>
      </x:c>
      <x:c r="J202" s="84" t="inlineStr">
        <x:is>
          <x:t xml:space="preserve">Run the updated component Manual Test Protocol and named browser/device matrix.</x:t>
        </x:is>
      </x:c>
      <x:c r="K202" s="87" t="n">
        <x:f>IF(AND(E202="yes",F202="yes",H202="covered"),1,IF(H202="partial",0.5,0))</x:f>
        <x:v>0</x:v>
      </x:c>
    </x:row>
    <x:row r="203" s="51" customFormat="1" ht="30" customHeight="1">
      <x:c r="A203" s="73" t="n">
        <x:v>195</x:v>
      </x:c>
      <x:c r="B203" s="84" t="inlineStr">
        <x:is>
          <x:t xml:space="preserve">Pointer</x:t>
        </x:is>
      </x:c>
      <x:c r="C203" s="84" t="inlineStr">
        <x:is>
          <x:t xml:space="preserve">Trigger</x:t>
        </x:is>
      </x:c>
      <x:c r="D203" s="84" t="inlineStr">
        <x:is>
          <x:t xml:space="preserve">native contextmenu delivery clears the fallback and cannot double-open</x:t>
        </x:is>
      </x:c>
      <x:c r="E203" s="76" t="inlineStr">
        <x:is>
          <x:t xml:space="preserve">yes</x:t>
        </x:is>
      </x:c>
      <x:c r="F203" s="85" t="inlineStr">
        <x:is>
          <x:t xml:space="preserve">no</x:t>
        </x:is>
      </x:c>
      <x:c r="G203" s="73" t="inlineStr">
        <x:is>
          <x:t xml:space="preserve">automated tests pass; manual pending</x:t>
        </x:is>
      </x:c>
      <x:c r="H203" s="86" t="inlineStr">
        <x:is>
          <x:t xml:space="preserve">untested</x:t>
        </x:is>
      </x:c>
      <x:c r="I203" s="84" t="inlineStr">
        <x:is>
          <x:t xml:space="preserve">playground/manual-tests/context-menu.md</x:t>
        </x:is>
      </x:c>
      <x:c r="J203" s="84" t="inlineStr">
        <x:is>
          <x:t xml:space="preserve">Run the updated component Manual Test Protocol and named browser/device matrix.</x:t>
        </x:is>
      </x:c>
      <x:c r="K203" s="87" t="n">
        <x:f>IF(AND(E203="yes",F203="yes",H203="covered"),1,IF(H203="partial",0.5,0))</x:f>
        <x:v>0</x:v>
      </x:c>
    </x:row>
    <x:row r="204" s="51" customFormat="1" ht="30" customHeight="1">
      <x:c r="A204" s="73" t="n">
        <x:v>196</x:v>
      </x:c>
      <x:c r="B204" s="84" t="inlineStr">
        <x:is>
          <x:t xml:space="preserve">Accessibility</x:t>
        </x:is>
      </x:c>
      <x:c r="C204" s="84" t="inlineStr">
        <x:is>
          <x:t xml:space="preserve">Trigger</x:t>
        </x:is>
      </x:c>
      <x:c r="D204" s="84" t="inlineStr">
        <x:is>
          <x:t xml:space="preserve">important ContextMenu actions retain a visible discoverable alternative</x:t>
        </x:is>
      </x:c>
      <x:c r="E204" s="76" t="inlineStr">
        <x:is>
          <x:t xml:space="preserve">yes</x:t>
        </x:is>
      </x:c>
      <x:c r="F204" s="85" t="inlineStr">
        <x:is>
          <x:t xml:space="preserve">no</x:t>
        </x:is>
      </x:c>
      <x:c r="G204" s="73" t="inlineStr">
        <x:is>
          <x:t xml:space="preserve">automated tests pass; manual pending</x:t>
        </x:is>
      </x:c>
      <x:c r="H204" s="86" t="inlineStr">
        <x:is>
          <x:t xml:space="preserve">untested</x:t>
        </x:is>
      </x:c>
      <x:c r="I204" s="84" t="inlineStr">
        <x:is>
          <x:t xml:space="preserve">playground/manual-tests/context-menu.md</x:t>
        </x:is>
      </x:c>
      <x:c r="J204" s="84" t="inlineStr">
        <x:is>
          <x:t xml:space="preserve">Run the updated component Manual Test Protocol and named browser/device matrix.</x:t>
        </x:is>
      </x:c>
      <x:c r="K204" s="87" t="n">
        <x:f>IF(AND(E204="yes",F204="yes",H204="covered"),1,IF(H204="partial",0.5,0))</x:f>
        <x:v>0</x:v>
      </x:c>
    </x:row>
    <x:row r="205" s="51" customFormat="1" ht="30" customHeight="1">
      <x:c r="A205" s="73" t="n">
        <x:v>197</x:v>
      </x:c>
      <x:c r="B205" s="84" t="inlineStr">
        <x:is>
          <x:t xml:space="preserve">Pointer</x:t>
        </x:is>
      </x:c>
      <x:c r="C205" s="84" t="inlineStr">
        <x:is>
          <x:t xml:space="preserve">Sub Trigger</x:t>
        </x:is>
      </x:c>
      <x:c r="D205" s="84" t="inlineStr">
        <x:is>
          <x:t xml:space="preserve">touch and pen contact cannot start mouse-hover submenu timers while click or tap remains usable</x:t>
        </x:is>
      </x:c>
      <x:c r="E205" s="76" t="inlineStr">
        <x:is>
          <x:t xml:space="preserve">yes</x:t>
        </x:is>
      </x:c>
      <x:c r="F205" s="85" t="inlineStr">
        <x:is>
          <x:t xml:space="preserve">no</x:t>
        </x:is>
      </x:c>
      <x:c r="G205" s="73" t="inlineStr">
        <x:is>
          <x:t xml:space="preserve">automated tests pass; manual pending</x:t>
        </x:is>
      </x:c>
      <x:c r="H205" s="86" t="inlineStr">
        <x:is>
          <x:t xml:space="preserve">untested</x:t>
        </x:is>
      </x:c>
      <x:c r="I205" s="84" t="inlineStr">
        <x:is>
          <x:t xml:space="preserve">playground/manual-tests/context-menu.md</x:t>
        </x:is>
      </x:c>
      <x:c r="J205" s="84" t="inlineStr">
        <x:is>
          <x:t xml:space="preserve">Run the updated component Manual Test Protocol and named browser/device matrix.</x:t>
        </x:is>
      </x:c>
      <x:c r="K205" s="87" t="n">
        <x:f>IF(AND(E205="yes",F205="yes",H205="covered"),1,IF(H205="partial",0.5,0))</x:f>
        <x:v>0</x:v>
      </x:c>
    </x:row>
    <x:row r="206" s="51" customFormat="1" ht="30" customHeight="1">
      <x:c r="A206" s="73" t="n">
        <x:v>198</x:v>
      </x:c>
      <x:c r="B206" s="84" t="inlineStr">
        <x:is>
          <x:t xml:space="preserve">Pointer</x:t>
        </x:is>
      </x:c>
      <x:c r="C206" s="84" t="inlineStr">
        <x:is>
          <x:t xml:space="preserve">Outside interaction</x:t>
        </x:is>
      </x:c>
      <x:c r="D206" s="84" t="inlineStr">
        <x:is>
          <x:t xml:space="preserve">touch and pen outside dismissal cancels on movement, scroll, pointer cancellation, or a second pointer</x:t>
        </x:is>
      </x:c>
      <x:c r="E206" s="76" t="inlineStr">
        <x:is>
          <x:t xml:space="preserve">yes</x:t>
        </x:is>
      </x:c>
      <x:c r="F206" s="85" t="inlineStr">
        <x:is>
          <x:t xml:space="preserve">no</x:t>
        </x:is>
      </x:c>
      <x:c r="G206" s="73" t="inlineStr">
        <x:is>
          <x:t xml:space="preserve">automated tests pass; manual pending</x:t>
        </x:is>
      </x:c>
      <x:c r="H206" s="86" t="inlineStr">
        <x:is>
          <x:t xml:space="preserve">untested</x:t>
        </x:is>
      </x:c>
      <x:c r="I206" s="84" t="inlineStr">
        <x:is>
          <x:t xml:space="preserve">playground/manual-tests/context-menu.md</x:t>
        </x:is>
      </x:c>
      <x:c r="J206" s="84" t="inlineStr">
        <x:is>
          <x:t xml:space="preserve">Run the updated component Manual Test Protocol and named browser/device matrix.</x:t>
        </x:is>
      </x:c>
      <x:c r="K206" s="87" t="n">
        <x:f>IF(AND(E206="yes",F206="yes",H206="covered"),1,IF(H206="partial",0.5,0))</x:f>
        <x:v>0</x:v>
      </x:c>
    </x:row>
    <x:row r="207" s="51" customFormat="1" ht="30" customHeight="1">
      <x:c r="A207" s="73" t="n">
        <x:v>199</x:v>
      </x:c>
      <x:c r="B207" s="84" t="inlineStr">
        <x:is>
          <x:t xml:space="preserve">Portal And Positioning</x:t>
        </x:is>
      </x:c>
      <x:c r="C207" s="84" t="inlineStr">
        <x:is>
          <x:t xml:space="preserve">Content</x:t>
        </x:is>
      </x:c>
      <x:c r="D207" s="84" t="inlineStr">
        <x:is>
          <x:t xml:space="preserve">Content and SubContent expose available-size, trigger-size, and transform-origin CSS variables</x:t>
        </x:is>
      </x:c>
      <x:c r="E207" s="76" t="inlineStr">
        <x:is>
          <x:t xml:space="preserve">yes</x:t>
        </x:is>
      </x:c>
      <x:c r="F207" s="85" t="inlineStr">
        <x:is>
          <x:t xml:space="preserve">no</x:t>
        </x:is>
      </x:c>
      <x:c r="G207" s="73" t="inlineStr">
        <x:is>
          <x:t xml:space="preserve">automated tests pass; manual pending</x:t>
        </x:is>
      </x:c>
      <x:c r="H207" s="86" t="inlineStr">
        <x:is>
          <x:t xml:space="preserve">untested</x:t>
        </x:is>
      </x:c>
      <x:c r="I207" s="84" t="inlineStr">
        <x:is>
          <x:t xml:space="preserve">playground/manual-tests/context-menu.md</x:t>
        </x:is>
      </x:c>
      <x:c r="J207" s="84" t="inlineStr">
        <x:is>
          <x:t xml:space="preserve">Run the updated component Manual Test Protocol and named browser/device matrix.</x:t>
        </x:is>
      </x:c>
      <x:c r="K207" s="87" t="n">
        <x:f>IF(AND(E207="yes",F207="yes",H207="covered"),1,IF(H207="partial",0.5,0))</x:f>
        <x:v>0</x:v>
      </x:c>
    </x:row>
    <x:row r="208" s="51" customFormat="1" ht="30" customHeight="1">
      <x:c r="A208" s="73" t="n">
        <x:v>200</x:v>
      </x:c>
      <x:c r="B208" s="84" t="inlineStr">
        <x:is>
          <x:t xml:space="preserve">Responsive</x:t>
        </x:is>
      </x:c>
      <x:c r="C208" s="84" t="inlineStr">
        <x:is>
          <x:t xml:space="preserve">Reflow</x:t>
        </x:is>
      </x:c>
      <x:c r="D208" s="84" t="inlineStr">
        <x:is>
          <x:t xml:space="preserve">real focused rows and long content remain reachable at 200%, 400%, and narrow viewport reflow</x:t>
        </x:is>
      </x:c>
      <x:c r="E208" s="76" t="inlineStr">
        <x:is>
          <x:t xml:space="preserve">yes</x:t>
        </x:is>
      </x:c>
      <x:c r="F208" s="85" t="inlineStr">
        <x:is>
          <x:t xml:space="preserve">no</x:t>
        </x:is>
      </x:c>
      <x:c r="G208" s="73" t="inlineStr">
        <x:is>
          <x:t xml:space="preserve">automated tests pass; manual pending</x:t>
        </x:is>
      </x:c>
      <x:c r="H208" s="86" t="inlineStr">
        <x:is>
          <x:t xml:space="preserve">untested</x:t>
        </x:is>
      </x:c>
      <x:c r="I208" s="84" t="inlineStr">
        <x:is>
          <x:t xml:space="preserve">playground/manual-tests/context-menu.md</x:t>
        </x:is>
      </x:c>
      <x:c r="J208" s="84" t="inlineStr">
        <x:is>
          <x:t xml:space="preserve">Run the updated component Manual Test Protocol and named browser/device matrix.</x:t>
        </x:is>
      </x:c>
      <x:c r="K208" s="87" t="n">
        <x:f>IF(AND(E208="yes",F208="yes",H208="covered"),1,IF(H208="partial",0.5,0))</x:f>
        <x:v>0</x:v>
      </x:c>
    </x:row>
    <x:row r="209" s="51" customFormat="1" ht="82" customHeight="1">
      <x:c r="A209" s="73" t="n">
        <x:v>201</x:v>
      </x:c>
      <x:c r="B209" s="84" t="inlineStr">
        <x:is>
          <x:t xml:space="preserve">Controller</x:t>
        </x:is>
      </x:c>
      <x:c r="C209" s="84" t="inlineStr">
        <x:is>
          <x:t xml:space="preserve">RootProvider / Context</x:t>
        </x:is>
      </x:c>
      <x:c r="D209" s="84" t="inlineStr">
        <x:is>
          <x:t xml:space="preserve">External controller opens, closes, highlights and shares state with the root.</x:t>
        </x:is>
      </x:c>
      <x:c r="E209" s="76" t="inlineStr">
        <x:is>
          <x:t xml:space="preserve">yes</x:t>
        </x:is>
      </x:c>
      <x:c r="F209" s="85" t="inlineStr">
        <x:is>
          <x:t xml:space="preserve">no</x:t>
        </x:is>
      </x:c>
      <x:c r="G209" s="73" t="inlineStr">
        <x:is>
          <x:t xml:space="preserve">Fixture implemented; automated regression qualified; manual not performed</x:t>
        </x:is>
      </x:c>
      <x:c r="H209" s="86" t="inlineStr">
        <x:is>
          <x:t xml:space="preserve">partial</x:t>
        </x:is>
      </x:c>
      <x:c r="I209" s="84" t="inlineStr">
        <x:is>
          <x:t xml:space="preserve">/__tests/menu-policies?owner=ContextMenu; playground/manual-tests/menu-policies.md; test/browser/menu-policies.spec.ts</x:t>
        </x:is>
      </x:c>
      <x:c r="J209" s="84" t="inlineStr">
        <x:is>
          <x:t xml:space="preserve">Run complete owning protocol, screen-reader, physical-device and actual browser zoom checks.</x:t>
        </x:is>
      </x:c>
      <x:c r="K209" s="87" t="n">
        <x:f>IF(AND(E209="yes",F209="yes",H209="covered"),1,IF(H209="partial",0.5,0))</x:f>
        <x:v>0.5</x:v>
      </x:c>
    </x:row>
    <x:row r="210" s="51" customFormat="1" ht="82" customHeight="1">
      <x:c r="A210" s="73" t="n">
        <x:v>202</x:v>
      </x:c>
      <x:c r="B210" s="84" t="inlineStr">
        <x:is>
          <x:t xml:space="preserve">Selection</x:t>
        </x:is>
      </x:c>
      <x:c r="C210" s="84" t="inlineStr">
        <x:is>
          <x:t xml:space="preserve">Root / Item</x:t>
        </x:is>
      </x:c>
      <x:c r="D210" s="84" t="inlineStr">
        <x:is>
          <x:t xml:space="preserve">Root onSelect follows item callback; preventDefault leaves checkbox/radio state unchanged.</x:t>
        </x:is>
      </x:c>
      <x:c r="E210" s="76" t="inlineStr">
        <x:is>
          <x:t xml:space="preserve">yes</x:t>
        </x:is>
      </x:c>
      <x:c r="F210" s="85" t="inlineStr">
        <x:is>
          <x:t xml:space="preserve">no</x:t>
        </x:is>
      </x:c>
      <x:c r="G210" s="73" t="inlineStr">
        <x:is>
          <x:t xml:space="preserve">Fixture implemented; automated regression qualified; manual not performed</x:t>
        </x:is>
      </x:c>
      <x:c r="H210" s="86" t="inlineStr">
        <x:is>
          <x:t xml:space="preserve">partial</x:t>
        </x:is>
      </x:c>
      <x:c r="I210" s="84" t="inlineStr">
        <x:is>
          <x:t xml:space="preserve">/__tests/menu-policies?owner=ContextMenu; playground/manual-tests/menu-policies.md; test/browser/menu-policies.spec.ts</x:t>
        </x:is>
      </x:c>
      <x:c r="J210" s="84" t="inlineStr">
        <x:is>
          <x:t xml:space="preserve">Run complete owning protocol, screen-reader, physical-device and actual browser zoom checks.</x:t>
        </x:is>
      </x:c>
      <x:c r="K210" s="87" t="n">
        <x:f>IF(AND(E210="yes",F210="yes",H210="covered"),1,IF(H210="partial",0.5,0))</x:f>
        <x:v>0.5</x:v>
      </x:c>
    </x:row>
    <x:row r="211" s="51" customFormat="1" ht="82" customHeight="1">
      <x:c r="A211" s="73" t="n">
        <x:v>203</x:v>
      </x:c>
      <x:c r="B211" s="84" t="inlineStr">
        <x:is>
          <x:t xml:space="preserve">Keyboard</x:t>
        </x:is>
      </x:c>
      <x:c r="C211" s="84" t="inlineStr">
        <x:is>
          <x:t xml:space="preserve">Root</x:t>
        </x:is>
      </x:c>
      <x:c r="D211" s="84" t="inlineStr">
        <x:is>
          <x:t xml:space="preserve">Controlled/default highlight, disabled typeahead, loop options preserve focus.</x:t>
        </x:is>
      </x:c>
      <x:c r="E211" s="76" t="inlineStr">
        <x:is>
          <x:t xml:space="preserve">yes</x:t>
        </x:is>
      </x:c>
      <x:c r="F211" s="85" t="inlineStr">
        <x:is>
          <x:t xml:space="preserve">no</x:t>
        </x:is>
      </x:c>
      <x:c r="G211" s="73" t="inlineStr">
        <x:is>
          <x:t xml:space="preserve">Fixture implemented; automated regression qualified; manual not performed</x:t>
        </x:is>
      </x:c>
      <x:c r="H211" s="86" t="inlineStr">
        <x:is>
          <x:t xml:space="preserve">partial</x:t>
        </x:is>
      </x:c>
      <x:c r="I211" s="84" t="inlineStr">
        <x:is>
          <x:t xml:space="preserve">/__tests/menu-policies?owner=ContextMenu; playground/manual-tests/menu-policies.md; test/browser/menu-policies.spec.ts</x:t>
        </x:is>
      </x:c>
      <x:c r="J211" s="84" t="inlineStr">
        <x:is>
          <x:t xml:space="preserve">Run complete owning protocol, screen-reader, physical-device and actual browser zoom checks.</x:t>
        </x:is>
      </x:c>
      <x:c r="K211" s="87" t="n">
        <x:f>IF(AND(E211="yes",F211="yes",H211="covered"),1,IF(H211="partial",0.5,0))</x:f>
        <x:v>0.5</x:v>
      </x:c>
    </x:row>
    <x:row r="212" s="51" customFormat="1" ht="82" customHeight="1">
      <x:c r="A212" s="73" t="n">
        <x:v>204</x:v>
      </x:c>
      <x:c r="B212" s="84" t="inlineStr">
        <x:is>
          <x:t xml:space="preserve">Navigation</x:t>
        </x:is>
      </x:c>
      <x:c r="C212" s="84" t="inlineStr">
        <x:is>
          <x:t xml:space="preserve">Item</x:t>
        </x:is>
      </x:c>
      <x:c r="D212" s="84" t="inlineStr">
        <x:is>
          <x:t xml:space="preserve">Navigate hook handles ordinary native/router links without intercepting modified navigation.</x:t>
        </x:is>
      </x:c>
      <x:c r="E212" s="76" t="inlineStr">
        <x:is>
          <x:t xml:space="preserve">yes</x:t>
        </x:is>
      </x:c>
      <x:c r="F212" s="85" t="inlineStr">
        <x:is>
          <x:t xml:space="preserve">no</x:t>
        </x:is>
      </x:c>
      <x:c r="G212" s="73" t="inlineStr">
        <x:is>
          <x:t xml:space="preserve">Fixture implemented; automated regression qualified; manual not performed</x:t>
        </x:is>
      </x:c>
      <x:c r="H212" s="86" t="inlineStr">
        <x:is>
          <x:t xml:space="preserve">partial</x:t>
        </x:is>
      </x:c>
      <x:c r="I212" s="84" t="inlineStr">
        <x:is>
          <x:t xml:space="preserve">/__tests/menu-policies?owner=ContextMenu; playground/manual-tests/menu-policies.md; test/browser/menu-policies.spec.ts</x:t>
        </x:is>
      </x:c>
      <x:c r="J212" s="84" t="inlineStr">
        <x:is>
          <x:t xml:space="preserve">Run complete owning protocol, screen-reader, physical-device and actual browser zoom checks.</x:t>
        </x:is>
      </x:c>
      <x:c r="K212" s="87" t="n">
        <x:f>IF(AND(E212="yes",F212="yes",H212="covered"),1,IF(H212="partial",0.5,0))</x:f>
        <x:v>0.5</x:v>
      </x:c>
    </x:row>
    <x:row r="213" s="51" customFormat="1" ht="82" customHeight="1">
      <x:c r="A213" s="73" t="n">
        <x:v>205</x:v>
      </x:c>
      <x:c r="B213" s="84" t="inlineStr">
        <x:is>
          <x:t xml:space="preserve">Lifecycle</x:t>
        </x:is>
      </x:c>
      <x:c r="C213" s="84" t="inlineStr">
        <x:is>
          <x:t xml:space="preserve">Content</x:t>
        </x:is>
      </x:c>
      <x:c r="D213" s="84" t="inlineStr">
        <x:is>
          <x:t xml:space="preserve">lazyMount, unmountOnExit, skipAnimationOnMount and exit completion preserve hidden/inert content.</x:t>
        </x:is>
      </x:c>
      <x:c r="E213" s="76" t="inlineStr">
        <x:is>
          <x:t xml:space="preserve">yes</x:t>
        </x:is>
      </x:c>
      <x:c r="F213" s="85" t="inlineStr">
        <x:is>
          <x:t xml:space="preserve">no</x:t>
        </x:is>
      </x:c>
      <x:c r="G213" s="73" t="inlineStr">
        <x:is>
          <x:t xml:space="preserve">Fixture implemented; automated regression qualified; manual not performed</x:t>
        </x:is>
      </x:c>
      <x:c r="H213" s="86" t="inlineStr">
        <x:is>
          <x:t xml:space="preserve">partial</x:t>
        </x:is>
      </x:c>
      <x:c r="I213" s="84" t="inlineStr">
        <x:is>
          <x:t xml:space="preserve">/__tests/menu-policies?owner=ContextMenu; playground/manual-tests/menu-policies.md; test/browser/menu-policies.spec.ts</x:t>
        </x:is>
      </x:c>
      <x:c r="J213" s="84" t="inlineStr">
        <x:is>
          <x:t xml:space="preserve">Run complete owning protocol, screen-reader, physical-device and actual browser zoom checks.</x:t>
        </x:is>
      </x:c>
      <x:c r="K213" s="87" t="n">
        <x:f>IF(AND(E213="yes",F213="yes",H213="covered"),1,IF(H213="partial",0.5,0))</x:f>
        <x:v>0.5</x:v>
      </x:c>
    </x:row>
    <x:row r="214" s="51" customFormat="1" ht="82" customHeight="1">
      <x:c r="A214" s="73" t="n">
        <x:v>206</x:v>
      </x:c>
      <x:c r="B214" s="84" t="inlineStr">
        <x:is>
          <x:t xml:space="preserve">Positioning</x:t>
        </x:is>
      </x:c>
      <x:c r="C214" s="84" t="inlineStr">
        <x:is>
          <x:t xml:space="preserve">Content / SubContent</x:t>
        </x:is>
      </x:c>
      <x:c r="D214" s="84" t="inlineStr">
        <x:is>
          <x:t xml:space="preserve">Positioning options expose anchor, collision, sameWidth and fitViewport without unsolicited dimensions.</x:t>
        </x:is>
      </x:c>
      <x:c r="E214" s="76" t="inlineStr">
        <x:is>
          <x:t xml:space="preserve">yes</x:t>
        </x:is>
      </x:c>
      <x:c r="F214" s="85" t="inlineStr">
        <x:is>
          <x:t xml:space="preserve">no</x:t>
        </x:is>
      </x:c>
      <x:c r="G214" s="73" t="inlineStr">
        <x:is>
          <x:t xml:space="preserve">Fixture implemented; automated regression qualified; manual not performed</x:t>
        </x:is>
      </x:c>
      <x:c r="H214" s="86" t="inlineStr">
        <x:is>
          <x:t xml:space="preserve">partial</x:t>
        </x:is>
      </x:c>
      <x:c r="I214" s="84" t="inlineStr">
        <x:is>
          <x:t xml:space="preserve">/__tests/menu-policies?owner=ContextMenu; playground/manual-tests/menu-policies.md; test/browser/menu-policies.spec.ts</x:t>
        </x:is>
      </x:c>
      <x:c r="J214" s="84" t="inlineStr">
        <x:is>
          <x:t xml:space="preserve">Run complete owning protocol, screen-reader, physical-device and actual browser zoom checks.</x:t>
        </x:is>
      </x:c>
      <x:c r="K214" s="87" t="n">
        <x:f>IF(AND(E214="yes",F214="yes",H214="covered"),1,IF(H214="partial",0.5,0))</x:f>
        <x:v>0.5</x:v>
      </x:c>
    </x:row>
    <x:row r="215" s="51" customFormat="1" ht="82" customHeight="1">
      <x:c r="A215" s="73" t="n">
        <x:v>207</x:v>
      </x:c>
      <x:c r="B215" s="84" t="inlineStr">
        <x:is>
          <x:t xml:space="preserve">Events</x:t>
        </x:is>
      </x:c>
      <x:c r="C215" s="84" t="inlineStr">
        <x:is>
          <x:t xml:space="preserve">Content</x:t>
        </x:is>
      </x:c>
      <x:c r="D215" s="84" t="inlineStr">
        <x:is>
          <x:t xml:space="preserve">Cancelable escape, outside interaction callbacks and focus return retain owner focus.</x:t>
        </x:is>
      </x:c>
      <x:c r="E215" s="76" t="inlineStr">
        <x:is>
          <x:t xml:space="preserve">yes</x:t>
        </x:is>
      </x:c>
      <x:c r="F215" s="85" t="inlineStr">
        <x:is>
          <x:t xml:space="preserve">no</x:t>
        </x:is>
      </x:c>
      <x:c r="G215" s="73" t="inlineStr">
        <x:is>
          <x:t xml:space="preserve">Fixture implemented; automated regression qualified; manual not performed</x:t>
        </x:is>
      </x:c>
      <x:c r="H215" s="86" t="inlineStr">
        <x:is>
          <x:t xml:space="preserve">partial</x:t>
        </x:is>
      </x:c>
      <x:c r="I215" s="84" t="inlineStr">
        <x:is>
          <x:t xml:space="preserve">/__tests/menu-policies?owner=ContextMenu; playground/manual-tests/menu-policies.md; test/browser/menu-policies.spec.ts</x:t>
        </x:is>
      </x:c>
      <x:c r="J215" s="84" t="inlineStr">
        <x:is>
          <x:t xml:space="preserve">Run complete owning protocol, screen-reader, physical-device and actual browser zoom checks.</x:t>
        </x:is>
      </x:c>
      <x:c r="K215" s="87" t="n">
        <x:f>IF(AND(E215="yes",F215="yes",H215="covered"),1,IF(H215="partial",0.5,0))</x:f>
        <x:v>0.5</x:v>
      </x:c>
    </x:row>
    <x:row r="216" s="51" customFormat="1" ht="82" customHeight="1">
      <x:c r="A216" s="73" t="n">
        <x:v>208</x:v>
      </x:c>
      <x:c r="B216" s="84" t="inlineStr">
        <x:is>
          <x:t xml:space="preserve">Composition</x:t>
        </x:is>
      </x:c>
      <x:c r="C216" s="84" t="inlineStr">
        <x:is>
          <x:t xml:space="preserve">Context / Portal</x:t>
        </x:is>
      </x:c>
      <x:c r="D216" s="84" t="inlineStr">
        <x:is>
          <x:t xml:space="preserve">Context-derived state indicator and disabled Portal preserve caller-owned composition.</x:t>
        </x:is>
      </x:c>
      <x:c r="E216" s="76" t="inlineStr">
        <x:is>
          <x:t xml:space="preserve">yes</x:t>
        </x:is>
      </x:c>
      <x:c r="F216" s="85" t="inlineStr">
        <x:is>
          <x:t xml:space="preserve">no</x:t>
        </x:is>
      </x:c>
      <x:c r="G216" s="73" t="inlineStr">
        <x:is>
          <x:t xml:space="preserve">Fixture implemented; automated regression qualified; manual not performed</x:t>
        </x:is>
      </x:c>
      <x:c r="H216" s="86" t="inlineStr">
        <x:is>
          <x:t xml:space="preserve">partial</x:t>
        </x:is>
      </x:c>
      <x:c r="I216" s="84" t="inlineStr">
        <x:is>
          <x:t xml:space="preserve">/__tests/menu-policies?owner=ContextMenu; playground/manual-tests/menu-policies.md; test/browser/menu-policies.spec.ts</x:t>
        </x:is>
      </x:c>
      <x:c r="J216" s="84" t="inlineStr">
        <x:is>
          <x:t xml:space="preserve">Run complete owning protocol, screen-reader, physical-device and actual browser zoom checks.</x:t>
        </x:is>
      </x:c>
      <x:c r="K216" s="87" t="n">
        <x:f>IF(AND(E216="yes",F216="yes",H216="covered"),1,IF(H216="partial",0.5,0))</x:f>
        <x:v>0.5</x:v>
      </x:c>
    </x:row>
    <x:row r="217" s="51" customFormat="1" ht="82" customHeight="1">
      <x:c r="A217" s="73" t="n">
        <x:v>209</x:v>
      </x:c>
      <x:c r="B217" s="84" t="inlineStr">
        <x:is>
          <x:t xml:space="preserve">Invocation</x:t>
        </x:is>
      </x:c>
      <x:c r="C217" s="84" t="inlineStr">
        <x:is>
          <x:t xml:space="preserve">Trigger</x:t>
        </x:is>
      </x:c>
      <x:c r="D217" s="84" t="inlineStr">
        <x:is>
          <x:t xml:space="preserve">Default highlight survives invocation; repeated secondary clicks replace the target and point.</x:t>
        </x:is>
      </x:c>
      <x:c r="E217" s="76" t="inlineStr">
        <x:is>
          <x:t xml:space="preserve">yes</x:t>
        </x:is>
      </x:c>
      <x:c r="F217" s="85" t="inlineStr">
        <x:is>
          <x:t xml:space="preserve">no</x:t>
        </x:is>
      </x:c>
      <x:c r="G217" s="73" t="inlineStr">
        <x:is>
          <x:t xml:space="preserve">Fixture implemented; automated regression qualified; manual not performed</x:t>
        </x:is>
      </x:c>
      <x:c r="H217" s="86" t="inlineStr">
        <x:is>
          <x:t xml:space="preserve">partial</x:t>
        </x:is>
      </x:c>
      <x:c r="I217" s="84" t="inlineStr">
        <x:is>
          <x:t xml:space="preserve">/__tests/menu-policies?owner=ContextMenu; playground/manual-tests/menu-policies.md; test/browser/menu-policies.spec.ts</x:t>
        </x:is>
      </x:c>
      <x:c r="J217" s="84" t="inlineStr">
        <x:is>
          <x:t xml:space="preserve">Run complete owning protocol, screen-reader, physical-device and actual browser zoom checks.</x:t>
        </x:is>
      </x:c>
      <x:c r="K217" s="87" t="n">
        <x:f>IF(AND(E217="yes",F217="yes",H217="covered"),1,IF(H217="partial",0.5,0))</x:f>
        <x:v>0.5</x:v>
      </x:c>
    </x:row>
    <x:row r="218" s="51" customFormat="1" ht="82" customHeight="1">
      <x:c r="A218" s="73" t="n">
        <x:v>210</x:v>
      </x:c>
      <x:c r="B218" s="84" t="inlineStr">
        <x:is>
          <x:t xml:space="preserve">Touch</x:t>
        </x:is>
      </x:c>
      <x:c r="C218" s="84" t="inlineStr">
        <x:is>
          <x:t xml:space="preserve">Trigger</x:t>
        </x:is>
      </x:c>
      <x:c r="D218" s="84" t="inlineStr">
        <x:is>
          <x:t xml:space="preserve">Long press and movement/cancellation avoid duplicate invocation.</x:t>
        </x:is>
      </x:c>
      <x:c r="E218" s="76" t="inlineStr">
        <x:is>
          <x:t xml:space="preserve">yes</x:t>
        </x:is>
      </x:c>
      <x:c r="F218" s="85" t="inlineStr">
        <x:is>
          <x:t xml:space="preserve">no</x:t>
        </x:is>
      </x:c>
      <x:c r="G218" s="73" t="inlineStr">
        <x:is>
          <x:t xml:space="preserve">Fixture implemented; automated regression qualified; manual not performed</x:t>
        </x:is>
      </x:c>
      <x:c r="H218" s="86" t="inlineStr">
        <x:is>
          <x:t xml:space="preserve">partial</x:t>
        </x:is>
      </x:c>
      <x:c r="I218" s="84" t="inlineStr">
        <x:is>
          <x:t xml:space="preserve">/__tests/menu-policies?owner=ContextMenu; playground/manual-tests/menu-policies.md; test/browser/menu-policies.spec.ts</x:t>
        </x:is>
      </x:c>
      <x:c r="J218" s="84" t="inlineStr">
        <x:is>
          <x:t xml:space="preserve">Run complete owning protocol, screen-reader, physical-device and actual browser zoom checks.</x:t>
        </x:is>
      </x:c>
      <x:c r="K218" s="87" t="n">
        <x:f>IF(AND(E218="yes",F218="yes",H218="covered"),1,IF(H218="partial",0.5,0))</x:f>
        <x:v>0.5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DataGrid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134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DataGrid playground; manual-tests/data-grid.md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DataGrid playground; manual-tests/data-grid.md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DataGrid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DataGrid playground; manual-tests/data-grid.md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DataGrid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DataGrid playground; manual-tests/data-grid.md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30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DataGrid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DataGrid playground; manual-tests/data-grid.md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30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DataGrid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DataGrid playground; manual-tests/data-grid.md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DataGrid</x:t>
        </x:is>
      </x:c>
      <x:c r="D15" s="84" t="inlineStr">
        <x:is>
          <x:t xml:space="preserve">Implements `role="grid"` with row, column header, and gridcell parts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DataGrid playground; manual-tests/data-grid.md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DataGrid</x:t>
        </x:is>
      </x:c>
      <x:c r="D16" s="84" t="inlineStr">
        <x:is>
          <x:t xml:space="preserve">Uses collection registration for DOM-ordered keyboard navigation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DataGrid playground; manual-tests/data-grid.md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DataGrid</x:t>
        </x:is>
      </x:c>
      <x:c r="D17" s="84" t="inlineStr">
        <x:is>
          <x:t xml:space="preserve">Supports controlled and uncontrolled active cell state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DataGrid playground; manual-tests/data-grid.md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DataGrid</x:t>
        </x:is>
      </x:c>
      <x:c r="D18" s="84" t="inlineStr">
        <x:is>
          <x:t xml:space="preserve">Supports none, single, and multiple row selection modes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DataGrid playground; manual-tests/data-grid.md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DataGrid</x:t>
        </x:is>
      </x:c>
      <x:c r="D19" s="84" t="inlineStr">
        <x:is>
          <x:t xml:space="preserve">Supports row click selection, disabled/read-only state, row and column counts, and optional row wrapping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DataGrid playground; manual-tests/data-grid.md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DataGrid</x:t>
        </x:is>
      </x:c>
      <x:c r="D20" s="84" t="inlineStr">
        <x:is>
          <x:t xml:space="preserve">Keeps sorting models, filtering, resizing, editing, and virtualization outside the primitive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DataGrid playground; manual-tests/data-grid.md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DataGrid playground; manual-tests/data-grid.md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DataGrid playground; manual-tests/data-grid.md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DataGrid playground; manual-tests/data-grid.md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DataGrid playground; manual-tests/data-grid.md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DataGrid playground; manual-tests/data-grid.md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DataGrid playground; manual-tests/data-grid.md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DataGrid playground; manual-tests/data-grid.md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DataGrid playground; manual-tests/data-grid.md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DataGrid playground; manual-tests/data-grid.md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activeCell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DataGrid playground; manual-tests/data-grid.md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defaultActiveCell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DataGrid playground; manual-tests/data-grid.md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onActiveCellChange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DataGrid playground; manual-tests/data-grid.md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selectionMode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DataGrid playground; manual-tests/data-grid.md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disabled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DataGrid playground; manual-tests/data-grid.md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Root</x:t>
        </x:is>
      </x:c>
      <x:c r="D35" s="84" t="inlineStr">
        <x:is>
          <x:t xml:space="preserve">readOnly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DataGrid playground; manual-tests/data-grid.md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loop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DataGrid playground; manual-tests/data-grid.md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Root</x:t>
        </x:is>
      </x:c>
      <x:c r="D37" s="84" t="inlineStr">
        <x:is>
          <x:t xml:space="preserve">wrapRows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DataGrid playground; manual-tests/data-grid.md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rowCount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DataGrid playground; manual-tests/data-grid.md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columnCount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DataGrid playground; manual-tests/data-grid.md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selectOnRowClick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DataGrid playground; manual-tests/data-grid.md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Public API</x:t>
        </x:is>
      </x:c>
      <x:c r="C41" s="84" t="inlineStr">
        <x:is>
          <x:t xml:space="preserve">Root</x:t>
        </x:is>
      </x:c>
      <x:c r="D41" s="84" t="inlineStr">
        <x:is>
          <x:t xml:space="preserve">[data-slot]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DataGrid playground; manual-tests/data-grid.md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Public API</x:t>
        </x:is>
      </x:c>
      <x:c r="C42" s="84" t="inlineStr">
        <x:is>
          <x:t xml:space="preserve">Root</x:t>
        </x:is>
      </x:c>
      <x:c r="D42" s="84" t="inlineStr">
        <x:is>
          <x:t xml:space="preserve">[data-focused]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DataGrid playground; manual-tests/data-grid.md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Root</x:t>
        </x:is>
      </x:c>
      <x:c r="D43" s="84" t="inlineStr">
        <x:is>
          <x:t xml:space="preserve">[data-disabled]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DataGrid playground; manual-tests/data-grid.md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State</x:t>
        </x:is>
      </x:c>
      <x:c r="C44" s="84" t="inlineStr">
        <x:is>
          <x:t xml:space="preserve">Root</x:t>
        </x:is>
      </x:c>
      <x:c r="D44" s="84" t="inlineStr">
        <x:is>
          <x:t xml:space="preserve">[data-readonly]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DataGrid playground; manual-tests/data-grid.md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Public API</x:t>
        </x:is>
      </x:c>
      <x:c r="C45" s="84" t="inlineStr">
        <x:is>
          <x:t xml:space="preserve">Root</x:t>
        </x:is>
      </x:c>
      <x:c r="D45" s="84" t="inlineStr">
        <x:is>
          <x:t xml:space="preserve">[data-selection-mode]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DataGrid playground; manual-tests/data-grid.md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Body</x:t>
        </x:is>
      </x:c>
      <x:c r="D46" s="84" t="inlineStr">
        <x:is>
          <x:t xml:space="preserve">renders correct part when expected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DataGrid playground; manual-tests/data-grid.md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Body</x:t>
        </x:is>
      </x:c>
      <x:c r="D47" s="84" t="inlineStr">
        <x:is>
          <x:t xml:space="preserve">appears in documented order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DataGrid playground; manual-tests/data-grid.md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30" customHeight="1">
      <x:c r="A48" s="73" t="n">
        <x:v>40</x:v>
      </x:c>
      <x:c r="B48" s="84" t="inlineStr">
        <x:is>
          <x:t xml:space="preserve">Identity</x:t>
        </x:is>
      </x:c>
      <x:c r="C48" s="84" t="inlineStr">
        <x:is>
          <x:t xml:space="preserve">Body</x:t>
        </x:is>
      </x:c>
      <x:c r="D48" s="84" t="inlineStr">
        <x:is>
          <x:t xml:space="preserve">default tag is visible in Anatomy/Inspector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DataGrid playground; manual-tests/data-grid.md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Body</x:t>
        </x:is>
      </x:c>
      <x:c r="D49" s="84" t="inlineStr">
        <x:is>
          <x:t xml:space="preserve">data-slot is present and correct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DataGrid playground; manual-tests/data-grid.md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Props</x:t>
        </x:is>
      </x:c>
      <x:c r="C50" s="84" t="inlineStr">
        <x:is>
          <x:t xml:space="preserve">Body</x:t>
        </x:is>
      </x:c>
      <x:c r="D50" s="84" t="inlineStr">
        <x:is>
          <x:t xml:space="preserve">non-Atom native props pass through with data-prop-check marker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DataGrid playground; manual-tests/data-grid.md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Refs</x:t>
        </x:is>
      </x:c>
      <x:c r="C51" s="84" t="inlineStr">
        <x:is>
          <x:t xml:space="preserve">Body</x:t>
        </x:is>
      </x:c>
      <x:c r="D51" s="84" t="inlineStr">
        <x:is>
          <x:t xml:space="preserve">consumer ref receives the rendered element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DataGrid playground; manual-tests/data-grid.md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Anatomy</x:t>
        </x:is>
      </x:c>
      <x:c r="C52" s="84" t="inlineStr">
        <x:is>
          <x:t xml:space="preserve">Caption</x:t>
        </x:is>
      </x:c>
      <x:c r="D52" s="84" t="inlineStr">
        <x:is>
          <x:t xml:space="preserve">renders correct part when expected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DataGrid playground; manual-tests/data-grid.md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Anatomy</x:t>
        </x:is>
      </x:c>
      <x:c r="C53" s="84" t="inlineStr">
        <x:is>
          <x:t xml:space="preserve">Caption</x:t>
        </x:is>
      </x:c>
      <x:c r="D53" s="84" t="inlineStr">
        <x:is>
          <x:t xml:space="preserve">appears in documented order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DataGrid playground; manual-tests/data-grid.md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30" customHeight="1">
      <x:c r="A54" s="73" t="n">
        <x:v>46</x:v>
      </x:c>
      <x:c r="B54" s="84" t="inlineStr">
        <x:is>
          <x:t xml:space="preserve">Identity</x:t>
        </x:is>
      </x:c>
      <x:c r="C54" s="84" t="inlineStr">
        <x:is>
          <x:t xml:space="preserve">Caption</x:t>
        </x:is>
      </x:c>
      <x:c r="D54" s="84" t="inlineStr">
        <x:is>
          <x:t xml:space="preserve">default tag is visible in Anatomy/Inspector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DataGrid playground; manual-tests/data-grid.md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Identity</x:t>
        </x:is>
      </x:c>
      <x:c r="C55" s="84" t="inlineStr">
        <x:is>
          <x:t xml:space="preserve">Caption</x:t>
        </x:is>
      </x:c>
      <x:c r="D55" s="84" t="inlineStr">
        <x:is>
          <x:t xml:space="preserve">data-slot is present and correct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DataGrid playground; manual-tests/data-grid.md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Props</x:t>
        </x:is>
      </x:c>
      <x:c r="C56" s="84" t="inlineStr">
        <x:is>
          <x:t xml:space="preserve">Caption</x:t>
        </x:is>
      </x:c>
      <x:c r="D56" s="84" t="inlineStr">
        <x:is>
          <x:t xml:space="preserve">non-Atom native props pass through with data-prop-check marker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DataGrid playground; manual-tests/data-grid.md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Refs</x:t>
        </x:is>
      </x:c>
      <x:c r="C57" s="84" t="inlineStr">
        <x:is>
          <x:t xml:space="preserve">Caption</x:t>
        </x:is>
      </x:c>
      <x:c r="D57" s="84" t="inlineStr">
        <x:is>
          <x:t xml:space="preserve">consumer ref receives the rendered element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DataGrid playground; manual-tests/data-grid.md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Anatomy</x:t>
        </x:is>
      </x:c>
      <x:c r="C58" s="84" t="inlineStr">
        <x:is>
          <x:t xml:space="preserve">Cell</x:t>
        </x:is>
      </x:c>
      <x:c r="D58" s="84" t="inlineStr">
        <x:is>
          <x:t xml:space="preserve">renders correct part when expected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DataGrid playground; manual-tests/data-grid.md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Cell</x:t>
        </x:is>
      </x:c>
      <x:c r="D59" s="84" t="inlineStr">
        <x:is>
          <x:t xml:space="preserve">appears in documented order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DataGrid playground; manual-tests/data-grid.md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30" customHeight="1">
      <x:c r="A60" s="73" t="n">
        <x:v>52</x:v>
      </x:c>
      <x:c r="B60" s="84" t="inlineStr">
        <x:is>
          <x:t xml:space="preserve">Identity</x:t>
        </x:is>
      </x:c>
      <x:c r="C60" s="84" t="inlineStr">
        <x:is>
          <x:t xml:space="preserve">Cell</x:t>
        </x:is>
      </x:c>
      <x:c r="D60" s="84" t="inlineStr">
        <x:is>
          <x:t xml:space="preserve">default tag is visible in Anatomy/Inspector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DataGrid playground; manual-tests/data-grid.md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Cell</x:t>
        </x:is>
      </x:c>
      <x:c r="D61" s="84" t="inlineStr">
        <x:is>
          <x:t xml:space="preserve">data-slot is present and correct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DataGrid playground; manual-tests/data-grid.md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Props</x:t>
        </x:is>
      </x:c>
      <x:c r="C62" s="84" t="inlineStr">
        <x:is>
          <x:t xml:space="preserve">Cell</x:t>
        </x:is>
      </x:c>
      <x:c r="D62" s="84" t="inlineStr">
        <x:is>
          <x:t xml:space="preserve">non-Atom native props pass through with data-prop-check marker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DataGrid playground; manual-tests/data-grid.md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Refs</x:t>
        </x:is>
      </x:c>
      <x:c r="C63" s="84" t="inlineStr">
        <x:is>
          <x:t xml:space="preserve">Cell</x:t>
        </x:is>
      </x:c>
      <x:c r="D63" s="84" t="inlineStr">
        <x:is>
          <x:t xml:space="preserve">consumer ref receives the rendered element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DataGrid playground; manual-tests/data-grid.md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Cell</x:t>
        </x:is>
      </x:c>
      <x:c r="D64" s="84" t="inlineStr">
        <x:is>
          <x:t xml:space="preserve">columnIndex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DataGrid playground; manual-tests/data-grid.md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Public API</x:t>
        </x:is>
      </x:c>
      <x:c r="C65" s="84" t="inlineStr">
        <x:is>
          <x:t xml:space="preserve">Cell</x:t>
        </x:is>
      </x:c>
      <x:c r="D65" s="84" t="inlineStr">
        <x:is>
          <x:t xml:space="preserve">index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DataGrid playground; manual-tests/data-grid.md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State</x:t>
        </x:is>
      </x:c>
      <x:c r="C66" s="84" t="inlineStr">
        <x:is>
          <x:t xml:space="preserve">Cell</x:t>
        </x:is>
      </x:c>
      <x:c r="D66" s="84" t="inlineStr">
        <x:is>
          <x:t xml:space="preserve">disabled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DataGrid playground; manual-tests/data-grid.md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Cell</x:t>
        </x:is>
      </x:c>
      <x:c r="D67" s="84" t="inlineStr">
        <x:is>
          <x:t xml:space="preserve">[data-active]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DataGrid playground; manual-tests/data-grid.md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State</x:t>
        </x:is>
      </x:c>
      <x:c r="C68" s="84" t="inlineStr">
        <x:is>
          <x:t xml:space="preserve">Cell</x:t>
        </x:is>
      </x:c>
      <x:c r="D68" s="84" t="inlineStr">
        <x:is>
          <x:t xml:space="preserve">[data-selected]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DataGrid playground; manual-tests/data-grid.md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State</x:t>
        </x:is>
      </x:c>
      <x:c r="C69" s="84" t="inlineStr">
        <x:is>
          <x:t xml:space="preserve">Cell</x:t>
        </x:is>
      </x:c>
      <x:c r="D69" s="84" t="inlineStr">
        <x:is>
          <x:t xml:space="preserve">[data-disabled]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DataGrid playground; manual-tests/data-grid.md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Anatomy</x:t>
        </x:is>
      </x:c>
      <x:c r="C70" s="84" t="inlineStr">
        <x:is>
          <x:t xml:space="preserve">ColumnHeader</x:t>
        </x:is>
      </x:c>
      <x:c r="D70" s="84" t="inlineStr">
        <x:is>
          <x:t xml:space="preserve">renders correct part when expected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DataGrid playground; manual-tests/data-grid.md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Anatomy</x:t>
        </x:is>
      </x:c>
      <x:c r="C71" s="84" t="inlineStr">
        <x:is>
          <x:t xml:space="preserve">ColumnHeader</x:t>
        </x:is>
      </x:c>
      <x:c r="D71" s="84" t="inlineStr">
        <x:is>
          <x:t xml:space="preserve">appears in documented order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DataGrid playground; manual-tests/data-grid.md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30" customHeight="1">
      <x:c r="A72" s="73" t="n">
        <x:v>64</x:v>
      </x:c>
      <x:c r="B72" s="84" t="inlineStr">
        <x:is>
          <x:t xml:space="preserve">Identity</x:t>
        </x:is>
      </x:c>
      <x:c r="C72" s="84" t="inlineStr">
        <x:is>
          <x:t xml:space="preserve">ColumnHeader</x:t>
        </x:is>
      </x:c>
      <x:c r="D72" s="84" t="inlineStr">
        <x:is>
          <x:t xml:space="preserve">default tag is visible in Anatomy/Inspector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DataGrid playground; manual-tests/data-grid.md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Identity</x:t>
        </x:is>
      </x:c>
      <x:c r="C73" s="84" t="inlineStr">
        <x:is>
          <x:t xml:space="preserve">ColumnHeader</x:t>
        </x:is>
      </x:c>
      <x:c r="D73" s="84" t="inlineStr">
        <x:is>
          <x:t xml:space="preserve">data-slot is present and correct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DataGrid playground; manual-tests/data-grid.md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Props</x:t>
        </x:is>
      </x:c>
      <x:c r="C74" s="84" t="inlineStr">
        <x:is>
          <x:t xml:space="preserve">ColumnHeader</x:t>
        </x:is>
      </x:c>
      <x:c r="D74" s="84" t="inlineStr">
        <x:is>
          <x:t xml:space="preserve">non-Atom native props pass through with data-prop-check marker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DataGrid playground; manual-tests/data-grid.md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Refs</x:t>
        </x:is>
      </x:c>
      <x:c r="C75" s="84" t="inlineStr">
        <x:is>
          <x:t xml:space="preserve">ColumnHeader</x:t>
        </x:is>
      </x:c>
      <x:c r="D75" s="84" t="inlineStr">
        <x:is>
          <x:t xml:space="preserve">consumer ref receives the rendered element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DataGrid playground; manual-tests/data-grid.md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Public API</x:t>
        </x:is>
      </x:c>
      <x:c r="C76" s="84" t="inlineStr">
        <x:is>
          <x:t xml:space="preserve">ColumnHeader</x:t>
        </x:is>
      </x:c>
      <x:c r="D76" s="84" t="inlineStr">
        <x:is>
          <x:t xml:space="preserve">columnIndex prop behavior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DataGrid playground; manual-tests/data-grid.md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Public API</x:t>
        </x:is>
      </x:c>
      <x:c r="C77" s="84" t="inlineStr">
        <x:is>
          <x:t xml:space="preserve">ColumnHeader</x:t>
        </x:is>
      </x:c>
      <x:c r="D77" s="84" t="inlineStr">
        <x:is>
          <x:t xml:space="preserve">index prop behavior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DataGrid playground; manual-tests/data-grid.md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Public API</x:t>
        </x:is>
      </x:c>
      <x:c r="C78" s="84" t="inlineStr">
        <x:is>
          <x:t xml:space="preserve">ColumnHeader</x:t>
        </x:is>
      </x:c>
      <x:c r="D78" s="84" t="inlineStr">
        <x:is>
          <x:t xml:space="preserve">sortDirection prop behavior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DataGrid playground; manual-tests/data-grid.md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State</x:t>
        </x:is>
      </x:c>
      <x:c r="C79" s="84" t="inlineStr">
        <x:is>
          <x:t xml:space="preserve">ColumnHeader</x:t>
        </x:is>
      </x:c>
      <x:c r="D79" s="84" t="inlineStr">
        <x:is>
          <x:t xml:space="preserve">disabled prop behavior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DataGrid playground; manual-tests/data-grid.md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Anatomy</x:t>
        </x:is>
      </x:c>
      <x:c r="C80" s="84" t="inlineStr">
        <x:is>
          <x:t xml:space="preserve">Footer</x:t>
        </x:is>
      </x:c>
      <x:c r="D80" s="84" t="inlineStr">
        <x:is>
          <x:t xml:space="preserve">renders correct part when expected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DataGrid playground; manual-tests/data-grid.md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Anatomy</x:t>
        </x:is>
      </x:c>
      <x:c r="C81" s="84" t="inlineStr">
        <x:is>
          <x:t xml:space="preserve">Footer</x:t>
        </x:is>
      </x:c>
      <x:c r="D81" s="84" t="inlineStr">
        <x:is>
          <x:t xml:space="preserve">appears in documented order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DataGrid playground; manual-tests/data-grid.md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30" customHeight="1">
      <x:c r="A82" s="73" t="n">
        <x:v>74</x:v>
      </x:c>
      <x:c r="B82" s="84" t="inlineStr">
        <x:is>
          <x:t xml:space="preserve">Identity</x:t>
        </x:is>
      </x:c>
      <x:c r="C82" s="84" t="inlineStr">
        <x:is>
          <x:t xml:space="preserve">Footer</x:t>
        </x:is>
      </x:c>
      <x:c r="D82" s="84" t="inlineStr">
        <x:is>
          <x:t xml:space="preserve">default tag is visible in Anatomy/Inspector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DataGrid playground; manual-tests/data-grid.md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Identity</x:t>
        </x:is>
      </x:c>
      <x:c r="C83" s="84" t="inlineStr">
        <x:is>
          <x:t xml:space="preserve">Footer</x:t>
        </x:is>
      </x:c>
      <x:c r="D83" s="84" t="inlineStr">
        <x:is>
          <x:t xml:space="preserve">data-slot is present and correct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DataGrid playground; manual-tests/data-grid.md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Props</x:t>
        </x:is>
      </x:c>
      <x:c r="C84" s="84" t="inlineStr">
        <x:is>
          <x:t xml:space="preserve">Footer</x:t>
        </x:is>
      </x:c>
      <x:c r="D84" s="84" t="inlineStr">
        <x:is>
          <x:t xml:space="preserve">non-Atom native props pass through with data-prop-check marker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DataGrid playground; manual-tests/data-grid.md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Refs</x:t>
        </x:is>
      </x:c>
      <x:c r="C85" s="84" t="inlineStr">
        <x:is>
          <x:t xml:space="preserve">Footer</x:t>
        </x:is>
      </x:c>
      <x:c r="D85" s="84" t="inlineStr">
        <x:is>
          <x:t xml:space="preserve">consumer ref receives the rendered element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DataGrid playground; manual-tests/data-grid.md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Anatomy</x:t>
        </x:is>
      </x:c>
      <x:c r="C86" s="84" t="inlineStr">
        <x:is>
          <x:t xml:space="preserve">Header</x:t>
        </x:is>
      </x:c>
      <x:c r="D86" s="84" t="inlineStr">
        <x:is>
          <x:t xml:space="preserve">renders correct part when expected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DataGrid playground; manual-tests/data-grid.md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Anatomy</x:t>
        </x:is>
      </x:c>
      <x:c r="C87" s="84" t="inlineStr">
        <x:is>
          <x:t xml:space="preserve">Header</x:t>
        </x:is>
      </x:c>
      <x:c r="D87" s="84" t="inlineStr">
        <x:is>
          <x:t xml:space="preserve">appears in documented order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DataGrid playground; manual-tests/data-grid.md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30" customHeight="1">
      <x:c r="A88" s="73" t="n">
        <x:v>80</x:v>
      </x:c>
      <x:c r="B88" s="84" t="inlineStr">
        <x:is>
          <x:t xml:space="preserve">Identity</x:t>
        </x:is>
      </x:c>
      <x:c r="C88" s="84" t="inlineStr">
        <x:is>
          <x:t xml:space="preserve">Header</x:t>
        </x:is>
      </x:c>
      <x:c r="D88" s="84" t="inlineStr">
        <x:is>
          <x:t xml:space="preserve">default tag is visible in Anatomy/Inspector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DataGrid playground; manual-tests/data-grid.md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Identity</x:t>
        </x:is>
      </x:c>
      <x:c r="C89" s="84" t="inlineStr">
        <x:is>
          <x:t xml:space="preserve">Header</x:t>
        </x:is>
      </x:c>
      <x:c r="D89" s="84" t="inlineStr">
        <x:is>
          <x:t xml:space="preserve">data-slot is present and correct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DataGrid playground; manual-tests/data-grid.md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Props</x:t>
        </x:is>
      </x:c>
      <x:c r="C90" s="84" t="inlineStr">
        <x:is>
          <x:t xml:space="preserve">Header</x:t>
        </x:is>
      </x:c>
      <x:c r="D90" s="84" t="inlineStr">
        <x:is>
          <x:t xml:space="preserve">non-Atom native props pass through with data-prop-check marker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DataGrid playground; manual-tests/data-grid.md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Refs</x:t>
        </x:is>
      </x:c>
      <x:c r="C91" s="84" t="inlineStr">
        <x:is>
          <x:t xml:space="preserve">Header</x:t>
        </x:is>
      </x:c>
      <x:c r="D91" s="84" t="inlineStr">
        <x:is>
          <x:t xml:space="preserve">consumer ref receives the rendered element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DataGrid playground; manual-tests/data-grid.md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Anatomy</x:t>
        </x:is>
      </x:c>
      <x:c r="C92" s="84" t="inlineStr">
        <x:is>
          <x:t xml:space="preserve">Row</x:t>
        </x:is>
      </x:c>
      <x:c r="D92" s="84" t="inlineStr">
        <x:is>
          <x:t xml:space="preserve">renders correct part when expected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DataGrid playground; manual-tests/data-grid.md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Anatomy</x:t>
        </x:is>
      </x:c>
      <x:c r="C93" s="84" t="inlineStr">
        <x:is>
          <x:t xml:space="preserve">Row</x:t>
        </x:is>
      </x:c>
      <x:c r="D93" s="84" t="inlineStr">
        <x:is>
          <x:t xml:space="preserve">appears in documented order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DataGrid playground; manual-tests/data-grid.md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30" customHeight="1">
      <x:c r="A94" s="73" t="n">
        <x:v>86</x:v>
      </x:c>
      <x:c r="B94" s="84" t="inlineStr">
        <x:is>
          <x:t xml:space="preserve">Identity</x:t>
        </x:is>
      </x:c>
      <x:c r="C94" s="84" t="inlineStr">
        <x:is>
          <x:t xml:space="preserve">Row</x:t>
        </x:is>
      </x:c>
      <x:c r="D94" s="84" t="inlineStr">
        <x:is>
          <x:t xml:space="preserve">default tag is visible in Anatomy/Inspector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DataGrid playground; manual-tests/data-grid.md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Identity</x:t>
        </x:is>
      </x:c>
      <x:c r="C95" s="84" t="inlineStr">
        <x:is>
          <x:t xml:space="preserve">Row</x:t>
        </x:is>
      </x:c>
      <x:c r="D95" s="84" t="inlineStr">
        <x:is>
          <x:t xml:space="preserve">data-slot is present and correct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DataGrid playground; manual-tests/data-grid.md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Props</x:t>
        </x:is>
      </x:c>
      <x:c r="C96" s="84" t="inlineStr">
        <x:is>
          <x:t xml:space="preserve">Row</x:t>
        </x:is>
      </x:c>
      <x:c r="D96" s="84" t="inlineStr">
        <x:is>
          <x:t xml:space="preserve">non-Atom native props pass through with data-prop-check marker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DataGrid playground; manual-tests/data-grid.md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Refs</x:t>
        </x:is>
      </x:c>
      <x:c r="C97" s="84" t="inlineStr">
        <x:is>
          <x:t xml:space="preserve">Row</x:t>
        </x:is>
      </x:c>
      <x:c r="D97" s="84" t="inlineStr">
        <x:is>
          <x:t xml:space="preserve">consumer ref receives the rendered element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DataGrid playground; manual-tests/data-grid.md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Public API</x:t>
        </x:is>
      </x:c>
      <x:c r="C98" s="84" t="inlineStr">
        <x:is>
          <x:t xml:space="preserve">Row</x:t>
        </x:is>
      </x:c>
      <x:c r="D98" s="84" t="inlineStr">
        <x:is>
          <x:t xml:space="preserve">rowIndex prop behavior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DataGrid playground; manual-tests/data-grid.md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Public API</x:t>
        </x:is>
      </x:c>
      <x:c r="C99" s="84" t="inlineStr">
        <x:is>
          <x:t xml:space="preserve">Row</x:t>
        </x:is>
      </x:c>
      <x:c r="D99" s="84" t="inlineStr">
        <x:is>
          <x:t xml:space="preserve">index prop behavior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DataGrid playground; manual-tests/data-grid.md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30" customHeight="1">
      <x:c r="A100" s="73" t="n">
        <x:v>92</x:v>
      </x:c>
      <x:c r="B100" s="84" t="inlineStr">
        <x:is>
          <x:t xml:space="preserve">State</x:t>
        </x:is>
      </x:c>
      <x:c r="C100" s="84" t="inlineStr">
        <x:is>
          <x:t xml:space="preserve">Row</x:t>
        </x:is>
      </x:c>
      <x:c r="D100" s="84" t="inlineStr">
        <x:is>
          <x:t xml:space="preserve">value prop behavior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DataGrid playground; manual-tests/data-grid.md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State</x:t>
        </x:is>
      </x:c>
      <x:c r="C101" s="84" t="inlineStr">
        <x:is>
          <x:t xml:space="preserve">Row</x:t>
        </x:is>
      </x:c>
      <x:c r="D101" s="84" t="inlineStr">
        <x:is>
          <x:t xml:space="preserve">disabled prop behavior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DataGrid playground; manual-tests/data-grid.md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Public API</x:t>
        </x:is>
      </x:c>
      <x:c r="C102" s="84" t="inlineStr">
        <x:is>
          <x:t xml:space="preserve">Row</x:t>
        </x:is>
      </x:c>
      <x:c r="D102" s="84" t="inlineStr">
        <x:is>
          <x:t xml:space="preserve">selectable prop blocks click, Enter, and Space selection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DataGrid playground; manual-tests/data-grid.md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ARIA</x:t>
        </x:is>
      </x:c>
      <x:c r="C103" s="84" t="inlineStr">
        <x:is>
          <x:t xml:space="preserve">Live DOM</x:t>
        </x:is>
      </x:c>
      <x:c r="D103" s="84" t="inlineStr">
        <x:is>
          <x:t xml:space="preserve">aria-activedescendant is present at the correct time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DataGrid playground; manual-tests/data-grid.md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ARIA</x:t>
        </x:is>
      </x:c>
      <x:c r="C104" s="84" t="inlineStr">
        <x:is>
          <x:t xml:space="preserve">Live DOM</x:t>
        </x:is>
      </x:c>
      <x:c r="D104" s="84" t="inlineStr">
        <x:is>
          <x:t xml:space="preserve">aria-colcount is present at the correct time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6" t="inlineStr">
        <x:is>
          <x:t xml:space="preserve">covered</x:t>
        </x:is>
      </x:c>
      <x:c r="I104" s="84" t="inlineStr">
        <x:is>
          <x:t xml:space="preserve">DataGrid playground; manual-tests/data-grid.md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ARIA</x:t>
        </x:is>
      </x:c>
      <x:c r="C105" s="84" t="inlineStr">
        <x:is>
          <x:t xml:space="preserve">Live DOM</x:t>
        </x:is>
      </x:c>
      <x:c r="D105" s="84" t="inlineStr">
        <x:is>
          <x:t xml:space="preserve">aria-colindex is present at the correct time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6" t="inlineStr">
        <x:is>
          <x:t xml:space="preserve">covered</x:t>
        </x:is>
      </x:c>
      <x:c r="I105" s="84" t="inlineStr">
        <x:is>
          <x:t xml:space="preserve">DataGrid playground; manual-tests/data-grid.md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30" customHeight="1">
      <x:c r="A106" s="73" t="n">
        <x:v>98</x:v>
      </x:c>
      <x:c r="B106" s="84" t="inlineStr">
        <x:is>
          <x:t xml:space="preserve">ARIA</x:t>
        </x:is>
      </x:c>
      <x:c r="C106" s="84" t="inlineStr">
        <x:is>
          <x:t xml:space="preserve">Live DOM</x:t>
        </x:is>
      </x:c>
      <x:c r="D106" s="84" t="inlineStr">
        <x:is>
          <x:t xml:space="preserve">aria-disabled is present at the correct time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6" t="inlineStr">
        <x:is>
          <x:t xml:space="preserve">covered</x:t>
        </x:is>
      </x:c>
      <x:c r="I106" s="84" t="inlineStr">
        <x:is>
          <x:t xml:space="preserve">DataGrid playground; manual-tests/data-grid.md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ARIA</x:t>
        </x:is>
      </x:c>
      <x:c r="C107" s="84" t="inlineStr">
        <x:is>
          <x:t xml:space="preserve">Live DOM</x:t>
        </x:is>
      </x:c>
      <x:c r="D107" s="84" t="inlineStr">
        <x:is>
          <x:t xml:space="preserve">aria-multiselectable is present at the correct time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test</x:t>
        </x:is>
      </x:c>
      <x:c r="H107" s="86" t="inlineStr">
        <x:is>
          <x:t xml:space="preserve">covered</x:t>
        </x:is>
      </x:c>
      <x:c r="I107" s="84" t="inlineStr">
        <x:is>
          <x:t xml:space="preserve">DataGrid playground; manual-tests/data-grid.md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ARIA</x:t>
        </x:is>
      </x:c>
      <x:c r="C108" s="84" t="inlineStr">
        <x:is>
          <x:t xml:space="preserve">Live DOM</x:t>
        </x:is>
      </x:c>
      <x:c r="D108" s="84" t="inlineStr">
        <x:is>
          <x:t xml:space="preserve">aria-readonly is present at the correct time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test</x:t>
        </x:is>
      </x:c>
      <x:c r="H108" s="86" t="inlineStr">
        <x:is>
          <x:t xml:space="preserve">covered</x:t>
        </x:is>
      </x:c>
      <x:c r="I108" s="84" t="inlineStr">
        <x:is>
          <x:t xml:space="preserve">DataGrid playground; manual-tests/data-grid.md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ARIA</x:t>
        </x:is>
      </x:c>
      <x:c r="C109" s="84" t="inlineStr">
        <x:is>
          <x:t xml:space="preserve">Live DOM</x:t>
        </x:is>
      </x:c>
      <x:c r="D109" s="84" t="inlineStr">
        <x:is>
          <x:t xml:space="preserve">aria-rowcount is present at the correct time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test</x:t>
        </x:is>
      </x:c>
      <x:c r="H109" s="86" t="inlineStr">
        <x:is>
          <x:t xml:space="preserve">covered</x:t>
        </x:is>
      </x:c>
      <x:c r="I109" s="84" t="inlineStr">
        <x:is>
          <x:t xml:space="preserve">DataGrid playground; manual-tests/data-grid.md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ARIA</x:t>
        </x:is>
      </x:c>
      <x:c r="C110" s="84" t="inlineStr">
        <x:is>
          <x:t xml:space="preserve">Live DOM</x:t>
        </x:is>
      </x:c>
      <x:c r="D110" s="84" t="inlineStr">
        <x:is>
          <x:t xml:space="preserve">aria-rowindex is present at the correct time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manual test</x:t>
        </x:is>
      </x:c>
      <x:c r="H110" s="86" t="inlineStr">
        <x:is>
          <x:t xml:space="preserve">covered</x:t>
        </x:is>
      </x:c>
      <x:c r="I110" s="84" t="inlineStr">
        <x:is>
          <x:t xml:space="preserve">DataGrid playground; manual-tests/data-grid.md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ARIA</x:t>
        </x:is>
      </x:c>
      <x:c r="C111" s="84" t="inlineStr">
        <x:is>
          <x:t xml:space="preserve">Live DOM</x:t>
        </x:is>
      </x:c>
      <x:c r="D111" s="84" t="inlineStr">
        <x:is>
          <x:t xml:space="preserve">aria-selected is present at the correct time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 manual test</x:t>
        </x:is>
      </x:c>
      <x:c r="H111" s="86" t="inlineStr">
        <x:is>
          <x:t xml:space="preserve">covered</x:t>
        </x:is>
      </x:c>
      <x:c r="I111" s="84" t="inlineStr">
        <x:is>
          <x:t xml:space="preserve">DataGrid playground; manual-tests/data-grid.md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30" customHeight="1">
      <x:c r="A112" s="73" t="n">
        <x:v>104</x:v>
      </x:c>
      <x:c r="B112" s="84" t="inlineStr">
        <x:is>
          <x:t xml:space="preserve">ARIA</x:t>
        </x:is>
      </x:c>
      <x:c r="C112" s="84" t="inlineStr">
        <x:is>
          <x:t xml:space="preserve">Live DOM</x:t>
        </x:is>
      </x:c>
      <x:c r="D112" s="84" t="inlineStr">
        <x:is>
          <x:t xml:space="preserve">aria-sort is present at the correct time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 manual test</x:t>
        </x:is>
      </x:c>
      <x:c r="H112" s="86" t="inlineStr">
        <x:is>
          <x:t xml:space="preserve">covered</x:t>
        </x:is>
      </x:c>
      <x:c r="I112" s="84" t="inlineStr">
        <x:is>
          <x:t xml:space="preserve">DataGrid playground; manual-tests/data-grid.md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15" customHeight="1">
      <x:c r="A113" s="73" t="n">
        <x:v>105</x:v>
      </x:c>
      <x:c r="B113" s="84" t="inlineStr">
        <x:is>
          <x:t xml:space="preserve">Data</x:t>
        </x:is>
      </x:c>
      <x:c r="C113" s="84" t="inlineStr">
        <x:is>
          <x:t xml:space="preserve">Live DOM</x:t>
        </x:is>
      </x:c>
      <x:c r="D113" s="84" t="inlineStr">
        <x:is>
          <x:t xml:space="preserve">data-active is present at the correct time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 manual test</x:t>
        </x:is>
      </x:c>
      <x:c r="H113" s="86" t="inlineStr">
        <x:is>
          <x:t xml:space="preserve">covered</x:t>
        </x:is>
      </x:c>
      <x:c r="I113" s="84" t="inlineStr">
        <x:is>
          <x:t xml:space="preserve">DataGrid playground; manual-tests/data-grid.md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15" customHeight="1">
      <x:c r="A114" s="73" t="n">
        <x:v>106</x:v>
      </x:c>
      <x:c r="B114" s="84" t="inlineStr">
        <x:is>
          <x:t xml:space="preserve">Data</x:t>
        </x:is>
      </x:c>
      <x:c r="C114" s="84" t="inlineStr">
        <x:is>
          <x:t xml:space="preserve">Live DOM</x:t>
        </x:is>
      </x:c>
      <x:c r="D114" s="84" t="inlineStr">
        <x:is>
          <x:t xml:space="preserve">data-column-count is present at the correct time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 manual test</x:t>
        </x:is>
      </x:c>
      <x:c r="H114" s="86" t="inlineStr">
        <x:is>
          <x:t xml:space="preserve">covered</x:t>
        </x:is>
      </x:c>
      <x:c r="I114" s="84" t="inlineStr">
        <x:is>
          <x:t xml:space="preserve">DataGrid playground; manual-tests/data-grid.md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15" customHeight="1">
      <x:c r="A115" s="73" t="n">
        <x:v>107</x:v>
      </x:c>
      <x:c r="B115" s="84" t="inlineStr">
        <x:is>
          <x:t xml:space="preserve">Data</x:t>
        </x:is>
      </x:c>
      <x:c r="C115" s="84" t="inlineStr">
        <x:is>
          <x:t xml:space="preserve">Live DOM</x:t>
        </x:is>
      </x:c>
      <x:c r="D115" s="84" t="inlineStr">
        <x:is>
          <x:t xml:space="preserve">data-column-index is present at the correct time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 manual test</x:t>
        </x:is>
      </x:c>
      <x:c r="H115" s="86" t="inlineStr">
        <x:is>
          <x:t xml:space="preserve">covered</x:t>
        </x:is>
      </x:c>
      <x:c r="I115" s="84" t="inlineStr">
        <x:is>
          <x:t xml:space="preserve">DataGrid playground; manual-tests/data-grid.md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Data</x:t>
        </x:is>
      </x:c>
      <x:c r="C116" s="84" t="inlineStr">
        <x:is>
          <x:t xml:space="preserve">Live DOM</x:t>
        </x:is>
      </x:c>
      <x:c r="D116" s="84" t="inlineStr">
        <x:is>
          <x:t xml:space="preserve">data-disabled is present at the correct time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 manual test</x:t>
        </x:is>
      </x:c>
      <x:c r="H116" s="86" t="inlineStr">
        <x:is>
          <x:t xml:space="preserve">covered</x:t>
        </x:is>
      </x:c>
      <x:c r="I116" s="84" t="inlineStr">
        <x:is>
          <x:t xml:space="preserve">DataGrid playground; manual-tests/data-grid.md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Data</x:t>
        </x:is>
      </x:c>
      <x:c r="C117" s="84" t="inlineStr">
        <x:is>
          <x:t xml:space="preserve">Live DOM</x:t>
        </x:is>
      </x:c>
      <x:c r="D117" s="84" t="inlineStr">
        <x:is>
          <x:t xml:space="preserve">data-focused is present at the correct time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 manual test</x:t>
        </x:is>
      </x:c>
      <x:c r="H117" s="86" t="inlineStr">
        <x:is>
          <x:t xml:space="preserve">covered</x:t>
        </x:is>
      </x:c>
      <x:c r="I117" s="84" t="inlineStr">
        <x:is>
          <x:t xml:space="preserve">DataGrid playground; manual-tests/data-grid.md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30" customHeight="1">
      <x:c r="A118" s="73" t="n">
        <x:v>110</x:v>
      </x:c>
      <x:c r="B118" s="84" t="inlineStr">
        <x:is>
          <x:t xml:space="preserve">Data</x:t>
        </x:is>
      </x:c>
      <x:c r="C118" s="84" t="inlineStr">
        <x:is>
          <x:t xml:space="preserve">Live DOM</x:t>
        </x:is>
      </x:c>
      <x:c r="D118" s="84" t="inlineStr">
        <x:is>
          <x:t xml:space="preserve">data-readonly is present at the correct time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 manual test</x:t>
        </x:is>
      </x:c>
      <x:c r="H118" s="86" t="inlineStr">
        <x:is>
          <x:t xml:space="preserve">covered</x:t>
        </x:is>
      </x:c>
      <x:c r="I118" s="84" t="inlineStr">
        <x:is>
          <x:t xml:space="preserve">DataGrid playground; manual-tests/data-grid.md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15" customHeight="1">
      <x:c r="A119" s="73" t="n">
        <x:v>111</x:v>
      </x:c>
      <x:c r="B119" s="84" t="inlineStr">
        <x:is>
          <x:t xml:space="preserve">Data</x:t>
        </x:is>
      </x:c>
      <x:c r="C119" s="84" t="inlineStr">
        <x:is>
          <x:t xml:space="preserve">Live DOM</x:t>
        </x:is>
      </x:c>
      <x:c r="D119" s="84" t="inlineStr">
        <x:is>
          <x:t xml:space="preserve">data-row-count is present at the correct time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 manual test</x:t>
        </x:is>
      </x:c>
      <x:c r="H119" s="86" t="inlineStr">
        <x:is>
          <x:t xml:space="preserve">covered</x:t>
        </x:is>
      </x:c>
      <x:c r="I119" s="84" t="inlineStr">
        <x:is>
          <x:t xml:space="preserve">DataGrid playground; manual-tests/data-grid.md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15" customHeight="1">
      <x:c r="A120" s="73" t="n">
        <x:v>112</x:v>
      </x:c>
      <x:c r="B120" s="84" t="inlineStr">
        <x:is>
          <x:t xml:space="preserve">Data</x:t>
        </x:is>
      </x:c>
      <x:c r="C120" s="84" t="inlineStr">
        <x:is>
          <x:t xml:space="preserve">Live DOM</x:t>
        </x:is>
      </x:c>
      <x:c r="D120" s="84" t="inlineStr">
        <x:is>
          <x:t xml:space="preserve">data-row-index is present at the correct time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 manual test</x:t>
        </x:is>
      </x:c>
      <x:c r="H120" s="86" t="inlineStr">
        <x:is>
          <x:t xml:space="preserve">covered</x:t>
        </x:is>
      </x:c>
      <x:c r="I120" s="84" t="inlineStr">
        <x:is>
          <x:t xml:space="preserve">DataGrid playground; manual-tests/data-grid.md</x:t>
        </x:is>
      </x:c>
      <x:c r="J120" s="84" t="n"/>
      <x:c r="K120" s="87" t="n">
        <x:f>IF(AND(E120="yes",F120="yes",H120="covered"),1,IF(H120="partial",0.5,0))</x:f>
        <x:v>1</x:v>
      </x:c>
    </x:row>
    <x:row r="121" s="51" customFormat="1" ht="15" customHeight="1">
      <x:c r="A121" s="73" t="n">
        <x:v>113</x:v>
      </x:c>
      <x:c r="B121" s="84" t="inlineStr">
        <x:is>
          <x:t xml:space="preserve">Data</x:t>
        </x:is>
      </x:c>
      <x:c r="C121" s="84" t="inlineStr">
        <x:is>
          <x:t xml:space="preserve">Live DOM</x:t>
        </x:is>
      </x:c>
      <x:c r="D121" s="84" t="inlineStr">
        <x:is>
          <x:t xml:space="preserve">data-selected is present at the correct time</x:t>
        </x:is>
      </x:c>
      <x:c r="E121" s="76" t="inlineStr">
        <x:is>
          <x:t xml:space="preserve">yes</x:t>
        </x:is>
      </x:c>
      <x:c r="F121" s="85" t="inlineStr">
        <x:is>
          <x:t xml:space="preserve">yes</x:t>
        </x:is>
      </x:c>
      <x:c r="G121" s="73" t="inlineStr">
        <x:is>
          <x:t xml:space="preserve">passed manual test</x:t>
        </x:is>
      </x:c>
      <x:c r="H121" s="86" t="inlineStr">
        <x:is>
          <x:t xml:space="preserve">covered</x:t>
        </x:is>
      </x:c>
      <x:c r="I121" s="84" t="inlineStr">
        <x:is>
          <x:t xml:space="preserve">DataGrid playground; manual-tests/data-grid.md</x:t>
        </x:is>
      </x:c>
      <x:c r="J121" s="84" t="n"/>
      <x:c r="K121" s="87" t="n">
        <x:f>IF(AND(E121="yes",F121="yes",H121="covered"),1,IF(H121="partial",0.5,0))</x:f>
        <x:v>1</x:v>
      </x:c>
    </x:row>
    <x:row r="122" s="51" customFormat="1" ht="15" customHeight="1">
      <x:c r="A122" s="73" t="n">
        <x:v>114</x:v>
      </x:c>
      <x:c r="B122" s="84" t="inlineStr">
        <x:is>
          <x:t xml:space="preserve">Data</x:t>
        </x:is>
      </x:c>
      <x:c r="C122" s="84" t="inlineStr">
        <x:is>
          <x:t xml:space="preserve">Live DOM</x:t>
        </x:is>
      </x:c>
      <x:c r="D122" s="84" t="inlineStr">
        <x:is>
          <x:t xml:space="preserve">data-selectable is present for selectable valued rows when selection is enabled</x:t>
        </x:is>
      </x:c>
      <x:c r="E122" s="76" t="inlineStr">
        <x:is>
          <x:t xml:space="preserve">yes</x:t>
        </x:is>
      </x:c>
      <x:c r="F122" s="85" t="inlineStr">
        <x:is>
          <x:t xml:space="preserve">yes</x:t>
        </x:is>
      </x:c>
      <x:c r="G122" s="73" t="inlineStr">
        <x:is>
          <x:t xml:space="preserve">passed manual test</x:t>
        </x:is>
      </x:c>
      <x:c r="H122" s="86" t="inlineStr">
        <x:is>
          <x:t xml:space="preserve">covered</x:t>
        </x:is>
      </x:c>
      <x:c r="I122" s="84" t="inlineStr">
        <x:is>
          <x:t xml:space="preserve">DataGrid playground; manual-tests/data-grid.md</x:t>
        </x:is>
      </x:c>
      <x:c r="J122" s="84" t="n"/>
      <x:c r="K122" s="87" t="n">
        <x:f>IF(AND(E122="yes",F122="yes",H122="covered"),1,IF(H122="partial",0.5,0))</x:f>
        <x:v>1</x:v>
      </x:c>
    </x:row>
    <x:row r="123" s="51" customFormat="1" ht="15" customHeight="1">
      <x:c r="A123" s="73" t="n">
        <x:v>115</x:v>
      </x:c>
      <x:c r="B123" s="84" t="inlineStr">
        <x:is>
          <x:t xml:space="preserve">Data</x:t>
        </x:is>
      </x:c>
      <x:c r="C123" s="84" t="inlineStr">
        <x:is>
          <x:t xml:space="preserve">Live DOM</x:t>
        </x:is>
      </x:c>
      <x:c r="D123" s="84" t="inlineStr">
        <x:is>
          <x:t xml:space="preserve">data-selection-disabled is present for rows with selectable={false} when selection is enabled</x:t>
        </x:is>
      </x:c>
      <x:c r="E123" s="76" t="inlineStr">
        <x:is>
          <x:t xml:space="preserve">yes</x:t>
        </x:is>
      </x:c>
      <x:c r="F123" s="85" t="inlineStr">
        <x:is>
          <x:t xml:space="preserve">yes</x:t>
        </x:is>
      </x:c>
      <x:c r="G123" s="73" t="inlineStr">
        <x:is>
          <x:t xml:space="preserve">passed manual test</x:t>
        </x:is>
      </x:c>
      <x:c r="H123" s="86" t="inlineStr">
        <x:is>
          <x:t xml:space="preserve">covered</x:t>
        </x:is>
      </x:c>
      <x:c r="I123" s="84" t="inlineStr">
        <x:is>
          <x:t xml:space="preserve">DataGrid playground; manual-tests/data-grid.md</x:t>
        </x:is>
      </x:c>
      <x:c r="J123" s="84" t="n"/>
      <x:c r="K123" s="87" t="n">
        <x:f>IF(AND(E123="yes",F123="yes",H123="covered"),1,IF(H123="partial",0.5,0))</x:f>
        <x:v>1</x:v>
      </x:c>
    </x:row>
    <x:row r="124" s="51" customFormat="1" ht="30" customHeight="1">
      <x:c r="A124" s="73" t="n">
        <x:v>116</x:v>
      </x:c>
      <x:c r="B124" s="84" t="inlineStr">
        <x:is>
          <x:t xml:space="preserve">Data</x:t>
        </x:is>
      </x:c>
      <x:c r="C124" s="84" t="inlineStr">
        <x:is>
          <x:t xml:space="preserve">Live DOM</x:t>
        </x:is>
      </x:c>
      <x:c r="D124" s="84" t="inlineStr">
        <x:is>
          <x:t xml:space="preserve">data-selection-mode is present at the correct time</x:t>
        </x:is>
      </x:c>
      <x:c r="E124" s="76" t="inlineStr">
        <x:is>
          <x:t xml:space="preserve">yes</x:t>
        </x:is>
      </x:c>
      <x:c r="F124" s="85" t="inlineStr">
        <x:is>
          <x:t xml:space="preserve">yes</x:t>
        </x:is>
      </x:c>
      <x:c r="G124" s="73" t="inlineStr">
        <x:is>
          <x:t xml:space="preserve">passed manual test</x:t>
        </x:is>
      </x:c>
      <x:c r="H124" s="86" t="inlineStr">
        <x:is>
          <x:t xml:space="preserve">covered</x:t>
        </x:is>
      </x:c>
      <x:c r="I124" s="84" t="inlineStr">
        <x:is>
          <x:t xml:space="preserve">DataGrid playground; manual-tests/data-grid.md</x:t>
        </x:is>
      </x:c>
      <x:c r="J124" s="84" t="n"/>
      <x:c r="K124" s="87" t="n">
        <x:f>IF(AND(E124="yes",F124="yes",H124="covered"),1,IF(H124="partial",0.5,0))</x:f>
        <x:v>1</x:v>
      </x:c>
    </x:row>
    <x:row r="125" s="51" customFormat="1" ht="15" customHeight="1">
      <x:c r="A125" s="73" t="n">
        <x:v>117</x:v>
      </x:c>
      <x:c r="B125" s="84" t="inlineStr">
        <x:is>
          <x:t xml:space="preserve">Data</x:t>
        </x:is>
      </x:c>
      <x:c r="C125" s="84" t="inlineStr">
        <x:is>
          <x:t xml:space="preserve">Live DOM</x:t>
        </x:is>
      </x:c>
      <x:c r="D125" s="84" t="inlineStr">
        <x:is>
          <x:t xml:space="preserve">data-slot is present at the correct time</x:t>
        </x:is>
      </x:c>
      <x:c r="E125" s="76" t="inlineStr">
        <x:is>
          <x:t xml:space="preserve">yes</x:t>
        </x:is>
      </x:c>
      <x:c r="F125" s="85" t="inlineStr">
        <x:is>
          <x:t xml:space="preserve">yes</x:t>
        </x:is>
      </x:c>
      <x:c r="G125" s="73" t="inlineStr">
        <x:is>
          <x:t xml:space="preserve">passed manual test</x:t>
        </x:is>
      </x:c>
      <x:c r="H125" s="86" t="inlineStr">
        <x:is>
          <x:t xml:space="preserve">covered</x:t>
        </x:is>
      </x:c>
      <x:c r="I125" s="84" t="inlineStr">
        <x:is>
          <x:t xml:space="preserve">DataGrid playground; manual-tests/data-grid.md</x:t>
        </x:is>
      </x:c>
      <x:c r="J125" s="84" t="n"/>
      <x:c r="K125" s="87" t="n">
        <x:f>IF(AND(E125="yes",F125="yes",H125="covered"),1,IF(H125="partial",0.5,0))</x:f>
        <x:v>1</x:v>
      </x:c>
    </x:row>
    <x:row r="126" s="51" customFormat="1" ht="15" customHeight="1">
      <x:c r="A126" s="73" t="n">
        <x:v>118</x:v>
      </x:c>
      <x:c r="B126" s="84" t="inlineStr">
        <x:is>
          <x:t xml:space="preserve">Data</x:t>
        </x:is>
      </x:c>
      <x:c r="C126" s="84" t="inlineStr">
        <x:is>
          <x:t xml:space="preserve">Live DOM</x:t>
        </x:is>
      </x:c>
      <x:c r="D126" s="84" t="inlineStr">
        <x:is>
          <x:t xml:space="preserve">data-sort is present at the correct time</x:t>
        </x:is>
      </x:c>
      <x:c r="E126" s="76" t="inlineStr">
        <x:is>
          <x:t xml:space="preserve">yes</x:t>
        </x:is>
      </x:c>
      <x:c r="F126" s="85" t="inlineStr">
        <x:is>
          <x:t xml:space="preserve">yes</x:t>
        </x:is>
      </x:c>
      <x:c r="G126" s="73" t="inlineStr">
        <x:is>
          <x:t xml:space="preserve">passed manual test</x:t>
        </x:is>
      </x:c>
      <x:c r="H126" s="86" t="inlineStr">
        <x:is>
          <x:t xml:space="preserve">covered</x:t>
        </x:is>
      </x:c>
      <x:c r="I126" s="84" t="inlineStr">
        <x:is>
          <x:t xml:space="preserve">DataGrid playground; manual-tests/data-grid.md</x:t>
        </x:is>
      </x:c>
      <x:c r="J126" s="84" t="n"/>
      <x:c r="K126" s="87" t="n">
        <x:f>IF(AND(E126="yes",F126="yes",H126="covered"),1,IF(H126="partial",0.5,0))</x:f>
        <x:v>1</x:v>
      </x:c>
    </x:row>
    <x:row r="127" s="51" customFormat="1" ht="15" customHeight="1">
      <x:c r="A127" s="73" t="n">
        <x:v>119</x:v>
      </x:c>
      <x:c r="B127" s="84" t="inlineStr">
        <x:is>
          <x:t xml:space="preserve">Data</x:t>
        </x:is>
      </x:c>
      <x:c r="C127" s="84" t="inlineStr">
        <x:is>
          <x:t xml:space="preserve">Live DOM</x:t>
        </x:is>
      </x:c>
      <x:c r="D127" s="84" t="inlineStr">
        <x:is>
          <x:t xml:space="preserve">data-value is present at the correct time</x:t>
        </x:is>
      </x:c>
      <x:c r="E127" s="76" t="inlineStr">
        <x:is>
          <x:t xml:space="preserve">yes</x:t>
        </x:is>
      </x:c>
      <x:c r="F127" s="85" t="inlineStr">
        <x:is>
          <x:t xml:space="preserve">yes</x:t>
        </x:is>
      </x:c>
      <x:c r="G127" s="73" t="inlineStr">
        <x:is>
          <x:t xml:space="preserve">passed manual test</x:t>
        </x:is>
      </x:c>
      <x:c r="H127" s="86" t="inlineStr">
        <x:is>
          <x:t xml:space="preserve">covered</x:t>
        </x:is>
      </x:c>
      <x:c r="I127" s="84" t="inlineStr">
        <x:is>
          <x:t xml:space="preserve">DataGrid playground; manual-tests/data-grid.md</x:t>
        </x:is>
      </x:c>
      <x:c r="J127" s="84" t="n"/>
      <x:c r="K127" s="87" t="n">
        <x:f>IF(AND(E127="yes",F127="yes",H127="covered"),1,IF(H127="partial",0.5,0))</x:f>
        <x:v>1</x:v>
      </x:c>
    </x:row>
    <x:row r="128" s="51" customFormat="1" ht="15" customHeight="1">
      <x:c r="A128" s="73" t="n">
        <x:v>120</x:v>
      </x:c>
      <x:c r="B128" s="84" t="inlineStr">
        <x:is>
          <x:t xml:space="preserve">Composition</x:t>
        </x:is>
      </x:c>
      <x:c r="C128" s="84" t="inlineStr">
        <x:is>
          <x:t xml:space="preserve">All DOM parts</x:t>
        </x:is>
      </x:c>
      <x:c r="D128" s="84" t="inlineStr">
        <x:is>
          <x:t xml:space="preserve">asChild preserves child content without double nesting</x:t>
        </x:is>
      </x:c>
      <x:c r="E128" s="76" t="inlineStr">
        <x:is>
          <x:t xml:space="preserve">yes</x:t>
        </x:is>
      </x:c>
      <x:c r="F128" s="85" t="inlineStr">
        <x:is>
          <x:t xml:space="preserve">yes</x:t>
        </x:is>
      </x:c>
      <x:c r="G128" s="73" t="inlineStr">
        <x:is>
          <x:t xml:space="preserve">passed manual test</x:t>
        </x:is>
      </x:c>
      <x:c r="H128" s="86" t="inlineStr">
        <x:is>
          <x:t xml:space="preserve">covered</x:t>
        </x:is>
      </x:c>
      <x:c r="I128" s="84" t="inlineStr">
        <x:is>
          <x:t xml:space="preserve">DataGrid playground; manual-tests/data-grid.md</x:t>
        </x:is>
      </x:c>
      <x:c r="J128" s="84" t="n"/>
      <x:c r="K128" s="87" t="n">
        <x:f>IF(AND(E128="yes",F128="yes",H128="covered"),1,IF(H128="partial",0.5,0))</x:f>
        <x:v>1</x:v>
      </x:c>
    </x:row>
    <x:row r="129" s="51" customFormat="1" ht="15" customHeight="1">
      <x:c r="A129" s="73" t="n">
        <x:v>121</x:v>
      </x:c>
      <x:c r="B129" s="84" t="inlineStr">
        <x:is>
          <x:t xml:space="preserve">Composition</x:t>
        </x:is>
      </x:c>
      <x:c r="C129" s="84" t="inlineStr">
        <x:is>
          <x:t xml:space="preserve">All DOM parts</x:t>
        </x:is>
      </x:c>
      <x:c r="D129" s="84" t="inlineStr">
        <x:is>
          <x:t xml:space="preserve">asChild merges Atom props and consumer props</x:t>
        </x:is>
      </x:c>
      <x:c r="E129" s="76" t="inlineStr">
        <x:is>
          <x:t xml:space="preserve">yes</x:t>
        </x:is>
      </x:c>
      <x:c r="F129" s="85" t="inlineStr">
        <x:is>
          <x:t xml:space="preserve">yes</x:t>
        </x:is>
      </x:c>
      <x:c r="G129" s="73" t="inlineStr">
        <x:is>
          <x:t xml:space="preserve">passed manual test</x:t>
        </x:is>
      </x:c>
      <x:c r="H129" s="86" t="inlineStr">
        <x:is>
          <x:t xml:space="preserve">covered</x:t>
        </x:is>
      </x:c>
      <x:c r="I129" s="84" t="inlineStr">
        <x:is>
          <x:t xml:space="preserve">DataGrid playground; manual-tests/data-grid.md</x:t>
        </x:is>
      </x:c>
      <x:c r="J129" s="84" t="n"/>
      <x:c r="K129" s="87" t="n">
        <x:f>IF(AND(E129="yes",F129="yes",H129="covered"),1,IF(H129="partial",0.5,0))</x:f>
        <x:v>1</x:v>
      </x:c>
    </x:row>
    <x:row r="130" s="51" customFormat="1" ht="30" customHeight="1">
      <x:c r="A130" s="73" t="n">
        <x:v>122</x:v>
      </x:c>
      <x:c r="B130" s="84" t="inlineStr">
        <x:is>
          <x:t xml:space="preserve">Composition</x:t>
        </x:is>
      </x:c>
      <x:c r="C130" s="84" t="inlineStr">
        <x:is>
          <x:t xml:space="preserve">All DOM parts</x:t>
        </x:is>
      </x:c>
      <x:c r="D130" s="84" t="inlineStr">
        <x:is>
          <x:t xml:space="preserve">render prop renders custom element</x:t>
        </x:is>
      </x:c>
      <x:c r="E130" s="76" t="inlineStr">
        <x:is>
          <x:t xml:space="preserve">yes</x:t>
        </x:is>
      </x:c>
      <x:c r="F130" s="85" t="inlineStr">
        <x:is>
          <x:t xml:space="preserve">yes</x:t>
        </x:is>
      </x:c>
      <x:c r="G130" s="73" t="inlineStr">
        <x:is>
          <x:t xml:space="preserve">passed manual test</x:t>
        </x:is>
      </x:c>
      <x:c r="H130" s="86" t="inlineStr">
        <x:is>
          <x:t xml:space="preserve">covered</x:t>
        </x:is>
      </x:c>
      <x:c r="I130" s="84" t="inlineStr">
        <x:is>
          <x:t xml:space="preserve">DataGrid playground; manual-tests/data-grid.md</x:t>
        </x:is>
      </x:c>
      <x:c r="J130" s="84" t="n"/>
      <x:c r="K130" s="87" t="n">
        <x:f>IF(AND(E130="yes",F130="yes",H130="covered"),1,IF(H130="partial",0.5,0))</x:f>
        <x:v>1</x:v>
      </x:c>
    </x:row>
    <x:row r="131" s="51" customFormat="1" ht="15" customHeight="1">
      <x:c r="A131" s="73" t="n">
        <x:v>123</x:v>
      </x:c>
      <x:c r="B131" s="84" t="inlineStr">
        <x:is>
          <x:t xml:space="preserve">Composition</x:t>
        </x:is>
      </x:c>
      <x:c r="C131" s="84" t="inlineStr">
        <x:is>
          <x:t xml:space="preserve">All DOM parts</x:t>
        </x:is>
      </x:c>
      <x:c r="D131" s="84" t="inlineStr">
        <x:is>
          <x:t xml:space="preserve">render prop preserves refs and behavior props</x:t>
        </x:is>
      </x:c>
      <x:c r="E131" s="76" t="inlineStr">
        <x:is>
          <x:t xml:space="preserve">yes</x:t>
        </x:is>
      </x:c>
      <x:c r="F131" s="85" t="inlineStr">
        <x:is>
          <x:t xml:space="preserve">yes</x:t>
        </x:is>
      </x:c>
      <x:c r="G131" s="73" t="inlineStr">
        <x:is>
          <x:t xml:space="preserve">passed manual test</x:t>
        </x:is>
      </x:c>
      <x:c r="H131" s="86" t="inlineStr">
        <x:is>
          <x:t xml:space="preserve">covered</x:t>
        </x:is>
      </x:c>
      <x:c r="I131" s="84" t="inlineStr">
        <x:is>
          <x:t xml:space="preserve">DataGrid playground; manual-tests/data-grid.md</x:t>
        </x:is>
      </x:c>
      <x:c r="J131" s="84" t="n"/>
      <x:c r="K131" s="87" t="n">
        <x:f>IF(AND(E131="yes",F131="yes",H131="covered"),1,IF(H131="partial",0.5,0))</x:f>
        <x:v>1</x:v>
      </x:c>
    </x:row>
    <x:row r="132" s="51" customFormat="1" ht="15" customHeight="1">
      <x:c r="A132" s="73" t="n">
        <x:v>124</x:v>
      </x:c>
      <x:c r="B132" s="84" t="inlineStr">
        <x:is>
          <x:t xml:space="preserve">State</x:t>
        </x:is>
      </x:c>
      <x:c r="C132" s="84" t="inlineStr">
        <x:is>
          <x:t xml:space="preserve">Root</x:t>
        </x:is>
      </x:c>
      <x:c r="D132" s="84" t="inlineStr">
        <x:is>
          <x:t xml:space="preserve">controlled state path</x:t>
        </x:is>
      </x:c>
      <x:c r="E132" s="76" t="inlineStr">
        <x:is>
          <x:t xml:space="preserve">yes</x:t>
        </x:is>
      </x:c>
      <x:c r="F132" s="85" t="inlineStr">
        <x:is>
          <x:t xml:space="preserve">yes</x:t>
        </x:is>
      </x:c>
      <x:c r="G132" s="73" t="inlineStr">
        <x:is>
          <x:t xml:space="preserve">passed manual test</x:t>
        </x:is>
      </x:c>
      <x:c r="H132" s="86" t="inlineStr">
        <x:is>
          <x:t xml:space="preserve">covered</x:t>
        </x:is>
      </x:c>
      <x:c r="I132" s="84" t="inlineStr">
        <x:is>
          <x:t xml:space="preserve">DataGrid playground; manual-tests/data-grid.md</x:t>
        </x:is>
      </x:c>
      <x:c r="J132" s="84" t="n"/>
      <x:c r="K132" s="87" t="n">
        <x:f>IF(AND(E132="yes",F132="yes",H132="covered"),1,IF(H132="partial",0.5,0))</x:f>
        <x:v>1</x:v>
      </x:c>
    </x:row>
    <x:row r="133" s="51" customFormat="1" ht="15" customHeight="1">
      <x:c r="A133" s="73" t="n">
        <x:v>125</x:v>
      </x:c>
      <x:c r="B133" s="84" t="inlineStr">
        <x:is>
          <x:t xml:space="preserve">State</x:t>
        </x:is>
      </x:c>
      <x:c r="C133" s="84" t="inlineStr">
        <x:is>
          <x:t xml:space="preserve">Root</x:t>
        </x:is>
      </x:c>
      <x:c r="D133" s="84" t="inlineStr">
        <x:is>
          <x:t xml:space="preserve">uncontrolled default state path</x:t>
        </x:is>
      </x:c>
      <x:c r="E133" s="76" t="inlineStr">
        <x:is>
          <x:t xml:space="preserve">yes</x:t>
        </x:is>
      </x:c>
      <x:c r="F133" s="85" t="inlineStr">
        <x:is>
          <x:t xml:space="preserve">yes</x:t>
        </x:is>
      </x:c>
      <x:c r="G133" s="73" t="inlineStr">
        <x:is>
          <x:t xml:space="preserve">passed manual test</x:t>
        </x:is>
      </x:c>
      <x:c r="H133" s="86" t="inlineStr">
        <x:is>
          <x:t xml:space="preserve">covered</x:t>
        </x:is>
      </x:c>
      <x:c r="I133" s="84" t="inlineStr">
        <x:is>
          <x:t xml:space="preserve">DataGrid playground; manual-tests/data-grid.md</x:t>
        </x:is>
      </x:c>
      <x:c r="J133" s="84" t="n"/>
      <x:c r="K133" s="87" t="n">
        <x:f>IF(AND(E133="yes",F133="yes",H133="covered"),1,IF(H133="partial",0.5,0))</x:f>
        <x:v>1</x:v>
      </x:c>
    </x:row>
    <x:row r="134" s="51" customFormat="1" ht="15" customHeight="1">
      <x:c r="A134" s="73" t="n">
        <x:v>126</x:v>
      </x:c>
      <x:c r="B134" s="84" t="inlineStr">
        <x:is>
          <x:t xml:space="preserve">State</x:t>
        </x:is>
      </x:c>
      <x:c r="C134" s="84" t="inlineStr">
        <x:is>
          <x:t xml:space="preserve">Root</x:t>
        </x:is>
      </x:c>
      <x:c r="D134" s="84" t="inlineStr">
        <x:is>
          <x:t xml:space="preserve">state change callback fires once with correct value</x:t>
        </x:is>
      </x:c>
      <x:c r="E134" s="76" t="inlineStr">
        <x:is>
          <x:t xml:space="preserve">yes</x:t>
        </x:is>
      </x:c>
      <x:c r="F134" s="85" t="inlineStr">
        <x:is>
          <x:t xml:space="preserve">yes</x:t>
        </x:is>
      </x:c>
      <x:c r="G134" s="73" t="inlineStr">
        <x:is>
          <x:t xml:space="preserve">passed manual test</x:t>
        </x:is>
      </x:c>
      <x:c r="H134" s="86" t="inlineStr">
        <x:is>
          <x:t xml:space="preserve">covered</x:t>
        </x:is>
      </x:c>
      <x:c r="I134" s="84" t="inlineStr">
        <x:is>
          <x:t xml:space="preserve">DataGrid playground; manual-tests/data-grid.md</x:t>
        </x:is>
      </x:c>
      <x:c r="J134" s="84" t="n"/>
      <x:c r="K134" s="87" t="n">
        <x:f>IF(AND(E134="yes",F134="yes",H134="covered"),1,IF(H134="partial",0.5,0))</x:f>
        <x:v>1</x:v>
      </x:c>
    </x:row>
    <x:row r="135" s="51" customFormat="1" ht="15" customHeight="1">
      <x:c r="A135" s="73" t="n">
        <x:v>127</x:v>
      </x:c>
      <x:c r="B135" s="84" t="inlineStr">
        <x:is>
          <x:t xml:space="preserve">Keyboard</x:t>
        </x:is>
      </x:c>
      <x:c r="C135" s="84" t="inlineStr">
        <x:is>
          <x:t xml:space="preserve">DataGrid</x:t>
        </x:is>
      </x:c>
      <x:c r="D135" s="84" t="inlineStr">
        <x:is>
          <x:t xml:space="preserve">Arrow key navigation follows documented orientation</x:t>
        </x:is>
      </x:c>
      <x:c r="E135" s="76" t="inlineStr">
        <x:is>
          <x:t xml:space="preserve">yes</x:t>
        </x:is>
      </x:c>
      <x:c r="F135" s="85" t="inlineStr">
        <x:is>
          <x:t xml:space="preserve">yes</x:t>
        </x:is>
      </x:c>
      <x:c r="G135" s="73" t="inlineStr">
        <x:is>
          <x:t xml:space="preserve">passed manual test</x:t>
        </x:is>
      </x:c>
      <x:c r="H135" s="86" t="inlineStr">
        <x:is>
          <x:t xml:space="preserve">covered</x:t>
        </x:is>
      </x:c>
      <x:c r="I135" s="84" t="inlineStr">
        <x:is>
          <x:t xml:space="preserve">DataGrid playground; manual-tests/data-grid.md</x:t>
        </x:is>
      </x:c>
      <x:c r="J135" s="84" t="n"/>
      <x:c r="K135" s="87" t="n">
        <x:f>IF(AND(E135="yes",F135="yes",H135="covered"),1,IF(H135="partial",0.5,0))</x:f>
        <x:v>1</x:v>
      </x:c>
    </x:row>
    <x:row r="136" s="51" customFormat="1" ht="30" customHeight="1">
      <x:c r="A136" s="73" t="n">
        <x:v>128</x:v>
      </x:c>
      <x:c r="B136" s="84" t="inlineStr">
        <x:is>
          <x:t xml:space="preserve">Keyboard</x:t>
        </x:is>
      </x:c>
      <x:c r="C136" s="84" t="inlineStr">
        <x:is>
          <x:t xml:space="preserve">DataGrid</x:t>
        </x:is>
      </x:c>
      <x:c r="D136" s="84" t="inlineStr">
        <x:is>
          <x:t xml:space="preserve">Home and End navigation where supported</x:t>
        </x:is>
      </x:c>
      <x:c r="E136" s="76" t="inlineStr">
        <x:is>
          <x:t xml:space="preserve">yes</x:t>
        </x:is>
      </x:c>
      <x:c r="F136" s="85" t="inlineStr">
        <x:is>
          <x:t xml:space="preserve">yes</x:t>
        </x:is>
      </x:c>
      <x:c r="G136" s="73" t="inlineStr">
        <x:is>
          <x:t xml:space="preserve">passed manual test</x:t>
        </x:is>
      </x:c>
      <x:c r="H136" s="86" t="inlineStr">
        <x:is>
          <x:t xml:space="preserve">covered</x:t>
        </x:is>
      </x:c>
      <x:c r="I136" s="84" t="inlineStr">
        <x:is>
          <x:t xml:space="preserve">DataGrid playground; manual-tests/data-grid.md</x:t>
        </x:is>
      </x:c>
      <x:c r="J136" s="84" t="n"/>
      <x:c r="K136" s="87" t="n">
        <x:f>IF(AND(E136="yes",F136="yes",H136="covered"),1,IF(H136="partial",0.5,0))</x:f>
        <x:v>1</x:v>
      </x:c>
    </x:row>
    <x:row r="137" s="51" customFormat="1" ht="15" customHeight="1">
      <x:c r="A137" s="73" t="n">
        <x:v>129</x:v>
      </x:c>
      <x:c r="B137" s="84" t="inlineStr">
        <x:is>
          <x:t xml:space="preserve">Keyboard</x:t>
        </x:is>
      </x:c>
      <x:c r="C137" s="84" t="inlineStr">
        <x:is>
          <x:t xml:space="preserve">DataGrid</x:t>
        </x:is>
      </x:c>
      <x:c r="D137" s="84" t="inlineStr">
        <x:is>
          <x:t xml:space="preserve">disabled items are skipped or exposed according to pattern</x:t>
        </x:is>
      </x:c>
      <x:c r="E137" s="76" t="inlineStr">
        <x:is>
          <x:t xml:space="preserve">yes</x:t>
        </x:is>
      </x:c>
      <x:c r="F137" s="85" t="inlineStr">
        <x:is>
          <x:t xml:space="preserve">yes</x:t>
        </x:is>
      </x:c>
      <x:c r="G137" s="73" t="inlineStr">
        <x:is>
          <x:t xml:space="preserve">passed manual test</x:t>
        </x:is>
      </x:c>
      <x:c r="H137" s="86" t="inlineStr">
        <x:is>
          <x:t xml:space="preserve">covered</x:t>
        </x:is>
      </x:c>
      <x:c r="I137" s="84" t="inlineStr">
        <x:is>
          <x:t xml:space="preserve">DataGrid playground; manual-tests/data-grid.md</x:t>
        </x:is>
      </x:c>
      <x:c r="J137" s="84" t="n"/>
      <x:c r="K137" s="87" t="n">
        <x:f>IF(AND(E137="yes",F137="yes",H137="covered"),1,IF(H137="partial",0.5,0))</x:f>
        <x:v>1</x:v>
      </x:c>
    </x:row>
    <x:row r="138" s="51" customFormat="1" ht="15" customHeight="1">
      <x:c r="A138" s="73" t="n">
        <x:v>130</x:v>
      </x:c>
      <x:c r="B138" s="84" t="inlineStr">
        <x:is>
          <x:t xml:space="preserve">Focus</x:t>
        </x:is>
      </x:c>
      <x:c r="C138" s="84" t="inlineStr">
        <x:is>
          <x:t xml:space="preserve">DataGrid</x:t>
        </x:is>
      </x:c>
      <x:c r="D138" s="84" t="inlineStr">
        <x:is>
          <x:t xml:space="preserve">roving focus or active descendant state is visible</x:t>
        </x:is>
      </x:c>
      <x:c r="E138" s="76" t="inlineStr">
        <x:is>
          <x:t xml:space="preserve">yes</x:t>
        </x:is>
      </x:c>
      <x:c r="F138" s="85" t="inlineStr">
        <x:is>
          <x:t xml:space="preserve">yes</x:t>
        </x:is>
      </x:c>
      <x:c r="G138" s="73" t="inlineStr">
        <x:is>
          <x:t xml:space="preserve">passed manual test</x:t>
        </x:is>
      </x:c>
      <x:c r="H138" s="86" t="inlineStr">
        <x:is>
          <x:t xml:space="preserve">covered</x:t>
        </x:is>
      </x:c>
      <x:c r="I138" s="84" t="inlineStr">
        <x:is>
          <x:t xml:space="preserve">DataGrid playground; manual-tests/data-grid.md</x:t>
        </x:is>
      </x:c>
      <x:c r="J138" s="84" t="n"/>
      <x:c r="K138" s="87" t="n">
        <x:f>IF(AND(E138="yes",F138="yes",H138="covered"),1,IF(H138="partial",0.5,0))</x:f>
        <x:v>1</x:v>
      </x:c>
    </x:row>
    <x:row r="139" s="51" customFormat="1" ht="15" customHeight="1">
      <x:c r="A139" s="73" t="n">
        <x:v>131</x:v>
      </x:c>
      <x:c r="B139" s="84" t="inlineStr">
        <x:is>
          <x:t xml:space="preserve">Direction</x:t>
        </x:is>
      </x:c>
      <x:c r="C139" s="84" t="inlineStr">
        <x:is>
          <x:t xml:space="preserve">Grid</x:t>
        </x:is>
      </x:c>
      <x:c r="D139" s="84" t="inlineStr">
        <x:is>
          <x:t xml:space="preserve">reads Direction.Provider context for horizontal cell navigation</x:t>
        </x:is>
      </x:c>
      <x:c r="E139" s="88" t="inlineStr">
        <x:is>
          <x:t xml:space="preserve">yes</x:t>
        </x:is>
      </x:c>
      <x:c r="F139" s="85" t="inlineStr">
        <x:is>
          <x:t xml:space="preserve">yes</x:t>
        </x:is>
      </x:c>
      <x:c r="G139" s="73" t="inlineStr">
        <x:is>
          <x:t xml:space="preserve">passed manual test</x:t>
        </x:is>
      </x:c>
      <x:c r="H139" s="88" t="inlineStr">
        <x:is>
          <x:t xml:space="preserve">covered</x:t>
        </x:is>
      </x:c>
      <x:c r="I139" s="84" t="inlineStr">
        <x:is>
          <x:t xml:space="preserve">DataGrid playground; manual-tests/data-grid.md</x:t>
        </x:is>
      </x:c>
      <x:c r="J139" s="84" t="n"/>
      <x:c r="K139" s="87" t="n">
        <x:f>IF(AND(E139="yes",F139="yes",H139="covered"),1,IF(H139="partial",0.5,0))</x:f>
        <x:v>1</x:v>
      </x:c>
    </x:row>
    <x:row r="140" s="51" customFormat="1" ht="15" customHeight="1">
      <x:c r="A140" s="73" t="n">
        <x:v>132</x:v>
      </x:c>
      <x:c r="B140" s="84" t="inlineStr">
        <x:is>
          <x:t xml:space="preserve">Direction</x:t>
        </x:is>
      </x:c>
      <x:c r="C140" s="84" t="inlineStr">
        <x:is>
          <x:t xml:space="preserve">Grid</x:t>
        </x:is>
      </x:c>
      <x:c r="D140" s="84" t="inlineStr">
        <x:is>
          <x:t xml:space="preserve">RTL mirrors ArrowLeft and ArrowRight cell movement</x:t>
        </x:is>
      </x:c>
      <x:c r="E140" s="88" t="inlineStr">
        <x:is>
          <x:t xml:space="preserve">yes</x:t>
        </x:is>
      </x:c>
      <x:c r="F140" s="85" t="inlineStr">
        <x:is>
          <x:t xml:space="preserve">yes</x:t>
        </x:is>
      </x:c>
      <x:c r="G140" s="73" t="inlineStr">
        <x:is>
          <x:t xml:space="preserve">passed manual test</x:t>
        </x:is>
      </x:c>
      <x:c r="H140" s="88" t="inlineStr">
        <x:is>
          <x:t xml:space="preserve">covered</x:t>
        </x:is>
      </x:c>
      <x:c r="I140" s="84" t="inlineStr">
        <x:is>
          <x:t xml:space="preserve">DataGrid playground; manual-tests/data-grid.md</x:t>
        </x:is>
      </x:c>
      <x:c r="J140" s="84" t="n"/>
      <x:c r="K140" s="87" t="n">
        <x:f>IF(AND(E140="yes",F140="yes",H140="covered"),1,IF(H140="partial",0.5,0))</x:f>
        <x:v>1</x:v>
      </x:c>
    </x:row>
    <x:row r="141" s="51" customFormat="1" ht="15" customHeight="1">
      <x:c r="A141" s="73" t="n">
        <x:v>133</x:v>
      </x:c>
      <x:c r="B141" s="84" t="inlineStr">
        <x:is>
          <x:t xml:space="preserve">Direction</x:t>
        </x:is>
      </x:c>
      <x:c r="C141" s="84" t="inlineStr">
        <x:is>
          <x:t xml:space="preserve">Root</x:t>
        </x:is>
      </x:c>
      <x:c r="D141" s="84" t="inlineStr">
        <x:is>
          <x:t xml:space="preserve">local dir overrides Direction.Provider and raw dir is inspectable</x:t>
        </x:is>
      </x:c>
      <x:c r="E141" s="88" t="inlineStr">
        <x:is>
          <x:t xml:space="preserve">yes</x:t>
        </x:is>
      </x:c>
      <x:c r="F141" s="85" t="inlineStr">
        <x:is>
          <x:t xml:space="preserve">yes</x:t>
        </x:is>
      </x:c>
      <x:c r="G141" s="73" t="inlineStr">
        <x:is>
          <x:t xml:space="preserve">passed manual test</x:t>
        </x:is>
      </x:c>
      <x:c r="H141" s="88" t="inlineStr">
        <x:is>
          <x:t xml:space="preserve">covered</x:t>
        </x:is>
      </x:c>
      <x:c r="I141" s="84" t="inlineStr">
        <x:is>
          <x:t xml:space="preserve">DataGrid playground; manual-tests/data-grid.md</x:t>
        </x:is>
      </x:c>
      <x:c r="J141" s="84" t="n"/>
      <x:c r="K141" s="87" t="n">
        <x:f>IF(AND(E141="yes",F141="yes",H141="covered"),1,IF(H141="partial",0.5,0))</x:f>
        <x:v>1</x:v>
      </x:c>
    </x:row>
    <x:row r="142" s="51" customFormat="1" ht="15" customHeight="1">
      <x:c r="A142" s="73" t="n">
        <x:v>134</x:v>
      </x:c>
      <x:c r="B142" s="84" t="inlineStr">
        <x:is>
          <x:t xml:space="preserve">Playground</x:t>
        </x:is>
      </x:c>
      <x:c r="C142" s="84" t="inlineStr">
        <x:is>
          <x:t xml:space="preserve">Direction controls</x:t>
        </x:is>
      </x:c>
      <x:c r="D142" s="84" t="inlineStr">
        <x:is>
          <x:t xml:space="preserve">scenario exposes Default, Provider RTL, Local LTR, and Local RTL controls</x:t>
        </x:is>
      </x:c>
      <x:c r="E142" s="88" t="inlineStr">
        <x:is>
          <x:t xml:space="preserve">yes</x:t>
        </x:is>
      </x:c>
      <x:c r="F142" s="85" t="inlineStr">
        <x:is>
          <x:t xml:space="preserve">yes</x:t>
        </x:is>
      </x:c>
      <x:c r="G142" s="73" t="inlineStr">
        <x:is>
          <x:t xml:space="preserve">passed manual test</x:t>
        </x:is>
      </x:c>
      <x:c r="H142" s="88" t="inlineStr">
        <x:is>
          <x:t xml:space="preserve">covered</x:t>
        </x:is>
      </x:c>
      <x:c r="I142" s="84" t="inlineStr">
        <x:is>
          <x:t xml:space="preserve">DataGrid playground; manual-tests/data-grid.md</x:t>
        </x:is>
      </x:c>
      <x:c r="J142" s="84" t="n"/>
      <x:c r="K142" s="87" t="n">
        <x:f>IF(AND(E142="yes",F142="yes",H142="covered"),1,IF(H142="partial",0.5,0))</x:f>
        <x:v>1</x:v>
      </x:c>
    </x:row>
    <x:row r="143" s="51" customFormat="1" ht="15" customHeight="1"/>
    <x:row r="144" s="51" customFormat="1" ht="15" customHeight="1"/>
    <x:row r="145" s="51" customFormat="1" ht="15" customHeight="1"/>
    <x:row r="146" s="51" customFormat="1" ht="15" customHeight="1"/>
    <x:row r="147" s="51" customFormat="1" ht="15" customHeight="1"/>
    <x:row r="148" s="51" customFormat="1" ht="15" customHeight="1"/>
    <x:row r="149" s="51" customFormat="1" ht="15" customHeight="1"/>
    <x:row r="150" s="51" customFormat="1" ht="15" customHeight="1"/>
    <x:row r="151" s="51" customFormat="1" ht="15" customHeight="1"/>
    <x:row r="152" s="51" customFormat="1" ht="15" customHeight="1"/>
    <x:row r="153" s="51" customFormat="1" ht="15" customHeight="1"/>
    <x:row r="154" s="51" customFormat="1" ht="15" customHeight="1"/>
    <x:row r="155" s="51" customFormat="1" ht="15" customHeight="1"/>
    <x:row r="156" s="51" customFormat="1" ht="15" customHeight="1"/>
    <x:row r="157" s="51" customFormat="1" ht="15" customHeight="1"/>
    <x:row r="158" s="51" customFormat="1" ht="15" customHeight="1"/>
    <x:row r="159" s="51" customFormat="1" ht="15" customHeight="1"/>
    <x:row r="160" s="51" customFormat="1" ht="15" customHeight="1"/>
    <x:row r="161" s="51" customFormat="1" ht="15" customHeight="1"/>
    <x:row r="162" s="51" customFormat="1" ht="15" customHeight="1"/>
    <x:row r="163" s="51" customFormat="1" ht="15" customHeight="1"/>
    <x:row r="164" s="51" customFormat="1" ht="15" customHeight="1"/>
    <x:row r="165" s="51" customFormat="1" ht="15" customHeight="1"/>
    <x:row r="166" s="51" customFormat="1" ht="15" customHeight="1"/>
    <x:row r="167" s="51" customFormat="1" ht="15" customHeight="1"/>
    <x:row r="168" s="51" customFormat="1" ht="15" customHeight="1"/>
    <x:row r="169" s="51" customFormat="1" ht="15" customHeight="1"/>
    <x:row r="170" s="51" customFormat="1" ht="15" customHeight="1"/>
    <x:row r="171" s="51" customFormat="1" ht="15" customHeight="1"/>
    <x:row r="172" s="51" customFormat="1" ht="15" customHeight="1"/>
    <x:row r="173" s="51" customFormat="1" ht="15" customHeight="1"/>
    <x:row r="174" s="51" customFormat="1" ht="15" customHeight="1"/>
    <x:row r="175" s="51" customFormat="1" ht="15" customHeight="1"/>
    <x:row r="176" s="51" customFormat="1" ht="15" customHeight="1"/>
    <x:row r="177" s="51" customFormat="1" ht="30" customHeight="1"/>
    <x:row r="178" s="51" customFormat="1" ht="15" customHeight="1"/>
    <x:row r="179" s="51" customFormat="1" ht="15" customHeight="1"/>
    <x:row r="180" s="51" customFormat="1" ht="15" customHeight="1"/>
    <x:row r="181" s="51" customFormat="1" ht="15" customHeight="1"/>
    <x:row r="182" s="51" customFormat="1" ht="15" customHeight="1"/>
    <x:row r="183" s="51" customFormat="1" ht="15" customHeight="1"/>
    <x:row r="184" s="51" customFormat="1" ht="15" customHeight="1"/>
    <x:row r="185" s="51" customFormat="1" ht="15" customHeight="1"/>
    <x:row r="186" s="51" customFormat="1" ht="15" customHeight="1"/>
    <x:row r="187" s="51" customFormat="1" ht="15" customHeight="1"/>
    <x:row r="188" s="51" customFormat="1" ht="30" customHeight="1"/>
    <x:row r="189" s="51" customFormat="1" ht="15" customHeight="1"/>
    <x:row r="190" s="51" customFormat="1" ht="30" customHeight="1"/>
    <x:row r="191" s="51" customFormat="1" ht="30" customHeight="1"/>
    <x:row r="192" s="51" customFormat="1" ht="30" customHeight="1"/>
    <x:row r="193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Dialog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104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76" t="inlineStr">
        <x:is>
          <x:t xml:space="preserve">yes</x:t>
        </x:is>
      </x:c>
      <x:c r="G9" s="73" t="inlineStr">
        <x:is>
          <x:t xml:space="preserve">passes manual test</x:t>
        </x:is>
      </x:c>
      <x:c r="H9" s="92" t="inlineStr">
        <x:is>
          <x:t xml:space="preserve">covered</x:t>
        </x:is>
      </x:c>
      <x:c r="I9" s="84" t="inlineStr">
        <x:is>
          <x:t xml:space="preserve">Shared playground prop rule.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76" t="inlineStr">
        <x:is>
          <x:t xml:space="preserve">yes</x:t>
        </x:is>
      </x:c>
      <x:c r="G10" s="73" t="inlineStr">
        <x:is>
          <x:t xml:space="preserve">passes manual test</x:t>
        </x:is>
      </x:c>
      <x:c r="H10" s="92" t="inlineStr">
        <x:is>
          <x:t xml:space="preserve">covered</x:t>
        </x:is>
      </x:c>
      <x:c r="I10" s="84" t="inlineStr">
        <x:is>
          <x:t xml:space="preserve">Shared playground prop rule.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Public API</x:t>
        </x:is>
      </x:c>
      <x:c r="C11" s="84" t="inlineStr">
        <x:is>
          <x:t xml:space="preserve">Root</x:t>
        </x:is>
      </x:c>
      <x:c r="D11" s="84" t="inlineStr">
        <x:is>
          <x:t xml:space="preserve">controlled open prop</x:t>
        </x:is>
      </x:c>
      <x:c r="E11" s="76" t="inlineStr">
        <x:is>
          <x:t xml:space="preserve">yes</x:t>
        </x:is>
      </x:c>
      <x:c r="F11" s="76" t="inlineStr">
        <x:is>
          <x:t xml:space="preserve">yes</x:t>
        </x:is>
      </x:c>
      <x:c r="G11" s="73" t="inlineStr">
        <x:is>
          <x:t xml:space="preserve">passes manual test</x:t>
        </x:is>
      </x:c>
      <x:c r="H11" s="92" t="inlineStr">
        <x:is>
          <x:t xml:space="preserve">covered</x:t>
        </x:is>
      </x:c>
      <x:c r="I11" s="84" t="inlineStr">
        <x:is>
          <x:t xml:space="preserve">Dialog playground scenario; manually verified.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Public API</x:t>
        </x:is>
      </x:c>
      <x:c r="C12" s="84" t="inlineStr">
        <x:is>
          <x:t xml:space="preserve">Root</x:t>
        </x:is>
      </x:c>
      <x:c r="D12" s="84" t="inlineStr">
        <x:is>
          <x:t xml:space="preserve">defaultOpen / uncontrolled state</x:t>
        </x:is>
      </x:c>
      <x:c r="E12" s="76" t="inlineStr">
        <x:is>
          <x:t xml:space="preserve">yes</x:t>
        </x:is>
      </x:c>
      <x:c r="F12" s="76" t="inlineStr">
        <x:is>
          <x:t xml:space="preserve">yes</x:t>
        </x:is>
      </x:c>
      <x:c r="G12" s="73" t="inlineStr">
        <x:is>
          <x:t xml:space="preserve">passes manual test</x:t>
        </x:is>
      </x:c>
      <x:c r="H12" s="92" t="inlineStr">
        <x:is>
          <x:t xml:space="preserve">covered</x:t>
        </x:is>
      </x:c>
      <x:c r="I12" s="84" t="inlineStr">
        <x:is>
          <x:t xml:space="preserve">Dialog playground scenario; manually verified.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Public API</x:t>
        </x:is>
      </x:c>
      <x:c r="C13" s="84" t="inlineStr">
        <x:is>
          <x:t xml:space="preserve">Root</x:t>
        </x:is>
      </x:c>
      <x:c r="D13" s="84" t="inlineStr">
        <x:is>
          <x:t xml:space="preserve">onOpenChange callback</x:t>
        </x:is>
      </x:c>
      <x:c r="E13" s="76" t="inlineStr">
        <x:is>
          <x:t xml:space="preserve">yes</x:t>
        </x:is>
      </x:c>
      <x:c r="F13" s="76" t="inlineStr">
        <x:is>
          <x:t xml:space="preserve">yes</x:t>
        </x:is>
      </x:c>
      <x:c r="G13" s="73" t="inlineStr">
        <x:is>
          <x:t xml:space="preserve">passes manual test</x:t>
        </x:is>
      </x:c>
      <x:c r="H13" s="92" t="inlineStr">
        <x:is>
          <x:t xml:space="preserve">covered</x:t>
        </x:is>
      </x:c>
      <x:c r="I13" s="84" t="inlineStr">
        <x:is>
          <x:t xml:space="preserve">Dialog playground scenario; manually verified.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Public API</x:t>
        </x:is>
      </x:c>
      <x:c r="C14" s="84" t="inlineStr">
        <x:is>
          <x:t xml:space="preserve">Root</x:t>
        </x:is>
      </x:c>
      <x:c r="D14" s="84" t="inlineStr">
        <x:is>
          <x:t xml:space="preserve">onOpenChange close reason</x:t>
        </x:is>
      </x:c>
      <x:c r="E14" s="76" t="inlineStr">
        <x:is>
          <x:t xml:space="preserve">yes</x:t>
        </x:is>
      </x:c>
      <x:c r="F14" s="76" t="inlineStr">
        <x:is>
          <x:t xml:space="preserve">yes</x:t>
        </x:is>
      </x:c>
      <x:c r="G14" s="73" t="inlineStr">
        <x:is>
          <x:t xml:space="preserve">passes manual test</x:t>
        </x:is>
      </x:c>
      <x:c r="H14" s="92" t="inlineStr">
        <x:is>
          <x:t xml:space="preserve">covered</x:t>
        </x:is>
      </x:c>
      <x:c r="I14" s="84" t="inlineStr">
        <x:is>
          <x:t xml:space="preserve">Dialog playground scenario; manually verified.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Public API</x:t>
        </x:is>
      </x:c>
      <x:c r="C15" s="84" t="inlineStr">
        <x:is>
          <x:t xml:space="preserve">Root</x:t>
        </x:is>
      </x:c>
      <x:c r="D15" s="84" t="inlineStr">
        <x:is>
          <x:t xml:space="preserve">disabled</x:t>
        </x:is>
      </x:c>
      <x:c r="E15" s="76" t="inlineStr">
        <x:is>
          <x:t xml:space="preserve">yes</x:t>
        </x:is>
      </x:c>
      <x:c r="F15" s="76" t="inlineStr">
        <x:is>
          <x:t xml:space="preserve">yes</x:t>
        </x:is>
      </x:c>
      <x:c r="G15" s="73" t="inlineStr">
        <x:is>
          <x:t xml:space="preserve">passes manual test</x:t>
        </x:is>
      </x:c>
      <x:c r="H15" s="92" t="inlineStr">
        <x:is>
          <x:t xml:space="preserve">covered</x:t>
        </x:is>
      </x:c>
      <x:c r="I15" s="84" t="inlineStr">
        <x:is>
          <x:t xml:space="preserve">Dialog playground scenario; manually verified.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Public API</x:t>
        </x:is>
      </x:c>
      <x:c r="C16" s="84" t="inlineStr">
        <x:is>
          <x:t xml:space="preserve">Root</x:t>
        </x:is>
      </x:c>
      <x:c r="D16" s="84" t="inlineStr">
        <x:is>
          <x:t xml:space="preserve">closeOnEscape</x:t>
        </x:is>
      </x:c>
      <x:c r="E16" s="76" t="inlineStr">
        <x:is>
          <x:t xml:space="preserve">yes</x:t>
        </x:is>
      </x:c>
      <x:c r="F16" s="76" t="inlineStr">
        <x:is>
          <x:t xml:space="preserve">yes</x:t>
        </x:is>
      </x:c>
      <x:c r="G16" s="73" t="inlineStr">
        <x:is>
          <x:t xml:space="preserve">passes manual test</x:t>
        </x:is>
      </x:c>
      <x:c r="H16" s="92" t="inlineStr">
        <x:is>
          <x:t xml:space="preserve">covered</x:t>
        </x:is>
      </x:c>
      <x:c r="I16" s="84" t="inlineStr">
        <x:is>
          <x:t xml:space="preserve">Dialog playground scenario; manually verified.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Public API</x:t>
        </x:is>
      </x:c>
      <x:c r="C17" s="84" t="inlineStr">
        <x:is>
          <x:t xml:space="preserve">Root</x:t>
        </x:is>
      </x:c>
      <x:c r="D17" s="84" t="inlineStr">
        <x:is>
          <x:t xml:space="preserve">closeOnBackdropClick</x:t>
        </x:is>
      </x:c>
      <x:c r="E17" s="76" t="inlineStr">
        <x:is>
          <x:t xml:space="preserve">yes</x:t>
        </x:is>
      </x:c>
      <x:c r="F17" s="76" t="inlineStr">
        <x:is>
          <x:t xml:space="preserve">yes</x:t>
        </x:is>
      </x:c>
      <x:c r="G17" s="73" t="inlineStr">
        <x:is>
          <x:t xml:space="preserve">passes manual test</x:t>
        </x:is>
      </x:c>
      <x:c r="H17" s="92" t="inlineStr">
        <x:is>
          <x:t xml:space="preserve">covered</x:t>
        </x:is>
      </x:c>
      <x:c r="I17" s="84" t="inlineStr">
        <x:is>
          <x:t xml:space="preserve">Dialog playground scenario; manually verified.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Public API</x:t>
        </x:is>
      </x:c>
      <x:c r="C18" s="84" t="inlineStr">
        <x:is>
          <x:t xml:space="preserve">Root</x:t>
        </x:is>
      </x:c>
      <x:c r="D18" s="84" t="inlineStr">
        <x:is>
          <x:t xml:space="preserve">keepMounted</x:t>
        </x:is>
      </x:c>
      <x:c r="E18" s="76" t="inlineStr">
        <x:is>
          <x:t xml:space="preserve">yes</x:t>
        </x:is>
      </x:c>
      <x:c r="F18" s="76" t="inlineStr">
        <x:is>
          <x:t xml:space="preserve">yes</x:t>
        </x:is>
      </x:c>
      <x:c r="G18" s="73" t="inlineStr">
        <x:is>
          <x:t xml:space="preserve">passes manual test</x:t>
        </x:is>
      </x:c>
      <x:c r="H18" s="92" t="inlineStr">
        <x:is>
          <x:t xml:space="preserve">covered</x:t>
        </x:is>
      </x:c>
      <x:c r="I18" s="84" t="inlineStr">
        <x:is>
          <x:t xml:space="preserve">Dialog playground scenario; manually verified.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Public API</x:t>
        </x:is>
      </x:c>
      <x:c r="C19" s="84" t="inlineStr">
        <x:is>
          <x:t xml:space="preserve">Trigger</x:t>
        </x:is>
      </x:c>
      <x:c r="D19" s="84" t="inlineStr">
        <x:is>
          <x:t xml:space="preserve">click opens</x:t>
        </x:is>
      </x:c>
      <x:c r="E19" s="76" t="inlineStr">
        <x:is>
          <x:t xml:space="preserve">yes</x:t>
        </x:is>
      </x:c>
      <x:c r="F19" s="76" t="inlineStr">
        <x:is>
          <x:t xml:space="preserve">yes</x:t>
        </x:is>
      </x:c>
      <x:c r="G19" s="73" t="inlineStr">
        <x:is>
          <x:t xml:space="preserve">passes manual test</x:t>
        </x:is>
      </x:c>
      <x:c r="H19" s="92" t="inlineStr">
        <x:is>
          <x:t xml:space="preserve">covered</x:t>
        </x:is>
      </x:c>
      <x:c r="I19" s="84" t="inlineStr">
        <x:is>
          <x:t xml:space="preserve">Dialog playground scenario; manually verified.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Public API</x:t>
        </x:is>
      </x:c>
      <x:c r="C20" s="84" t="inlineStr">
        <x:is>
          <x:t xml:space="preserve">Trigger</x:t>
        </x:is>
      </x:c>
      <x:c r="D20" s="84" t="inlineStr">
        <x:is>
          <x:t xml:space="preserve">Enter opens</x:t>
        </x:is>
      </x:c>
      <x:c r="E20" s="76" t="inlineStr">
        <x:is>
          <x:t xml:space="preserve">yes</x:t>
        </x:is>
      </x:c>
      <x:c r="F20" s="76" t="inlineStr">
        <x:is>
          <x:t xml:space="preserve">yes</x:t>
        </x:is>
      </x:c>
      <x:c r="G20" s="73" t="inlineStr">
        <x:is>
          <x:t xml:space="preserve">passes manual test</x:t>
        </x:is>
      </x:c>
      <x:c r="H20" s="92" t="inlineStr">
        <x:is>
          <x:t xml:space="preserve">covered</x:t>
        </x:is>
      </x:c>
      <x:c r="I20" s="84" t="inlineStr">
        <x:is>
          <x:t xml:space="preserve">Dialog playground scenario; manually verified.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Public API</x:t>
        </x:is>
      </x:c>
      <x:c r="C21" s="84" t="inlineStr">
        <x:is>
          <x:t xml:space="preserve">Trigger</x:t>
        </x:is>
      </x:c>
      <x:c r="D21" s="84" t="inlineStr">
        <x:is>
          <x:t xml:space="preserve">Space opens</x:t>
        </x:is>
      </x:c>
      <x:c r="E21" s="76" t="inlineStr">
        <x:is>
          <x:t xml:space="preserve">yes</x:t>
        </x:is>
      </x:c>
      <x:c r="F21" s="76" t="inlineStr">
        <x:is>
          <x:t xml:space="preserve">yes</x:t>
        </x:is>
      </x:c>
      <x:c r="G21" s="73" t="inlineStr">
        <x:is>
          <x:t xml:space="preserve">passes manual test</x:t>
        </x:is>
      </x:c>
      <x:c r="H21" s="92" t="inlineStr">
        <x:is>
          <x:t xml:space="preserve">covered</x:t>
        </x:is>
      </x:c>
      <x:c r="I21" s="84" t="inlineStr">
        <x:is>
          <x:t xml:space="preserve">Dialog playground scenario; manually verified.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Public API</x:t>
        </x:is>
      </x:c>
      <x:c r="C22" s="84" t="inlineStr">
        <x:is>
          <x:t xml:space="preserve">Trigger</x:t>
        </x:is>
      </x:c>
      <x:c r="D22" s="84" t="inlineStr">
        <x:is>
          <x:t xml:space="preserve">disabled blocks click</x:t>
        </x:is>
      </x:c>
      <x:c r="E22" s="76" t="inlineStr">
        <x:is>
          <x:t xml:space="preserve">yes</x:t>
        </x:is>
      </x:c>
      <x:c r="F22" s="76" t="inlineStr">
        <x:is>
          <x:t xml:space="preserve">yes</x:t>
        </x:is>
      </x:c>
      <x:c r="G22" s="73" t="inlineStr">
        <x:is>
          <x:t xml:space="preserve">passes manual test</x:t>
        </x:is>
      </x:c>
      <x:c r="H22" s="92" t="inlineStr">
        <x:is>
          <x:t xml:space="preserve">covered</x:t>
        </x:is>
      </x:c>
      <x:c r="I22" s="84" t="inlineStr">
        <x:is>
          <x:t xml:space="preserve">Dialog playground scenario; manually verified.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Public API</x:t>
        </x:is>
      </x:c>
      <x:c r="C23" s="84" t="inlineStr">
        <x:is>
          <x:t xml:space="preserve">Trigger</x:t>
        </x:is>
      </x:c>
      <x:c r="D23" s="84" t="inlineStr">
        <x:is>
          <x:t xml:space="preserve">disabled blocks Enter/Space</x:t>
        </x:is>
      </x:c>
      <x:c r="E23" s="76" t="inlineStr">
        <x:is>
          <x:t xml:space="preserve">yes</x:t>
        </x:is>
      </x:c>
      <x:c r="F23" s="76" t="inlineStr">
        <x:is>
          <x:t xml:space="preserve">yes</x:t>
        </x:is>
      </x:c>
      <x:c r="G23" s="73" t="inlineStr">
        <x:is>
          <x:t xml:space="preserve">passes manual test</x:t>
        </x:is>
      </x:c>
      <x:c r="H23" s="92" t="inlineStr">
        <x:is>
          <x:t xml:space="preserve">covered</x:t>
        </x:is>
      </x:c>
      <x:c r="I23" s="84" t="inlineStr">
        <x:is>
          <x:t xml:space="preserve">Dialog playground scenario; manually verified.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Public API</x:t>
        </x:is>
      </x:c>
      <x:c r="C24" s="84" t="inlineStr">
        <x:is>
          <x:t xml:space="preserve">Trigger</x:t>
        </x:is>
      </x:c>
      <x:c r="D24" s="84" t="inlineStr">
        <x:is>
          <x:t xml:space="preserve">data-state</x:t>
        </x:is>
      </x:c>
      <x:c r="E24" s="76" t="inlineStr">
        <x:is>
          <x:t xml:space="preserve">yes</x:t>
        </x:is>
      </x:c>
      <x:c r="F24" s="76" t="inlineStr">
        <x:is>
          <x:t xml:space="preserve">yes</x:t>
        </x:is>
      </x:c>
      <x:c r="G24" s="73" t="inlineStr">
        <x:is>
          <x:t xml:space="preserve">passes manual test</x:t>
        </x:is>
      </x:c>
      <x:c r="H24" s="92" t="inlineStr">
        <x:is>
          <x:t xml:space="preserve">covered</x:t>
        </x:is>
      </x:c>
      <x:c r="I24" s="84" t="inlineStr">
        <x:is>
          <x:t xml:space="preserve">Dialog playground scenario; manually verified.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Public API</x:t>
        </x:is>
      </x:c>
      <x:c r="C25" s="84" t="inlineStr">
        <x:is>
          <x:t xml:space="preserve">Trigger</x:t>
        </x:is>
      </x:c>
      <x:c r="D25" s="84" t="inlineStr">
        <x:is>
          <x:t xml:space="preserve">aria-controls id match</x:t>
        </x:is>
      </x:c>
      <x:c r="E25" s="76" t="inlineStr">
        <x:is>
          <x:t xml:space="preserve">yes</x:t>
        </x:is>
      </x:c>
      <x:c r="F25" s="76" t="inlineStr">
        <x:is>
          <x:t xml:space="preserve">yes</x:t>
        </x:is>
      </x:c>
      <x:c r="G25" s="73" t="inlineStr">
        <x:is>
          <x:t xml:space="preserve">passes manual test</x:t>
        </x:is>
      </x:c>
      <x:c r="H25" s="92" t="inlineStr">
        <x:is>
          <x:t xml:space="preserve">covered</x:t>
        </x:is>
      </x:c>
      <x:c r="I25" s="84" t="inlineStr">
        <x:is>
          <x:t xml:space="preserve">Dialog playground scenario; manually verified.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Public API</x:t>
        </x:is>
      </x:c>
      <x:c r="C26" s="84" t="inlineStr">
        <x:is>
          <x:t xml:space="preserve">Trigger</x:t>
        </x:is>
      </x:c>
      <x:c r="D26" s="84" t="inlineStr">
        <x:is>
          <x:t xml:space="preserve">aria-haspopup / aria-expanded</x:t>
        </x:is>
      </x:c>
      <x:c r="E26" s="76" t="inlineStr">
        <x:is>
          <x:t xml:space="preserve">yes</x:t>
        </x:is>
      </x:c>
      <x:c r="F26" s="76" t="inlineStr">
        <x:is>
          <x:t xml:space="preserve">yes</x:t>
        </x:is>
      </x:c>
      <x:c r="G26" s="73" t="inlineStr">
        <x:is>
          <x:t xml:space="preserve">passes manual test</x:t>
        </x:is>
      </x:c>
      <x:c r="H26" s="92" t="inlineStr">
        <x:is>
          <x:t xml:space="preserve">covered</x:t>
        </x:is>
      </x:c>
      <x:c r="I26" s="84" t="inlineStr">
        <x:is>
          <x:t xml:space="preserve">Dialog playground scenario; manually verified.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Composition</x:t>
        </x:is>
      </x:c>
      <x:c r="C27" s="84" t="inlineStr">
        <x:is>
          <x:t xml:space="preserve">Trigger</x:t>
        </x:is>
      </x:c>
      <x:c r="D27" s="84" t="inlineStr">
        <x:is>
          <x:t xml:space="preserve">asChild</x:t>
        </x:is>
      </x:c>
      <x:c r="E27" s="76" t="inlineStr">
        <x:is>
          <x:t xml:space="preserve">yes</x:t>
        </x:is>
      </x:c>
      <x:c r="F27" s="76" t="inlineStr">
        <x:is>
          <x:t xml:space="preserve">yes</x:t>
        </x:is>
      </x:c>
      <x:c r="G27" s="73" t="inlineStr">
        <x:is>
          <x:t xml:space="preserve">passes manual test</x:t>
        </x:is>
      </x:c>
      <x:c r="H27" s="92" t="inlineStr">
        <x:is>
          <x:t xml:space="preserve">covered</x:t>
        </x:is>
      </x:c>
      <x:c r="I27" s="84" t="inlineStr">
        <x:is>
          <x:t xml:space="preserve">Dialog playground scenario; manually verified.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Composition</x:t>
        </x:is>
      </x:c>
      <x:c r="C28" s="84" t="inlineStr">
        <x:is>
          <x:t xml:space="preserve">Trigger</x:t>
        </x:is>
      </x:c>
      <x:c r="D28" s="84" t="inlineStr">
        <x:is>
          <x:t xml:space="preserve">render prop</x:t>
        </x:is>
      </x:c>
      <x:c r="E28" s="76" t="inlineStr">
        <x:is>
          <x:t xml:space="preserve">yes</x:t>
        </x:is>
      </x:c>
      <x:c r="F28" s="76" t="inlineStr">
        <x:is>
          <x:t xml:space="preserve">yes</x:t>
        </x:is>
      </x:c>
      <x:c r="G28" s="73" t="inlineStr">
        <x:is>
          <x:t xml:space="preserve">passes manual test</x:t>
        </x:is>
      </x:c>
      <x:c r="H28" s="92" t="inlineStr">
        <x:is>
          <x:t xml:space="preserve">covered</x:t>
        </x:is>
      </x:c>
      <x:c r="I28" s="84" t="inlineStr">
        <x:is>
          <x:t xml:space="preserve">Dialog playground scenario; manually verified.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Composition</x:t>
        </x:is>
      </x:c>
      <x:c r="C29" s="84" t="inlineStr">
        <x:is>
          <x:t xml:space="preserve">Trigger</x:t>
        </x:is>
      </x:c>
      <x:c r="D29" s="84" t="inlineStr">
        <x:is>
          <x:t xml:space="preserve">merged onClick</x:t>
        </x:is>
      </x:c>
      <x:c r="E29" s="76" t="inlineStr">
        <x:is>
          <x:t xml:space="preserve">yes</x:t>
        </x:is>
      </x:c>
      <x:c r="F29" s="76" t="inlineStr">
        <x:is>
          <x:t xml:space="preserve">yes</x:t>
        </x:is>
      </x:c>
      <x:c r="G29" s="73" t="inlineStr">
        <x:is>
          <x:t xml:space="preserve">passes manual test</x:t>
        </x:is>
      </x:c>
      <x:c r="H29" s="92" t="inlineStr">
        <x:is>
          <x:t xml:space="preserve">covered</x:t>
        </x:is>
      </x:c>
      <x:c r="I29" s="84" t="inlineStr">
        <x:is>
          <x:t xml:space="preserve">Dialog playground scenario; manually verified.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45" customHeight="1">
      <x:c r="A30" s="73" t="n">
        <x:v>22</x:v>
      </x:c>
      <x:c r="B30" s="84" t="inlineStr">
        <x:is>
          <x:t xml:space="preserve">Composition</x:t>
        </x:is>
      </x:c>
      <x:c r="C30" s="84" t="inlineStr">
        <x:is>
          <x:t xml:space="preserve">Trigger</x:t>
        </x:is>
      </x:c>
      <x:c r="D30" s="84" t="inlineStr">
        <x:is>
          <x:t xml:space="preserve">merged onKeyDown</x:t>
        </x:is>
      </x:c>
      <x:c r="E30" s="76" t="inlineStr">
        <x:is>
          <x:t xml:space="preserve">yes</x:t>
        </x:is>
      </x:c>
      <x:c r="F30" s="76" t="inlineStr">
        <x:is>
          <x:t xml:space="preserve">yes</x:t>
        </x:is>
      </x:c>
      <x:c r="G30" s="73" t="inlineStr">
        <x:is>
          <x:t xml:space="preserve">passes manual test</x:t>
        </x:is>
      </x:c>
      <x:c r="H30" s="92" t="inlineStr">
        <x:is>
          <x:t xml:space="preserve">covered</x:t>
        </x:is>
      </x:c>
      <x:c r="I30" s="84" t="inlineStr">
        <x:is>
          <x:t xml:space="preserve">Dialog playground scenario; manually verified.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Refs</x:t>
        </x:is>
      </x:c>
      <x:c r="C31" s="84" t="inlineStr">
        <x:is>
          <x:t xml:space="preserve">Trigger</x:t>
        </x:is>
      </x:c>
      <x:c r="D31" s="84" t="inlineStr">
        <x:is>
          <x:t xml:space="preserve">ref receives element</x:t>
        </x:is>
      </x:c>
      <x:c r="E31" s="76" t="inlineStr">
        <x:is>
          <x:t xml:space="preserve">yes</x:t>
        </x:is>
      </x:c>
      <x:c r="F31" s="76" t="inlineStr">
        <x:is>
          <x:t xml:space="preserve">yes</x:t>
        </x:is>
      </x:c>
      <x:c r="G31" s="73" t="inlineStr">
        <x:is>
          <x:t xml:space="preserve">passes manual test</x:t>
        </x:is>
      </x:c>
      <x:c r="H31" s="92" t="inlineStr">
        <x:is>
          <x:t xml:space="preserve">covered</x:t>
        </x:is>
      </x:c>
      <x:c r="I31" s="84" t="inlineStr">
        <x:is>
          <x:t xml:space="preserve">Dialog playground scenario; manually verified.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Props</x:t>
        </x:is>
      </x:c>
      <x:c r="C32" s="84" t="inlineStr">
        <x:is>
          <x:t xml:space="preserve">Trigger</x:t>
        </x:is>
      </x:c>
      <x:c r="D32" s="84" t="inlineStr">
        <x:is>
          <x:t xml:space="preserve">native button props passthrough</x:t>
        </x:is>
      </x:c>
      <x:c r="E32" s="76" t="inlineStr">
        <x:is>
          <x:t xml:space="preserve">yes</x:t>
        </x:is>
      </x:c>
      <x:c r="F32" s="76" t="inlineStr">
        <x:is>
          <x:t xml:space="preserve">yes</x:t>
        </x:is>
      </x:c>
      <x:c r="G32" s="73" t="inlineStr">
        <x:is>
          <x:t xml:space="preserve">passes manual test</x:t>
        </x:is>
      </x:c>
      <x:c r="H32" s="92" t="inlineStr">
        <x:is>
          <x:t xml:space="preserve">covered</x:t>
        </x:is>
      </x:c>
      <x:c r="I32" s="84" t="inlineStr">
        <x:is>
          <x:t xml:space="preserve">Verify the part forwards a non-Atom-owned data-prop-check marker in the live raw Data group or Inspector.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Styling hooks</x:t>
        </x:is>
      </x:c>
      <x:c r="C33" s="84" t="inlineStr">
        <x:is>
          <x:t xml:space="preserve">Trigger</x:t>
        </x:is>
      </x:c>
      <x:c r="D33" s="84" t="inlineStr">
        <x:is>
          <x:t xml:space="preserve">className passthrough</x:t>
        </x:is>
      </x:c>
      <x:c r="E33" s="76" t="inlineStr">
        <x:is>
          <x:t xml:space="preserve">yes</x:t>
        </x:is>
      </x:c>
      <x:c r="F33" s="76" t="inlineStr">
        <x:is>
          <x:t xml:space="preserve">yes</x:t>
        </x:is>
      </x:c>
      <x:c r="G33" s="73" t="inlineStr">
        <x:is>
          <x:t xml:space="preserve">passes manual test</x:t>
        </x:is>
      </x:c>
      <x:c r="H33" s="92" t="inlineStr">
        <x:is>
          <x:t xml:space="preserve">covered</x:t>
        </x:is>
      </x:c>
      <x:c r="I33" s="84" t="inlineStr">
        <x:is>
          <x:t xml:space="preserve">Dialog playground scenario; manually verified.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Styling hooks</x:t>
        </x:is>
      </x:c>
      <x:c r="C34" s="84" t="inlineStr">
        <x:is>
          <x:t xml:space="preserve">Trigger</x:t>
        </x:is>
      </x:c>
      <x:c r="D34" s="84" t="inlineStr">
        <x:is>
          <x:t xml:space="preserve">data-slot override</x:t>
        </x:is>
      </x:c>
      <x:c r="E34" s="76" t="inlineStr">
        <x:is>
          <x:t xml:space="preserve">yes</x:t>
        </x:is>
      </x:c>
      <x:c r="F34" s="76" t="inlineStr">
        <x:is>
          <x:t xml:space="preserve">yes</x:t>
        </x:is>
      </x:c>
      <x:c r="G34" s="73" t="inlineStr">
        <x:is>
          <x:t xml:space="preserve">passes manual test</x:t>
        </x:is>
      </x:c>
      <x:c r="H34" s="92" t="inlineStr">
        <x:is>
          <x:t xml:space="preserve">covered</x:t>
        </x:is>
      </x:c>
      <x:c r="I34" s="84" t="inlineStr">
        <x:is>
          <x:t xml:space="preserve">Dialog playground scenario; manually verified.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Portal</x:t>
        </x:is>
      </x:c>
      <x:c r="D35" s="84" t="inlineStr">
        <x:is>
          <x:t xml:space="preserve">content mounts in body</x:t>
        </x:is>
      </x:c>
      <x:c r="E35" s="76" t="inlineStr">
        <x:is>
          <x:t xml:space="preserve">yes</x:t>
        </x:is>
      </x:c>
      <x:c r="F35" s="76" t="inlineStr">
        <x:is>
          <x:t xml:space="preserve">yes</x:t>
        </x:is>
      </x:c>
      <x:c r="G35" s="73" t="inlineStr">
        <x:is>
          <x:t xml:space="preserve">passes manual test</x:t>
        </x:is>
      </x:c>
      <x:c r="H35" s="92" t="inlineStr">
        <x:is>
          <x:t xml:space="preserve">covered</x:t>
        </x:is>
      </x:c>
      <x:c r="I35" s="84" t="inlineStr">
        <x:is>
          <x:t xml:space="preserve">Dialog playground scenario; manually verified.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Portal</x:t>
        </x:is>
      </x:c>
      <x:c r="D36" s="84" t="inlineStr">
        <x:is>
          <x:t xml:space="preserve">content not inside canvas</x:t>
        </x:is>
      </x:c>
      <x:c r="E36" s="76" t="inlineStr">
        <x:is>
          <x:t xml:space="preserve">yes</x:t>
        </x:is>
      </x:c>
      <x:c r="F36" s="76" t="inlineStr">
        <x:is>
          <x:t xml:space="preserve">yes</x:t>
        </x:is>
      </x:c>
      <x:c r="G36" s="73" t="inlineStr">
        <x:is>
          <x:t xml:space="preserve">passes manual test</x:t>
        </x:is>
      </x:c>
      <x:c r="H36" s="92" t="inlineStr">
        <x:is>
          <x:t xml:space="preserve">covered</x:t>
        </x:is>
      </x:c>
      <x:c r="I36" s="84" t="inlineStr">
        <x:is>
          <x:t xml:space="preserve">Dialog playground scenario; manually verified.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Portal</x:t>
        </x:is>
      </x:c>
      <x:c r="D37" s="84" t="inlineStr">
        <x:is>
          <x:t xml:space="preserve">unmounts after close without keepMounted</x:t>
        </x:is>
      </x:c>
      <x:c r="E37" s="76" t="inlineStr">
        <x:is>
          <x:t xml:space="preserve">yes</x:t>
        </x:is>
      </x:c>
      <x:c r="F37" s="76" t="inlineStr">
        <x:is>
          <x:t xml:space="preserve">yes</x:t>
        </x:is>
      </x:c>
      <x:c r="G37" s="73" t="inlineStr">
        <x:is>
          <x:t xml:space="preserve">passes manual test</x:t>
        </x:is>
      </x:c>
      <x:c r="H37" s="92" t="inlineStr">
        <x:is>
          <x:t xml:space="preserve">covered</x:t>
        </x:is>
      </x:c>
      <x:c r="I37" s="84" t="inlineStr">
        <x:is>
          <x:t xml:space="preserve">Dialog playground scenario; manually verified.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Portal</x:t>
        </x:is>
      </x:c>
      <x:c r="D38" s="84" t="inlineStr">
        <x:is>
          <x:t xml:space="preserve">stays mounted with keepMounted</x:t>
        </x:is>
      </x:c>
      <x:c r="E38" s="76" t="inlineStr">
        <x:is>
          <x:t xml:space="preserve">yes</x:t>
        </x:is>
      </x:c>
      <x:c r="F38" s="76" t="inlineStr">
        <x:is>
          <x:t xml:space="preserve">yes</x:t>
        </x:is>
      </x:c>
      <x:c r="G38" s="73" t="inlineStr">
        <x:is>
          <x:t xml:space="preserve">passes manual test</x:t>
        </x:is>
      </x:c>
      <x:c r="H38" s="92" t="inlineStr">
        <x:is>
          <x:t xml:space="preserve">covered</x:t>
        </x:is>
      </x:c>
      <x:c r="I38" s="84" t="inlineStr">
        <x:is>
          <x:t xml:space="preserve">Dialog playground scenario; manually verified.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Overlay</x:t>
        </x:is>
      </x:c>
      <x:c r="D39" s="84" t="inlineStr">
        <x:is>
          <x:t xml:space="preserve">renders when open</x:t>
        </x:is>
      </x:c>
      <x:c r="E39" s="76" t="inlineStr">
        <x:is>
          <x:t xml:space="preserve">yes</x:t>
        </x:is>
      </x:c>
      <x:c r="F39" s="76" t="inlineStr">
        <x:is>
          <x:t xml:space="preserve">yes</x:t>
        </x:is>
      </x:c>
      <x:c r="G39" s="73" t="inlineStr">
        <x:is>
          <x:t xml:space="preserve">passes manual test</x:t>
        </x:is>
      </x:c>
      <x:c r="H39" s="92" t="inlineStr">
        <x:is>
          <x:t xml:space="preserve">covered</x:t>
        </x:is>
      </x:c>
      <x:c r="I39" s="84" t="inlineStr">
        <x:is>
          <x:t xml:space="preserve">Dialog playground scenario; manually verified.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Overlay</x:t>
        </x:is>
      </x:c>
      <x:c r="D40" s="84" t="inlineStr">
        <x:is>
          <x:t xml:space="preserve">data-state</x:t>
        </x:is>
      </x:c>
      <x:c r="E40" s="76" t="inlineStr">
        <x:is>
          <x:t xml:space="preserve">yes</x:t>
        </x:is>
      </x:c>
      <x:c r="F40" s="76" t="inlineStr">
        <x:is>
          <x:t xml:space="preserve">yes</x:t>
        </x:is>
      </x:c>
      <x:c r="G40" s="73" t="inlineStr">
        <x:is>
          <x:t xml:space="preserve">passes manual test</x:t>
        </x:is>
      </x:c>
      <x:c r="H40" s="92" t="inlineStr">
        <x:is>
          <x:t xml:space="preserve">covered</x:t>
        </x:is>
      </x:c>
      <x:c r="I40" s="84" t="inlineStr">
        <x:is>
          <x:t xml:space="preserve">Dialog playground scenario; manually verified.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Interaction</x:t>
        </x:is>
      </x:c>
      <x:c r="C41" s="84" t="inlineStr">
        <x:is>
          <x:t xml:space="preserve">Overlay</x:t>
        </x:is>
      </x:c>
      <x:c r="D41" s="84" t="inlineStr">
        <x:is>
          <x:t xml:space="preserve">backdrop click closes when enabled</x:t>
        </x:is>
      </x:c>
      <x:c r="E41" s="76" t="inlineStr">
        <x:is>
          <x:t xml:space="preserve">yes</x:t>
        </x:is>
      </x:c>
      <x:c r="F41" s="76" t="inlineStr">
        <x:is>
          <x:t xml:space="preserve">yes</x:t>
        </x:is>
      </x:c>
      <x:c r="G41" s="73" t="inlineStr">
        <x:is>
          <x:t xml:space="preserve">passes manual test</x:t>
        </x:is>
      </x:c>
      <x:c r="H41" s="92" t="inlineStr">
        <x:is>
          <x:t xml:space="preserve">covered</x:t>
        </x:is>
      </x:c>
      <x:c r="I41" s="84" t="inlineStr">
        <x:is>
          <x:t xml:space="preserve">Dialog playground scenario; manually verified.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Interaction</x:t>
        </x:is>
      </x:c>
      <x:c r="C42" s="84" t="inlineStr">
        <x:is>
          <x:t xml:space="preserve">Overlay</x:t>
        </x:is>
      </x:c>
      <x:c r="D42" s="84" t="inlineStr">
        <x:is>
          <x:t xml:space="preserve">backdrop click does not close when disabled</x:t>
        </x:is>
      </x:c>
      <x:c r="E42" s="76" t="inlineStr">
        <x:is>
          <x:t xml:space="preserve">yes</x:t>
        </x:is>
      </x:c>
      <x:c r="F42" s="76" t="inlineStr">
        <x:is>
          <x:t xml:space="preserve">yes</x:t>
        </x:is>
      </x:c>
      <x:c r="G42" s="73" t="inlineStr">
        <x:is>
          <x:t xml:space="preserve">passes manual test</x:t>
        </x:is>
      </x:c>
      <x:c r="H42" s="92" t="inlineStr">
        <x:is>
          <x:t xml:space="preserve">covered</x:t>
        </x:is>
      </x:c>
      <x:c r="I42" s="84" t="inlineStr">
        <x:is>
          <x:t xml:space="preserve">Dialog playground scenario; manually verified.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45" customHeight="1">
      <x:c r="A43" s="73" t="n">
        <x:v>35</x:v>
      </x:c>
      <x:c r="B43" s="84" t="inlineStr">
        <x:is>
          <x:t xml:space="preserve">Composition</x:t>
        </x:is>
      </x:c>
      <x:c r="C43" s="84" t="inlineStr">
        <x:is>
          <x:t xml:space="preserve">Overlay</x:t>
        </x:is>
      </x:c>
      <x:c r="D43" s="84" t="inlineStr">
        <x:is>
          <x:t xml:space="preserve">user onClick merges with close behavior</x:t>
        </x:is>
      </x:c>
      <x:c r="E43" s="76" t="inlineStr">
        <x:is>
          <x:t xml:space="preserve">yes</x:t>
        </x:is>
      </x:c>
      <x:c r="F43" s="76" t="inlineStr">
        <x:is>
          <x:t xml:space="preserve">yes</x:t>
        </x:is>
      </x:c>
      <x:c r="G43" s="73" t="inlineStr">
        <x:is>
          <x:t xml:space="preserve">passes manual test</x:t>
        </x:is>
      </x:c>
      <x:c r="H43" s="92" t="inlineStr">
        <x:is>
          <x:t xml:space="preserve">covered</x:t>
        </x:is>
      </x:c>
      <x:c r="I43" s="84" t="inlineStr">
        <x:is>
          <x:t xml:space="preserve">Dialog playground scenario; manually verified.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Refs</x:t>
        </x:is>
      </x:c>
      <x:c r="C44" s="84" t="inlineStr">
        <x:is>
          <x:t xml:space="preserve">Overlay</x:t>
        </x:is>
      </x:c>
      <x:c r="D44" s="84" t="inlineStr">
        <x:is>
          <x:t xml:space="preserve">ref receives element</x:t>
        </x:is>
      </x:c>
      <x:c r="E44" s="76" t="inlineStr">
        <x:is>
          <x:t xml:space="preserve">yes</x:t>
        </x:is>
      </x:c>
      <x:c r="F44" s="76" t="inlineStr">
        <x:is>
          <x:t xml:space="preserve">yes</x:t>
        </x:is>
      </x:c>
      <x:c r="G44" s="73" t="inlineStr">
        <x:is>
          <x:t xml:space="preserve">passes manual test</x:t>
        </x:is>
      </x:c>
      <x:c r="H44" s="92" t="inlineStr">
        <x:is>
          <x:t xml:space="preserve">covered</x:t>
        </x:is>
      </x:c>
      <x:c r="I44" s="84" t="inlineStr">
        <x:is>
          <x:t xml:space="preserve">Dialog playground scenario; manually verified.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Props</x:t>
        </x:is>
      </x:c>
      <x:c r="C45" s="84" t="inlineStr">
        <x:is>
          <x:t xml:space="preserve">Overlay</x:t>
        </x:is>
      </x:c>
      <x:c r="D45" s="84" t="inlineStr">
        <x:is>
          <x:t xml:space="preserve">native div props passthrough</x:t>
        </x:is>
      </x:c>
      <x:c r="E45" s="76" t="inlineStr">
        <x:is>
          <x:t xml:space="preserve">yes</x:t>
        </x:is>
      </x:c>
      <x:c r="F45" s="76" t="inlineStr">
        <x:is>
          <x:t xml:space="preserve">yes</x:t>
        </x:is>
      </x:c>
      <x:c r="G45" s="73" t="inlineStr">
        <x:is>
          <x:t xml:space="preserve">passes manual test</x:t>
        </x:is>
      </x:c>
      <x:c r="H45" s="92" t="inlineStr">
        <x:is>
          <x:t xml:space="preserve">covered</x:t>
        </x:is>
      </x:c>
      <x:c r="I45" s="84" t="inlineStr">
        <x:is>
          <x:t xml:space="preserve">Verify the part forwards a non-Atom-owned data-prop-check marker in the live raw Data group or Inspector.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Styling hooks</x:t>
        </x:is>
      </x:c>
      <x:c r="C46" s="84" t="inlineStr">
        <x:is>
          <x:t xml:space="preserve">Overlay</x:t>
        </x:is>
      </x:c>
      <x:c r="D46" s="84" t="inlineStr">
        <x:is>
          <x:t xml:space="preserve">className passthrough</x:t>
        </x:is>
      </x:c>
      <x:c r="E46" s="76" t="inlineStr">
        <x:is>
          <x:t xml:space="preserve">yes</x:t>
        </x:is>
      </x:c>
      <x:c r="F46" s="76" t="inlineStr">
        <x:is>
          <x:t xml:space="preserve">yes</x:t>
        </x:is>
      </x:c>
      <x:c r="G46" s="73" t="inlineStr">
        <x:is>
          <x:t xml:space="preserve">passes manual test</x:t>
        </x:is>
      </x:c>
      <x:c r="H46" s="92" t="inlineStr">
        <x:is>
          <x:t xml:space="preserve">covered</x:t>
        </x:is>
      </x:c>
      <x:c r="I46" s="84" t="inlineStr">
        <x:is>
          <x:t xml:space="preserve">Dialog playground scenario; manually verified.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Styling hooks</x:t>
        </x:is>
      </x:c>
      <x:c r="C47" s="84" t="inlineStr">
        <x:is>
          <x:t xml:space="preserve">Overlay</x:t>
        </x:is>
      </x:c>
      <x:c r="D47" s="84" t="inlineStr">
        <x:is>
          <x:t xml:space="preserve">data-slot override</x:t>
        </x:is>
      </x:c>
      <x:c r="E47" s="76" t="inlineStr">
        <x:is>
          <x:t xml:space="preserve">yes</x:t>
        </x:is>
      </x:c>
      <x:c r="F47" s="76" t="inlineStr">
        <x:is>
          <x:t xml:space="preserve">yes</x:t>
        </x:is>
      </x:c>
      <x:c r="G47" s="73" t="inlineStr">
        <x:is>
          <x:t xml:space="preserve">passes manual test</x:t>
        </x:is>
      </x:c>
      <x:c r="H47" s="92" t="inlineStr">
        <x:is>
          <x:t xml:space="preserve">covered</x:t>
        </x:is>
      </x:c>
      <x:c r="I47" s="84" t="inlineStr">
        <x:is>
          <x:t xml:space="preserve">Dialog playground scenario; manually verified.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Public API</x:t>
        </x:is>
      </x:c>
      <x:c r="C48" s="84" t="inlineStr">
        <x:is>
          <x:t xml:space="preserve">Content</x:t>
        </x:is>
      </x:c>
      <x:c r="D48" s="84" t="inlineStr">
        <x:is>
          <x:t xml:space="preserve">renders when open</x:t>
        </x:is>
      </x:c>
      <x:c r="E48" s="76" t="inlineStr">
        <x:is>
          <x:t xml:space="preserve">yes</x:t>
        </x:is>
      </x:c>
      <x:c r="F48" s="76" t="inlineStr">
        <x:is>
          <x:t xml:space="preserve">yes</x:t>
        </x:is>
      </x:c>
      <x:c r="G48" s="73" t="inlineStr">
        <x:is>
          <x:t xml:space="preserve">passes manual test</x:t>
        </x:is>
      </x:c>
      <x:c r="H48" s="92" t="inlineStr">
        <x:is>
          <x:t xml:space="preserve">covered</x:t>
        </x:is>
      </x:c>
      <x:c r="I48" s="84" t="inlineStr">
        <x:is>
          <x:t xml:space="preserve">Dialog playground scenario; manually verified.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Public API</x:t>
        </x:is>
      </x:c>
      <x:c r="C49" s="84" t="inlineStr">
        <x:is>
          <x:t xml:space="preserve">Content</x:t>
        </x:is>
      </x:c>
      <x:c r="D49" s="84" t="inlineStr">
        <x:is>
          <x:t xml:space="preserve">unmounts when closed</x:t>
        </x:is>
      </x:c>
      <x:c r="E49" s="76" t="inlineStr">
        <x:is>
          <x:t xml:space="preserve">yes</x:t>
        </x:is>
      </x:c>
      <x:c r="F49" s="76" t="inlineStr">
        <x:is>
          <x:t xml:space="preserve">yes</x:t>
        </x:is>
      </x:c>
      <x:c r="G49" s="73" t="inlineStr">
        <x:is>
          <x:t xml:space="preserve">passes manual test</x:t>
        </x:is>
      </x:c>
      <x:c r="H49" s="92" t="inlineStr">
        <x:is>
          <x:t xml:space="preserve">covered</x:t>
        </x:is>
      </x:c>
      <x:c r="I49" s="84" t="inlineStr">
        <x:is>
          <x:t xml:space="preserve">Dialog playground scenario; manually verified.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Content</x:t>
        </x:is>
      </x:c>
      <x:c r="D50" s="84" t="inlineStr">
        <x:is>
          <x:t xml:space="preserve">hidden with keepMounted</x:t>
        </x:is>
      </x:c>
      <x:c r="E50" s="76" t="inlineStr">
        <x:is>
          <x:t xml:space="preserve">yes</x:t>
        </x:is>
      </x:c>
      <x:c r="F50" s="76" t="inlineStr">
        <x:is>
          <x:t xml:space="preserve">yes</x:t>
        </x:is>
      </x:c>
      <x:c r="G50" s="73" t="inlineStr">
        <x:is>
          <x:t xml:space="preserve">passes manual test</x:t>
        </x:is>
      </x:c>
      <x:c r="H50" s="92" t="inlineStr">
        <x:is>
          <x:t xml:space="preserve">covered</x:t>
        </x:is>
      </x:c>
      <x:c r="I50" s="84" t="inlineStr">
        <x:is>
          <x:t xml:space="preserve">Dialog playground scenario; manually verified.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Public API</x:t>
        </x:is>
      </x:c>
      <x:c r="C51" s="84" t="inlineStr">
        <x:is>
          <x:t xml:space="preserve">Content</x:t>
        </x:is>
      </x:c>
      <x:c r="D51" s="84" t="inlineStr">
        <x:is>
          <x:t xml:space="preserve">role dialog</x:t>
        </x:is>
      </x:c>
      <x:c r="E51" s="76" t="inlineStr">
        <x:is>
          <x:t xml:space="preserve">yes</x:t>
        </x:is>
      </x:c>
      <x:c r="F51" s="76" t="inlineStr">
        <x:is>
          <x:t xml:space="preserve">yes</x:t>
        </x:is>
      </x:c>
      <x:c r="G51" s="73" t="inlineStr">
        <x:is>
          <x:t xml:space="preserve">passes manual test</x:t>
        </x:is>
      </x:c>
      <x:c r="H51" s="92" t="inlineStr">
        <x:is>
          <x:t xml:space="preserve">covered</x:t>
        </x:is>
      </x:c>
      <x:c r="I51" s="84" t="inlineStr">
        <x:is>
          <x:t xml:space="preserve">Dialog playground scenario; manually verified.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Content</x:t>
        </x:is>
      </x:c>
      <x:c r="D52" s="84" t="inlineStr">
        <x:is>
          <x:t xml:space="preserve">role alertdialog</x:t>
        </x:is>
      </x:c>
      <x:c r="E52" s="76" t="inlineStr">
        <x:is>
          <x:t xml:space="preserve">yes</x:t>
        </x:is>
      </x:c>
      <x:c r="F52" s="76" t="inlineStr">
        <x:is>
          <x:t xml:space="preserve">yes</x:t>
        </x:is>
      </x:c>
      <x:c r="G52" s="73" t="inlineStr">
        <x:is>
          <x:t xml:space="preserve">passes manual test</x:t>
        </x:is>
      </x:c>
      <x:c r="H52" s="92" t="inlineStr">
        <x:is>
          <x:t xml:space="preserve">covered</x:t>
        </x:is>
      </x:c>
      <x:c r="I52" s="84" t="inlineStr">
        <x:is>
          <x:t xml:space="preserve">Dialog playground scenario; manually verified.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Content</x:t>
        </x:is>
      </x:c>
      <x:c r="D53" s="84" t="inlineStr">
        <x:is>
          <x:t xml:space="preserve">tabIndex -1</x:t>
        </x:is>
      </x:c>
      <x:c r="E53" s="76" t="inlineStr">
        <x:is>
          <x:t xml:space="preserve">yes</x:t>
        </x:is>
      </x:c>
      <x:c r="F53" s="76" t="inlineStr">
        <x:is>
          <x:t xml:space="preserve">yes</x:t>
        </x:is>
      </x:c>
      <x:c r="G53" s="73" t="inlineStr">
        <x:is>
          <x:t xml:space="preserve">passes manual test</x:t>
        </x:is>
      </x:c>
      <x:c r="H53" s="92" t="inlineStr">
        <x:is>
          <x:t xml:space="preserve">covered</x:t>
        </x:is>
      </x:c>
      <x:c r="I53" s="84" t="inlineStr">
        <x:is>
          <x:t xml:space="preserve">Dialog playground scenario; manually verified.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Content</x:t>
        </x:is>
      </x:c>
      <x:c r="D54" s="84" t="inlineStr">
        <x:is>
          <x:t xml:space="preserve">data-state</x:t>
        </x:is>
      </x:c>
      <x:c r="E54" s="76" t="inlineStr">
        <x:is>
          <x:t xml:space="preserve">yes</x:t>
        </x:is>
      </x:c>
      <x:c r="F54" s="76" t="inlineStr">
        <x:is>
          <x:t xml:space="preserve">yes</x:t>
        </x:is>
      </x:c>
      <x:c r="G54" s="73" t="inlineStr">
        <x:is>
          <x:t xml:space="preserve">passes manual test</x:t>
        </x:is>
      </x:c>
      <x:c r="H54" s="92" t="inlineStr">
        <x:is>
          <x:t xml:space="preserve">covered</x:t>
        </x:is>
      </x:c>
      <x:c r="I54" s="84" t="inlineStr">
        <x:is>
          <x:t xml:space="preserve">Dialog playground scenario; manually verified.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Content</x:t>
        </x:is>
      </x:c>
      <x:c r="D55" s="84" t="inlineStr">
        <x:is>
          <x:t xml:space="preserve">data-positioned</x:t>
        </x:is>
      </x:c>
      <x:c r="E55" s="76" t="inlineStr">
        <x:is>
          <x:t xml:space="preserve">yes</x:t>
        </x:is>
      </x:c>
      <x:c r="F55" s="76" t="inlineStr">
        <x:is>
          <x:t xml:space="preserve">yes</x:t>
        </x:is>
      </x:c>
      <x:c r="G55" s="73" t="inlineStr">
        <x:is>
          <x:t xml:space="preserve">passes manual test</x:t>
        </x:is>
      </x:c>
      <x:c r="H55" s="92" t="inlineStr">
        <x:is>
          <x:t xml:space="preserve">covered</x:t>
        </x:is>
      </x:c>
      <x:c r="I55" s="84" t="inlineStr">
        <x:is>
          <x:t xml:space="preserve">Dialog playground scenario; manually verified.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Accessibility</x:t>
        </x:is>
      </x:c>
      <x:c r="C56" s="84" t="inlineStr">
        <x:is>
          <x:t xml:space="preserve">Content</x:t>
        </x:is>
      </x:c>
      <x:c r="D56" s="84" t="inlineStr">
        <x:is>
          <x:t xml:space="preserve">aria-modal</x:t>
        </x:is>
      </x:c>
      <x:c r="E56" s="76" t="inlineStr">
        <x:is>
          <x:t xml:space="preserve">yes</x:t>
        </x:is>
      </x:c>
      <x:c r="F56" s="76" t="inlineStr">
        <x:is>
          <x:t xml:space="preserve">yes</x:t>
        </x:is>
      </x:c>
      <x:c r="G56" s="73" t="inlineStr">
        <x:is>
          <x:t xml:space="preserve">passes manual test</x:t>
        </x:is>
      </x:c>
      <x:c r="H56" s="92" t="inlineStr">
        <x:is>
          <x:t xml:space="preserve">covered</x:t>
        </x:is>
      </x:c>
      <x:c r="I56" s="84" t="inlineStr">
        <x:is>
          <x:t xml:space="preserve">Dialog playground scenario; manually verified.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Accessibility</x:t>
        </x:is>
      </x:c>
      <x:c r="C57" s="84" t="inlineStr">
        <x:is>
          <x:t xml:space="preserve">Content</x:t>
        </x:is>
      </x:c>
      <x:c r="D57" s="84" t="inlineStr">
        <x:is>
          <x:t xml:space="preserve">aria-labelledby</x:t>
        </x:is>
      </x:c>
      <x:c r="E57" s="76" t="inlineStr">
        <x:is>
          <x:t xml:space="preserve">yes</x:t>
        </x:is>
      </x:c>
      <x:c r="F57" s="76" t="inlineStr">
        <x:is>
          <x:t xml:space="preserve">yes</x:t>
        </x:is>
      </x:c>
      <x:c r="G57" s="73" t="inlineStr">
        <x:is>
          <x:t xml:space="preserve">passes manual test</x:t>
        </x:is>
      </x:c>
      <x:c r="H57" s="92" t="inlineStr">
        <x:is>
          <x:t xml:space="preserve">covered</x:t>
        </x:is>
      </x:c>
      <x:c r="I57" s="84" t="inlineStr">
        <x:is>
          <x:t xml:space="preserve">Dialog playground scenario; manually verified.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Accessibility</x:t>
        </x:is>
      </x:c>
      <x:c r="C58" s="84" t="inlineStr">
        <x:is>
          <x:t xml:space="preserve">Content</x:t>
        </x:is>
      </x:c>
      <x:c r="D58" s="84" t="inlineStr">
        <x:is>
          <x:t xml:space="preserve">aria-describedby</x:t>
        </x:is>
      </x:c>
      <x:c r="E58" s="76" t="inlineStr">
        <x:is>
          <x:t xml:space="preserve">yes</x:t>
        </x:is>
      </x:c>
      <x:c r="F58" s="76" t="inlineStr">
        <x:is>
          <x:t xml:space="preserve">yes</x:t>
        </x:is>
      </x:c>
      <x:c r="G58" s="73" t="inlineStr">
        <x:is>
          <x:t xml:space="preserve">passes manual test</x:t>
        </x:is>
      </x:c>
      <x:c r="H58" s="92" t="inlineStr">
        <x:is>
          <x:t xml:space="preserve">covered</x:t>
        </x:is>
      </x:c>
      <x:c r="I58" s="84" t="inlineStr">
        <x:is>
          <x:t xml:space="preserve">Dialog playground scenario; manually verified.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Accessibility</x:t>
        </x:is>
      </x:c>
      <x:c r="C59" s="84" t="inlineStr">
        <x:is>
          <x:t xml:space="preserve">Content</x:t>
        </x:is>
      </x:c>
      <x:c r="D59" s="84" t="inlineStr">
        <x:is>
          <x:t xml:space="preserve">ariaLabel compatibility fallback applies only when native aria-label is absent</x:t>
        </x:is>
      </x:c>
      <x:c r="E59" s="76" t="inlineStr">
        <x:is>
          <x:t xml:space="preserve">yes</x:t>
        </x:is>
      </x:c>
      <x:c r="F59" s="76" t="inlineStr">
        <x:is>
          <x:t xml:space="preserve">yes</x:t>
        </x:is>
      </x:c>
      <x:c r="G59" s="73" t="inlineStr">
        <x:is>
          <x:t xml:space="preserve">passed focused manual qualification</x:t>
        </x:is>
      </x:c>
      <x:c r="H59" s="92" t="inlineStr">
        <x:is>
          <x:t xml:space="preserve">covered</x:t>
        </x:is>
      </x:c>
      <x:c r="I59" s="84" t="inlineStr">
        <x:is>
          <x:t xml:space="preserve">Dialog Modal Foundation Manual Test Protocol, 2026-07-17; desktop, macOS VoiceOver, iPhone Safari, and iPhone VoiceOver.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Interaction</x:t>
        </x:is>
      </x:c>
      <x:c r="C60" s="84" t="inlineStr">
        <x:is>
          <x:t xml:space="preserve">Content</x:t>
        </x:is>
      </x:c>
      <x:c r="D60" s="84" t="inlineStr">
        <x:is>
          <x:t xml:space="preserve">click inside content does not close</x:t>
        </x:is>
      </x:c>
      <x:c r="E60" s="76" t="inlineStr">
        <x:is>
          <x:t xml:space="preserve">yes</x:t>
        </x:is>
      </x:c>
      <x:c r="F60" s="76" t="inlineStr">
        <x:is>
          <x:t xml:space="preserve">yes</x:t>
        </x:is>
      </x:c>
      <x:c r="G60" s="73" t="inlineStr">
        <x:is>
          <x:t xml:space="preserve">passes manual test</x:t>
        </x:is>
      </x:c>
      <x:c r="H60" s="92" t="inlineStr">
        <x:is>
          <x:t xml:space="preserve">covered</x:t>
        </x:is>
      </x:c>
      <x:c r="I60" s="84" t="inlineStr">
        <x:is>
          <x:t xml:space="preserve">Dialog playground scenario; manually verified.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Interaction</x:t>
        </x:is>
      </x:c>
      <x:c r="C61" s="84" t="inlineStr">
        <x:is>
          <x:t xml:space="preserve">Content</x:t>
        </x:is>
      </x:c>
      <x:c r="D61" s="84" t="inlineStr">
        <x:is>
          <x:t xml:space="preserve">first focusable receives focus on open</x:t>
        </x:is>
      </x:c>
      <x:c r="E61" s="76" t="inlineStr">
        <x:is>
          <x:t xml:space="preserve">yes</x:t>
        </x:is>
      </x:c>
      <x:c r="F61" s="76" t="inlineStr">
        <x:is>
          <x:t xml:space="preserve">yes</x:t>
        </x:is>
      </x:c>
      <x:c r="G61" s="73" t="inlineStr">
        <x:is>
          <x:t xml:space="preserve">passes manual test</x:t>
        </x:is>
      </x:c>
      <x:c r="H61" s="92" t="inlineStr">
        <x:is>
          <x:t xml:space="preserve">covered</x:t>
        </x:is>
      </x:c>
      <x:c r="I61" s="84" t="inlineStr">
        <x:is>
          <x:t xml:space="preserve">Dialog playground scenario; manually verified.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Interaction</x:t>
        </x:is>
      </x:c>
      <x:c r="C62" s="84" t="inlineStr">
        <x:is>
          <x:t xml:space="preserve">Content</x:t>
        </x:is>
      </x:c>
      <x:c r="D62" s="84" t="inlineStr">
        <x:is>
          <x:t xml:space="preserve">no focusable child focuses content</x:t>
        </x:is>
      </x:c>
      <x:c r="E62" s="76" t="inlineStr">
        <x:is>
          <x:t xml:space="preserve">yes</x:t>
        </x:is>
      </x:c>
      <x:c r="F62" s="76" t="inlineStr">
        <x:is>
          <x:t xml:space="preserve">yes</x:t>
        </x:is>
      </x:c>
      <x:c r="G62" s="73" t="inlineStr">
        <x:is>
          <x:t xml:space="preserve">passes manual test</x:t>
        </x:is>
      </x:c>
      <x:c r="H62" s="92" t="inlineStr">
        <x:is>
          <x:t xml:space="preserve">covered</x:t>
        </x:is>
      </x:c>
      <x:c r="I62" s="84" t="inlineStr">
        <x:is>
          <x:t xml:space="preserve">Dialog playground scenario; manually verified.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Interaction</x:t>
        </x:is>
      </x:c>
      <x:c r="C63" s="84" t="inlineStr">
        <x:is>
          <x:t xml:space="preserve">Content</x:t>
        </x:is>
      </x:c>
      <x:c r="D63" s="84" t="inlineStr">
        <x:is>
          <x:t xml:space="preserve">focus trap Tab loop</x:t>
        </x:is>
      </x:c>
      <x:c r="E63" s="76" t="inlineStr">
        <x:is>
          <x:t xml:space="preserve">yes</x:t>
        </x:is>
      </x:c>
      <x:c r="F63" s="76" t="inlineStr">
        <x:is>
          <x:t xml:space="preserve">yes</x:t>
        </x:is>
      </x:c>
      <x:c r="G63" s="73" t="inlineStr">
        <x:is>
          <x:t xml:space="preserve">passes manual test</x:t>
        </x:is>
      </x:c>
      <x:c r="H63" s="92" t="inlineStr">
        <x:is>
          <x:t xml:space="preserve">covered</x:t>
        </x:is>
      </x:c>
      <x:c r="I63" s="84" t="inlineStr">
        <x:is>
          <x:t xml:space="preserve">Dialog playground scenario; manually verified.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Interaction</x:t>
        </x:is>
      </x:c>
      <x:c r="C64" s="84" t="inlineStr">
        <x:is>
          <x:t xml:space="preserve">Content</x:t>
        </x:is>
      </x:c>
      <x:c r="D64" s="84" t="inlineStr">
        <x:is>
          <x:t xml:space="preserve">focus trap Shift+Tab loop</x:t>
        </x:is>
      </x:c>
      <x:c r="E64" s="76" t="inlineStr">
        <x:is>
          <x:t xml:space="preserve">yes</x:t>
        </x:is>
      </x:c>
      <x:c r="F64" s="76" t="inlineStr">
        <x:is>
          <x:t xml:space="preserve">yes</x:t>
        </x:is>
      </x:c>
      <x:c r="G64" s="73" t="inlineStr">
        <x:is>
          <x:t xml:space="preserve">passes manual test</x:t>
        </x:is>
      </x:c>
      <x:c r="H64" s="92" t="inlineStr">
        <x:is>
          <x:t xml:space="preserve">covered</x:t>
        </x:is>
      </x:c>
      <x:c r="I64" s="84" t="inlineStr">
        <x:is>
          <x:t xml:space="preserve">Dialog playground scenario; manually verified.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Interaction</x:t>
        </x:is>
      </x:c>
      <x:c r="C65" s="84" t="inlineStr">
        <x:is>
          <x:t xml:space="preserve">Content</x:t>
        </x:is>
      </x:c>
      <x:c r="D65" s="84" t="inlineStr">
        <x:is>
          <x:t xml:space="preserve">focus cannot escape behind dialog</x:t>
        </x:is>
      </x:c>
      <x:c r="E65" s="76" t="inlineStr">
        <x:is>
          <x:t xml:space="preserve">yes</x:t>
        </x:is>
      </x:c>
      <x:c r="F65" s="76" t="inlineStr">
        <x:is>
          <x:t xml:space="preserve">yes</x:t>
        </x:is>
      </x:c>
      <x:c r="G65" s="73" t="inlineStr">
        <x:is>
          <x:t xml:space="preserve">passes manual test</x:t>
        </x:is>
      </x:c>
      <x:c r="H65" s="92" t="inlineStr">
        <x:is>
          <x:t xml:space="preserve">covered</x:t>
        </x:is>
      </x:c>
      <x:c r="I65" s="84" t="inlineStr">
        <x:is>
          <x:t xml:space="preserve">Dialog playground scenario; manually verified.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Interaction</x:t>
        </x:is>
      </x:c>
      <x:c r="C66" s="84" t="inlineStr">
        <x:is>
          <x:t xml:space="preserve">Content</x:t>
        </x:is>
      </x:c>
      <x:c r="D66" s="84" t="inlineStr">
        <x:is>
          <x:t xml:space="preserve">focus restores to trigger after close</x:t>
        </x:is>
      </x:c>
      <x:c r="E66" s="76" t="inlineStr">
        <x:is>
          <x:t xml:space="preserve">yes</x:t>
        </x:is>
      </x:c>
      <x:c r="F66" s="76" t="inlineStr">
        <x:is>
          <x:t xml:space="preserve">yes</x:t>
        </x:is>
      </x:c>
      <x:c r="G66" s="73" t="inlineStr">
        <x:is>
          <x:t xml:space="preserve">passes manual test</x:t>
        </x:is>
      </x:c>
      <x:c r="H66" s="92" t="inlineStr">
        <x:is>
          <x:t xml:space="preserve">covered</x:t>
        </x:is>
      </x:c>
      <x:c r="I66" s="84" t="inlineStr">
        <x:is>
          <x:t xml:space="preserve">Dialog playground scenario; manually verified.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45" customHeight="1">
      <x:c r="A67" s="73" t="n">
        <x:v>59</x:v>
      </x:c>
      <x:c r="B67" s="84" t="inlineStr">
        <x:is>
          <x:t xml:space="preserve">Interaction</x:t>
        </x:is>
      </x:c>
      <x:c r="C67" s="84" t="inlineStr">
        <x:is>
          <x:t xml:space="preserve">Content</x:t>
        </x:is>
      </x:c>
      <x:c r="D67" s="84" t="inlineStr">
        <x:is>
          <x:t xml:space="preserve">scroll lock on open</x:t>
        </x:is>
      </x:c>
      <x:c r="E67" s="76" t="inlineStr">
        <x:is>
          <x:t xml:space="preserve">yes</x:t>
        </x:is>
      </x:c>
      <x:c r="F67" s="76" t="inlineStr">
        <x:is>
          <x:t xml:space="preserve">yes</x:t>
        </x:is>
      </x:c>
      <x:c r="G67" s="73" t="inlineStr">
        <x:is>
          <x:t xml:space="preserve">passes manual test</x:t>
        </x:is>
      </x:c>
      <x:c r="H67" s="92" t="inlineStr">
        <x:is>
          <x:t xml:space="preserve">covered</x:t>
        </x:is>
      </x:c>
      <x:c r="I67" s="84" t="inlineStr">
        <x:is>
          <x:t xml:space="preserve">Dialog playground scenario; manually verified.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Refs</x:t>
        </x:is>
      </x:c>
      <x:c r="C68" s="84" t="inlineStr">
        <x:is>
          <x:t xml:space="preserve">Content</x:t>
        </x:is>
      </x:c>
      <x:c r="D68" s="84" t="inlineStr">
        <x:is>
          <x:t xml:space="preserve">ref receives element</x:t>
        </x:is>
      </x:c>
      <x:c r="E68" s="76" t="inlineStr">
        <x:is>
          <x:t xml:space="preserve">yes</x:t>
        </x:is>
      </x:c>
      <x:c r="F68" s="76" t="inlineStr">
        <x:is>
          <x:t xml:space="preserve">yes</x:t>
        </x:is>
      </x:c>
      <x:c r="G68" s="73" t="inlineStr">
        <x:is>
          <x:t xml:space="preserve">passes manual test</x:t>
        </x:is>
      </x:c>
      <x:c r="H68" s="92" t="inlineStr">
        <x:is>
          <x:t xml:space="preserve">covered</x:t>
        </x:is>
      </x:c>
      <x:c r="I68" s="84" t="inlineStr">
        <x:is>
          <x:t xml:space="preserve">Dialog playground scenario; manually verified.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Props</x:t>
        </x:is>
      </x:c>
      <x:c r="C69" s="84" t="inlineStr">
        <x:is>
          <x:t xml:space="preserve">Content</x:t>
        </x:is>
      </x:c>
      <x:c r="D69" s="84" t="inlineStr">
        <x:is>
          <x:t xml:space="preserve">native div props passthrough</x:t>
        </x:is>
      </x:c>
      <x:c r="E69" s="76" t="inlineStr">
        <x:is>
          <x:t xml:space="preserve">yes</x:t>
        </x:is>
      </x:c>
      <x:c r="F69" s="76" t="inlineStr">
        <x:is>
          <x:t xml:space="preserve">yes</x:t>
        </x:is>
      </x:c>
      <x:c r="G69" s="73" t="inlineStr">
        <x:is>
          <x:t xml:space="preserve">passes manual test</x:t>
        </x:is>
      </x:c>
      <x:c r="H69" s="92" t="inlineStr">
        <x:is>
          <x:t xml:space="preserve">covered</x:t>
        </x:is>
      </x:c>
      <x:c r="I69" s="84" t="inlineStr">
        <x:is>
          <x:t xml:space="preserve">Verify the part forwards a non-Atom-owned data-prop-check marker in the live raw Data group or Inspector.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Styling hooks</x:t>
        </x:is>
      </x:c>
      <x:c r="C70" s="84" t="inlineStr">
        <x:is>
          <x:t xml:space="preserve">Content</x:t>
        </x:is>
      </x:c>
      <x:c r="D70" s="84" t="inlineStr">
        <x:is>
          <x:t xml:space="preserve">className passthrough</x:t>
        </x:is>
      </x:c>
      <x:c r="E70" s="76" t="inlineStr">
        <x:is>
          <x:t xml:space="preserve">yes</x:t>
        </x:is>
      </x:c>
      <x:c r="F70" s="76" t="inlineStr">
        <x:is>
          <x:t xml:space="preserve">yes</x:t>
        </x:is>
      </x:c>
      <x:c r="G70" s="73" t="inlineStr">
        <x:is>
          <x:t xml:space="preserve">passes manual test</x:t>
        </x:is>
      </x:c>
      <x:c r="H70" s="92" t="inlineStr">
        <x:is>
          <x:t xml:space="preserve">covered</x:t>
        </x:is>
      </x:c>
      <x:c r="I70" s="84" t="inlineStr">
        <x:is>
          <x:t xml:space="preserve">Dialog playground scenario; manually verified.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Styling hooks</x:t>
        </x:is>
      </x:c>
      <x:c r="C71" s="84" t="inlineStr">
        <x:is>
          <x:t xml:space="preserve">Content</x:t>
        </x:is>
      </x:c>
      <x:c r="D71" s="84" t="inlineStr">
        <x:is>
          <x:t xml:space="preserve">data-slot override</x:t>
        </x:is>
      </x:c>
      <x:c r="E71" s="76" t="inlineStr">
        <x:is>
          <x:t xml:space="preserve">yes</x:t>
        </x:is>
      </x:c>
      <x:c r="F71" s="76" t="inlineStr">
        <x:is>
          <x:t xml:space="preserve">yes</x:t>
        </x:is>
      </x:c>
      <x:c r="G71" s="73" t="inlineStr">
        <x:is>
          <x:t xml:space="preserve">passes manual test</x:t>
        </x:is>
      </x:c>
      <x:c r="H71" s="92" t="inlineStr">
        <x:is>
          <x:t xml:space="preserve">covered</x:t>
        </x:is>
      </x:c>
      <x:c r="I71" s="84" t="inlineStr">
        <x:is>
          <x:t xml:space="preserve">Dialog playground scenario; manually verified.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Public API</x:t>
        </x:is>
      </x:c>
      <x:c r="C72" s="84" t="inlineStr">
        <x:is>
          <x:t xml:space="preserve">Title</x:t>
        </x:is>
      </x:c>
      <x:c r="D72" s="84" t="inlineStr">
        <x:is>
          <x:t xml:space="preserve">renders title</x:t>
        </x:is>
      </x:c>
      <x:c r="E72" s="76" t="inlineStr">
        <x:is>
          <x:t xml:space="preserve">yes</x:t>
        </x:is>
      </x:c>
      <x:c r="F72" s="76" t="inlineStr">
        <x:is>
          <x:t xml:space="preserve">yes</x:t>
        </x:is>
      </x:c>
      <x:c r="G72" s="73" t="inlineStr">
        <x:is>
          <x:t xml:space="preserve">passes manual test</x:t>
        </x:is>
      </x:c>
      <x:c r="H72" s="92" t="inlineStr">
        <x:is>
          <x:t xml:space="preserve">covered</x:t>
        </x:is>
      </x:c>
      <x:c r="I72" s="84" t="inlineStr">
        <x:is>
          <x:t xml:space="preserve">Dialog playground scenario; manually verified.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Public API</x:t>
        </x:is>
      </x:c>
      <x:c r="C73" s="84" t="inlineStr">
        <x:is>
          <x:t xml:space="preserve">Title</x:t>
        </x:is>
      </x:c>
      <x:c r="D73" s="84" t="inlineStr">
        <x:is>
          <x:t xml:space="preserve">id matches aria-labelledby</x:t>
        </x:is>
      </x:c>
      <x:c r="E73" s="76" t="inlineStr">
        <x:is>
          <x:t xml:space="preserve">yes</x:t>
        </x:is>
      </x:c>
      <x:c r="F73" s="76" t="inlineStr">
        <x:is>
          <x:t xml:space="preserve">yes</x:t>
        </x:is>
      </x:c>
      <x:c r="G73" s="73" t="inlineStr">
        <x:is>
          <x:t xml:space="preserve">passes manual test</x:t>
        </x:is>
      </x:c>
      <x:c r="H73" s="92" t="inlineStr">
        <x:is>
          <x:t xml:space="preserve">covered</x:t>
        </x:is>
      </x:c>
      <x:c r="I73" s="84" t="inlineStr">
        <x:is>
          <x:t xml:space="preserve">Dialog playground scenario; manually verified.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Public API</x:t>
        </x:is>
      </x:c>
      <x:c r="C74" s="84" t="inlineStr">
        <x:is>
          <x:t xml:space="preserve">Title</x:t>
        </x:is>
      </x:c>
      <x:c r="D74" s="84" t="inlineStr">
        <x:is>
          <x:t xml:space="preserve">heading level default</x:t>
        </x:is>
      </x:c>
      <x:c r="E74" s="76" t="inlineStr">
        <x:is>
          <x:t xml:space="preserve">yes</x:t>
        </x:is>
      </x:c>
      <x:c r="F74" s="76" t="inlineStr">
        <x:is>
          <x:t xml:space="preserve">yes</x:t>
        </x:is>
      </x:c>
      <x:c r="G74" s="73" t="inlineStr">
        <x:is>
          <x:t xml:space="preserve">passes manual test</x:t>
        </x:is>
      </x:c>
      <x:c r="H74" s="92" t="inlineStr">
        <x:is>
          <x:t xml:space="preserve">covered</x:t>
        </x:is>
      </x:c>
      <x:c r="I74" s="84" t="inlineStr">
        <x:is>
          <x:t xml:space="preserve">Dialog playground scenario; manually verified.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45" customHeight="1">
      <x:c r="A75" s="73" t="n">
        <x:v>67</x:v>
      </x:c>
      <x:c r="B75" s="84" t="inlineStr">
        <x:is>
          <x:t xml:space="preserve">Public API</x:t>
        </x:is>
      </x:c>
      <x:c r="C75" s="84" t="inlineStr">
        <x:is>
          <x:t xml:space="preserve">Title</x:t>
        </x:is>
      </x:c>
      <x:c r="D75" s="84" t="inlineStr">
        <x:is>
          <x:t xml:space="preserve">heading level as prop</x:t>
        </x:is>
      </x:c>
      <x:c r="E75" s="76" t="inlineStr">
        <x:is>
          <x:t xml:space="preserve">yes</x:t>
        </x:is>
      </x:c>
      <x:c r="F75" s="76" t="inlineStr">
        <x:is>
          <x:t xml:space="preserve">yes</x:t>
        </x:is>
      </x:c>
      <x:c r="G75" s="73" t="inlineStr">
        <x:is>
          <x:t xml:space="preserve">passes manual test</x:t>
        </x:is>
      </x:c>
      <x:c r="H75" s="92" t="inlineStr">
        <x:is>
          <x:t xml:space="preserve">covered</x:t>
        </x:is>
      </x:c>
      <x:c r="I75" s="84" t="inlineStr">
        <x:is>
          <x:t xml:space="preserve">Dialog playground scenario; manually verified.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Refs</x:t>
        </x:is>
      </x:c>
      <x:c r="C76" s="84" t="inlineStr">
        <x:is>
          <x:t xml:space="preserve">Title</x:t>
        </x:is>
      </x:c>
      <x:c r="D76" s="84" t="inlineStr">
        <x:is>
          <x:t xml:space="preserve">ref receives heading</x:t>
        </x:is>
      </x:c>
      <x:c r="E76" s="76" t="inlineStr">
        <x:is>
          <x:t xml:space="preserve">yes</x:t>
        </x:is>
      </x:c>
      <x:c r="F76" s="76" t="inlineStr">
        <x:is>
          <x:t xml:space="preserve">yes</x:t>
        </x:is>
      </x:c>
      <x:c r="G76" s="73" t="inlineStr">
        <x:is>
          <x:t xml:space="preserve">passes manual test</x:t>
        </x:is>
      </x:c>
      <x:c r="H76" s="92" t="inlineStr">
        <x:is>
          <x:t xml:space="preserve">covered</x:t>
        </x:is>
      </x:c>
      <x:c r="I76" s="84" t="inlineStr">
        <x:is>
          <x:t xml:space="preserve">Dialog playground scenario; manually verified.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Props</x:t>
        </x:is>
      </x:c>
      <x:c r="C77" s="84" t="inlineStr">
        <x:is>
          <x:t xml:space="preserve">Title</x:t>
        </x:is>
      </x:c>
      <x:c r="D77" s="84" t="inlineStr">
        <x:is>
          <x:t xml:space="preserve">heading props passthrough</x:t>
        </x:is>
      </x:c>
      <x:c r="E77" s="76" t="inlineStr">
        <x:is>
          <x:t xml:space="preserve">yes</x:t>
        </x:is>
      </x:c>
      <x:c r="F77" s="76" t="inlineStr">
        <x:is>
          <x:t xml:space="preserve">yes</x:t>
        </x:is>
      </x:c>
      <x:c r="G77" s="73" t="inlineStr">
        <x:is>
          <x:t xml:space="preserve">passes manual test</x:t>
        </x:is>
      </x:c>
      <x:c r="H77" s="92" t="inlineStr">
        <x:is>
          <x:t xml:space="preserve">covered</x:t>
        </x:is>
      </x:c>
      <x:c r="I77" s="84" t="inlineStr">
        <x:is>
          <x:t xml:space="preserve">Verify the part forwards a non-Atom-owned data-prop-check marker in the live raw Data group or Inspector.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Styling hooks</x:t>
        </x:is>
      </x:c>
      <x:c r="C78" s="84" t="inlineStr">
        <x:is>
          <x:t xml:space="preserve">Title</x:t>
        </x:is>
      </x:c>
      <x:c r="D78" s="84" t="inlineStr">
        <x:is>
          <x:t xml:space="preserve">className passthrough</x:t>
        </x:is>
      </x:c>
      <x:c r="E78" s="76" t="inlineStr">
        <x:is>
          <x:t xml:space="preserve">yes</x:t>
        </x:is>
      </x:c>
      <x:c r="F78" s="76" t="inlineStr">
        <x:is>
          <x:t xml:space="preserve">yes</x:t>
        </x:is>
      </x:c>
      <x:c r="G78" s="73" t="inlineStr">
        <x:is>
          <x:t xml:space="preserve">passes manual test</x:t>
        </x:is>
      </x:c>
      <x:c r="H78" s="92" t="inlineStr">
        <x:is>
          <x:t xml:space="preserve">covered</x:t>
        </x:is>
      </x:c>
      <x:c r="I78" s="84" t="inlineStr">
        <x:is>
          <x:t xml:space="preserve">Dialog playground scenario; manually verified.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Styling hooks</x:t>
        </x:is>
      </x:c>
      <x:c r="C79" s="84" t="inlineStr">
        <x:is>
          <x:t xml:space="preserve">Title</x:t>
        </x:is>
      </x:c>
      <x:c r="D79" s="84" t="inlineStr">
        <x:is>
          <x:t xml:space="preserve">data-slot override</x:t>
        </x:is>
      </x:c>
      <x:c r="E79" s="76" t="inlineStr">
        <x:is>
          <x:t xml:space="preserve">yes</x:t>
        </x:is>
      </x:c>
      <x:c r="F79" s="76" t="inlineStr">
        <x:is>
          <x:t xml:space="preserve">yes</x:t>
        </x:is>
      </x:c>
      <x:c r="G79" s="73" t="inlineStr">
        <x:is>
          <x:t xml:space="preserve">passes manual test</x:t>
        </x:is>
      </x:c>
      <x:c r="H79" s="92" t="inlineStr">
        <x:is>
          <x:t xml:space="preserve">covered</x:t>
        </x:is>
      </x:c>
      <x:c r="I79" s="84" t="inlineStr">
        <x:is>
          <x:t xml:space="preserve">Dialog playground scenario; manually verified.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Public API</x:t>
        </x:is>
      </x:c>
      <x:c r="C80" s="84" t="inlineStr">
        <x:is>
          <x:t xml:space="preserve">Description</x:t>
        </x:is>
      </x:c>
      <x:c r="D80" s="84" t="inlineStr">
        <x:is>
          <x:t xml:space="preserve">renders description</x:t>
        </x:is>
      </x:c>
      <x:c r="E80" s="76" t="inlineStr">
        <x:is>
          <x:t xml:space="preserve">yes</x:t>
        </x:is>
      </x:c>
      <x:c r="F80" s="76" t="inlineStr">
        <x:is>
          <x:t xml:space="preserve">yes</x:t>
        </x:is>
      </x:c>
      <x:c r="G80" s="73" t="inlineStr">
        <x:is>
          <x:t xml:space="preserve">passes manual test</x:t>
        </x:is>
      </x:c>
      <x:c r="H80" s="92" t="inlineStr">
        <x:is>
          <x:t xml:space="preserve">covered</x:t>
        </x:is>
      </x:c>
      <x:c r="I80" s="84" t="inlineStr">
        <x:is>
          <x:t xml:space="preserve">Dialog playground scenario; manually verified.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45" customHeight="1">
      <x:c r="A81" s="73" t="n">
        <x:v>73</x:v>
      </x:c>
      <x:c r="B81" s="84" t="inlineStr">
        <x:is>
          <x:t xml:space="preserve">Public API</x:t>
        </x:is>
      </x:c>
      <x:c r="C81" s="84" t="inlineStr">
        <x:is>
          <x:t xml:space="preserve">Description</x:t>
        </x:is>
      </x:c>
      <x:c r="D81" s="84" t="inlineStr">
        <x:is>
          <x:t xml:space="preserve">id matches aria-describedby</x:t>
        </x:is>
      </x:c>
      <x:c r="E81" s="76" t="inlineStr">
        <x:is>
          <x:t xml:space="preserve">yes</x:t>
        </x:is>
      </x:c>
      <x:c r="F81" s="76" t="inlineStr">
        <x:is>
          <x:t xml:space="preserve">yes</x:t>
        </x:is>
      </x:c>
      <x:c r="G81" s="73" t="inlineStr">
        <x:is>
          <x:t xml:space="preserve">passes manual test</x:t>
        </x:is>
      </x:c>
      <x:c r="H81" s="92" t="inlineStr">
        <x:is>
          <x:t xml:space="preserve">covered</x:t>
        </x:is>
      </x:c>
      <x:c r="I81" s="84" t="inlineStr">
        <x:is>
          <x:t xml:space="preserve">Dialog playground scenario; manually verified.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Refs</x:t>
        </x:is>
      </x:c>
      <x:c r="C82" s="84" t="inlineStr">
        <x:is>
          <x:t xml:space="preserve">Description</x:t>
        </x:is>
      </x:c>
      <x:c r="D82" s="84" t="inlineStr">
        <x:is>
          <x:t xml:space="preserve">ref receives paragraph</x:t>
        </x:is>
      </x:c>
      <x:c r="E82" s="76" t="inlineStr">
        <x:is>
          <x:t xml:space="preserve">yes</x:t>
        </x:is>
      </x:c>
      <x:c r="F82" s="76" t="inlineStr">
        <x:is>
          <x:t xml:space="preserve">yes</x:t>
        </x:is>
      </x:c>
      <x:c r="G82" s="73" t="inlineStr">
        <x:is>
          <x:t xml:space="preserve">passes manual test</x:t>
        </x:is>
      </x:c>
      <x:c r="H82" s="92" t="inlineStr">
        <x:is>
          <x:t xml:space="preserve">covered</x:t>
        </x:is>
      </x:c>
      <x:c r="I82" s="84" t="inlineStr">
        <x:is>
          <x:t xml:space="preserve">Dialog playground scenario; manually verified.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Props</x:t>
        </x:is>
      </x:c>
      <x:c r="C83" s="84" t="inlineStr">
        <x:is>
          <x:t xml:space="preserve">Description</x:t>
        </x:is>
      </x:c>
      <x:c r="D83" s="84" t="inlineStr">
        <x:is>
          <x:t xml:space="preserve">paragraph props passthrough</x:t>
        </x:is>
      </x:c>
      <x:c r="E83" s="76" t="inlineStr">
        <x:is>
          <x:t xml:space="preserve">yes</x:t>
        </x:is>
      </x:c>
      <x:c r="F83" s="76" t="inlineStr">
        <x:is>
          <x:t xml:space="preserve">yes</x:t>
        </x:is>
      </x:c>
      <x:c r="G83" s="73" t="inlineStr">
        <x:is>
          <x:t xml:space="preserve">passes manual test</x:t>
        </x:is>
      </x:c>
      <x:c r="H83" s="92" t="inlineStr">
        <x:is>
          <x:t xml:space="preserve">covered</x:t>
        </x:is>
      </x:c>
      <x:c r="I83" s="84" t="inlineStr">
        <x:is>
          <x:t xml:space="preserve">Verify the part forwards a non-Atom-owned data-prop-check marker in the live raw Data group or Inspector.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Styling hooks</x:t>
        </x:is>
      </x:c>
      <x:c r="C84" s="84" t="inlineStr">
        <x:is>
          <x:t xml:space="preserve">Description</x:t>
        </x:is>
      </x:c>
      <x:c r="D84" s="84" t="inlineStr">
        <x:is>
          <x:t xml:space="preserve">className passthrough</x:t>
        </x:is>
      </x:c>
      <x:c r="E84" s="76" t="inlineStr">
        <x:is>
          <x:t xml:space="preserve">yes</x:t>
        </x:is>
      </x:c>
      <x:c r="F84" s="76" t="inlineStr">
        <x:is>
          <x:t xml:space="preserve">yes</x:t>
        </x:is>
      </x:c>
      <x:c r="G84" s="73" t="inlineStr">
        <x:is>
          <x:t xml:space="preserve">passes manual test</x:t>
        </x:is>
      </x:c>
      <x:c r="H84" s="92" t="inlineStr">
        <x:is>
          <x:t xml:space="preserve">covered</x:t>
        </x:is>
      </x:c>
      <x:c r="I84" s="84" t="inlineStr">
        <x:is>
          <x:t xml:space="preserve">Dialog playground scenario; manually verified.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Styling hooks</x:t>
        </x:is>
      </x:c>
      <x:c r="C85" s="84" t="inlineStr">
        <x:is>
          <x:t xml:space="preserve">Description</x:t>
        </x:is>
      </x:c>
      <x:c r="D85" s="84" t="inlineStr">
        <x:is>
          <x:t xml:space="preserve">data-slot override</x:t>
        </x:is>
      </x:c>
      <x:c r="E85" s="76" t="inlineStr">
        <x:is>
          <x:t xml:space="preserve">yes</x:t>
        </x:is>
      </x:c>
      <x:c r="F85" s="76" t="inlineStr">
        <x:is>
          <x:t xml:space="preserve">yes</x:t>
        </x:is>
      </x:c>
      <x:c r="G85" s="73" t="inlineStr">
        <x:is>
          <x:t xml:space="preserve">passes manual test</x:t>
        </x:is>
      </x:c>
      <x:c r="H85" s="92" t="inlineStr">
        <x:is>
          <x:t xml:space="preserve">covered</x:t>
        </x:is>
      </x:c>
      <x:c r="I85" s="84" t="inlineStr">
        <x:is>
          <x:t xml:space="preserve">Dialog playground scenario; manually verified.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Public API</x:t>
        </x:is>
      </x:c>
      <x:c r="C86" s="84" t="inlineStr">
        <x:is>
          <x:t xml:space="preserve">Close</x:t>
        </x:is>
      </x:c>
      <x:c r="D86" s="84" t="inlineStr">
        <x:is>
          <x:t xml:space="preserve">Cancel close button closes</x:t>
        </x:is>
      </x:c>
      <x:c r="E86" s="76" t="inlineStr">
        <x:is>
          <x:t xml:space="preserve">yes</x:t>
        </x:is>
      </x:c>
      <x:c r="F86" s="76" t="inlineStr">
        <x:is>
          <x:t xml:space="preserve">yes</x:t>
        </x:is>
      </x:c>
      <x:c r="G86" s="73" t="inlineStr">
        <x:is>
          <x:t xml:space="preserve">passes manual test</x:t>
        </x:is>
      </x:c>
      <x:c r="H86" s="92" t="inlineStr">
        <x:is>
          <x:t xml:space="preserve">covered</x:t>
        </x:is>
      </x:c>
      <x:c r="I86" s="84" t="inlineStr">
        <x:is>
          <x:t xml:space="preserve">Dialog playground scenario; manually verified.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Public API</x:t>
        </x:is>
      </x:c>
      <x:c r="C87" s="84" t="inlineStr">
        <x:is>
          <x:t xml:space="preserve">Close</x:t>
        </x:is>
      </x:c>
      <x:c r="D87" s="84" t="inlineStr">
        <x:is>
          <x:t xml:space="preserve">Save close button closes</x:t>
        </x:is>
      </x:c>
      <x:c r="E87" s="76" t="inlineStr">
        <x:is>
          <x:t xml:space="preserve">yes</x:t>
        </x:is>
      </x:c>
      <x:c r="F87" s="76" t="inlineStr">
        <x:is>
          <x:t xml:space="preserve">yes</x:t>
        </x:is>
      </x:c>
      <x:c r="G87" s="73" t="inlineStr">
        <x:is>
          <x:t xml:space="preserve">passes manual test</x:t>
        </x:is>
      </x:c>
      <x:c r="H87" s="92" t="inlineStr">
        <x:is>
          <x:t xml:space="preserve">covered</x:t>
        </x:is>
      </x:c>
      <x:c r="I87" s="84" t="inlineStr">
        <x:is>
          <x:t xml:space="preserve">Dialog playground scenario; manually verified.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Public API</x:t>
        </x:is>
      </x:c>
      <x:c r="C88" s="84" t="inlineStr">
        <x:is>
          <x:t xml:space="preserve">Close</x:t>
        </x:is>
      </x:c>
      <x:c r="D88" s="84" t="inlineStr">
        <x:is>
          <x:t xml:space="preserve">closeClick reason</x:t>
        </x:is>
      </x:c>
      <x:c r="E88" s="76" t="inlineStr">
        <x:is>
          <x:t xml:space="preserve">yes</x:t>
        </x:is>
      </x:c>
      <x:c r="F88" s="76" t="inlineStr">
        <x:is>
          <x:t xml:space="preserve">yes</x:t>
        </x:is>
      </x:c>
      <x:c r="G88" s="73" t="inlineStr">
        <x:is>
          <x:t xml:space="preserve">passes manual test</x:t>
        </x:is>
      </x:c>
      <x:c r="H88" s="92" t="inlineStr">
        <x:is>
          <x:t xml:space="preserve">covered</x:t>
        </x:is>
      </x:c>
      <x:c r="I88" s="84" t="inlineStr">
        <x:is>
          <x:t xml:space="preserve">Dialog playground scenario; manually verified.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Composition</x:t>
        </x:is>
      </x:c>
      <x:c r="C89" s="84" t="inlineStr">
        <x:is>
          <x:t xml:space="preserve">Close</x:t>
        </x:is>
      </x:c>
      <x:c r="D89" s="84" t="inlineStr">
        <x:is>
          <x:t xml:space="preserve">asChild</x:t>
        </x:is>
      </x:c>
      <x:c r="E89" s="76" t="inlineStr">
        <x:is>
          <x:t xml:space="preserve">yes</x:t>
        </x:is>
      </x:c>
      <x:c r="F89" s="76" t="inlineStr">
        <x:is>
          <x:t xml:space="preserve">yes</x:t>
        </x:is>
      </x:c>
      <x:c r="G89" s="73" t="inlineStr">
        <x:is>
          <x:t xml:space="preserve">passes manual test</x:t>
        </x:is>
      </x:c>
      <x:c r="H89" s="92" t="inlineStr">
        <x:is>
          <x:t xml:space="preserve">covered</x:t>
        </x:is>
      </x:c>
      <x:c r="I89" s="84" t="inlineStr">
        <x:is>
          <x:t xml:space="preserve">Dialog playground scenario; manually verified.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Composition</x:t>
        </x:is>
      </x:c>
      <x:c r="C90" s="84" t="inlineStr">
        <x:is>
          <x:t xml:space="preserve">Close</x:t>
        </x:is>
      </x:c>
      <x:c r="D90" s="84" t="inlineStr">
        <x:is>
          <x:t xml:space="preserve">render prop</x:t>
        </x:is>
      </x:c>
      <x:c r="E90" s="76" t="inlineStr">
        <x:is>
          <x:t xml:space="preserve">yes</x:t>
        </x:is>
      </x:c>
      <x:c r="F90" s="76" t="inlineStr">
        <x:is>
          <x:t xml:space="preserve">yes</x:t>
        </x:is>
      </x:c>
      <x:c r="G90" s="73" t="inlineStr">
        <x:is>
          <x:t xml:space="preserve">passes manual test</x:t>
        </x:is>
      </x:c>
      <x:c r="H90" s="92" t="inlineStr">
        <x:is>
          <x:t xml:space="preserve">covered</x:t>
        </x:is>
      </x:c>
      <x:c r="I90" s="84" t="inlineStr">
        <x:is>
          <x:t xml:space="preserve">Dialog playground scenario; manually verified.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45" customHeight="1">
      <x:c r="A91" s="73" t="n">
        <x:v>83</x:v>
      </x:c>
      <x:c r="B91" s="84" t="inlineStr">
        <x:is>
          <x:t xml:space="preserve">Composition</x:t>
        </x:is>
      </x:c>
      <x:c r="C91" s="84" t="inlineStr">
        <x:is>
          <x:t xml:space="preserve">Close</x:t>
        </x:is>
      </x:c>
      <x:c r="D91" s="84" t="inlineStr">
        <x:is>
          <x:t xml:space="preserve">merged onClick</x:t>
        </x:is>
      </x:c>
      <x:c r="E91" s="76" t="inlineStr">
        <x:is>
          <x:t xml:space="preserve">yes</x:t>
        </x:is>
      </x:c>
      <x:c r="F91" s="76" t="inlineStr">
        <x:is>
          <x:t xml:space="preserve">yes</x:t>
        </x:is>
      </x:c>
      <x:c r="G91" s="73" t="inlineStr">
        <x:is>
          <x:t xml:space="preserve">passes manual test</x:t>
        </x:is>
      </x:c>
      <x:c r="H91" s="92" t="inlineStr">
        <x:is>
          <x:t xml:space="preserve">covered</x:t>
        </x:is>
      </x:c>
      <x:c r="I91" s="84" t="inlineStr">
        <x:is>
          <x:t xml:space="preserve">Dialog playground scenario; manually verified.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Refs</x:t>
        </x:is>
      </x:c>
      <x:c r="C92" s="84" t="inlineStr">
        <x:is>
          <x:t xml:space="preserve">Close</x:t>
        </x:is>
      </x:c>
      <x:c r="D92" s="84" t="inlineStr">
        <x:is>
          <x:t xml:space="preserve">ref receives element</x:t>
        </x:is>
      </x:c>
      <x:c r="E92" s="76" t="inlineStr">
        <x:is>
          <x:t xml:space="preserve">yes</x:t>
        </x:is>
      </x:c>
      <x:c r="F92" s="76" t="inlineStr">
        <x:is>
          <x:t xml:space="preserve">yes</x:t>
        </x:is>
      </x:c>
      <x:c r="G92" s="73" t="inlineStr">
        <x:is>
          <x:t xml:space="preserve">passes manual test</x:t>
        </x:is>
      </x:c>
      <x:c r="H92" s="92" t="inlineStr">
        <x:is>
          <x:t xml:space="preserve">covered</x:t>
        </x:is>
      </x:c>
      <x:c r="I92" s="84" t="inlineStr">
        <x:is>
          <x:t xml:space="preserve">Dialog playground scenario; manually verified.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Props</x:t>
        </x:is>
      </x:c>
      <x:c r="C93" s="84" t="inlineStr">
        <x:is>
          <x:t xml:space="preserve">Close</x:t>
        </x:is>
      </x:c>
      <x:c r="D93" s="84" t="inlineStr">
        <x:is>
          <x:t xml:space="preserve">native button props passthrough</x:t>
        </x:is>
      </x:c>
      <x:c r="E93" s="76" t="inlineStr">
        <x:is>
          <x:t xml:space="preserve">yes</x:t>
        </x:is>
      </x:c>
      <x:c r="F93" s="76" t="inlineStr">
        <x:is>
          <x:t xml:space="preserve">yes</x:t>
        </x:is>
      </x:c>
      <x:c r="G93" s="73" t="inlineStr">
        <x:is>
          <x:t xml:space="preserve">passes manual test</x:t>
        </x:is>
      </x:c>
      <x:c r="H93" s="92" t="inlineStr">
        <x:is>
          <x:t xml:space="preserve">covered</x:t>
        </x:is>
      </x:c>
      <x:c r="I93" s="84" t="inlineStr">
        <x:is>
          <x:t xml:space="preserve">Verify the part forwards a non-Atom-owned data-prop-check marker in the live raw Data group or Inspector.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Styling hooks</x:t>
        </x:is>
      </x:c>
      <x:c r="C94" s="84" t="inlineStr">
        <x:is>
          <x:t xml:space="preserve">Close</x:t>
        </x:is>
      </x:c>
      <x:c r="D94" s="84" t="inlineStr">
        <x:is>
          <x:t xml:space="preserve">className passthrough</x:t>
        </x:is>
      </x:c>
      <x:c r="E94" s="76" t="inlineStr">
        <x:is>
          <x:t xml:space="preserve">yes</x:t>
        </x:is>
      </x:c>
      <x:c r="F94" s="76" t="inlineStr">
        <x:is>
          <x:t xml:space="preserve">yes</x:t>
        </x:is>
      </x:c>
      <x:c r="G94" s="73" t="inlineStr">
        <x:is>
          <x:t xml:space="preserve">passes manual test</x:t>
        </x:is>
      </x:c>
      <x:c r="H94" s="92" t="inlineStr">
        <x:is>
          <x:t xml:space="preserve">covered</x:t>
        </x:is>
      </x:c>
      <x:c r="I94" s="84" t="inlineStr">
        <x:is>
          <x:t xml:space="preserve">Dialog playground scenario; manually verified.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Styling hooks</x:t>
        </x:is>
      </x:c>
      <x:c r="C95" s="84" t="inlineStr">
        <x:is>
          <x:t xml:space="preserve">Close</x:t>
        </x:is>
      </x:c>
      <x:c r="D95" s="84" t="inlineStr">
        <x:is>
          <x:t xml:space="preserve">data-slot override</x:t>
        </x:is>
      </x:c>
      <x:c r="E95" s="76" t="inlineStr">
        <x:is>
          <x:t xml:space="preserve">yes</x:t>
        </x:is>
      </x:c>
      <x:c r="F95" s="76" t="inlineStr">
        <x:is>
          <x:t xml:space="preserve">yes</x:t>
        </x:is>
      </x:c>
      <x:c r="G95" s="73" t="inlineStr">
        <x:is>
          <x:t xml:space="preserve">passes manual test</x:t>
        </x:is>
      </x:c>
      <x:c r="H95" s="92" t="inlineStr">
        <x:is>
          <x:t xml:space="preserve">covered</x:t>
        </x:is>
      </x:c>
      <x:c r="I95" s="84" t="inlineStr">
        <x:is>
          <x:t xml:space="preserve">Dialog playground scenario; manually verified.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Interaction</x:t>
        </x:is>
      </x:c>
      <x:c r="C96" s="84" t="inlineStr">
        <x:is>
          <x:t xml:space="preserve">Keyboard</x:t>
        </x:is>
      </x:c>
      <x:c r="D96" s="84" t="inlineStr">
        <x:is>
          <x:t xml:space="preserve">Escape closes when enabled</x:t>
        </x:is>
      </x:c>
      <x:c r="E96" s="76" t="inlineStr">
        <x:is>
          <x:t xml:space="preserve">yes</x:t>
        </x:is>
      </x:c>
      <x:c r="F96" s="76" t="inlineStr">
        <x:is>
          <x:t xml:space="preserve">yes</x:t>
        </x:is>
      </x:c>
      <x:c r="G96" s="73" t="inlineStr">
        <x:is>
          <x:t xml:space="preserve">passes manual test</x:t>
        </x:is>
      </x:c>
      <x:c r="H96" s="92" t="inlineStr">
        <x:is>
          <x:t xml:space="preserve">covered</x:t>
        </x:is>
      </x:c>
      <x:c r="I96" s="84" t="inlineStr">
        <x:is>
          <x:t xml:space="preserve">Dialog playground scenario; manually verified.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Interaction</x:t>
        </x:is>
      </x:c>
      <x:c r="C97" s="84" t="inlineStr">
        <x:is>
          <x:t xml:space="preserve">Keyboard</x:t>
        </x:is>
      </x:c>
      <x:c r="D97" s="84" t="inlineStr">
        <x:is>
          <x:t xml:space="preserve">Escape does not close when disabled</x:t>
        </x:is>
      </x:c>
      <x:c r="E97" s="76" t="inlineStr">
        <x:is>
          <x:t xml:space="preserve">yes</x:t>
        </x:is>
      </x:c>
      <x:c r="F97" s="76" t="inlineStr">
        <x:is>
          <x:t xml:space="preserve">yes</x:t>
        </x:is>
      </x:c>
      <x:c r="G97" s="73" t="inlineStr">
        <x:is>
          <x:t xml:space="preserve">passes manual test</x:t>
        </x:is>
      </x:c>
      <x:c r="H97" s="92" t="inlineStr">
        <x:is>
          <x:t xml:space="preserve">covered</x:t>
        </x:is>
      </x:c>
      <x:c r="I97" s="84" t="inlineStr">
        <x:is>
          <x:t xml:space="preserve">Dialog playground scenario; manually verified.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Interaction</x:t>
        </x:is>
      </x:c>
      <x:c r="C98" s="84" t="inlineStr">
        <x:is>
          <x:t xml:space="preserve">Keyboard</x:t>
        </x:is>
      </x:c>
      <x:c r="D98" s="84" t="inlineStr">
        <x:is>
          <x:t xml:space="preserve">fullscreen browser Escape limitation documented</x:t>
        </x:is>
      </x:c>
      <x:c r="E98" s="76" t="inlineStr">
        <x:is>
          <x:t xml:space="preserve">yes</x:t>
        </x:is>
      </x:c>
      <x:c r="F98" s="76" t="inlineStr">
        <x:is>
          <x:t xml:space="preserve">yes</x:t>
        </x:is>
      </x:c>
      <x:c r="G98" s="73" t="inlineStr">
        <x:is>
          <x:t xml:space="preserve">passes manual test</x:t>
        </x:is>
      </x:c>
      <x:c r="H98" s="92" t="inlineStr">
        <x:is>
          <x:t xml:space="preserve">covered</x:t>
        </x:is>
      </x:c>
      <x:c r="I98" s="84" t="inlineStr">
        <x:is>
          <x:t xml:space="preserve">Dialog playground scenario; manually verified.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Interaction</x:t>
        </x:is>
      </x:c>
      <x:c r="C99" s="84" t="inlineStr">
        <x:is>
          <x:t xml:space="preserve">Cycle</x:t>
        </x:is>
      </x:c>
      <x:c r="D99" s="84" t="inlineStr">
        <x:is>
          <x:t xml:space="preserve">multiple open/close cycles</x:t>
        </x:is>
      </x:c>
      <x:c r="E99" s="76" t="inlineStr">
        <x:is>
          <x:t xml:space="preserve">yes</x:t>
        </x:is>
      </x:c>
      <x:c r="F99" s="76" t="inlineStr">
        <x:is>
          <x:t xml:space="preserve">yes</x:t>
        </x:is>
      </x:c>
      <x:c r="G99" s="73" t="inlineStr">
        <x:is>
          <x:t xml:space="preserve">passes manual test</x:t>
        </x:is>
      </x:c>
      <x:c r="H99" s="92" t="inlineStr">
        <x:is>
          <x:t xml:space="preserve">covered</x:t>
        </x:is>
      </x:c>
      <x:c r="I99" s="84" t="inlineStr">
        <x:is>
          <x:t xml:space="preserve">Dialog playground scenario; manually verified.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Interaction</x:t>
        </x:is>
      </x:c>
      <x:c r="C100" s="84" t="inlineStr">
        <x:is>
          <x:t xml:space="preserve">Trigger</x:t>
        </x:is>
      </x:c>
      <x:c r="D100" s="84" t="inlineStr">
        <x:is>
          <x:t xml:space="preserve">pointer/click trigger activation opens Dialog in the existing desktop manual scenario</x:t>
        </x:is>
      </x:c>
      <x:c r="E100" s="76" t="inlineStr">
        <x:is>
          <x:t xml:space="preserve">yes</x:t>
        </x:is>
      </x:c>
      <x:c r="F100" s="76" t="inlineStr">
        <x:is>
          <x:t xml:space="preserve">yes</x:t>
        </x:is>
      </x:c>
      <x:c r="G100" s="73" t="inlineStr">
        <x:is>
          <x:t xml:space="preserve">passed desktop and iPhone Safari qualification; Android deferred</x:t>
        </x:is>
      </x:c>
      <x:c r="H100" s="92" t="inlineStr">
        <x:is>
          <x:t xml:space="preserve">covered</x:t>
        </x:is>
      </x:c>
      <x:c r="I100" s="84" t="inlineStr">
        <x:is>
          <x:t xml:space="preserve">Dialog Modal Foundation Manual Test Protocol, 2026-07-17; desktop, macOS VoiceOver, iPhone Safari, and iPhone VoiceOver.</x:t>
        </x:is>
      </x:c>
      <x:c r="J100" s="84" t="inlineStr">
        <x:is>
          <x:t xml:space="preserve">Android Chrome/TalkBack deferred — no device available.</x:t>
        </x:is>
      </x:c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Interaction</x:t>
        </x:is>
      </x:c>
      <x:c r="C101" s="84" t="inlineStr">
        <x:is>
          <x:t xml:space="preserve">Backdrop</x:t>
        </x:is>
      </x:c>
      <x:c r="D101" s="84" t="inlineStr">
        <x:is>
          <x:t xml:space="preserve">pointer/click backdrop activation dismisses Dialog in the existing desktop manual scenario</x:t>
        </x:is>
      </x:c>
      <x:c r="E101" s="76" t="inlineStr">
        <x:is>
          <x:t xml:space="preserve">yes</x:t>
        </x:is>
      </x:c>
      <x:c r="F101" s="76" t="inlineStr">
        <x:is>
          <x:t xml:space="preserve">yes</x:t>
        </x:is>
      </x:c>
      <x:c r="G101" s="73" t="inlineStr">
        <x:is>
          <x:t xml:space="preserve">passed desktop and iPhone Safari qualification; Android deferred</x:t>
        </x:is>
      </x:c>
      <x:c r="H101" s="92" t="inlineStr">
        <x:is>
          <x:t xml:space="preserve">covered</x:t>
        </x:is>
      </x:c>
      <x:c r="I101" s="84" t="inlineStr">
        <x:is>
          <x:t xml:space="preserve">Dialog Modal Foundation Manual Test Protocol, 2026-07-17; desktop, macOS VoiceOver, iPhone Safari, and iPhone VoiceOver.</x:t>
        </x:is>
      </x:c>
      <x:c r="J101" s="84" t="inlineStr">
        <x:is>
          <x:t xml:space="preserve">Android Chrome/TalkBack deferred — no device available.</x:t>
        </x:is>
      </x:c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Positioning</x:t>
        </x:is>
      </x:c>
      <x:c r="C102" s="84" t="inlineStr">
        <x:is>
          <x:t xml:space="preserve">Dialog</x:t>
        </x:is>
      </x:c>
      <x:c r="D102" s="84" t="inlineStr">
        <x:is>
          <x:t xml:space="preserve">Dialog fits the manually tested desktop layout viewport; mobile safe-area, visual-viewport, and virtual-keyboard behavior is not qualified</x:t>
        </x:is>
      </x:c>
      <x:c r="E102" s="76" t="inlineStr">
        <x:is>
          <x:t xml:space="preserve">yes</x:t>
        </x:is>
      </x:c>
      <x:c r="F102" s="76" t="inlineStr">
        <x:is>
          <x:t xml:space="preserve">yes</x:t>
        </x:is>
      </x:c>
      <x:c r="G102" s="73" t="inlineStr">
        <x:is>
          <x:t xml:space="preserve">passed desktop and iPhone Safari qualification; Android deferred</x:t>
        </x:is>
      </x:c>
      <x:c r="H102" s="92" t="inlineStr">
        <x:is>
          <x:t xml:space="preserve">covered</x:t>
        </x:is>
      </x:c>
      <x:c r="I102" s="84" t="inlineStr">
        <x:is>
          <x:t xml:space="preserve">Dialog Modal Foundation Manual Test Protocol, 2026-07-17; desktop, macOS VoiceOver, iPhone Safari, and iPhone VoiceOver.</x:t>
        </x:is>
      </x:c>
      <x:c r="J102" s="84" t="inlineStr">
        <x:is>
          <x:t xml:space="preserve">Android Chrome/TalkBack deferred — no device available.</x:t>
        </x:is>
      </x:c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Focus</x:t>
        </x:is>
      </x:c>
      <x:c r="C103" s="84" t="inlineStr">
        <x:is>
          <x:t xml:space="preserve">Dialog</x:t>
        </x:is>
      </x:c>
      <x:c r="D103" s="84" t="inlineStr">
        <x:is>
          <x:t xml:space="preserve">desktop focus entry, trap, and restoration expectations; mobile screen-reader touch exploration is not qualified</x:t>
        </x:is>
      </x:c>
      <x:c r="E103" s="76" t="inlineStr">
        <x:is>
          <x:t xml:space="preserve">yes</x:t>
        </x:is>
      </x:c>
      <x:c r="F103" s="76" t="inlineStr">
        <x:is>
          <x:t xml:space="preserve">yes</x:t>
        </x:is>
      </x:c>
      <x:c r="G103" s="73" t="inlineStr">
        <x:is>
          <x:t xml:space="preserve">passed desktop and iPhone Safari qualification; Android deferred</x:t>
        </x:is>
      </x:c>
      <x:c r="H103" s="92" t="inlineStr">
        <x:is>
          <x:t xml:space="preserve">covered</x:t>
        </x:is>
      </x:c>
      <x:c r="I103" s="84" t="inlineStr">
        <x:is>
          <x:t xml:space="preserve">Dialog Modal Foundation Manual Test Protocol, 2026-07-17; desktop, macOS VoiceOver, iPhone Safari, and iPhone VoiceOver.</x:t>
        </x:is>
      </x:c>
      <x:c r="J103" s="84" t="inlineStr">
        <x:is>
          <x:t xml:space="preserve">Android Chrome/TalkBack deferred — no device available.</x:t>
        </x:is>
      </x:c>
      <x:c r="K103" s="87" t="n">
        <x:f>IF(AND(E103="yes",F103="yes",H103="covered"),1,IF(H103="partial",0.5,0))</x:f>
        <x:v>1</x:v>
      </x:c>
    </x:row>
    <x:row r="104" s="51" customFormat="1" ht="54" customHeight="1">
      <x:c r="A104" s="73" t="n">
        <x:v>96</x:v>
      </x:c>
      <x:c r="B104" s="84" t="inlineStr">
        <x:is>
          <x:t xml:space="preserve">Accessibility</x:t>
        </x:is>
      </x:c>
      <x:c r="C104" s="84" t="inlineStr">
        <x:is>
          <x:t xml:space="preserve">Content</x:t>
        </x:is>
      </x:c>
      <x:c r="D104" s="84" t="inlineStr">
        <x:is>
          <x:t xml:space="preserve">native aria-label, aria-labelledby, and aria-describedby take precedence over compatibility and generated relationships</x:t>
        </x:is>
      </x:c>
      <x:c r="E104" s="76" t="inlineStr">
        <x:is>
          <x:t xml:space="preserve">yes</x:t>
        </x:is>
      </x:c>
      <x:c r="F104" s="76" t="inlineStr">
        <x:is>
          <x:t xml:space="preserve">yes</x:t>
        </x:is>
      </x:c>
      <x:c r="G104" s="73" t="inlineStr">
        <x:is>
          <x:t xml:space="preserve">passed focused manual qualification</x:t>
        </x:is>
      </x:c>
      <x:c r="H104" s="92" t="inlineStr">
        <x:is>
          <x:t xml:space="preserve">covered</x:t>
        </x:is>
      </x:c>
      <x:c r="I104" s="84" t="inlineStr">
        <x:is>
          <x:t xml:space="preserve">Dialog Modal Foundation Manual Test Protocol, 2026-07-17; desktop, macOS VoiceOver, iPhone Safari, and iPhone VoiceOver.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54" customHeight="1">
      <x:c r="A105" s="73" t="n">
        <x:v>97</x:v>
      </x:c>
      <x:c r="B105" s="84" t="inlineStr">
        <x:is>
          <x:t xml:space="preserve">Accessibility</x:t>
        </x:is>
      </x:c>
      <x:c r="C105" s="84" t="inlineStr">
        <x:is>
          <x:t xml:space="preserve">Description</x:t>
        </x:is>
      </x:c>
      <x:c r="D105" s="84" t="inlineStr">
        <x:is>
          <x:t xml:space="preserve">conditional Description mount and unmount adds and removes aria-describedby without a dangling relationship</x:t>
        </x:is>
      </x:c>
      <x:c r="E105" s="76" t="inlineStr">
        <x:is>
          <x:t xml:space="preserve">yes</x:t>
        </x:is>
      </x:c>
      <x:c r="F105" s="76" t="inlineStr">
        <x:is>
          <x:t xml:space="preserve">yes</x:t>
        </x:is>
      </x:c>
      <x:c r="G105" s="73" t="inlineStr">
        <x:is>
          <x:t xml:space="preserve">passed focused manual qualification</x:t>
        </x:is>
      </x:c>
      <x:c r="H105" s="92" t="inlineStr">
        <x:is>
          <x:t xml:space="preserve">covered</x:t>
        </x:is>
      </x:c>
      <x:c r="I105" s="84" t="inlineStr">
        <x:is>
          <x:t xml:space="preserve">Dialog Modal Foundation Manual Test Protocol, 2026-07-17; desktop, macOS VoiceOver, iPhone Safari, and iPhone VoiceOver.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54" customHeight="1">
      <x:c r="A106" s="73" t="n">
        <x:v>98</x:v>
      </x:c>
      <x:c r="B106" s="84" t="inlineStr">
        <x:is>
          <x:t xml:space="preserve">Focus</x:t>
        </x:is>
      </x:c>
      <x:c r="C106" s="84" t="inlineStr">
        <x:is>
          <x:t xml:space="preserve">Content</x:t>
        </x:is>
      </x:c>
      <x:c r="D106" s="84" t="inlineStr">
        <x:is>
          <x:t xml:space="preserve">initialFocus supports Content, explicit target, native autoFocus, and interaction-aware touch default</x:t>
        </x:is>
      </x:c>
      <x:c r="E106" s="76" t="inlineStr">
        <x:is>
          <x:t xml:space="preserve">yes</x:t>
        </x:is>
      </x:c>
      <x:c r="F106" s="76" t="inlineStr">
        <x:is>
          <x:t xml:space="preserve">yes</x:t>
        </x:is>
      </x:c>
      <x:c r="G106" s="73" t="inlineStr">
        <x:is>
          <x:t xml:space="preserve">passed focused manual qualification</x:t>
        </x:is>
      </x:c>
      <x:c r="H106" s="92" t="inlineStr">
        <x:is>
          <x:t xml:space="preserve">covered</x:t>
        </x:is>
      </x:c>
      <x:c r="I106" s="84" t="inlineStr">
        <x:is>
          <x:t xml:space="preserve">Dialog Modal Foundation Manual Test Protocol, 2026-07-17; desktop, macOS VoiceOver, iPhone Safari, and iPhone VoiceOver.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54" customHeight="1">
      <x:c r="A107" s="73" t="n">
        <x:v>99</x:v>
      </x:c>
      <x:c r="B107" s="84" t="inlineStr">
        <x:is>
          <x:t xml:space="preserve">Focus</x:t>
        </x:is>
      </x:c>
      <x:c r="C107" s="84" t="inlineStr">
        <x:is>
          <x:t xml:space="preserve">Content</x:t>
        </x:is>
      </x:c>
      <x:c r="D107" s="84" t="inlineStr">
        <x:is>
          <x:t xml:space="preserve">finalFocus supports workflow target, trigger restoration, and disabled automatic restoration</x:t>
        </x:is>
      </x:c>
      <x:c r="E107" s="76" t="inlineStr">
        <x:is>
          <x:t xml:space="preserve">yes</x:t>
        </x:is>
      </x:c>
      <x:c r="F107" s="76" t="inlineStr">
        <x:is>
          <x:t xml:space="preserve">yes</x:t>
        </x:is>
      </x:c>
      <x:c r="G107" s="73" t="inlineStr">
        <x:is>
          <x:t xml:space="preserve">passed focused manual qualification</x:t>
        </x:is>
      </x:c>
      <x:c r="H107" s="92" t="inlineStr">
        <x:is>
          <x:t xml:space="preserve">covered</x:t>
        </x:is>
      </x:c>
      <x:c r="I107" s="84" t="inlineStr">
        <x:is>
          <x:t xml:space="preserve">Dialog Modal Foundation Manual Test Protocol, 2026-07-17; desktop, macOS VoiceOver, iPhone Safari, and iPhone VoiceOver.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54" customHeight="1">
      <x:c r="A108" s="73" t="n">
        <x:v>100</x:v>
      </x:c>
      <x:c r="B108" s="84" t="inlineStr">
        <x:is>
          <x:t xml:space="preserve">Isolation</x:t>
        </x:is>
      </x:c>
      <x:c r="C108" s="84" t="inlineStr">
        <x:is>
          <x:t xml:space="preserve">Dialog</x:t>
        </x:is>
      </x:c>
      <x:c r="D108" s="84" t="inlineStr">
        <x:is>
          <x:t xml:space="preserve">background is inert while open and author/background state is restored after close</x:t>
        </x:is>
      </x:c>
      <x:c r="E108" s="76" t="inlineStr">
        <x:is>
          <x:t xml:space="preserve">yes</x:t>
        </x:is>
      </x:c>
      <x:c r="F108" s="76" t="inlineStr">
        <x:is>
          <x:t xml:space="preserve">yes</x:t>
        </x:is>
      </x:c>
      <x:c r="G108" s="73" t="inlineStr">
        <x:is>
          <x:t xml:space="preserve">passed focused manual qualification</x:t>
        </x:is>
      </x:c>
      <x:c r="H108" s="92" t="inlineStr">
        <x:is>
          <x:t xml:space="preserve">covered</x:t>
        </x:is>
      </x:c>
      <x:c r="I108" s="84" t="inlineStr">
        <x:is>
          <x:t xml:space="preserve">Dialog Modal Foundation Manual Test Protocol, 2026-07-17; desktop, macOS VoiceOver, iPhone Safari, and iPhone VoiceOver.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54" customHeight="1">
      <x:c r="A109" s="73" t="n">
        <x:v>101</x:v>
      </x:c>
      <x:c r="B109" s="84" t="inlineStr">
        <x:is>
          <x:t xml:space="preserve">Portal</x:t>
        </x:is>
      </x:c>
      <x:c r="C109" s="84" t="inlineStr">
        <x:is>
          <x:t xml:space="preserve">Select</x:t>
        </x:is>
      </x:c>
      <x:c r="D109" s="84" t="inlineStr">
        <x:is>
          <x:t xml:space="preserve">portalled Select retains its keyboard contract, focus containment, and allowed scrolling</x:t>
        </x:is>
      </x:c>
      <x:c r="E109" s="76" t="inlineStr">
        <x:is>
          <x:t xml:space="preserve">yes</x:t>
        </x:is>
      </x:c>
      <x:c r="F109" s="76" t="inlineStr">
        <x:is>
          <x:t xml:space="preserve">yes</x:t>
        </x:is>
      </x:c>
      <x:c r="G109" s="73" t="inlineStr">
        <x:is>
          <x:t xml:space="preserve">passed focused manual qualification</x:t>
        </x:is>
      </x:c>
      <x:c r="H109" s="92" t="inlineStr">
        <x:is>
          <x:t xml:space="preserve">covered</x:t>
        </x:is>
      </x:c>
      <x:c r="I109" s="84" t="inlineStr">
        <x:is>
          <x:t xml:space="preserve">Dialog Modal Foundation Manual Test Protocol, 2026-07-17; desktop, macOS VoiceOver, iPhone Safari, and iPhone VoiceOver.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54" customHeight="1">
      <x:c r="A110" s="73" t="n">
        <x:v>102</x:v>
      </x:c>
      <x:c r="B110" s="84" t="inlineStr">
        <x:is>
          <x:t xml:space="preserve">Portal</x:t>
        </x:is>
      </x:c>
      <x:c r="C110" s="84" t="inlineStr">
        <x:is>
          <x:t xml:space="preserve">Modal.Branch</x:t>
        </x:is>
      </x:c>
      <x:c r="D110" s="84" t="inlineStr">
        <x:is>
          <x:t xml:space="preserve">consumer-owned branch remains focusable and scrollable while delegating its own Tab contract</x:t>
        </x:is>
      </x:c>
      <x:c r="E110" s="76" t="inlineStr">
        <x:is>
          <x:t xml:space="preserve">yes</x:t>
        </x:is>
      </x:c>
      <x:c r="F110" s="76" t="inlineStr">
        <x:is>
          <x:t xml:space="preserve">yes</x:t>
        </x:is>
      </x:c>
      <x:c r="G110" s="73" t="inlineStr">
        <x:is>
          <x:t xml:space="preserve">passed focused manual qualification</x:t>
        </x:is>
      </x:c>
      <x:c r="H110" s="92" t="inlineStr">
        <x:is>
          <x:t xml:space="preserve">covered</x:t>
        </x:is>
      </x:c>
      <x:c r="I110" s="84" t="inlineStr">
        <x:is>
          <x:t xml:space="preserve">Dialog Modal Foundation Manual Test Protocol, 2026-07-17; desktop, macOS VoiceOver, iPhone Safari, and iPhone VoiceOver.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54" customHeight="1">
      <x:c r="A111" s="73" t="n">
        <x:v>103</x:v>
      </x:c>
      <x:c r="B111" s="84" t="inlineStr">
        <x:is>
          <x:t xml:space="preserve">Layering</x:t>
        </x:is>
      </x:c>
      <x:c r="C111" s="84" t="inlineStr">
        <x:is>
          <x:t xml:space="preserve">Nested Dialog</x:t>
        </x:is>
      </x:c>
      <x:c r="D111" s="84" t="inlineStr">
        <x:is>
          <x:t xml:space="preserve">top layer alone owns Escape, overlay dismissal, focus, isolation, and scroll locking</x:t>
        </x:is>
      </x:c>
      <x:c r="E111" s="76" t="inlineStr">
        <x:is>
          <x:t xml:space="preserve">yes</x:t>
        </x:is>
      </x:c>
      <x:c r="F111" s="76" t="inlineStr">
        <x:is>
          <x:t xml:space="preserve">yes</x:t>
        </x:is>
      </x:c>
      <x:c r="G111" s="73" t="inlineStr">
        <x:is>
          <x:t xml:space="preserve">passed focused manual qualification</x:t>
        </x:is>
      </x:c>
      <x:c r="H111" s="92" t="inlineStr">
        <x:is>
          <x:t xml:space="preserve">covered</x:t>
        </x:is>
      </x:c>
      <x:c r="I111" s="84" t="inlineStr">
        <x:is>
          <x:t xml:space="preserve">Dialog Modal Foundation Manual Test Protocol, 2026-07-17; desktop, macOS VoiceOver, iPhone Safari, and iPhone VoiceOver.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54" customHeight="1">
      <x:c r="A112" s="73" t="n">
        <x:v>104</x:v>
      </x:c>
      <x:c r="B112" s="84" t="inlineStr">
        <x:is>
          <x:t xml:space="preserve">Interaction</x:t>
        </x:is>
      </x:c>
      <x:c r="C112" s="84" t="inlineStr">
        <x:is>
          <x:t xml:space="preserve">Overlay</x:t>
        </x:is>
      </x:c>
      <x:c r="D112" s="84" t="inlineStr">
        <x:is>
          <x:t xml:space="preserve">portalled or descendant click bubbling does not dismiss; direct overlay activation dismisses one layer</x:t>
        </x:is>
      </x:c>
      <x:c r="E112" s="76" t="inlineStr">
        <x:is>
          <x:t xml:space="preserve">yes</x:t>
        </x:is>
      </x:c>
      <x:c r="F112" s="76" t="inlineStr">
        <x:is>
          <x:t xml:space="preserve">yes</x:t>
        </x:is>
      </x:c>
      <x:c r="G112" s="73" t="inlineStr">
        <x:is>
          <x:t xml:space="preserve">passed focused manual qualification</x:t>
        </x:is>
      </x:c>
      <x:c r="H112" s="92" t="inlineStr">
        <x:is>
          <x:t xml:space="preserve">covered</x:t>
        </x:is>
      </x:c>
      <x:c r="I112" s="84" t="inlineStr">
        <x:is>
          <x:t xml:space="preserve">Dialog Modal Foundation Manual Test Protocol, 2026-07-17; desktop, macOS VoiceOver, iPhone Safari, and iPhone VoiceOver.</x:t>
        </x:is>
      </x:c>
      <x:c r="J112" s="84" t="n"/>
      <x:c r="K112" s="87" t="n">
        <x:f>IF(AND(E112="yes",F112="yes",H112="covered"),1,IF(H112="partial",0.5,0))</x:f>
        <x:v>1</x:v>
      </x:c>
    </x:row>
  </x:sheetData>
  <x:mergeCells>
    <x:mergeCell ref="A6:K6"/>
    <x:mergeCell ref="A2:H2"/>
    <x:mergeCell ref="A1:H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Direction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IFERROR(SUM(K9:K34)/COUNTA(A9:A34),0)</x:f>
        <x:v>1</x:v>
      </x:c>
      <x:c r="C4" s="70" t="inlineStr">
        <x:is>
          <x:t xml:space="preserve">Covered</x:t>
        </x:is>
      </x:c>
      <x:c r="D4" s="82" t="n">
        <x:f>COUNTIF(H9:H34,"covered")</x:f>
        <x:v>26</x:v>
      </x:c>
      <x:c r="E4" s="70" t="inlineStr">
        <x:is>
          <x:t xml:space="preserve">Partial</x:t>
        </x:is>
      </x:c>
      <x:c r="F4" s="82" t="n">
        <x:f>COUNTIF(H9:H34,"partial")</x:f>
        <x:v>0</x:v>
      </x:c>
      <x:c r="G4" s="70" t="inlineStr">
        <x:is>
          <x:t xml:space="preserve">Missing</x:t>
        </x:is>
      </x:c>
      <x:c r="H4" s="82" t="n">
        <x:f>COUNTIF(H9:H34,"missing")</x:f>
        <x:v>0</x:v>
      </x:c>
      <x:c r="I4" s="70" t="inlineStr">
        <x:is>
          <x:t xml:space="preserve">Untested</x:t>
        </x:is>
      </x:c>
      <x:c r="J4" s="82" t="n">
        <x:f>COUNTIF(F9:F34,"no")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Shared playground prop rule.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Shared playground prop rule.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89" t="n">
        <x:v>3</x:v>
      </x:c>
      <x:c r="B11" s="90" t="inlineStr">
        <x:is>
          <x:t xml:space="preserve">Playground</x:t>
        </x:is>
      </x:c>
      <x:c r="C11" s="90" t="inlineStr">
        <x:is>
          <x:t xml:space="preserve">Direction</x:t>
        </x:is>
      </x:c>
      <x:c r="D11" s="90" t="inlineStr">
        <x:is>
          <x:t xml:space="preserve">scenario is reachable from top menu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Direction playground scenario.</x:t>
        </x:is>
      </x:c>
      <x:c r="J11" s="90" t="n"/>
      <x:c r="K11" s="91" t="n">
        <x:f>IF(H11="covered",1,IF(H11="partial",0.5,0))</x:f>
        <x:v>1</x:v>
      </x:c>
    </x:row>
    <x:row r="12" s="51" customFormat="1" ht="15" customHeight="1">
      <x:c r="A12" s="89" t="n">
        <x:v>4</x:v>
      </x:c>
      <x:c r="B12" s="90" t="inlineStr">
        <x:is>
          <x:t xml:space="preserve">Playground</x:t>
        </x:is>
      </x:c>
      <x:c r="C12" s="90" t="inlineStr">
        <x:is>
          <x:t xml:space="preserve">Direction</x:t>
        </x:is>
      </x:c>
      <x:c r="D12" s="90" t="inlineStr">
        <x:is>
          <x:t xml:space="preserve">canvas source reflects current toggles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Direction playground scenario.</x:t>
        </x:is>
      </x:c>
      <x:c r="J12" s="90" t="n"/>
      <x:c r="K12" s="91" t="n">
        <x:f>IF(H12="covered",1,IF(H12="partial",0.5,0))</x:f>
        <x:v>1</x:v>
      </x:c>
    </x:row>
    <x:row r="13" s="51" customFormat="1" ht="15" customHeight="1">
      <x:c r="A13" s="89" t="n">
        <x:v>5</x:v>
      </x:c>
      <x:c r="B13" s="90" t="inlineStr">
        <x:is>
          <x:t xml:space="preserve">Playground</x:t>
        </x:is>
      </x:c>
      <x:c r="C13" s="90" t="inlineStr">
        <x:is>
          <x:t xml:space="preserve">Direction</x:t>
        </x:is>
      </x:c>
      <x:c r="D13" s="90" t="inlineStr">
        <x:is>
          <x:t xml:space="preserve">anatomy uses live DOM attributes, ARIA, and data groups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Direction playground scenario.</x:t>
        </x:is>
      </x:c>
      <x:c r="J13" s="90" t="n"/>
      <x:c r="K13" s="91" t="n">
        <x:f>IF(H13="covered",1,IF(H13="partial",0.5,0))</x:f>
        <x:v>1</x:v>
      </x:c>
    </x:row>
    <x:row r="14" s="51" customFormat="1" ht="15" customHeight="1">
      <x:c r="A14" s="89" t="n">
        <x:v>6</x:v>
      </x:c>
      <x:c r="B14" s="90" t="inlineStr">
        <x:is>
          <x:t xml:space="preserve">Playground</x:t>
        </x:is>
      </x:c>
      <x:c r="C14" s="90" t="inlineStr">
        <x:is>
          <x:t xml:space="preserve">Direction</x:t>
        </x:is>
      </x:c>
      <x:c r="D14" s="90" t="inlineStr">
        <x:is>
          <x:t xml:space="preserve">inspector selected/focused/logs work for this scenario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Direction playground scenario.</x:t>
        </x:is>
      </x:c>
      <x:c r="J14" s="90" t="n"/>
      <x:c r="K14" s="91" t="n">
        <x:f>IF(H14="covered",1,IF(H14="partial",0.5,0))</x:f>
        <x:v>1</x:v>
      </x:c>
    </x:row>
    <x:row r="15" s="51" customFormat="1" ht="15" customHeight="1">
      <x:c r="A15" s="89" t="n">
        <x:v>7</x:v>
      </x:c>
      <x:c r="B15" s="90" t="inlineStr">
        <x:is>
          <x:t xml:space="preserve">Feature</x:t>
        </x:is>
      </x:c>
      <x:c r="C15" s="90" t="inlineStr">
        <x:is>
          <x:t xml:space="preserve">Direction</x:t>
        </x:is>
      </x:c>
      <x:c r="D15" s="90" t="inlineStr">
        <x:is>
          <x:t xml:space="preserve">Provides `ltr` or `rtl` direction to Atom primitives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Direction playground scenario.</x:t>
        </x:is>
      </x:c>
      <x:c r="J15" s="90" t="n"/>
      <x:c r="K15" s="91" t="n">
        <x:f>IF(H15="covered",1,IF(H15="partial",0.5,0))</x:f>
        <x:v>1</x:v>
      </x:c>
    </x:row>
    <x:row r="16" s="51" customFormat="1" ht="15" customHeight="1">
      <x:c r="A16" s="89" t="n">
        <x:v>8</x:v>
      </x:c>
      <x:c r="B16" s="90" t="inlineStr">
        <x:is>
          <x:t xml:space="preserve">Feature</x:t>
        </x:is>
      </x:c>
      <x:c r="C16" s="90" t="inlineStr">
        <x:is>
          <x:t xml:space="preserve">Direction</x:t>
        </x:is>
      </x:c>
      <x:c r="D16" s="90" t="inlineStr">
        <x:is>
          <x:t xml:space="preserve">Supports nested providers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Direction playground scenario.</x:t>
        </x:is>
      </x:c>
      <x:c r="J16" s="90" t="n"/>
      <x:c r="K16" s="91" t="n">
        <x:f>IF(H16="covered",1,IF(H16="partial",0.5,0))</x:f>
        <x:v>1</x:v>
      </x:c>
    </x:row>
    <x:row r="17" s="51" customFormat="1" ht="15" customHeight="1">
      <x:c r="A17" s="89" t="n">
        <x:v>9</x:v>
      </x:c>
      <x:c r="B17" s="90" t="inlineStr">
        <x:is>
          <x:t xml:space="preserve">Feature</x:t>
        </x:is>
      </x:c>
      <x:c r="C17" s="90" t="inlineStr">
        <x:is>
          <x:t xml:space="preserve">Direction</x:t>
        </x:is>
      </x:c>
      <x:c r="D17" s="90" t="inlineStr">
        <x:is>
          <x:t xml:space="preserve">Exports `useDirection` for custom headless compositions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Direction playground scenario.</x:t>
        </x:is>
      </x:c>
      <x:c r="J17" s="90" t="n"/>
      <x:c r="K17" s="91" t="n">
        <x:f>IF(H17="covered",1,IF(H17="partial",0.5,0))</x:f>
        <x:v>1</x:v>
      </x:c>
    </x:row>
    <x:row r="18" s="51" customFormat="1" ht="15" customHeight="1">
      <x:c r="A18" s="89" t="n">
        <x:v>10</x:v>
      </x:c>
      <x:c r="B18" s="90" t="inlineStr">
        <x:is>
          <x:t xml:space="preserve">Feature</x:t>
        </x:is>
      </x:c>
      <x:c r="C18" s="90" t="inlineStr">
        <x:is>
          <x:t xml:space="preserve">Direction</x:t>
        </x:is>
      </x:c>
      <x:c r="D18" s="90" t="inlineStr">
        <x:is>
          <x:t xml:space="preserve">Does not render a DOM wrapper</x:t>
        </x:is>
      </x:c>
      <x:c r="E18" s="89" t="inlineStr">
        <x:is>
          <x:t xml:space="preserve">yes</x:t>
        </x:is>
      </x:c>
      <x:c r="F18" s="89" t="inlineStr">
        <x:is>
          <x:t xml:space="preserve">yes</x:t>
        </x:is>
      </x:c>
      <x:c r="G18" s="89" t="inlineStr">
        <x:is>
          <x:t xml:space="preserve">passed</x:t>
        </x:is>
      </x:c>
      <x:c r="H18" s="89" t="inlineStr">
        <x:is>
          <x:t xml:space="preserve">covered</x:t>
        </x:is>
      </x:c>
      <x:c r="I18" s="90" t="inlineStr">
        <x:is>
          <x:t xml:space="preserve">Direction playground scenario.</x:t>
        </x:is>
      </x:c>
      <x:c r="J18" s="90" t="n"/>
      <x:c r="K18" s="91" t="n">
        <x:f>IF(H18="covered",1,IF(H18="partial",0.5,0))</x:f>
        <x:v>1</x:v>
      </x:c>
    </x:row>
    <x:row r="19" s="51" customFormat="1" ht="15" customHeight="1">
      <x:c r="A19" s="89" t="n">
        <x:v>11</x:v>
      </x:c>
      <x:c r="B19" s="90" t="inlineStr">
        <x:is>
          <x:t xml:space="preserve">Anatomy</x:t>
        </x:is>
      </x:c>
      <x:c r="C19" s="90" t="inlineStr">
        <x:is>
          <x:t xml:space="preserve">Root</x:t>
        </x:is>
      </x:c>
      <x:c r="D19" s="90" t="inlineStr">
        <x:is>
          <x:t xml:space="preserve">renders correct part when expected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Direction playground scenario.</x:t>
        </x:is>
      </x:c>
      <x:c r="J19" s="90" t="n"/>
      <x:c r="K19" s="91" t="n">
        <x:f>IF(H19="covered",1,IF(H19="partial",0.5,0))</x:f>
        <x:v>1</x:v>
      </x:c>
    </x:row>
    <x:row r="20" s="51" customFormat="1" ht="15" customHeight="1">
      <x:c r="A20" s="89" t="n">
        <x:v>12</x:v>
      </x:c>
      <x:c r="B20" s="90" t="inlineStr">
        <x:is>
          <x:t xml:space="preserve">Anatomy</x:t>
        </x:is>
      </x:c>
      <x:c r="C20" s="90" t="inlineStr">
        <x:is>
          <x:t xml:space="preserve">Root</x:t>
        </x:is>
      </x:c>
      <x:c r="D20" s="90" t="inlineStr">
        <x:is>
          <x:t xml:space="preserve">appears in documented order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Direction playground scenario.</x:t>
        </x:is>
      </x:c>
      <x:c r="J20" s="90" t="n"/>
      <x:c r="K20" s="91" t="n">
        <x:f>IF(H20="covered",1,IF(H20="partial",0.5,0))</x:f>
        <x:v>1</x:v>
      </x:c>
    </x:row>
    <x:row r="21" s="51" customFormat="1" ht="30" customHeight="1">
      <x:c r="A21" s="89" t="n">
        <x:v>13</x:v>
      </x:c>
      <x:c r="B21" s="90" t="inlineStr">
        <x:is>
          <x:t xml:space="preserve">Identity</x:t>
        </x:is>
      </x:c>
      <x:c r="C21" s="90" t="inlineStr">
        <x:is>
          <x:t xml:space="preserve">Root</x:t>
        </x:is>
      </x:c>
      <x:c r="D21" s="90" t="inlineStr">
        <x:is>
          <x:t xml:space="preserve">default tag is visible in Anatomy/Inspector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Direction playground scenario.</x:t>
        </x:is>
      </x:c>
      <x:c r="J21" s="90" t="n"/>
      <x:c r="K21" s="91" t="n">
        <x:f>IF(H21="covered",1,IF(H21="partial",0.5,0))</x:f>
        <x:v>1</x:v>
      </x:c>
    </x:row>
    <x:row r="22" s="51" customFormat="1" ht="15" customHeight="1">
      <x:c r="A22" s="89" t="n">
        <x:v>14</x:v>
      </x:c>
      <x:c r="B22" s="90" t="inlineStr">
        <x:is>
          <x:t xml:space="preserve">Identity</x:t>
        </x:is>
      </x:c>
      <x:c r="C22" s="90" t="inlineStr">
        <x:is>
          <x:t xml:space="preserve">Root</x:t>
        </x:is>
      </x:c>
      <x:c r="D22" s="90" t="inlineStr">
        <x:is>
          <x:t xml:space="preserve">data-slot is present and correct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Direction playground scenario.</x:t>
        </x:is>
      </x:c>
      <x:c r="J22" s="90" t="n"/>
      <x:c r="K22" s="91" t="n">
        <x:f>IF(H22="covered",1,IF(H22="partial",0.5,0))</x:f>
        <x:v>1</x:v>
      </x:c>
    </x:row>
    <x:row r="23" s="51" customFormat="1" ht="15" customHeight="1">
      <x:c r="A23" s="89" t="n">
        <x:v>15</x:v>
      </x:c>
      <x:c r="B23" s="90" t="inlineStr">
        <x:is>
          <x:t xml:space="preserve">Props</x:t>
        </x:is>
      </x:c>
      <x:c r="C23" s="90" t="inlineStr">
        <x:is>
          <x:t xml:space="preserve">Root</x:t>
        </x:is>
      </x:c>
      <x:c r="D23" s="90" t="inlineStr">
        <x:is>
          <x:t xml:space="preserve">non-Atom native props pass through with data-prop-check marker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Direction playground scenario.</x:t>
        </x:is>
      </x:c>
      <x:c r="J23" s="90" t="n"/>
      <x:c r="K23" s="91" t="n">
        <x:f>IF(H23="covered",1,IF(H23="partial",0.5,0))</x:f>
        <x:v>1</x:v>
      </x:c>
    </x:row>
    <x:row r="24" s="51" customFormat="1" ht="15" customHeight="1">
      <x:c r="A24" s="89" t="n">
        <x:v>16</x:v>
      </x:c>
      <x:c r="B24" s="90" t="inlineStr">
        <x:is>
          <x:t xml:space="preserve">Anatomy</x:t>
        </x:is>
      </x:c>
      <x:c r="C24" s="90" t="inlineStr">
        <x:is>
          <x:t xml:space="preserve">Provider</x:t>
        </x:is>
      </x:c>
      <x:c r="D24" s="90" t="inlineStr">
        <x:is>
          <x:t xml:space="preserve">renders correct part when expected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Direction playground scenario.</x:t>
        </x:is>
      </x:c>
      <x:c r="J24" s="90" t="n"/>
      <x:c r="K24" s="91" t="n">
        <x:f>IF(H24="covered",1,IF(H24="partial",0.5,0))</x:f>
        <x:v>1</x:v>
      </x:c>
    </x:row>
    <x:row r="25" s="51" customFormat="1" ht="15" customHeight="1">
      <x:c r="A25" s="89" t="n">
        <x:v>17</x:v>
      </x:c>
      <x:c r="B25" s="90" t="inlineStr">
        <x:is>
          <x:t xml:space="preserve">Anatomy</x:t>
        </x:is>
      </x:c>
      <x:c r="C25" s="90" t="inlineStr">
        <x:is>
          <x:t xml:space="preserve">Provider</x:t>
        </x:is>
      </x:c>
      <x:c r="D25" s="90" t="inlineStr">
        <x:is>
          <x:t xml:space="preserve">appears in documented order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Direction playground scenario.</x:t>
        </x:is>
      </x:c>
      <x:c r="J25" s="90" t="n"/>
      <x:c r="K25" s="91" t="n">
        <x:f>IF(H25="covered",1,IF(H25="partial",0.5,0))</x:f>
        <x:v>1</x:v>
      </x:c>
    </x:row>
    <x:row r="26" s="51" customFormat="1" ht="30" customHeight="1">
      <x:c r="A26" s="89" t="n">
        <x:v>18</x:v>
      </x:c>
      <x:c r="B26" s="90" t="inlineStr">
        <x:is>
          <x:t xml:space="preserve">Identity</x:t>
        </x:is>
      </x:c>
      <x:c r="C26" s="90" t="inlineStr">
        <x:is>
          <x:t xml:space="preserve">Provider</x:t>
        </x:is>
      </x:c>
      <x:c r="D26" s="90" t="inlineStr">
        <x:is>
          <x:t xml:space="preserve">default tag is visible in Anatomy/Inspector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Direction playground scenario.</x:t>
        </x:is>
      </x:c>
      <x:c r="J26" s="90" t="n"/>
      <x:c r="K26" s="91" t="n">
        <x:f>IF(H26="covered",1,IF(H26="partial",0.5,0))</x:f>
        <x:v>1</x:v>
      </x:c>
    </x:row>
    <x:row r="27" s="51" customFormat="1" ht="15" customHeight="1">
      <x:c r="A27" s="89" t="n">
        <x:v>19</x:v>
      </x:c>
      <x:c r="B27" s="90" t="inlineStr">
        <x:is>
          <x:t xml:space="preserve">Identity</x:t>
        </x:is>
      </x:c>
      <x:c r="C27" s="90" t="inlineStr">
        <x:is>
          <x:t xml:space="preserve">Provider</x:t>
        </x:is>
      </x:c>
      <x:c r="D27" s="90" t="inlineStr">
        <x:is>
          <x:t xml:space="preserve">data-slot is present and correct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Direction playground scenario.</x:t>
        </x:is>
      </x:c>
      <x:c r="J27" s="90" t="n"/>
      <x:c r="K27" s="91" t="n">
        <x:f>IF(H27="covered",1,IF(H27="partial",0.5,0))</x:f>
        <x:v>1</x:v>
      </x:c>
    </x:row>
    <x:row r="28" s="51" customFormat="1" ht="15" customHeight="1">
      <x:c r="A28" s="89" t="n">
        <x:v>20</x:v>
      </x:c>
      <x:c r="B28" s="90" t="inlineStr">
        <x:is>
          <x:t xml:space="preserve">Props</x:t>
        </x:is>
      </x:c>
      <x:c r="C28" s="90" t="inlineStr">
        <x:is>
          <x:t xml:space="preserve">Provider</x:t>
        </x:is>
      </x:c>
      <x:c r="D28" s="90" t="inlineStr">
        <x:is>
          <x:t xml:space="preserve">non-Atom native props pass through with data-prop-check marker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Direction playground scenario.</x:t>
        </x:is>
      </x:c>
      <x:c r="J28" s="90" t="n"/>
      <x:c r="K28" s="91" t="n">
        <x:f>IF(H28="covered",1,IF(H28="partial",0.5,0))</x:f>
        <x:v>1</x:v>
      </x:c>
    </x:row>
    <x:row r="29" s="51" customFormat="1" ht="15" customHeight="1">
      <x:c r="A29" s="89" t="n">
        <x:v>21</x:v>
      </x:c>
      <x:c r="B29" s="90" t="inlineStr">
        <x:is>
          <x:t xml:space="preserve">Public API</x:t>
        </x:is>
      </x:c>
      <x:c r="C29" s="90" t="inlineStr">
        <x:is>
          <x:t xml:space="preserve">Provider</x:t>
        </x:is>
      </x:c>
      <x:c r="D29" s="90" t="inlineStr">
        <x:is>
          <x:t xml:space="preserve">dir prop behavior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Direction playground scenario.</x:t>
        </x:is>
      </x:c>
      <x:c r="J29" s="90" t="n"/>
      <x:c r="K29" s="91" t="n">
        <x:f>IF(H29="covered",1,IF(H29="partial",0.5,0))</x:f>
        <x:v>1</x:v>
      </x:c>
    </x:row>
    <x:row r="30" s="51" customFormat="1" ht="15" customHeight="1">
      <x:c r="A30" s="89" t="n">
        <x:v>22</x:v>
      </x:c>
      <x:c r="B30" s="90" t="inlineStr">
        <x:is>
          <x:t xml:space="preserve">State</x:t>
        </x:is>
      </x:c>
      <x:c r="C30" s="90" t="inlineStr">
        <x:is>
          <x:t xml:space="preserve">Root</x:t>
        </x:is>
      </x:c>
      <x:c r="D30" s="90" t="inlineStr">
        <x:is>
          <x:t xml:space="preserve">controlled state path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Direction playground scenario.</x:t>
        </x:is>
      </x:c>
      <x:c r="J30" s="90" t="n"/>
      <x:c r="K30" s="91" t="n">
        <x:f>IF(H30="covered",1,IF(H30="partial",0.5,0))</x:f>
        <x:v>1</x:v>
      </x:c>
    </x:row>
    <x:row r="31" s="51" customFormat="1" ht="15" customHeight="1">
      <x:c r="A31" s="89" t="n">
        <x:v>23</x:v>
      </x:c>
      <x:c r="B31" s="90" t="inlineStr">
        <x:is>
          <x:t xml:space="preserve">State</x:t>
        </x:is>
      </x:c>
      <x:c r="C31" s="90" t="inlineStr">
        <x:is>
          <x:t xml:space="preserve">Root</x:t>
        </x:is>
      </x:c>
      <x:c r="D31" s="90" t="inlineStr">
        <x:is>
          <x:t xml:space="preserve">uncontrolled default state path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Direction playground scenario.</x:t>
        </x:is>
      </x:c>
      <x:c r="J31" s="90" t="n"/>
      <x:c r="K31" s="91" t="n">
        <x:f>IF(H31="covered",1,IF(H31="partial",0.5,0))</x:f>
        <x:v>1</x:v>
      </x:c>
    </x:row>
    <x:row r="32" s="51" customFormat="1" ht="30" customHeight="1">
      <x:c r="A32" s="89" t="n">
        <x:v>24</x:v>
      </x:c>
      <x:c r="B32" s="90" t="inlineStr">
        <x:is>
          <x:t xml:space="preserve">State</x:t>
        </x:is>
      </x:c>
      <x:c r="C32" s="90" t="inlineStr">
        <x:is>
          <x:t xml:space="preserve">Root</x:t>
        </x:is>
      </x:c>
      <x:c r="D32" s="90" t="inlineStr">
        <x:is>
          <x:t xml:space="preserve">state change callback fires once with correct value</x:t>
        </x:is>
      </x:c>
      <x:c r="E32" s="89" t="inlineStr">
        <x:is>
          <x:t xml:space="preserve">yes</x:t>
        </x:is>
      </x:c>
      <x:c r="F32" s="89" t="inlineStr">
        <x:is>
          <x:t xml:space="preserve">yes</x:t>
        </x:is>
      </x:c>
      <x:c r="G32" s="89" t="inlineStr">
        <x:is>
          <x:t xml:space="preserve">passed</x:t>
        </x:is>
      </x:c>
      <x:c r="H32" s="89" t="inlineStr">
        <x:is>
          <x:t xml:space="preserve">covered</x:t>
        </x:is>
      </x:c>
      <x:c r="I32" s="90" t="inlineStr">
        <x:is>
          <x:t xml:space="preserve">Direction playground scenario.</x:t>
        </x:is>
      </x:c>
      <x:c r="J32" s="90" t="n"/>
      <x:c r="K32" s="91" t="n">
        <x:f>IF(H32="covered",1,IF(H32="partial",0.5,0))</x:f>
        <x:v>1</x:v>
      </x:c>
    </x:row>
    <x:row r="33" s="51" customFormat="1" ht="15" customHeight="1">
      <x:c r="A33" s="89" t="n">
        <x:v>25</x:v>
      </x:c>
      <x:c r="B33" s="90" t="inlineStr">
        <x:is>
          <x:t xml:space="preserve">Utility</x:t>
        </x:is>
      </x:c>
      <x:c r="C33" s="90" t="inlineStr">
        <x:is>
          <x:t xml:space="preserve">Direction</x:t>
        </x:is>
      </x:c>
      <x:c r="D33" s="90" t="inlineStr">
        <x:is>
          <x:t xml:space="preserve">direction provider changes descendant direction context</x:t>
        </x:is>
      </x:c>
      <x:c r="E33" s="89" t="inlineStr">
        <x:is>
          <x:t xml:space="preserve">yes</x:t>
        </x:is>
      </x:c>
      <x:c r="F33" s="89" t="inlineStr">
        <x:is>
          <x:t xml:space="preserve">yes</x:t>
        </x:is>
      </x:c>
      <x:c r="G33" s="89" t="inlineStr">
        <x:is>
          <x:t xml:space="preserve">passed</x:t>
        </x:is>
      </x:c>
      <x:c r="H33" s="89" t="inlineStr">
        <x:is>
          <x:t xml:space="preserve">covered</x:t>
        </x:is>
      </x:c>
      <x:c r="I33" s="90" t="inlineStr">
        <x:is>
          <x:t xml:space="preserve">Direction playground scenario.</x:t>
        </x:is>
      </x:c>
      <x:c r="J33" s="90" t="n"/>
      <x:c r="K33" s="91" t="n">
        <x:f>IF(H33="covered",1,IF(H33="partial",0.5,0))</x:f>
        <x:v>1</x:v>
      </x:c>
    </x:row>
    <x:row r="34" s="51" customFormat="1" ht="30" customHeight="1">
      <x:c r="A34" s="89" t="n">
        <x:v>26</x:v>
      </x:c>
      <x:c r="B34" s="90" t="inlineStr">
        <x:is>
          <x:t xml:space="preserve">Utility</x:t>
        </x:is>
      </x:c>
      <x:c r="C34" s="90" t="inlineStr">
        <x:is>
          <x:t xml:space="preserve">Direction</x:t>
        </x:is>
      </x:c>
      <x:c r="D34" s="90" t="inlineStr">
        <x:is>
          <x:t xml:space="preserve">rtl-sensitive keyboard behavior updates in composed widgets</x:t>
        </x:is>
      </x:c>
      <x:c r="E34" s="89" t="inlineStr">
        <x:is>
          <x:t xml:space="preserve">yes</x:t>
        </x:is>
      </x:c>
      <x:c r="F34" s="89" t="inlineStr">
        <x:is>
          <x:t xml:space="preserve">yes</x:t>
        </x:is>
      </x:c>
      <x:c r="G34" s="89" t="inlineStr">
        <x:is>
          <x:t xml:space="preserve">passed</x:t>
        </x:is>
      </x:c>
      <x:c r="H34" s="89" t="inlineStr">
        <x:is>
          <x:t xml:space="preserve">covered</x:t>
        </x:is>
      </x:c>
      <x:c r="I34" s="90" t="inlineStr">
        <x:is>
          <x:t xml:space="preserve">Direction playground scenario.</x:t>
        </x:is>
      </x:c>
      <x:c r="J34" s="90" t="n"/>
      <x:c r="K34" s="91" t="n">
        <x:f>IF(H34="covered",1,IF(H34="partial",0.5,0))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Divider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27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Divider props manual verification.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Divider props manual verification.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89" t="n">
        <x:v>3</x:v>
      </x:c>
      <x:c r="B11" s="90" t="inlineStr">
        <x:is>
          <x:t xml:space="preserve">Playground</x:t>
        </x:is>
      </x:c>
      <x:c r="C11" s="90" t="inlineStr">
        <x:is>
          <x:t xml:space="preserve">Divider</x:t>
        </x:is>
      </x:c>
      <x:c r="D11" s="90" t="inlineStr">
        <x:is>
          <x:t xml:space="preserve">scenario is reachable from top menu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Divider playground scenario.</x:t>
        </x:is>
      </x:c>
      <x:c r="J11" s="90" t="n"/>
      <x:c r="K11" s="91" t="n">
        <x:f>IF(H11="covered",1,IF(H11="partial",0.5,0))</x:f>
        <x:v>1</x:v>
      </x:c>
    </x:row>
    <x:row r="12" s="51" customFormat="1" ht="15" customHeight="1">
      <x:c r="A12" s="89" t="n">
        <x:v>4</x:v>
      </x:c>
      <x:c r="B12" s="90" t="inlineStr">
        <x:is>
          <x:t xml:space="preserve">Playground</x:t>
        </x:is>
      </x:c>
      <x:c r="C12" s="90" t="inlineStr">
        <x:is>
          <x:t xml:space="preserve">Divider</x:t>
        </x:is>
      </x:c>
      <x:c r="D12" s="90" t="inlineStr">
        <x:is>
          <x:t xml:space="preserve">canvas source reflects current toggles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Divider playground scenario.</x:t>
        </x:is>
      </x:c>
      <x:c r="J12" s="90" t="n"/>
      <x:c r="K12" s="91" t="n">
        <x:f>IF(H12="covered",1,IF(H12="partial",0.5,0))</x:f>
        <x:v>1</x:v>
      </x:c>
    </x:row>
    <x:row r="13" s="51" customFormat="1" ht="30" customHeight="1">
      <x:c r="A13" s="89" t="n">
        <x:v>5</x:v>
      </x:c>
      <x:c r="B13" s="90" t="inlineStr">
        <x:is>
          <x:t xml:space="preserve">Playground</x:t>
        </x:is>
      </x:c>
      <x:c r="C13" s="90" t="inlineStr">
        <x:is>
          <x:t xml:space="preserve">Divider</x:t>
        </x:is>
      </x:c>
      <x:c r="D13" s="90" t="inlineStr">
        <x:is>
          <x:t xml:space="preserve">anatomy uses live DOM attributes, ARIA, and data groups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Divider playground scenario.</x:t>
        </x:is>
      </x:c>
      <x:c r="J13" s="90" t="n"/>
      <x:c r="K13" s="91" t="n">
        <x:f>IF(H13="covered",1,IF(H13="partial",0.5,0))</x:f>
        <x:v>1</x:v>
      </x:c>
    </x:row>
    <x:row r="14" s="51" customFormat="1" ht="15" customHeight="1">
      <x:c r="A14" s="89" t="n">
        <x:v>6</x:v>
      </x:c>
      <x:c r="B14" s="90" t="inlineStr">
        <x:is>
          <x:t xml:space="preserve">Playground</x:t>
        </x:is>
      </x:c>
      <x:c r="C14" s="90" t="inlineStr">
        <x:is>
          <x:t xml:space="preserve">Divider</x:t>
        </x:is>
      </x:c>
      <x:c r="D14" s="90" t="inlineStr">
        <x:is>
          <x:t xml:space="preserve">inspector selected/focused/logs work for this scenario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Divider playground scenario.</x:t>
        </x:is>
      </x:c>
      <x:c r="J14" s="90" t="n"/>
      <x:c r="K14" s="91" t="n">
        <x:f>IF(H14="covered",1,IF(H14="partial",0.5,0))</x:f>
        <x:v>1</x:v>
      </x:c>
    </x:row>
    <x:row r="15" s="51" customFormat="1" ht="15" customHeight="1">
      <x:c r="A15" s="89" t="n">
        <x:v>7</x:v>
      </x:c>
      <x:c r="B15" s="90" t="inlineStr">
        <x:is>
          <x:t xml:space="preserve">Feature</x:t>
        </x:is>
      </x:c>
      <x:c r="C15" s="90" t="inlineStr">
        <x:is>
          <x:t xml:space="preserve">Divider</x:t>
        </x:is>
      </x:c>
      <x:c r="D15" s="90" t="inlineStr">
        <x:is>
          <x:t xml:space="preserve">Renders `hr` when it has no children and `div` when it contains content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Divider playground scenario.</x:t>
        </x:is>
      </x:c>
      <x:c r="J15" s="90" t="n"/>
      <x:c r="K15" s="91" t="n">
        <x:f>IF(H15="covered",1,IF(H15="partial",0.5,0))</x:f>
        <x:v>1</x:v>
      </x:c>
    </x:row>
    <x:row r="16" s="51" customFormat="1" ht="15" customHeight="1">
      <x:c r="A16" s="89" t="n">
        <x:v>8</x:v>
      </x:c>
      <x:c r="B16" s="90" t="inlineStr">
        <x:is>
          <x:t xml:space="preserve">Feature</x:t>
        </x:is>
      </x:c>
      <x:c r="C16" s="90" t="inlineStr">
        <x:is>
          <x:t xml:space="preserve">Divider</x:t>
        </x:is>
      </x:c>
      <x:c r="D16" s="90" t="inlineStr">
        <x:is>
          <x:t xml:space="preserve">Defaults to decorative output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Divider playground scenario.</x:t>
        </x:is>
      </x:c>
      <x:c r="J16" s="90" t="n"/>
      <x:c r="K16" s="91" t="n">
        <x:f>IF(H16="covered",1,IF(H16="partial",0.5,0))</x:f>
        <x:v>1</x:v>
      </x:c>
    </x:row>
    <x:row r="17" s="51" customFormat="1" ht="15" customHeight="1">
      <x:c r="A17" s="89" t="n">
        <x:v>9</x:v>
      </x:c>
      <x:c r="B17" s="90" t="inlineStr">
        <x:is>
          <x:t xml:space="preserve">Feature</x:t>
        </x:is>
      </x:c>
      <x:c r="C17" s="90" t="inlineStr">
        <x:is>
          <x:t xml:space="preserve">Divider</x:t>
        </x:is>
      </x:c>
      <x:c r="D17" s="90" t="inlineStr">
        <x:is>
          <x:t xml:space="preserve">Supports horizontal and vertical semantic orientation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Divider playground scenario.</x:t>
        </x:is>
      </x:c>
      <x:c r="J17" s="90" t="n"/>
      <x:c r="K17" s="91" t="n">
        <x:f>IF(H17="covered",1,IF(H17="partial",0.5,0))</x:f>
        <x:v>1</x:v>
      </x:c>
    </x:row>
    <x:row r="18" s="51" customFormat="1" ht="15" customHeight="1">
      <x:c r="A18" s="89" t="n">
        <x:v>10</x:v>
      </x:c>
      <x:c r="B18" s="90" t="inlineStr">
        <x:is>
          <x:t xml:space="preserve">Feature</x:t>
        </x:is>
      </x:c>
      <x:c r="C18" s="90" t="inlineStr">
        <x:is>
          <x:t xml:space="preserve">Divider</x:t>
        </x:is>
      </x:c>
      <x:c r="D18" s="90" t="inlineStr">
        <x:is>
          <x:t xml:space="preserve">Supports `asChild` and `render`</x:t>
        </x:is>
      </x:c>
      <x:c r="E18" s="89" t="inlineStr">
        <x:is>
          <x:t xml:space="preserve">yes</x:t>
        </x:is>
      </x:c>
      <x:c r="F18" s="89" t="inlineStr">
        <x:is>
          <x:t xml:space="preserve">yes</x:t>
        </x:is>
      </x:c>
      <x:c r="G18" s="89" t="inlineStr">
        <x:is>
          <x:t xml:space="preserve">passed</x:t>
        </x:is>
      </x:c>
      <x:c r="H18" s="89" t="inlineStr">
        <x:is>
          <x:t xml:space="preserve">covered</x:t>
        </x:is>
      </x:c>
      <x:c r="I18" s="90" t="inlineStr">
        <x:is>
          <x:t xml:space="preserve">Divider playground scenario.</x:t>
        </x:is>
      </x:c>
      <x:c r="J18" s="90" t="n"/>
      <x:c r="K18" s="91" t="n">
        <x:f>IF(H18="covered",1,IF(H18="partial",0.5,0))</x:f>
        <x:v>1</x:v>
      </x:c>
    </x:row>
    <x:row r="19" s="51" customFormat="1" ht="15" customHeight="1">
      <x:c r="A19" s="89" t="n">
        <x:v>11</x:v>
      </x:c>
      <x:c r="B19" s="90" t="inlineStr">
        <x:is>
          <x:t xml:space="preserve">Anatomy</x:t>
        </x:is>
      </x:c>
      <x:c r="C19" s="90" t="inlineStr">
        <x:is>
          <x:t xml:space="preserve">Root</x:t>
        </x:is>
      </x:c>
      <x:c r="D19" s="90" t="inlineStr">
        <x:is>
          <x:t xml:space="preserve">renders correct part when expected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Divider playground scenario.</x:t>
        </x:is>
      </x:c>
      <x:c r="J19" s="90" t="n"/>
      <x:c r="K19" s="91" t="n">
        <x:f>IF(H19="covered",1,IF(H19="partial",0.5,0))</x:f>
        <x:v>1</x:v>
      </x:c>
    </x:row>
    <x:row r="20" s="51" customFormat="1" ht="15" customHeight="1">
      <x:c r="A20" s="89" t="n">
        <x:v>12</x:v>
      </x:c>
      <x:c r="B20" s="90" t="inlineStr">
        <x:is>
          <x:t xml:space="preserve">Anatomy</x:t>
        </x:is>
      </x:c>
      <x:c r="C20" s="90" t="inlineStr">
        <x:is>
          <x:t xml:space="preserve">Root</x:t>
        </x:is>
      </x:c>
      <x:c r="D20" s="90" t="inlineStr">
        <x:is>
          <x:t xml:space="preserve">appears in documented order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Divider playground scenario.</x:t>
        </x:is>
      </x:c>
      <x:c r="J20" s="90" t="n"/>
      <x:c r="K20" s="91" t="n">
        <x:f>IF(H20="covered",1,IF(H20="partial",0.5,0))</x:f>
        <x:v>1</x:v>
      </x:c>
    </x:row>
    <x:row r="21" s="51" customFormat="1" ht="30" customHeight="1">
      <x:c r="A21" s="89" t="n">
        <x:v>13</x:v>
      </x:c>
      <x:c r="B21" s="90" t="inlineStr">
        <x:is>
          <x:t xml:space="preserve">Identity</x:t>
        </x:is>
      </x:c>
      <x:c r="C21" s="90" t="inlineStr">
        <x:is>
          <x:t xml:space="preserve">Root</x:t>
        </x:is>
      </x:c>
      <x:c r="D21" s="90" t="inlineStr">
        <x:is>
          <x:t xml:space="preserve">default tag is visible in Anatomy/Inspector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Divider playground scenario.</x:t>
        </x:is>
      </x:c>
      <x:c r="J21" s="90" t="n"/>
      <x:c r="K21" s="91" t="n">
        <x:f>IF(H21="covered",1,IF(H21="partial",0.5,0))</x:f>
        <x:v>1</x:v>
      </x:c>
    </x:row>
    <x:row r="22" s="51" customFormat="1" ht="15" customHeight="1">
      <x:c r="A22" s="89" t="n">
        <x:v>14</x:v>
      </x:c>
      <x:c r="B22" s="90" t="inlineStr">
        <x:is>
          <x:t xml:space="preserve">Identity</x:t>
        </x:is>
      </x:c>
      <x:c r="C22" s="90" t="inlineStr">
        <x:is>
          <x:t xml:space="preserve">Root</x:t>
        </x:is>
      </x:c>
      <x:c r="D22" s="90" t="inlineStr">
        <x:is>
          <x:t xml:space="preserve">data-slot is present and correct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Divider playground scenario.</x:t>
        </x:is>
      </x:c>
      <x:c r="J22" s="90" t="n"/>
      <x:c r="K22" s="91" t="n">
        <x:f>IF(H22="covered",1,IF(H22="partial",0.5,0))</x:f>
        <x:v>1</x:v>
      </x:c>
    </x:row>
    <x:row r="23" s="51" customFormat="1" ht="15" customHeight="1">
      <x:c r="A23" s="89" t="n">
        <x:v>15</x:v>
      </x:c>
      <x:c r="B23" s="90" t="inlineStr">
        <x:is>
          <x:t xml:space="preserve">Props</x:t>
        </x:is>
      </x:c>
      <x:c r="C23" s="90" t="inlineStr">
        <x:is>
          <x:t xml:space="preserve">Root</x:t>
        </x:is>
      </x:c>
      <x:c r="D23" s="90" t="inlineStr">
        <x:is>
          <x:t xml:space="preserve">non-Atom native props pass through with data-prop-check marker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Divider playground scenario.</x:t>
        </x:is>
      </x:c>
      <x:c r="J23" s="90" t="n"/>
      <x:c r="K23" s="91" t="n">
        <x:f>IF(H23="covered",1,IF(H23="partial",0.5,0))</x:f>
        <x:v>1</x:v>
      </x:c>
    </x:row>
    <x:row r="24" s="51" customFormat="1" ht="15" customHeight="1">
      <x:c r="A24" s="89" t="n">
        <x:v>16</x:v>
      </x:c>
      <x:c r="B24" s="90" t="inlineStr">
        <x:is>
          <x:t xml:space="preserve">Refs</x:t>
        </x:is>
      </x:c>
      <x:c r="C24" s="90" t="inlineStr">
        <x:is>
          <x:t xml:space="preserve">Root</x:t>
        </x:is>
      </x:c>
      <x:c r="D24" s="90" t="inlineStr">
        <x:is>
          <x:t xml:space="preserve">consumer ref receives the rendered element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Divider playground scenario.</x:t>
        </x:is>
      </x:c>
      <x:c r="J24" s="90" t="n"/>
      <x:c r="K24" s="91" t="n">
        <x:f>IF(H24="covered",1,IF(H24="partial",0.5,0))</x:f>
        <x:v>1</x:v>
      </x:c>
    </x:row>
    <x:row r="25" s="51" customFormat="1" ht="15" customHeight="1">
      <x:c r="A25" s="89" t="n">
        <x:v>17</x:v>
      </x:c>
      <x:c r="B25" s="90" t="inlineStr">
        <x:is>
          <x:t xml:space="preserve">Composition</x:t>
        </x:is>
      </x:c>
      <x:c r="C25" s="90" t="inlineStr">
        <x:is>
          <x:t xml:space="preserve">Root</x:t>
        </x:is>
      </x:c>
      <x:c r="D25" s="90" t="inlineStr">
        <x:is>
          <x:t xml:space="preserve">asChild prop behavior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Divider playground scenario.</x:t>
        </x:is>
      </x:c>
      <x:c r="J25" s="90" t="n"/>
      <x:c r="K25" s="91" t="n">
        <x:f>IF(H25="covered",1,IF(H25="partial",0.5,0))</x:f>
        <x:v>1</x:v>
      </x:c>
    </x:row>
    <x:row r="26" s="51" customFormat="1" ht="15" customHeight="1">
      <x:c r="A26" s="89" t="n">
        <x:v>18</x:v>
      </x:c>
      <x:c r="B26" s="90" t="inlineStr">
        <x:is>
          <x:t xml:space="preserve">Composition</x:t>
        </x:is>
      </x:c>
      <x:c r="C26" s="90" t="inlineStr">
        <x:is>
          <x:t xml:space="preserve">Root</x:t>
        </x:is>
      </x:c>
      <x:c r="D26" s="90" t="inlineStr">
        <x:is>
          <x:t xml:space="preserve">render prop behavior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Divider playground scenario.</x:t>
        </x:is>
      </x:c>
      <x:c r="J26" s="90" t="n"/>
      <x:c r="K26" s="91" t="n">
        <x:f>IF(H26="covered",1,IF(H26="partial",0.5,0))</x:f>
        <x:v>1</x:v>
      </x:c>
    </x:row>
    <x:row r="27" s="51" customFormat="1" ht="15" customHeight="1">
      <x:c r="A27" s="89" t="n">
        <x:v>19</x:v>
      </x:c>
      <x:c r="B27" s="90" t="inlineStr">
        <x:is>
          <x:t xml:space="preserve">Public API</x:t>
        </x:is>
      </x:c>
      <x:c r="C27" s="90" t="inlineStr">
        <x:is>
          <x:t xml:space="preserve">Root</x:t>
        </x:is>
      </x:c>
      <x:c r="D27" s="90" t="inlineStr">
        <x:is>
          <x:t xml:space="preserve">orientation prop behavior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Divider playground scenario.</x:t>
        </x:is>
      </x:c>
      <x:c r="J27" s="90" t="n"/>
      <x:c r="K27" s="91" t="n">
        <x:f>IF(H27="covered",1,IF(H27="partial",0.5,0))</x:f>
        <x:v>1</x:v>
      </x:c>
    </x:row>
    <x:row r="28" s="51" customFormat="1" ht="15" customHeight="1">
      <x:c r="A28" s="89" t="n">
        <x:v>20</x:v>
      </x:c>
      <x:c r="B28" s="90" t="inlineStr">
        <x:is>
          <x:t xml:space="preserve">Public API</x:t>
        </x:is>
      </x:c>
      <x:c r="C28" s="90" t="inlineStr">
        <x:is>
          <x:t xml:space="preserve">Root</x:t>
        </x:is>
      </x:c>
      <x:c r="D28" s="90" t="inlineStr">
        <x:is>
          <x:t xml:space="preserve">decorative prop behavior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Divider playground scenario.</x:t>
        </x:is>
      </x:c>
      <x:c r="J28" s="90" t="n"/>
      <x:c r="K28" s="91" t="n">
        <x:f>IF(H28="covered",1,IF(H28="partial",0.5,0))</x:f>
        <x:v>1</x:v>
      </x:c>
    </x:row>
    <x:row r="29" s="51" customFormat="1" ht="15" customHeight="1">
      <x:c r="A29" s="89" t="n">
        <x:v>21</x:v>
      </x:c>
      <x:c r="B29" s="90" t="inlineStr">
        <x:is>
          <x:t xml:space="preserve">Public API</x:t>
        </x:is>
      </x:c>
      <x:c r="C29" s="90" t="inlineStr">
        <x:is>
          <x:t xml:space="preserve">Root</x:t>
        </x:is>
      </x:c>
      <x:c r="D29" s="90" t="inlineStr">
        <x:is>
          <x:t xml:space="preserve">[data-slot] prop behavior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Divider playground scenario.</x:t>
        </x:is>
      </x:c>
      <x:c r="J29" s="90" t="n"/>
      <x:c r="K29" s="91" t="n">
        <x:f>IF(H29="covered",1,IF(H29="partial",0.5,0))</x:f>
        <x:v>1</x:v>
      </x:c>
    </x:row>
    <x:row r="30" s="51" customFormat="1" ht="15" customHeight="1">
      <x:c r="A30" s="89" t="n">
        <x:v>22</x:v>
      </x:c>
      <x:c r="B30" s="90" t="inlineStr">
        <x:is>
          <x:t xml:space="preserve">ARIA</x:t>
        </x:is>
      </x:c>
      <x:c r="C30" s="90" t="inlineStr">
        <x:is>
          <x:t xml:space="preserve">Live DOM</x:t>
        </x:is>
      </x:c>
      <x:c r="D30" s="90" t="inlineStr">
        <x:is>
          <x:t xml:space="preserve">aria-orientation is present at the correct time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Divider playground scenario.</x:t>
        </x:is>
      </x:c>
      <x:c r="J30" s="90" t="n"/>
      <x:c r="K30" s="91" t="n">
        <x:f>IF(H30="covered",1,IF(H30="partial",0.5,0))</x:f>
        <x:v>1</x:v>
      </x:c>
    </x:row>
    <x:row r="31" s="51" customFormat="1" ht="15" customHeight="1">
      <x:c r="A31" s="89" t="n">
        <x:v>23</x:v>
      </x:c>
      <x:c r="B31" s="90" t="inlineStr">
        <x:is>
          <x:t xml:space="preserve">Data</x:t>
        </x:is>
      </x:c>
      <x:c r="C31" s="90" t="inlineStr">
        <x:is>
          <x:t xml:space="preserve">Live DOM</x:t>
        </x:is>
      </x:c>
      <x:c r="D31" s="90" t="inlineStr">
        <x:is>
          <x:t xml:space="preserve">data-slot is present at the correct time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Divider playground scenario.</x:t>
        </x:is>
      </x:c>
      <x:c r="J31" s="90" t="n"/>
      <x:c r="K31" s="91" t="n">
        <x:f>IF(H31="covered",1,IF(H31="partial",0.5,0))</x:f>
        <x:v>1</x:v>
      </x:c>
    </x:row>
    <x:row r="32" s="51" customFormat="1" ht="15" customHeight="1">
      <x:c r="A32" s="89" t="n">
        <x:v>24</x:v>
      </x:c>
      <x:c r="B32" s="90" t="inlineStr">
        <x:is>
          <x:t xml:space="preserve">Composition</x:t>
        </x:is>
      </x:c>
      <x:c r="C32" s="90" t="inlineStr">
        <x:is>
          <x:t xml:space="preserve">Divider</x:t>
        </x:is>
      </x:c>
      <x:c r="D32" s="90" t="inlineStr">
        <x:is>
          <x:t xml:space="preserve">asChild preserves child content without double nesting</x:t>
        </x:is>
      </x:c>
      <x:c r="E32" s="89" t="inlineStr">
        <x:is>
          <x:t xml:space="preserve">yes</x:t>
        </x:is>
      </x:c>
      <x:c r="F32" s="89" t="inlineStr">
        <x:is>
          <x:t xml:space="preserve">yes</x:t>
        </x:is>
      </x:c>
      <x:c r="G32" s="89" t="inlineStr">
        <x:is>
          <x:t xml:space="preserve">passed</x:t>
        </x:is>
      </x:c>
      <x:c r="H32" s="89" t="inlineStr">
        <x:is>
          <x:t xml:space="preserve">covered</x:t>
        </x:is>
      </x:c>
      <x:c r="I32" s="90" t="inlineStr">
        <x:is>
          <x:t xml:space="preserve">Divider playground scenario.</x:t>
        </x:is>
      </x:c>
      <x:c r="J32" s="90" t="n"/>
      <x:c r="K32" s="91" t="n">
        <x:f>IF(H32="covered",1,IF(H32="partial",0.5,0))</x:f>
        <x:v>1</x:v>
      </x:c>
    </x:row>
    <x:row r="33" s="51" customFormat="1" ht="15" customHeight="1">
      <x:c r="A33" s="89" t="n">
        <x:v>25</x:v>
      </x:c>
      <x:c r="B33" s="90" t="inlineStr">
        <x:is>
          <x:t xml:space="preserve">Composition</x:t>
        </x:is>
      </x:c>
      <x:c r="C33" s="90" t="inlineStr">
        <x:is>
          <x:t xml:space="preserve">Divider</x:t>
        </x:is>
      </x:c>
      <x:c r="D33" s="90" t="inlineStr">
        <x:is>
          <x:t xml:space="preserve">asChild merges Atom props and consumer props</x:t>
        </x:is>
      </x:c>
      <x:c r="E33" s="89" t="inlineStr">
        <x:is>
          <x:t xml:space="preserve">yes</x:t>
        </x:is>
      </x:c>
      <x:c r="F33" s="89" t="inlineStr">
        <x:is>
          <x:t xml:space="preserve">yes</x:t>
        </x:is>
      </x:c>
      <x:c r="G33" s="89" t="inlineStr">
        <x:is>
          <x:t xml:space="preserve">passed</x:t>
        </x:is>
      </x:c>
      <x:c r="H33" s="89" t="inlineStr">
        <x:is>
          <x:t xml:space="preserve">covered</x:t>
        </x:is>
      </x:c>
      <x:c r="I33" s="90" t="inlineStr">
        <x:is>
          <x:t xml:space="preserve">Divider playground scenario.</x:t>
        </x:is>
      </x:c>
      <x:c r="J33" s="90" t="n"/>
      <x:c r="K33" s="91" t="n">
        <x:f>IF(H33="covered",1,IF(H33="partial",0.5,0))</x:f>
        <x:v>1</x:v>
      </x:c>
    </x:row>
    <x:row r="34" s="51" customFormat="1" ht="15" customHeight="1">
      <x:c r="A34" s="89" t="n">
        <x:v>26</x:v>
      </x:c>
      <x:c r="B34" s="90" t="inlineStr">
        <x:is>
          <x:t xml:space="preserve">Composition</x:t>
        </x:is>
      </x:c>
      <x:c r="C34" s="90" t="inlineStr">
        <x:is>
          <x:t xml:space="preserve">Divider</x:t>
        </x:is>
      </x:c>
      <x:c r="D34" s="90" t="inlineStr">
        <x:is>
          <x:t xml:space="preserve">render prop renders custom element</x:t>
        </x:is>
      </x:c>
      <x:c r="E34" s="89" t="inlineStr">
        <x:is>
          <x:t xml:space="preserve">yes</x:t>
        </x:is>
      </x:c>
      <x:c r="F34" s="89" t="inlineStr">
        <x:is>
          <x:t xml:space="preserve">yes</x:t>
        </x:is>
      </x:c>
      <x:c r="G34" s="89" t="inlineStr">
        <x:is>
          <x:t xml:space="preserve">passed</x:t>
        </x:is>
      </x:c>
      <x:c r="H34" s="89" t="inlineStr">
        <x:is>
          <x:t xml:space="preserve">covered</x:t>
        </x:is>
      </x:c>
      <x:c r="I34" s="90" t="inlineStr">
        <x:is>
          <x:t xml:space="preserve">Divider playground scenario.</x:t>
        </x:is>
      </x:c>
      <x:c r="J34" s="90" t="n"/>
      <x:c r="K34" s="91" t="n">
        <x:f>IF(H34="covered",1,IF(H34="partial",0.5,0))</x:f>
        <x:v>1</x:v>
      </x:c>
    </x:row>
    <x:row r="35" s="51" customFormat="1" ht="15" customHeight="1">
      <x:c r="A35" s="89" t="n">
        <x:v>27</x:v>
      </x:c>
      <x:c r="B35" s="90" t="inlineStr">
        <x:is>
          <x:t xml:space="preserve">Composition</x:t>
        </x:is>
      </x:c>
      <x:c r="C35" s="90" t="inlineStr">
        <x:is>
          <x:t xml:space="preserve">Divider</x:t>
        </x:is>
      </x:c>
      <x:c r="D35" s="90" t="inlineStr">
        <x:is>
          <x:t xml:space="preserve">render prop preserves refs and behavior props</x:t>
        </x:is>
      </x:c>
      <x:c r="E35" s="89" t="inlineStr">
        <x:is>
          <x:t xml:space="preserve">yes</x:t>
        </x:is>
      </x:c>
      <x:c r="F35" s="89" t="inlineStr">
        <x:is>
          <x:t xml:space="preserve">yes</x:t>
        </x:is>
      </x:c>
      <x:c r="G35" s="89" t="inlineStr">
        <x:is>
          <x:t xml:space="preserve">passed</x:t>
        </x:is>
      </x:c>
      <x:c r="H35" s="89" t="inlineStr">
        <x:is>
          <x:t xml:space="preserve">covered</x:t>
        </x:is>
      </x:c>
      <x:c r="I35" s="90" t="inlineStr">
        <x:is>
          <x:t xml:space="preserve">Divider playground scenario.</x:t>
        </x:is>
      </x:c>
      <x:c r="J35" s="90" t="n"/>
      <x:c r="K35" s="91" t="n">
        <x:f>IF(H35="covered",1,IF(H35="partial",0.5,0))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Drawer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101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manual-tests/drawer.md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manual-tests/drawer.md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Drawer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manual-tests/drawer.md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Drawer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manual-tests/drawer.md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Drawer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manual-tests/drawer.md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30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Drawer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manual-tests/drawer.md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Drawer</x:t>
        </x:is>
      </x:c>
      <x:c r="D15" s="84" t="inlineStr">
        <x:is>
          <x:t xml:space="preserve">Controlled and uncontrolled open state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manual-tests/drawer.md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Drawer</x:t>
        </x:is>
      </x:c>
      <x:c r="D16" s="84" t="inlineStr">
        <x:is>
          <x:t xml:space="preserve">Trigger, portal, overlay, content, title, description, and close parts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manual-tests/drawer.md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Drawer</x:t>
        </x:is>
      </x:c>
      <x:c r="D17" s="84" t="inlineStr">
        <x:is>
          <x:t xml:space="preserve">Focus trap, focus restore, Escape dismissal, backdrop dismissal, and scroll lock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manual-tests/drawer.md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Drawer</x:t>
        </x:is>
      </x:c>
      <x:c r="D18" s="84" t="inlineStr">
        <x:is>
          <x:t xml:space="preserve">Stack-aware Escape dismissal so nested overlays close before the parent drawer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manual-tests/drawer.md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30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Drawer</x:t>
        </x:is>
      </x:c>
      <x:c r="D19" s="84" t="inlineStr">
        <x:is>
          <x:t xml:space="preserve">`placement` value exposed as `data-placement` for styling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manual-tests/drawer.md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Drawer</x:t>
        </x:is>
      </x:c>
      <x:c r="D20" s="84" t="inlineStr">
        <x:is>
          <x:t xml:space="preserve">Keep-mounted content support for exit animations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manual-tests/drawer.md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Drawer</x:t>
        </x:is>
      </x:c>
      <x:c r="D21" s="84" t="inlineStr">
        <x:is>
          <x:t xml:space="preserve">Headless only: placement does not apply visual positioning by itself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manual-tests/drawer.md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renders correct part when expected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manual-tests/drawer.md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Anatomy</x:t>
        </x:is>
      </x:c>
      <x:c r="C23" s="84" t="inlineStr">
        <x:is>
          <x:t xml:space="preserve">Root</x:t>
        </x:is>
      </x:c>
      <x:c r="D23" s="84" t="inlineStr">
        <x:is>
          <x:t xml:space="preserve">appears in documented order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manual-tests/drawer.md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30" customHeight="1">
      <x:c r="A24" s="73" t="n">
        <x:v>16</x:v>
      </x:c>
      <x:c r="B24" s="84" t="inlineStr">
        <x:is>
          <x:t xml:space="preserve">State</x:t>
        </x:is>
      </x:c>
      <x:c r="C24" s="84" t="inlineStr">
        <x:is>
          <x:t xml:space="preserve">Root</x:t>
        </x:is>
      </x:c>
      <x:c r="D24" s="84" t="inlineStr">
        <x:is>
          <x:t xml:space="preserve">open prop behavior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manual-tests/drawer.md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State</x:t>
        </x:is>
      </x:c>
      <x:c r="C25" s="84" t="inlineStr">
        <x:is>
          <x:t xml:space="preserve">Root</x:t>
        </x:is>
      </x:c>
      <x:c r="D25" s="84" t="inlineStr">
        <x:is>
          <x:t xml:space="preserve">defaultOpen prop behavior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manual-tests/drawer.md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onOpenChange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manual-tests/drawer.md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Public API</x:t>
        </x:is>
      </x:c>
      <x:c r="C27" s="84" t="inlineStr">
        <x:is>
          <x:t xml:space="preserve">Root</x:t>
        </x:is>
      </x:c>
      <x:c r="D27" s="84" t="inlineStr">
        <x:is>
          <x:t xml:space="preserve">closeOnEscape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manual-tests/drawer.md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Public API</x:t>
        </x:is>
      </x:c>
      <x:c r="C28" s="84" t="inlineStr">
        <x:is>
          <x:t xml:space="preserve">Root</x:t>
        </x:is>
      </x:c>
      <x:c r="D28" s="84" t="inlineStr">
        <x:is>
          <x:t xml:space="preserve">closeOnBackdropClick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manual-tests/drawer.md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disabled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manual-tests/drawer.md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keepMounted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manual-tests/drawer.md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Anatomy</x:t>
        </x:is>
      </x:c>
      <x:c r="C31" s="84" t="inlineStr">
        <x:is>
          <x:t xml:space="preserve">Portal</x:t>
        </x:is>
      </x:c>
      <x:c r="D31" s="84" t="inlineStr">
        <x:is>
          <x:t xml:space="preserve">renders correct part when expected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manual-tests/drawer.md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Anatomy</x:t>
        </x:is>
      </x:c>
      <x:c r="C32" s="84" t="inlineStr">
        <x:is>
          <x:t xml:space="preserve">Portal</x:t>
        </x:is>
      </x:c>
      <x:c r="D32" s="84" t="inlineStr">
        <x:is>
          <x:t xml:space="preserve">appears in documented order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manual-tests/drawer.md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Positioning</x:t>
        </x:is>
      </x:c>
      <x:c r="C33" s="84" t="inlineStr">
        <x:is>
          <x:t xml:space="preserve">Portal</x:t>
        </x:is>
      </x:c>
      <x:c r="D33" s="84" t="inlineStr">
        <x:is>
          <x:t xml:space="preserve">container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manual-tests/drawer.md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Portal</x:t>
        </x:is>
      </x:c>
      <x:c r="D34" s="84" t="inlineStr">
        <x:is>
          <x:t xml:space="preserve">disabled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manual-tests/drawer.md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Anatomy</x:t>
        </x:is>
      </x:c>
      <x:c r="C35" s="84" t="inlineStr">
        <x:is>
          <x:t xml:space="preserve">Overlay</x:t>
        </x:is>
      </x:c>
      <x:c r="D35" s="84" t="inlineStr">
        <x:is>
          <x:t xml:space="preserve">renders correct part when expected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manual-tests/drawer.md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Anatomy</x:t>
        </x:is>
      </x:c>
      <x:c r="C36" s="84" t="inlineStr">
        <x:is>
          <x:t xml:space="preserve">Overlay</x:t>
        </x:is>
      </x:c>
      <x:c r="D36" s="84" t="inlineStr">
        <x:is>
          <x:t xml:space="preserve">appears in documented order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manual-tests/drawer.md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30" customHeight="1">
      <x:c r="A37" s="73" t="n">
        <x:v>29</x:v>
      </x:c>
      <x:c r="B37" s="84" t="inlineStr">
        <x:is>
          <x:t xml:space="preserve">Identity</x:t>
        </x:is>
      </x:c>
      <x:c r="C37" s="84" t="inlineStr">
        <x:is>
          <x:t xml:space="preserve">Overlay</x:t>
        </x:is>
      </x:c>
      <x:c r="D37" s="84" t="inlineStr">
        <x:is>
          <x:t xml:space="preserve">default tag is visible in Anatomy/Inspector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manual-tests/drawer.md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Identity</x:t>
        </x:is>
      </x:c>
      <x:c r="C38" s="84" t="inlineStr">
        <x:is>
          <x:t xml:space="preserve">Overlay</x:t>
        </x:is>
      </x:c>
      <x:c r="D38" s="84" t="inlineStr">
        <x:is>
          <x:t xml:space="preserve">data-slot is present and correct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manual-tests/drawer.md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Props</x:t>
        </x:is>
      </x:c>
      <x:c r="C39" s="84" t="inlineStr">
        <x:is>
          <x:t xml:space="preserve">Overlay</x:t>
        </x:is>
      </x:c>
      <x:c r="D39" s="84" t="inlineStr">
        <x:is>
          <x:t xml:space="preserve">non-Atom native props pass through with data-prop-check marker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manual-tests/drawer.md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State</x:t>
        </x:is>
      </x:c>
      <x:c r="C40" s="84" t="inlineStr">
        <x:is>
          <x:t xml:space="preserve">Overlay</x:t>
        </x:is>
      </x:c>
      <x:c r="D40" s="84" t="inlineStr">
        <x:is>
          <x:t xml:space="preserve">disabled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manual-tests/drawer.md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Public API</x:t>
        </x:is>
      </x:c>
      <x:c r="C41" s="84" t="inlineStr">
        <x:is>
          <x:t xml:space="preserve">Overlay</x:t>
        </x:is>
      </x:c>
      <x:c r="D41" s="84" t="inlineStr">
        <x:is>
          <x:t xml:space="preserve">data-slot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manual-tests/drawer.md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Public API</x:t>
        </x:is>
      </x:c>
      <x:c r="C42" s="84" t="inlineStr">
        <x:is>
          <x:t xml:space="preserve">Overlay</x:t>
        </x:is>
      </x:c>
      <x:c r="D42" s="84" t="inlineStr">
        <x:is>
          <x:t xml:space="preserve">[data-slot]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manual-tests/drawer.md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Overlay</x:t>
        </x:is>
      </x:c>
      <x:c r="D43" s="84" t="inlineStr">
        <x:is>
          <x:t xml:space="preserve">[data-state]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manual-tests/drawer.md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Overlay</x:t>
        </x:is>
      </x:c>
      <x:c r="D44" s="84" t="inlineStr">
        <x:is>
          <x:t xml:space="preserve">[data-positioned]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manual-tests/drawer.md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30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Trigger</x:t>
        </x:is>
      </x:c>
      <x:c r="D45" s="84" t="inlineStr">
        <x:is>
          <x:t xml:space="preserve">renders correct part when expected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manual-tests/drawer.md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Trigger</x:t>
        </x:is>
      </x:c>
      <x:c r="D46" s="84" t="inlineStr">
        <x:is>
          <x:t xml:space="preserve">appears in documented order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manual-tests/drawer.md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Trigger</x:t>
        </x:is>
      </x:c>
      <x:c r="D47" s="84" t="inlineStr">
        <x:is>
          <x:t xml:space="preserve">default tag is visible in Anatomy/Inspector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manual-tests/drawer.md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Identity</x:t>
        </x:is>
      </x:c>
      <x:c r="C48" s="84" t="inlineStr">
        <x:is>
          <x:t xml:space="preserve">Trigger</x:t>
        </x:is>
      </x:c>
      <x:c r="D48" s="84" t="inlineStr">
        <x:is>
          <x:t xml:space="preserve">data-slot is present and correct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manual-tests/drawer.md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Props</x:t>
        </x:is>
      </x:c>
      <x:c r="C49" s="84" t="inlineStr">
        <x:is>
          <x:t xml:space="preserve">Trigger</x:t>
        </x:is>
      </x:c>
      <x:c r="D49" s="84" t="inlineStr">
        <x:is>
          <x:t xml:space="preserve">non-Atom native props pass through with data-prop-check marker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manual-tests/drawer.md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Composition</x:t>
        </x:is>
      </x:c>
      <x:c r="C50" s="84" t="inlineStr">
        <x:is>
          <x:t xml:space="preserve">Trigger</x:t>
        </x:is>
      </x:c>
      <x:c r="D50" s="84" t="inlineStr">
        <x:is>
          <x:t xml:space="preserve">asChild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manual-tests/drawer.md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Composition</x:t>
        </x:is>
      </x:c>
      <x:c r="C51" s="84" t="inlineStr">
        <x:is>
          <x:t xml:space="preserve">Trigger</x:t>
        </x:is>
      </x:c>
      <x:c r="D51" s="84" t="inlineStr">
        <x:is>
          <x:t xml:space="preserve">render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manual-tests/drawer.md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Trigger</x:t>
        </x:is>
      </x:c>
      <x:c r="D52" s="84" t="inlineStr">
        <x:is>
          <x:t xml:space="preserve">data-slot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manual-tests/drawer.md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Trigger</x:t>
        </x:is>
      </x:c>
      <x:c r="D53" s="84" t="inlineStr">
        <x:is>
          <x:t xml:space="preserve">[data-slot]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manual-tests/drawer.md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Trigger</x:t>
        </x:is>
      </x:c>
      <x:c r="D54" s="84" t="inlineStr">
        <x:is>
          <x:t xml:space="preserve">[data-state]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manual-tests/drawer.md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State</x:t>
        </x:is>
      </x:c>
      <x:c r="C55" s="84" t="inlineStr">
        <x:is>
          <x:t xml:space="preserve">Trigger</x:t>
        </x:is>
      </x:c>
      <x:c r="D55" s="84" t="inlineStr">
        <x:is>
          <x:t xml:space="preserve">[data-disabled]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manual-tests/drawer.md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30" customHeight="1">
      <x:c r="A56" s="73" t="n">
        <x:v>48</x:v>
      </x:c>
      <x:c r="B56" s="84" t="inlineStr">
        <x:is>
          <x:t xml:space="preserve">Anatomy</x:t>
        </x:is>
      </x:c>
      <x:c r="C56" s="84" t="inlineStr">
        <x:is>
          <x:t xml:space="preserve">Content</x:t>
        </x:is>
      </x:c>
      <x:c r="D56" s="84" t="inlineStr">
        <x:is>
          <x:t xml:space="preserve">renders correct part when expected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manual-tests/drawer.md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Anatomy</x:t>
        </x:is>
      </x:c>
      <x:c r="C57" s="84" t="inlineStr">
        <x:is>
          <x:t xml:space="preserve">Content</x:t>
        </x:is>
      </x:c>
      <x:c r="D57" s="84" t="inlineStr">
        <x:is>
          <x:t xml:space="preserve">appears in documented order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manual-tests/drawer.md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Identity</x:t>
        </x:is>
      </x:c>
      <x:c r="C58" s="84" t="inlineStr">
        <x:is>
          <x:t xml:space="preserve">Content</x:t>
        </x:is>
      </x:c>
      <x:c r="D58" s="84" t="inlineStr">
        <x:is>
          <x:t xml:space="preserve">default tag is visible in Anatomy/Inspector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manual-tests/drawer.md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Identity</x:t>
        </x:is>
      </x:c>
      <x:c r="C59" s="84" t="inlineStr">
        <x:is>
          <x:t xml:space="preserve">Content</x:t>
        </x:is>
      </x:c>
      <x:c r="D59" s="84" t="inlineStr">
        <x:is>
          <x:t xml:space="preserve">data-slot is present and correct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manual-tests/drawer.md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Props</x:t>
        </x:is>
      </x:c>
      <x:c r="C60" s="84" t="inlineStr">
        <x:is>
          <x:t xml:space="preserve">Content</x:t>
        </x:is>
      </x:c>
      <x:c r="D60" s="84" t="inlineStr">
        <x:is>
          <x:t xml:space="preserve">non-Atom native props pass through with data-prop-check marker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manual-tests/drawer.md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Public API</x:t>
        </x:is>
      </x:c>
      <x:c r="C61" s="84" t="inlineStr">
        <x:is>
          <x:t xml:space="preserve">Content</x:t>
        </x:is>
      </x:c>
      <x:c r="D61" s="84" t="inlineStr">
        <x:is>
          <x:t xml:space="preserve">placement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manual-tests/drawer.md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Accessibility</x:t>
        </x:is>
      </x:c>
      <x:c r="C62" s="84" t="inlineStr">
        <x:is>
          <x:t xml:space="preserve">Content</x:t>
        </x:is>
      </x:c>
      <x:c r="D62" s="84" t="inlineStr">
        <x:is>
          <x:t xml:space="preserve">ariaLabel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manual-tests/drawer.md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Public API</x:t>
        </x:is>
      </x:c>
      <x:c r="C63" s="84" t="inlineStr">
        <x:is>
          <x:t xml:space="preserve">Content</x:t>
        </x:is>
      </x:c>
      <x:c r="D63" s="84" t="inlineStr">
        <x:is>
          <x:t xml:space="preserve">data-slot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manual-tests/drawer.md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Content</x:t>
        </x:is>
      </x:c>
      <x:c r="D64" s="84" t="inlineStr">
        <x:is>
          <x:t xml:space="preserve">[data-slot]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manual-tests/drawer.md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Public API</x:t>
        </x:is>
      </x:c>
      <x:c r="C65" s="84" t="inlineStr">
        <x:is>
          <x:t xml:space="preserve">Content</x:t>
        </x:is>
      </x:c>
      <x:c r="D65" s="84" t="inlineStr">
        <x:is>
          <x:t xml:space="preserve">[data-state]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manual-tests/drawer.md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Public API</x:t>
        </x:is>
      </x:c>
      <x:c r="C66" s="84" t="inlineStr">
        <x:is>
          <x:t xml:space="preserve">Content</x:t>
        </x:is>
      </x:c>
      <x:c r="D66" s="84" t="inlineStr">
        <x:is>
          <x:t xml:space="preserve">[data-placement]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manual-tests/drawer.md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Content</x:t>
        </x:is>
      </x:c>
      <x:c r="D67" s="84" t="inlineStr">
        <x:is>
          <x:t xml:space="preserve">[data-positioned]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manual-tests/drawer.md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30" customHeight="1">
      <x:c r="A68" s="73" t="n">
        <x:v>60</x:v>
      </x:c>
      <x:c r="B68" s="84" t="inlineStr">
        <x:is>
          <x:t xml:space="preserve">Anatomy</x:t>
        </x:is>
      </x:c>
      <x:c r="C68" s="84" t="inlineStr">
        <x:is>
          <x:t xml:space="preserve">Title</x:t>
        </x:is>
      </x:c>
      <x:c r="D68" s="84" t="inlineStr">
        <x:is>
          <x:t xml:space="preserve">renders correct part when expected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manual-tests/drawer.md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Anatomy</x:t>
        </x:is>
      </x:c>
      <x:c r="C69" s="84" t="inlineStr">
        <x:is>
          <x:t xml:space="preserve">Title</x:t>
        </x:is>
      </x:c>
      <x:c r="D69" s="84" t="inlineStr">
        <x:is>
          <x:t xml:space="preserve">appears in documented order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manual-tests/drawer.md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Identity</x:t>
        </x:is>
      </x:c>
      <x:c r="C70" s="84" t="inlineStr">
        <x:is>
          <x:t xml:space="preserve">Title</x:t>
        </x:is>
      </x:c>
      <x:c r="D70" s="84" t="inlineStr">
        <x:is>
          <x:t xml:space="preserve">default tag is visible in Anatomy/Inspector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manual-tests/drawer.md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Identity</x:t>
        </x:is>
      </x:c>
      <x:c r="C71" s="84" t="inlineStr">
        <x:is>
          <x:t xml:space="preserve">Title</x:t>
        </x:is>
      </x:c>
      <x:c r="D71" s="84" t="inlineStr">
        <x:is>
          <x:t xml:space="preserve">data-slot is present and correct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manual-tests/drawer.md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Props</x:t>
        </x:is>
      </x:c>
      <x:c r="C72" s="84" t="inlineStr">
        <x:is>
          <x:t xml:space="preserve">Title</x:t>
        </x:is>
      </x:c>
      <x:c r="D72" s="84" t="inlineStr">
        <x:is>
          <x:t xml:space="preserve">non-Atom native props pass through with data-prop-check marker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manual-tests/drawer.md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Public API</x:t>
        </x:is>
      </x:c>
      <x:c r="C73" s="84" t="inlineStr">
        <x:is>
          <x:t xml:space="preserve">Title</x:t>
        </x:is>
      </x:c>
      <x:c r="D73" s="84" t="inlineStr">
        <x:is>
          <x:t xml:space="preserve">as prop behavior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manual-tests/drawer.md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Public API</x:t>
        </x:is>
      </x:c>
      <x:c r="C74" s="84" t="inlineStr">
        <x:is>
          <x:t xml:space="preserve">Title</x:t>
        </x:is>
      </x:c>
      <x:c r="D74" s="84" t="inlineStr">
        <x:is>
          <x:t xml:space="preserve">data-slot prop behavior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manual-tests/drawer.md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Anatomy</x:t>
        </x:is>
      </x:c>
      <x:c r="C75" s="84" t="inlineStr">
        <x:is>
          <x:t xml:space="preserve">Description</x:t>
        </x:is>
      </x:c>
      <x:c r="D75" s="84" t="inlineStr">
        <x:is>
          <x:t xml:space="preserve">renders correct part when expected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manual-tests/drawer.md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Anatomy</x:t>
        </x:is>
      </x:c>
      <x:c r="C76" s="84" t="inlineStr">
        <x:is>
          <x:t xml:space="preserve">Description</x:t>
        </x:is>
      </x:c>
      <x:c r="D76" s="84" t="inlineStr">
        <x:is>
          <x:t xml:space="preserve">appears in documented order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manual-tests/drawer.md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Identity</x:t>
        </x:is>
      </x:c>
      <x:c r="C77" s="84" t="inlineStr">
        <x:is>
          <x:t xml:space="preserve">Description</x:t>
        </x:is>
      </x:c>
      <x:c r="D77" s="84" t="inlineStr">
        <x:is>
          <x:t xml:space="preserve">default tag is visible in Anatomy/Inspector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manual-tests/drawer.md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Identity</x:t>
        </x:is>
      </x:c>
      <x:c r="C78" s="84" t="inlineStr">
        <x:is>
          <x:t xml:space="preserve">Description</x:t>
        </x:is>
      </x:c>
      <x:c r="D78" s="84" t="inlineStr">
        <x:is>
          <x:t xml:space="preserve">data-slot is present and correct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manual-tests/drawer.md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Props</x:t>
        </x:is>
      </x:c>
      <x:c r="C79" s="84" t="inlineStr">
        <x:is>
          <x:t xml:space="preserve">Description</x:t>
        </x:is>
      </x:c>
      <x:c r="D79" s="84" t="inlineStr">
        <x:is>
          <x:t xml:space="preserve">non-Atom native props pass through with data-prop-check marker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manual-tests/drawer.md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Public API</x:t>
        </x:is>
      </x:c>
      <x:c r="C80" s="84" t="inlineStr">
        <x:is>
          <x:t xml:space="preserve">Description</x:t>
        </x:is>
      </x:c>
      <x:c r="D80" s="84" t="inlineStr">
        <x:is>
          <x:t xml:space="preserve">data-slot prop behavior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manual-tests/drawer.md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30" customHeight="1">
      <x:c r="A81" s="73" t="n">
        <x:v>73</x:v>
      </x:c>
      <x:c r="B81" s="84" t="inlineStr">
        <x:is>
          <x:t xml:space="preserve">Anatomy</x:t>
        </x:is>
      </x:c>
      <x:c r="C81" s="84" t="inlineStr">
        <x:is>
          <x:t xml:space="preserve">Close</x:t>
        </x:is>
      </x:c>
      <x:c r="D81" s="84" t="inlineStr">
        <x:is>
          <x:t xml:space="preserve">renders correct part when expected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manual-tests/drawer.md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Anatomy</x:t>
        </x:is>
      </x:c>
      <x:c r="C82" s="84" t="inlineStr">
        <x:is>
          <x:t xml:space="preserve">Close</x:t>
        </x:is>
      </x:c>
      <x:c r="D82" s="84" t="inlineStr">
        <x:is>
          <x:t xml:space="preserve">appears in documented order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manual-tests/drawer.md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Identity</x:t>
        </x:is>
      </x:c>
      <x:c r="C83" s="84" t="inlineStr">
        <x:is>
          <x:t xml:space="preserve">Close</x:t>
        </x:is>
      </x:c>
      <x:c r="D83" s="84" t="inlineStr">
        <x:is>
          <x:t xml:space="preserve">default tag is visible in Anatomy/Inspector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manual-tests/drawer.md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Identity</x:t>
        </x:is>
      </x:c>
      <x:c r="C84" s="84" t="inlineStr">
        <x:is>
          <x:t xml:space="preserve">Close</x:t>
        </x:is>
      </x:c>
      <x:c r="D84" s="84" t="inlineStr">
        <x:is>
          <x:t xml:space="preserve">data-slot is present and correct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manual-tests/drawer.md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Props</x:t>
        </x:is>
      </x:c>
      <x:c r="C85" s="84" t="inlineStr">
        <x:is>
          <x:t xml:space="preserve">Close</x:t>
        </x:is>
      </x:c>
      <x:c r="D85" s="84" t="inlineStr">
        <x:is>
          <x:t xml:space="preserve">non-Atom native props pass through with data-prop-check marker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manual-tests/drawer.md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Composition</x:t>
        </x:is>
      </x:c>
      <x:c r="C86" s="84" t="inlineStr">
        <x:is>
          <x:t xml:space="preserve">Close</x:t>
        </x:is>
      </x:c>
      <x:c r="D86" s="84" t="inlineStr">
        <x:is>
          <x:t xml:space="preserve">asChild prop behavior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manual-tests/drawer.md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Composition</x:t>
        </x:is>
      </x:c>
      <x:c r="C87" s="84" t="inlineStr">
        <x:is>
          <x:t xml:space="preserve">Close</x:t>
        </x:is>
      </x:c>
      <x:c r="D87" s="84" t="inlineStr">
        <x:is>
          <x:t xml:space="preserve">render prop behavior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manual-tests/drawer.md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Public API</x:t>
        </x:is>
      </x:c>
      <x:c r="C88" s="84" t="inlineStr">
        <x:is>
          <x:t xml:space="preserve">Close</x:t>
        </x:is>
      </x:c>
      <x:c r="D88" s="84" t="inlineStr">
        <x:is>
          <x:t xml:space="preserve">data-slot prop behavior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manual-tests/drawer.md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30" customHeight="1">
      <x:c r="A89" s="73" t="n">
        <x:v>81</x:v>
      </x:c>
      <x:c r="B89" s="84" t="inlineStr">
        <x:is>
          <x:t xml:space="preserve">ARIA</x:t>
        </x:is>
      </x:c>
      <x:c r="C89" s="84" t="inlineStr">
        <x:is>
          <x:t xml:space="preserve">Live DOM</x:t>
        </x:is>
      </x:c>
      <x:c r="D89" s="84" t="inlineStr">
        <x:is>
          <x:t xml:space="preserve">aria-hidden is present at the correct time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manual-tests/drawer.md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Data</x:t>
        </x:is>
      </x:c>
      <x:c r="C90" s="84" t="inlineStr">
        <x:is>
          <x:t xml:space="preserve">Live DOM</x:t>
        </x:is>
      </x:c>
      <x:c r="D90" s="84" t="inlineStr">
        <x:is>
          <x:t xml:space="preserve">data-placement is present at the correct time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manual-tests/drawer.md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Data</x:t>
        </x:is>
      </x:c>
      <x:c r="C91" s="84" t="inlineStr">
        <x:is>
          <x:t xml:space="preserve">Live DOM</x:t>
        </x:is>
      </x:c>
      <x:c r="D91" s="84" t="inlineStr">
        <x:is>
          <x:t xml:space="preserve">data-positioned is present at the correct time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manual-tests/drawer.md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Data</x:t>
        </x:is>
      </x:c>
      <x:c r="C92" s="84" t="inlineStr">
        <x:is>
          <x:t xml:space="preserve">Live DOM</x:t>
        </x:is>
      </x:c>
      <x:c r="D92" s="84" t="inlineStr">
        <x:is>
          <x:t xml:space="preserve">data-slot is present at the correct time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manual-tests/drawer.md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Data</x:t>
        </x:is>
      </x:c>
      <x:c r="C93" s="84" t="inlineStr">
        <x:is>
          <x:t xml:space="preserve">Live DOM</x:t>
        </x:is>
      </x:c>
      <x:c r="D93" s="84" t="inlineStr">
        <x:is>
          <x:t xml:space="preserve">data-state is present at the correct time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manual-tests/drawer.md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State</x:t>
        </x:is>
      </x:c>
      <x:c r="C94" s="84" t="inlineStr">
        <x:is>
          <x:t xml:space="preserve">Root</x:t>
        </x:is>
      </x:c>
      <x:c r="D94" s="84" t="inlineStr">
        <x:is>
          <x:t xml:space="preserve">controlled state path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manual-tests/drawer.md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State</x:t>
        </x:is>
      </x:c>
      <x:c r="C95" s="84" t="inlineStr">
        <x:is>
          <x:t xml:space="preserve">Root</x:t>
        </x:is>
      </x:c>
      <x:c r="D95" s="84" t="inlineStr">
        <x:is>
          <x:t xml:space="preserve">uncontrolled default state path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manual-tests/drawer.md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30" customHeight="1">
      <x:c r="A96" s="73" t="n">
        <x:v>88</x:v>
      </x:c>
      <x:c r="B96" s="84" t="inlineStr">
        <x:is>
          <x:t xml:space="preserve">State</x:t>
        </x:is>
      </x:c>
      <x:c r="C96" s="84" t="inlineStr">
        <x:is>
          <x:t xml:space="preserve">Root</x:t>
        </x:is>
      </x:c>
      <x:c r="D96" s="84" t="inlineStr">
        <x:is>
          <x:t xml:space="preserve">state change callback fires once with correct value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manual-tests/drawer.md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Interaction</x:t>
        </x:is>
      </x:c>
      <x:c r="C97" s="84" t="inlineStr">
        <x:is>
          <x:t xml:space="preserve">Trigger</x:t>
        </x:is>
      </x:c>
      <x:c r="D97" s="84" t="inlineStr">
        <x:is>
          <x:t xml:space="preserve">mouse click or pointer activation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manual-tests/drawer.md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Interaction</x:t>
        </x:is>
      </x:c>
      <x:c r="C98" s="84" t="inlineStr">
        <x:is>
          <x:t xml:space="preserve">Trigger</x:t>
        </x:is>
      </x:c>
      <x:c r="D98" s="84" t="inlineStr">
        <x:is>
          <x:t xml:space="preserve">Enter key activation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manual-tests/drawer.md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Interaction</x:t>
        </x:is>
      </x:c>
      <x:c r="C99" s="84" t="inlineStr">
        <x:is>
          <x:t xml:space="preserve">Trigger</x:t>
        </x:is>
      </x:c>
      <x:c r="D99" s="84" t="inlineStr">
        <x:is>
          <x:t xml:space="preserve">Space key activation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manual-tests/drawer.md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Interaction</x:t>
        </x:is>
      </x:c>
      <x:c r="C100" s="84" t="inlineStr">
        <x:is>
          <x:t xml:space="preserve">Trigger</x:t>
        </x:is>
      </x:c>
      <x:c r="D100" s="84" t="inlineStr">
        <x:is>
          <x:t xml:space="preserve">disabled trigger blocks pointer and keyboard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manual-tests/drawer.md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Focus</x:t>
        </x:is>
      </x:c>
      <x:c r="C101" s="84" t="inlineStr">
        <x:is>
          <x:t xml:space="preserve">Trigger</x:t>
        </x:is>
      </x:c>
      <x:c r="D101" s="84" t="inlineStr">
        <x:is>
          <x:t xml:space="preserve">focus ring and focus restoration are correct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manual-tests/drawer.md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Dismiss</x:t>
        </x:is>
      </x:c>
      <x:c r="C102" s="84" t="inlineStr">
        <x:is>
          <x:t xml:space="preserve">Drawer</x:t>
        </x:is>
      </x:c>
      <x:c r="D102" s="84" t="inlineStr">
        <x:is>
          <x:t xml:space="preserve">Escape closes only the topmost active layer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manual-tests/drawer.md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Dismiss</x:t>
        </x:is>
      </x:c>
      <x:c r="C103" s="84" t="inlineStr">
        <x:is>
          <x:t xml:space="preserve">Drawer</x:t>
        </x:is>
      </x:c>
      <x:c r="D103" s="84" t="inlineStr">
        <x:is>
          <x:t xml:space="preserve">outside click/interact closes when enabled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manual-tests/drawer.md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Dismiss</x:t>
        </x:is>
      </x:c>
      <x:c r="C104" s="84" t="inlineStr">
        <x:is>
          <x:t xml:space="preserve">Drawer</x:t>
        </x:is>
      </x:c>
      <x:c r="D104" s="84" t="inlineStr">
        <x:is>
          <x:t xml:space="preserve">outside click/interact is blocked when disabled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6" t="inlineStr">
        <x:is>
          <x:t xml:space="preserve">covered</x:t>
        </x:is>
      </x:c>
      <x:c r="I104" s="84" t="inlineStr">
        <x:is>
          <x:t xml:space="preserve">manual-tests/drawer.md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Focus</x:t>
        </x:is>
      </x:c>
      <x:c r="C105" s="84" t="inlineStr">
        <x:is>
          <x:t xml:space="preserve">Drawer</x:t>
        </x:is>
      </x:c>
      <x:c r="D105" s="84" t="inlineStr">
        <x:is>
          <x:t xml:space="preserve">focus returns to the correct trigger/anchor after close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6" t="inlineStr">
        <x:is>
          <x:t xml:space="preserve">covered</x:t>
        </x:is>
      </x:c>
      <x:c r="I105" s="84" t="inlineStr">
        <x:is>
          <x:t xml:space="preserve">manual-tests/drawer.md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Focus</x:t>
        </x:is>
      </x:c>
      <x:c r="C106" s="84" t="inlineStr">
        <x:is>
          <x:t xml:space="preserve">Drawer</x:t>
        </x:is>
      </x:c>
      <x:c r="D106" s="84" t="inlineStr">
        <x:is>
          <x:t xml:space="preserve">nested overlays keep focus and Escape order correct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6" t="inlineStr">
        <x:is>
          <x:t xml:space="preserve">covered</x:t>
        </x:is>
      </x:c>
      <x:c r="I106" s="84" t="inlineStr">
        <x:is>
          <x:t xml:space="preserve">manual-tests/drawer.md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Portal</x:t>
        </x:is>
      </x:c>
      <x:c r="C107" s="84" t="inlineStr">
        <x:is>
          <x:t xml:space="preserve">Drawer</x:t>
        </x:is>
      </x:c>
      <x:c r="D107" s="84" t="inlineStr">
        <x:is>
          <x:t xml:space="preserve">portal renders in body by default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test</x:t>
        </x:is>
      </x:c>
      <x:c r="H107" s="86" t="inlineStr">
        <x:is>
          <x:t xml:space="preserve">covered</x:t>
        </x:is>
      </x:c>
      <x:c r="I107" s="84" t="inlineStr">
        <x:is>
          <x:t xml:space="preserve">manual-tests/drawer.md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Portal</x:t>
        </x:is>
      </x:c>
      <x:c r="C108" s="84" t="inlineStr">
        <x:is>
          <x:t xml:space="preserve">Drawer</x:t>
        </x:is>
      </x:c>
      <x:c r="D108" s="84" t="inlineStr">
        <x:is>
          <x:t xml:space="preserve">custom/disabled portal path works where supported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test</x:t>
        </x:is>
      </x:c>
      <x:c r="H108" s="86" t="inlineStr">
        <x:is>
          <x:t xml:space="preserve">covered</x:t>
        </x:is>
      </x:c>
      <x:c r="I108" s="84" t="inlineStr">
        <x:is>
          <x:t xml:space="preserve">manual-tests/drawer.md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Positioning</x:t>
        </x:is>
      </x:c>
      <x:c r="C109" s="84" t="inlineStr">
        <x:is>
          <x:t xml:space="preserve">Drawer</x:t>
        </x:is>
      </x:c>
      <x:c r="D109" s="84" t="inlineStr">
        <x:is>
          <x:t xml:space="preserve">placement options expose data-placement and playground CSS positions content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test</x:t>
        </x:is>
      </x:c>
      <x:c r="H109" s="86" t="inlineStr">
        <x:is>
          <x:t xml:space="preserve">covered</x:t>
        </x:is>
      </x:c>
      <x:c r="I109" s="84" t="inlineStr">
        <x:is>
          <x:t xml:space="preserve">manual-tests/drawer.md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/>
    <x:row r="111" s="51" customFormat="1" ht="15" customHeight="1"/>
    <x:row r="112" s="51" customFormat="1" ht="15" customHeight="1"/>
    <x:row r="113" s="51" customFormat="1" ht="15" customHeight="1"/>
    <x:row r="114" s="51" customFormat="1" ht="15" customHeight="1"/>
    <x:row r="115" s="51" customFormat="1" ht="15" customHeight="1"/>
    <x:row r="116" s="51" customFormat="1" ht="15" customHeight="1"/>
    <x:row r="117" s="51" customFormat="1" ht="15" customHeight="1"/>
    <x:row r="118" s="51" customFormat="1" ht="15" customHeight="1"/>
    <x:row r="119" s="51" customFormat="1" ht="15" customHeight="1"/>
    <x:row r="120" s="51" customFormat="1" ht="15" customHeight="1"/>
    <x:row r="121" s="51" customFormat="1" ht="15" customHeight="1"/>
    <x:row r="122" s="51" customFormat="1" ht="15" customHeight="1"/>
    <x:row r="123" s="51" customFormat="1" ht="15" customHeight="1"/>
    <x:row r="124" s="51" customFormat="1" ht="15" customHeight="1"/>
    <x:row r="125" s="51" customFormat="1" ht="30" customHeight="1"/>
    <x:row r="126" s="51" customFormat="1" ht="15" customHeight="1"/>
    <x:row r="127" s="51" customFormat="1" ht="1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DropdownMenu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0.852589641434263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214</x:v>
      </x:c>
      <x:c r="E4" s="70" t="inlineStr">
        <x:is>
          <x:t xml:space="preserve">Partial</x:t>
        </x:is>
      </x:c>
      <x:c r="F4" s="82" t="n">
        <x:f>COUNTIFS(A9:A1000,"&lt;&gt;",H9:H1000,"partial")</x:f>
        <x:v>11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37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31.5" customHeight="1">
      <x:c r="A9" s="93" t="n">
        <x:v>1</x:v>
      </x:c>
      <x:c r="B9" s="94" t="inlineStr">
        <x:is>
          <x:t xml:space="preserve">Playground</x:t>
        </x:is>
      </x:c>
      <x:c r="C9" s="94" t="inlineStr">
        <x:is>
          <x:t xml:space="preserve">Props</x:t>
        </x:is>
      </x:c>
      <x:c r="D9" s="94" t="inlineStr">
        <x:is>
          <x:t xml:space="preserve">Props toolbar exposes Prop Check and keeps data-prop-check off by default</x:t>
        </x:is>
      </x:c>
      <x:c r="E9" s="93" t="inlineStr">
        <x:is>
          <x:t xml:space="preserve">yes</x:t>
        </x:is>
      </x:c>
      <x:c r="F9" s="93" t="inlineStr">
        <x:is>
          <x:t xml:space="preserve">yes</x:t>
        </x:is>
      </x:c>
      <x:c r="G9" s="93" t="inlineStr">
        <x:is>
          <x:t xml:space="preserve">pass</x:t>
        </x:is>
      </x:c>
      <x:c r="H9" s="93" t="inlineStr">
        <x:is>
          <x:t xml:space="preserve">covered</x:t>
        </x:is>
      </x:c>
      <x:c r="I9" s="94" t="inlineStr">
        <x:is>
          <x:t xml:space="preserve">DropdownMenu playground manual verification.</x:t>
        </x:is>
      </x:c>
      <x:c r="J9" s="94" t="n"/>
      <x:c r="K9" s="95" t="n">
        <x:f>IF(AND(E9="yes",F9="yes",H9="covered"),1,IF(H9="partial",0.5,0))</x:f>
        <x:v>1</x:v>
      </x:c>
    </x:row>
    <x:row r="10" s="51" customFormat="1" ht="31.5" customHeight="1">
      <x:c r="A10" s="93" t="n">
        <x:v>2</x:v>
      </x:c>
      <x:c r="B10" s="94" t="inlineStr">
        <x:is>
          <x:t xml:space="preserve">Playground</x:t>
        </x:is>
      </x:c>
      <x:c r="C10" s="94" t="inlineStr">
        <x:is>
          <x:t xml:space="preserve">Props</x:t>
        </x:is>
      </x:c>
      <x:c r="D10" s="94" t="inlineStr">
        <x:is>
          <x:t xml:space="preserve">custom data-slot override is available for every slot-owning anatomy part</x:t>
        </x:is>
      </x:c>
      <x:c r="E10" s="93" t="inlineStr">
        <x:is>
          <x:t xml:space="preserve">yes</x:t>
        </x:is>
      </x:c>
      <x:c r="F10" s="93" t="inlineStr">
        <x:is>
          <x:t xml:space="preserve">yes</x:t>
        </x:is>
      </x:c>
      <x:c r="G10" s="93" t="inlineStr">
        <x:is>
          <x:t xml:space="preserve">pass</x:t>
        </x:is>
      </x:c>
      <x:c r="H10" s="93" t="inlineStr">
        <x:is>
          <x:t xml:space="preserve">covered</x:t>
        </x:is>
      </x:c>
      <x:c r="I10" s="94" t="inlineStr">
        <x:is>
          <x:t xml:space="preserve">DropdownMenu playground manual verification.</x:t>
        </x:is>
      </x:c>
      <x:c r="J10" s="94" t="n"/>
      <x:c r="K10" s="95" t="n">
        <x:f>IF(AND(E10="yes",F10="yes",H10="covered"),1,IF(H10="partial",0.5,0))</x:f>
        <x:v>1</x:v>
      </x:c>
    </x:row>
    <x:row r="11" s="51" customFormat="1" ht="31.5" customHeight="1">
      <x:c r="A11" s="93" t="n">
        <x:v>3</x:v>
      </x:c>
      <x:c r="B11" s="94" t="inlineStr">
        <x:is>
          <x:t xml:space="preserve">Public API</x:t>
        </x:is>
      </x:c>
      <x:c r="C11" s="94" t="inlineStr">
        <x:is>
          <x:t xml:space="preserve">Root</x:t>
        </x:is>
      </x:c>
      <x:c r="D11" s="94" t="inlineStr">
        <x:is>
          <x:t xml:space="preserve">open prop controls menu visibility</x:t>
        </x:is>
      </x:c>
      <x:c r="E11" s="93" t="inlineStr">
        <x:is>
          <x:t xml:space="preserve">yes</x:t>
        </x:is>
      </x:c>
      <x:c r="F11" s="93" t="inlineStr">
        <x:is>
          <x:t xml:space="preserve">yes</x:t>
        </x:is>
      </x:c>
      <x:c r="G11" s="93" t="inlineStr">
        <x:is>
          <x:t xml:space="preserve">pass</x:t>
        </x:is>
      </x:c>
      <x:c r="H11" s="93" t="inlineStr">
        <x:is>
          <x:t xml:space="preserve">covered</x:t>
        </x:is>
      </x:c>
      <x:c r="I11" s="94" t="inlineStr">
        <x:is>
          <x:t xml:space="preserve">DropdownMenu playground manual verification.</x:t>
        </x:is>
      </x:c>
      <x:c r="J11" s="94" t="n"/>
      <x:c r="K11" s="95" t="n">
        <x:f>IF(AND(E11="yes",F11="yes",H11="covered"),1,IF(H11="partial",0.5,0))</x:f>
        <x:v>1</x:v>
      </x:c>
    </x:row>
    <x:row r="12" s="51" customFormat="1" ht="31.5" customHeight="1">
      <x:c r="A12" s="93" t="n">
        <x:v>4</x:v>
      </x:c>
      <x:c r="B12" s="94" t="inlineStr">
        <x:is>
          <x:t xml:space="preserve">Public API</x:t>
        </x:is>
      </x:c>
      <x:c r="C12" s="94" t="inlineStr">
        <x:is>
          <x:t xml:space="preserve">Root</x:t>
        </x:is>
      </x:c>
      <x:c r="D12" s="94" t="inlineStr">
        <x:is>
          <x:t xml:space="preserve">defaultOpen initializes uncontrolled open state</x:t>
        </x:is>
      </x:c>
      <x:c r="E12" s="93" t="inlineStr">
        <x:is>
          <x:t xml:space="preserve">yes</x:t>
        </x:is>
      </x:c>
      <x:c r="F12" s="93" t="inlineStr">
        <x:is>
          <x:t xml:space="preserve">yes</x:t>
        </x:is>
      </x:c>
      <x:c r="G12" s="93" t="inlineStr">
        <x:is>
          <x:t xml:space="preserve">pass</x:t>
        </x:is>
      </x:c>
      <x:c r="H12" s="93" t="inlineStr">
        <x:is>
          <x:t xml:space="preserve">covered</x:t>
        </x:is>
      </x:c>
      <x:c r="I12" s="94" t="inlineStr">
        <x:is>
          <x:t xml:space="preserve">DropdownMenu playground manual verification.</x:t>
        </x:is>
      </x:c>
      <x:c r="J12" s="94" t="n"/>
      <x:c r="K12" s="95" t="n">
        <x:f>IF(AND(E12="yes",F12="yes",H12="covered"),1,IF(H12="partial",0.5,0))</x:f>
        <x:v>1</x:v>
      </x:c>
    </x:row>
    <x:row r="13" s="51" customFormat="1" ht="31.5" customHeight="1">
      <x:c r="A13" s="93" t="n">
        <x:v>5</x:v>
      </x:c>
      <x:c r="B13" s="94" t="inlineStr">
        <x:is>
          <x:t xml:space="preserve">Public API</x:t>
        </x:is>
      </x:c>
      <x:c r="C13" s="94" t="inlineStr">
        <x:is>
          <x:t xml:space="preserve">Root</x:t>
        </x:is>
      </x:c>
      <x:c r="D13" s="94" t="inlineStr">
        <x:is>
          <x:t xml:space="preserve">onOpenChange fires on open and close</x:t>
        </x:is>
      </x:c>
      <x:c r="E13" s="93" t="inlineStr">
        <x:is>
          <x:t xml:space="preserve">yes</x:t>
        </x:is>
      </x:c>
      <x:c r="F13" s="93" t="inlineStr">
        <x:is>
          <x:t xml:space="preserve">yes</x:t>
        </x:is>
      </x:c>
      <x:c r="G13" s="93" t="inlineStr">
        <x:is>
          <x:t xml:space="preserve">pass</x:t>
        </x:is>
      </x:c>
      <x:c r="H13" s="93" t="inlineStr">
        <x:is>
          <x:t xml:space="preserve">covered</x:t>
        </x:is>
      </x:c>
      <x:c r="I13" s="94" t="inlineStr">
        <x:is>
          <x:t xml:space="preserve">DropdownMenu playground manual verification.</x:t>
        </x:is>
      </x:c>
      <x:c r="J13" s="94" t="n"/>
      <x:c r="K13" s="95" t="n">
        <x:f>IF(AND(E13="yes",F13="yes",H13="covered"),1,IF(H13="partial",0.5,0))</x:f>
        <x:v>1</x:v>
      </x:c>
    </x:row>
    <x:row r="14" s="51" customFormat="1" ht="31.5" customHeight="1">
      <x:c r="A14" s="93" t="n">
        <x:v>6</x:v>
      </x:c>
      <x:c r="B14" s="94" t="inlineStr">
        <x:is>
          <x:t xml:space="preserve">Public API</x:t>
        </x:is>
      </x:c>
      <x:c r="C14" s="94" t="inlineStr">
        <x:is>
          <x:t xml:space="preserve">Root</x:t>
        </x:is>
      </x:c>
      <x:c r="D14" s="94" t="inlineStr">
        <x:is>
          <x:t xml:space="preserve">closeOnSelect true closes action items</x:t>
        </x:is>
      </x:c>
      <x:c r="E14" s="93" t="inlineStr">
        <x:is>
          <x:t xml:space="preserve">yes</x:t>
        </x:is>
      </x:c>
      <x:c r="F14" s="93" t="inlineStr">
        <x:is>
          <x:t xml:space="preserve">yes</x:t>
        </x:is>
      </x:c>
      <x:c r="G14" s="93" t="inlineStr">
        <x:is>
          <x:t xml:space="preserve">pass</x:t>
        </x:is>
      </x:c>
      <x:c r="H14" s="93" t="inlineStr">
        <x:is>
          <x:t xml:space="preserve">covered</x:t>
        </x:is>
      </x:c>
      <x:c r="I14" s="94" t="inlineStr">
        <x:is>
          <x:t xml:space="preserve">DropdownMenu playground manual verification.</x:t>
        </x:is>
      </x:c>
      <x:c r="J14" s="94" t="n"/>
      <x:c r="K14" s="95" t="n">
        <x:f>IF(AND(E14="yes",F14="yes",H14="covered"),1,IF(H14="partial",0.5,0))</x:f>
        <x:v>1</x:v>
      </x:c>
    </x:row>
    <x:row r="15" s="51" customFormat="1" ht="31.5" customHeight="1">
      <x:c r="A15" s="93" t="n">
        <x:v>7</x:v>
      </x:c>
      <x:c r="B15" s="94" t="inlineStr">
        <x:is>
          <x:t xml:space="preserve">Public API</x:t>
        </x:is>
      </x:c>
      <x:c r="C15" s="94" t="inlineStr">
        <x:is>
          <x:t xml:space="preserve">Root</x:t>
        </x:is>
      </x:c>
      <x:c r="D15" s="94" t="inlineStr">
        <x:is>
          <x:t xml:space="preserve">closeOnSelect false keeps selection menu open</x:t>
        </x:is>
      </x:c>
      <x:c r="E15" s="93" t="inlineStr">
        <x:is>
          <x:t xml:space="preserve">yes</x:t>
        </x:is>
      </x:c>
      <x:c r="F15" s="93" t="inlineStr">
        <x:is>
          <x:t xml:space="preserve">yes</x:t>
        </x:is>
      </x:c>
      <x:c r="G15" s="93" t="inlineStr">
        <x:is>
          <x:t xml:space="preserve">pass</x:t>
        </x:is>
      </x:c>
      <x:c r="H15" s="93" t="inlineStr">
        <x:is>
          <x:t xml:space="preserve">covered</x:t>
        </x:is>
      </x:c>
      <x:c r="I15" s="94" t="inlineStr">
        <x:is>
          <x:t xml:space="preserve">DropdownMenu playground manual verification.</x:t>
        </x:is>
      </x:c>
      <x:c r="J15" s="94" t="n"/>
      <x:c r="K15" s="95" t="n">
        <x:f>IF(AND(E15="yes",F15="yes",H15="covered"),1,IF(H15="partial",0.5,0))</x:f>
        <x:v>1</x:v>
      </x:c>
    </x:row>
    <x:row r="16" s="51" customFormat="1" ht="31.5" customHeight="1">
      <x:c r="A16" s="93" t="n">
        <x:v>8</x:v>
      </x:c>
      <x:c r="B16" s="94" t="inlineStr">
        <x:is>
          <x:t xml:space="preserve">Public API</x:t>
        </x:is>
      </x:c>
      <x:c r="C16" s="94" t="inlineStr">
        <x:is>
          <x:t xml:space="preserve">Root</x:t>
        </x:is>
      </x:c>
      <x:c r="D16" s="94" t="inlineStr">
        <x:is>
          <x:t xml:space="preserve">loop true wraps keyboard highlight</x:t>
        </x:is>
      </x:c>
      <x:c r="E16" s="93" t="inlineStr">
        <x:is>
          <x:t xml:space="preserve">yes</x:t>
        </x:is>
      </x:c>
      <x:c r="F16" s="93" t="inlineStr">
        <x:is>
          <x:t xml:space="preserve">yes</x:t>
        </x:is>
      </x:c>
      <x:c r="G16" s="93" t="inlineStr">
        <x:is>
          <x:t xml:space="preserve">pass</x:t>
        </x:is>
      </x:c>
      <x:c r="H16" s="93" t="inlineStr">
        <x:is>
          <x:t xml:space="preserve">covered</x:t>
        </x:is>
      </x:c>
      <x:c r="I16" s="94" t="inlineStr">
        <x:is>
          <x:t xml:space="preserve">DropdownMenu playground manual verification.</x:t>
        </x:is>
      </x:c>
      <x:c r="J16" s="94" t="n"/>
      <x:c r="K16" s="95" t="n">
        <x:f>IF(AND(E16="yes",F16="yes",H16="covered"),1,IF(H16="partial",0.5,0))</x:f>
        <x:v>1</x:v>
      </x:c>
    </x:row>
    <x:row r="17" s="51" customFormat="1" ht="31.5" customHeight="1">
      <x:c r="A17" s="93" t="n">
        <x:v>9</x:v>
      </x:c>
      <x:c r="B17" s="94" t="inlineStr">
        <x:is>
          <x:t xml:space="preserve">Public API</x:t>
        </x:is>
      </x:c>
      <x:c r="C17" s="94" t="inlineStr">
        <x:is>
          <x:t xml:space="preserve">Root</x:t>
        </x:is>
      </x:c>
      <x:c r="D17" s="94" t="inlineStr">
        <x:is>
          <x:t xml:space="preserve">loop false stops at first and last item</x:t>
        </x:is>
      </x:c>
      <x:c r="E17" s="93" t="inlineStr">
        <x:is>
          <x:t xml:space="preserve">yes</x:t>
        </x:is>
      </x:c>
      <x:c r="F17" s="93" t="inlineStr">
        <x:is>
          <x:t xml:space="preserve">yes</x:t>
        </x:is>
      </x:c>
      <x:c r="G17" s="93" t="inlineStr">
        <x:is>
          <x:t xml:space="preserve">pass</x:t>
        </x:is>
      </x:c>
      <x:c r="H17" s="93" t="inlineStr">
        <x:is>
          <x:t xml:space="preserve">covered</x:t>
        </x:is>
      </x:c>
      <x:c r="I17" s="94" t="inlineStr">
        <x:is>
          <x:t xml:space="preserve">DropdownMenu playground manual verification.</x:t>
        </x:is>
      </x:c>
      <x:c r="J17" s="94" t="n"/>
      <x:c r="K17" s="95" t="n">
        <x:f>IF(AND(E17="yes",F17="yes",H17="covered"),1,IF(H17="partial",0.5,0))</x:f>
        <x:v>1</x:v>
      </x:c>
    </x:row>
    <x:row r="18" s="51" customFormat="1" ht="31.5" customHeight="1">
      <x:c r="A18" s="93" t="n">
        <x:v>10</x:v>
      </x:c>
      <x:c r="B18" s="94" t="inlineStr">
        <x:is>
          <x:t xml:space="preserve">Public API</x:t>
        </x:is>
      </x:c>
      <x:c r="C18" s="94" t="inlineStr">
        <x:is>
          <x:t xml:space="preserve">Root</x:t>
        </x:is>
      </x:c>
      <x:c r="D18" s="94" t="inlineStr">
        <x:is>
          <x:t xml:space="preserve">closeOnEscape true closes menu</x:t>
        </x:is>
      </x:c>
      <x:c r="E18" s="93" t="inlineStr">
        <x:is>
          <x:t xml:space="preserve">yes</x:t>
        </x:is>
      </x:c>
      <x:c r="F18" s="93" t="inlineStr">
        <x:is>
          <x:t xml:space="preserve">yes</x:t>
        </x:is>
      </x:c>
      <x:c r="G18" s="93" t="inlineStr">
        <x:is>
          <x:t xml:space="preserve">pass</x:t>
        </x:is>
      </x:c>
      <x:c r="H18" s="93" t="inlineStr">
        <x:is>
          <x:t xml:space="preserve">covered</x:t>
        </x:is>
      </x:c>
      <x:c r="I18" s="94" t="inlineStr">
        <x:is>
          <x:t xml:space="preserve">DropdownMenu playground manual verification.</x:t>
        </x:is>
      </x:c>
      <x:c r="J18" s="94" t="n"/>
      <x:c r="K18" s="95" t="n">
        <x:f>IF(AND(E18="yes",F18="yes",H18="covered"),1,IF(H18="partial",0.5,0))</x:f>
        <x:v>1</x:v>
      </x:c>
    </x:row>
    <x:row r="19" s="51" customFormat="1" ht="31.5" customHeight="1">
      <x:c r="A19" s="93" t="n">
        <x:v>11</x:v>
      </x:c>
      <x:c r="B19" s="94" t="inlineStr">
        <x:is>
          <x:t xml:space="preserve">Public API</x:t>
        </x:is>
      </x:c>
      <x:c r="C19" s="94" t="inlineStr">
        <x:is>
          <x:t xml:space="preserve">Root</x:t>
        </x:is>
      </x:c>
      <x:c r="D19" s="94" t="inlineStr">
        <x:is>
          <x:t xml:space="preserve">closeOnEscape false leaves menu open</x:t>
        </x:is>
      </x:c>
      <x:c r="E19" s="93" t="inlineStr">
        <x:is>
          <x:t xml:space="preserve">yes</x:t>
        </x:is>
      </x:c>
      <x:c r="F19" s="93" t="inlineStr">
        <x:is>
          <x:t xml:space="preserve">yes</x:t>
        </x:is>
      </x:c>
      <x:c r="G19" s="93" t="inlineStr">
        <x:is>
          <x:t xml:space="preserve">pass</x:t>
        </x:is>
      </x:c>
      <x:c r="H19" s="93" t="inlineStr">
        <x:is>
          <x:t xml:space="preserve">covered</x:t>
        </x:is>
      </x:c>
      <x:c r="I19" s="94" t="inlineStr">
        <x:is>
          <x:t xml:space="preserve">DropdownMenu playground manual verification.</x:t>
        </x:is>
      </x:c>
      <x:c r="J19" s="94" t="n"/>
      <x:c r="K19" s="95" t="n">
        <x:f>IF(AND(E19="yes",F19="yes",H19="covered"),1,IF(H19="partial",0.5,0))</x:f>
        <x:v>1</x:v>
      </x:c>
    </x:row>
    <x:row r="20" s="51" customFormat="1" ht="31.5" customHeight="1">
      <x:c r="A20" s="93" t="n">
        <x:v>12</x:v>
      </x:c>
      <x:c r="B20" s="94" t="inlineStr">
        <x:is>
          <x:t xml:space="preserve">Public API</x:t>
        </x:is>
      </x:c>
      <x:c r="C20" s="94" t="inlineStr">
        <x:is>
          <x:t xml:space="preserve">Root</x:t>
        </x:is>
      </x:c>
      <x:c r="D20" s="94" t="inlineStr">
        <x:is>
          <x:t xml:space="preserve">nested submenu disables parent Escape close</x:t>
        </x:is>
      </x:c>
      <x:c r="E20" s="93" t="inlineStr">
        <x:is>
          <x:t xml:space="preserve">yes</x:t>
        </x:is>
      </x:c>
      <x:c r="F20" s="93" t="inlineStr">
        <x:is>
          <x:t xml:space="preserve">yes</x:t>
        </x:is>
      </x:c>
      <x:c r="G20" s="93" t="inlineStr">
        <x:is>
          <x:t xml:space="preserve">pass</x:t>
        </x:is>
      </x:c>
      <x:c r="H20" s="93" t="inlineStr">
        <x:is>
          <x:t xml:space="preserve">covered</x:t>
        </x:is>
      </x:c>
      <x:c r="I20" s="94" t="inlineStr">
        <x:is>
          <x:t xml:space="preserve">DropdownMenu playground manual verification.</x:t>
        </x:is>
      </x:c>
      <x:c r="J20" s="94" t="n"/>
      <x:c r="K20" s="95" t="n">
        <x:f>IF(AND(E20="yes",F20="yes",H20="covered"),1,IF(H20="partial",0.5,0))</x:f>
        <x:v>1</x:v>
      </x:c>
    </x:row>
    <x:row r="21" s="51" customFormat="1" ht="31.5" customHeight="1">
      <x:c r="A21" s="93" t="n">
        <x:v>13</x:v>
      </x:c>
      <x:c r="B21" s="94" t="inlineStr">
        <x:is>
          <x:t xml:space="preserve">Public API</x:t>
        </x:is>
      </x:c>
      <x:c r="C21" s="94" t="inlineStr">
        <x:is>
          <x:t xml:space="preserve">Trigger</x:t>
        </x:is>
      </x:c>
      <x:c r="D21" s="94" t="inlineStr">
        <x:is>
          <x:t xml:space="preserve">renders native button by default</x:t>
        </x:is>
      </x:c>
      <x:c r="E21" s="93" t="inlineStr">
        <x:is>
          <x:t xml:space="preserve">yes</x:t>
        </x:is>
      </x:c>
      <x:c r="F21" s="93" t="inlineStr">
        <x:is>
          <x:t xml:space="preserve">yes</x:t>
        </x:is>
      </x:c>
      <x:c r="G21" s="93" t="inlineStr">
        <x:is>
          <x:t xml:space="preserve">pass</x:t>
        </x:is>
      </x:c>
      <x:c r="H21" s="93" t="inlineStr">
        <x:is>
          <x:t xml:space="preserve">covered</x:t>
        </x:is>
      </x:c>
      <x:c r="I21" s="94" t="inlineStr">
        <x:is>
          <x:t xml:space="preserve">DropdownMenu playground manual verification.</x:t>
        </x:is>
      </x:c>
      <x:c r="J21" s="94" t="n"/>
      <x:c r="K21" s="95" t="n">
        <x:f>IF(AND(E21="yes",F21="yes",H21="covered"),1,IF(H21="partial",0.5,0))</x:f>
        <x:v>1</x:v>
      </x:c>
    </x:row>
    <x:row r="22" s="51" customFormat="1" ht="31.5" customHeight="1">
      <x:c r="A22" s="93" t="n">
        <x:v>14</x:v>
      </x:c>
      <x:c r="B22" s="94" t="inlineStr">
        <x:is>
          <x:t xml:space="preserve">Public API</x:t>
        </x:is>
      </x:c>
      <x:c r="C22" s="94" t="inlineStr">
        <x:is>
          <x:t xml:space="preserve">Trigger</x:t>
        </x:is>
      </x:c>
      <x:c r="D22" s="94" t="inlineStr">
        <x:is>
          <x:t xml:space="preserve">default trigger has type button</x:t>
        </x:is>
      </x:c>
      <x:c r="E22" s="93" t="inlineStr">
        <x:is>
          <x:t xml:space="preserve">yes</x:t>
        </x:is>
      </x:c>
      <x:c r="F22" s="93" t="inlineStr">
        <x:is>
          <x:t xml:space="preserve">yes</x:t>
        </x:is>
      </x:c>
      <x:c r="G22" s="93" t="inlineStr">
        <x:is>
          <x:t xml:space="preserve">pass</x:t>
        </x:is>
      </x:c>
      <x:c r="H22" s="93" t="inlineStr">
        <x:is>
          <x:t xml:space="preserve">covered</x:t>
        </x:is>
      </x:c>
      <x:c r="I22" s="94" t="inlineStr">
        <x:is>
          <x:t xml:space="preserve">DropdownMenu playground manual verification.</x:t>
        </x:is>
      </x:c>
      <x:c r="J22" s="94" t="n"/>
      <x:c r="K22" s="95" t="n">
        <x:f>IF(AND(E22="yes",F22="yes",H22="covered"),1,IF(H22="partial",0.5,0))</x:f>
        <x:v>1</x:v>
      </x:c>
    </x:row>
    <x:row r="23" s="51" customFormat="1" ht="31.5" customHeight="1">
      <x:c r="A23" s="93" t="n">
        <x:v>15</x:v>
      </x:c>
      <x:c r="B23" s="94" t="inlineStr">
        <x:is>
          <x:t xml:space="preserve">Public API</x:t>
        </x:is>
      </x:c>
      <x:c r="C23" s="94" t="inlineStr">
        <x:is>
          <x:t xml:space="preserve">Trigger</x:t>
        </x:is>
      </x:c>
      <x:c r="D23" s="94" t="inlineStr">
        <x:is>
          <x:t xml:space="preserve">trigger id is stable and present</x:t>
        </x:is>
      </x:c>
      <x:c r="E23" s="93" t="inlineStr">
        <x:is>
          <x:t xml:space="preserve">yes</x:t>
        </x:is>
      </x:c>
      <x:c r="F23" s="93" t="inlineStr">
        <x:is>
          <x:t xml:space="preserve">yes</x:t>
        </x:is>
      </x:c>
      <x:c r="G23" s="93" t="inlineStr">
        <x:is>
          <x:t xml:space="preserve">pass</x:t>
        </x:is>
      </x:c>
      <x:c r="H23" s="93" t="inlineStr">
        <x:is>
          <x:t xml:space="preserve">covered</x:t>
        </x:is>
      </x:c>
      <x:c r="I23" s="94" t="inlineStr">
        <x:is>
          <x:t xml:space="preserve">DropdownMenu playground manual verification.</x:t>
        </x:is>
      </x:c>
      <x:c r="J23" s="94" t="n"/>
      <x:c r="K23" s="95" t="n">
        <x:f>IF(AND(E23="yes",F23="yes",H23="covered"),1,IF(H23="partial",0.5,0))</x:f>
        <x:v>1</x:v>
      </x:c>
    </x:row>
    <x:row r="24" s="51" customFormat="1" ht="31.5" customHeight="1">
      <x:c r="A24" s="93" t="n">
        <x:v>16</x:v>
      </x:c>
      <x:c r="B24" s="94" t="inlineStr">
        <x:is>
          <x:t xml:space="preserve">Public API</x:t>
        </x:is>
      </x:c>
      <x:c r="C24" s="94" t="inlineStr">
        <x:is>
          <x:t xml:space="preserve">Trigger</x:t>
        </x:is>
      </x:c>
      <x:c r="D24" s="94" t="inlineStr">
        <x:is>
          <x:t xml:space="preserve">trigger data-slot is dropdown-menu-trigger</x:t>
        </x:is>
      </x:c>
      <x:c r="E24" s="93" t="inlineStr">
        <x:is>
          <x:t xml:space="preserve">yes</x:t>
        </x:is>
      </x:c>
      <x:c r="F24" s="93" t="inlineStr">
        <x:is>
          <x:t xml:space="preserve">yes</x:t>
        </x:is>
      </x:c>
      <x:c r="G24" s="93" t="inlineStr">
        <x:is>
          <x:t xml:space="preserve">pass</x:t>
        </x:is>
      </x:c>
      <x:c r="H24" s="93" t="inlineStr">
        <x:is>
          <x:t xml:space="preserve">covered</x:t>
        </x:is>
      </x:c>
      <x:c r="I24" s="94" t="inlineStr">
        <x:is>
          <x:t xml:space="preserve">DropdownMenu playground manual verification.</x:t>
        </x:is>
      </x:c>
      <x:c r="J24" s="94" t="n"/>
      <x:c r="K24" s="95" t="n">
        <x:f>IF(AND(E24="yes",F24="yes",H24="covered"),1,IF(H24="partial",0.5,0))</x:f>
        <x:v>1</x:v>
      </x:c>
    </x:row>
    <x:row r="25" s="51" customFormat="1" ht="31.5" customHeight="1">
      <x:c r="A25" s="93" t="n">
        <x:v>17</x:v>
      </x:c>
      <x:c r="B25" s="94" t="inlineStr">
        <x:is>
          <x:t xml:space="preserve">Public API</x:t>
        </x:is>
      </x:c>
      <x:c r="C25" s="94" t="inlineStr">
        <x:is>
          <x:t xml:space="preserve">Trigger</x:t>
        </x:is>
      </x:c>
      <x:c r="D25" s="94" t="inlineStr">
        <x:is>
          <x:t xml:space="preserve">trigger data-state is closed when menu is closed</x:t>
        </x:is>
      </x:c>
      <x:c r="E25" s="93" t="inlineStr">
        <x:is>
          <x:t xml:space="preserve">yes</x:t>
        </x:is>
      </x:c>
      <x:c r="F25" s="93" t="inlineStr">
        <x:is>
          <x:t xml:space="preserve">yes</x:t>
        </x:is>
      </x:c>
      <x:c r="G25" s="93" t="inlineStr">
        <x:is>
          <x:t xml:space="preserve">pass</x:t>
        </x:is>
      </x:c>
      <x:c r="H25" s="93" t="inlineStr">
        <x:is>
          <x:t xml:space="preserve">covered</x:t>
        </x:is>
      </x:c>
      <x:c r="I25" s="94" t="inlineStr">
        <x:is>
          <x:t xml:space="preserve">DropdownMenu playground manual verification.</x:t>
        </x:is>
      </x:c>
      <x:c r="J25" s="94" t="n"/>
      <x:c r="K25" s="95" t="n">
        <x:f>IF(AND(E25="yes",F25="yes",H25="covered"),1,IF(H25="partial",0.5,0))</x:f>
        <x:v>1</x:v>
      </x:c>
    </x:row>
    <x:row r="26" s="51" customFormat="1" ht="31.5" customHeight="1">
      <x:c r="A26" s="93" t="n">
        <x:v>18</x:v>
      </x:c>
      <x:c r="B26" s="94" t="inlineStr">
        <x:is>
          <x:t xml:space="preserve">Public API</x:t>
        </x:is>
      </x:c>
      <x:c r="C26" s="94" t="inlineStr">
        <x:is>
          <x:t xml:space="preserve">Trigger</x:t>
        </x:is>
      </x:c>
      <x:c r="D26" s="94" t="inlineStr">
        <x:is>
          <x:t xml:space="preserve">trigger data-state is open when menu is open</x:t>
        </x:is>
      </x:c>
      <x:c r="E26" s="93" t="inlineStr">
        <x:is>
          <x:t xml:space="preserve">yes</x:t>
        </x:is>
      </x:c>
      <x:c r="F26" s="93" t="inlineStr">
        <x:is>
          <x:t xml:space="preserve">yes</x:t>
        </x:is>
      </x:c>
      <x:c r="G26" s="93" t="inlineStr">
        <x:is>
          <x:t xml:space="preserve">pass</x:t>
        </x:is>
      </x:c>
      <x:c r="H26" s="93" t="inlineStr">
        <x:is>
          <x:t xml:space="preserve">covered</x:t>
        </x:is>
      </x:c>
      <x:c r="I26" s="94" t="inlineStr">
        <x:is>
          <x:t xml:space="preserve">DropdownMenu playground manual verification.</x:t>
        </x:is>
      </x:c>
      <x:c r="J26" s="94" t="n"/>
      <x:c r="K26" s="95" t="n">
        <x:f>IF(AND(E26="yes",F26="yes",H26="covered"),1,IF(H26="partial",0.5,0))</x:f>
        <x:v>1</x:v>
      </x:c>
    </x:row>
    <x:row r="27" s="51" customFormat="1" ht="31.5" customHeight="1">
      <x:c r="A27" s="93" t="n">
        <x:v>19</x:v>
      </x:c>
      <x:c r="B27" s="94" t="inlineStr">
        <x:is>
          <x:t xml:space="preserve">Public API</x:t>
        </x:is>
      </x:c>
      <x:c r="C27" s="94" t="inlineStr">
        <x:is>
          <x:t xml:space="preserve">Trigger</x:t>
        </x:is>
      </x:c>
      <x:c r="D27" s="94" t="inlineStr">
        <x:is>
          <x:t xml:space="preserve">trigger aria-haspopup is menu</x:t>
        </x:is>
      </x:c>
      <x:c r="E27" s="93" t="inlineStr">
        <x:is>
          <x:t xml:space="preserve">yes</x:t>
        </x:is>
      </x:c>
      <x:c r="F27" s="93" t="inlineStr">
        <x:is>
          <x:t xml:space="preserve">yes</x:t>
        </x:is>
      </x:c>
      <x:c r="G27" s="93" t="inlineStr">
        <x:is>
          <x:t xml:space="preserve">pass</x:t>
        </x:is>
      </x:c>
      <x:c r="H27" s="93" t="inlineStr">
        <x:is>
          <x:t xml:space="preserve">covered</x:t>
        </x:is>
      </x:c>
      <x:c r="I27" s="94" t="inlineStr">
        <x:is>
          <x:t xml:space="preserve">DropdownMenu playground manual verification.</x:t>
        </x:is>
      </x:c>
      <x:c r="J27" s="94" t="n"/>
      <x:c r="K27" s="95" t="n">
        <x:f>IF(AND(E27="yes",F27="yes",H27="covered"),1,IF(H27="partial",0.5,0))</x:f>
        <x:v>1</x:v>
      </x:c>
    </x:row>
    <x:row r="28" s="51" customFormat="1" ht="31.5" customHeight="1">
      <x:c r="A28" s="93" t="n">
        <x:v>20</x:v>
      </x:c>
      <x:c r="B28" s="94" t="inlineStr">
        <x:is>
          <x:t xml:space="preserve">Public API</x:t>
        </x:is>
      </x:c>
      <x:c r="C28" s="94" t="inlineStr">
        <x:is>
          <x:t xml:space="preserve">Trigger</x:t>
        </x:is>
      </x:c>
      <x:c r="D28" s="94" t="inlineStr">
        <x:is>
          <x:t xml:space="preserve">trigger aria-expanded reflects open state</x:t>
        </x:is>
      </x:c>
      <x:c r="E28" s="93" t="inlineStr">
        <x:is>
          <x:t xml:space="preserve">yes</x:t>
        </x:is>
      </x:c>
      <x:c r="F28" s="93" t="inlineStr">
        <x:is>
          <x:t xml:space="preserve">yes</x:t>
        </x:is>
      </x:c>
      <x:c r="G28" s="93" t="inlineStr">
        <x:is>
          <x:t xml:space="preserve">pass</x:t>
        </x:is>
      </x:c>
      <x:c r="H28" s="93" t="inlineStr">
        <x:is>
          <x:t xml:space="preserve">covered</x:t>
        </x:is>
      </x:c>
      <x:c r="I28" s="94" t="inlineStr">
        <x:is>
          <x:t xml:space="preserve">DropdownMenu playground manual verification.</x:t>
        </x:is>
      </x:c>
      <x:c r="J28" s="94" t="n"/>
      <x:c r="K28" s="95" t="n">
        <x:f>IF(AND(E28="yes",F28="yes",H28="covered"),1,IF(H28="partial",0.5,0))</x:f>
        <x:v>1</x:v>
      </x:c>
    </x:row>
    <x:row r="29" s="51" customFormat="1" ht="31.5" customHeight="1">
      <x:c r="A29" s="93" t="n">
        <x:v>21</x:v>
      </x:c>
      <x:c r="B29" s="94" t="inlineStr">
        <x:is>
          <x:t xml:space="preserve">Public API</x:t>
        </x:is>
      </x:c>
      <x:c r="C29" s="94" t="inlineStr">
        <x:is>
          <x:t xml:space="preserve">Trigger</x:t>
        </x:is>
      </x:c>
      <x:c r="D29" s="94" t="inlineStr">
        <x:is>
          <x:t xml:space="preserve">trigger aria-controls references content id</x:t>
        </x:is>
      </x:c>
      <x:c r="E29" s="93" t="inlineStr">
        <x:is>
          <x:t xml:space="preserve">yes</x:t>
        </x:is>
      </x:c>
      <x:c r="F29" s="93" t="inlineStr">
        <x:is>
          <x:t xml:space="preserve">yes</x:t>
        </x:is>
      </x:c>
      <x:c r="G29" s="93" t="inlineStr">
        <x:is>
          <x:t xml:space="preserve">pass</x:t>
        </x:is>
      </x:c>
      <x:c r="H29" s="93" t="inlineStr">
        <x:is>
          <x:t xml:space="preserve">covered</x:t>
        </x:is>
      </x:c>
      <x:c r="I29" s="94" t="inlineStr">
        <x:is>
          <x:t xml:space="preserve">DropdownMenu playground manual verification.</x:t>
        </x:is>
      </x:c>
      <x:c r="J29" s="94" t="n"/>
      <x:c r="K29" s="95" t="n">
        <x:f>IF(AND(E29="yes",F29="yes",H29="covered"),1,IF(H29="partial",0.5,0))</x:f>
        <x:v>1</x:v>
      </x:c>
    </x:row>
    <x:row r="30" s="51" customFormat="1" ht="31.5" customHeight="1">
      <x:c r="A30" s="93" t="n">
        <x:v>22</x:v>
      </x:c>
      <x:c r="B30" s="94" t="inlineStr">
        <x:is>
          <x:t xml:space="preserve">Public API</x:t>
        </x:is>
      </x:c>
      <x:c r="C30" s="94" t="inlineStr">
        <x:is>
          <x:t xml:space="preserve">Trigger</x:t>
        </x:is>
      </x:c>
      <x:c r="D30" s="94" t="inlineStr">
        <x:is>
          <x:t xml:space="preserve">trigger controls match content id</x:t>
        </x:is>
      </x:c>
      <x:c r="E30" s="93" t="inlineStr">
        <x:is>
          <x:t xml:space="preserve">yes</x:t>
        </x:is>
      </x:c>
      <x:c r="F30" s="93" t="inlineStr">
        <x:is>
          <x:t xml:space="preserve">yes</x:t>
        </x:is>
      </x:c>
      <x:c r="G30" s="93" t="inlineStr">
        <x:is>
          <x:t xml:space="preserve">pass</x:t>
        </x:is>
      </x:c>
      <x:c r="H30" s="93" t="inlineStr">
        <x:is>
          <x:t xml:space="preserve">covered</x:t>
        </x:is>
      </x:c>
      <x:c r="I30" s="94" t="inlineStr">
        <x:is>
          <x:t xml:space="preserve">DropdownMenu playground manual verification.</x:t>
        </x:is>
      </x:c>
      <x:c r="J30" s="94" t="n"/>
      <x:c r="K30" s="95" t="n">
        <x:f>IF(AND(E30="yes",F30="yes",H30="covered"),1,IF(H30="partial",0.5,0))</x:f>
        <x:v>1</x:v>
      </x:c>
    </x:row>
    <x:row r="31" s="51" customFormat="1" ht="31.5" customHeight="1">
      <x:c r="A31" s="93" t="n">
        <x:v>23</x:v>
      </x:c>
      <x:c r="B31" s="94" t="inlineStr">
        <x:is>
          <x:t xml:space="preserve">Public API</x:t>
        </x:is>
      </x:c>
      <x:c r="C31" s="94" t="inlineStr">
        <x:is>
          <x:t xml:space="preserve">Trigger</x:t>
        </x:is>
      </x:c>
      <x:c r="D31" s="94" t="inlineStr">
        <x:is>
          <x:t xml:space="preserve">disabled trigger exposes native disabled attr</x:t>
        </x:is>
      </x:c>
      <x:c r="E31" s="93" t="inlineStr">
        <x:is>
          <x:t xml:space="preserve">yes</x:t>
        </x:is>
      </x:c>
      <x:c r="F31" s="93" t="inlineStr">
        <x:is>
          <x:t xml:space="preserve">yes</x:t>
        </x:is>
      </x:c>
      <x:c r="G31" s="93" t="inlineStr">
        <x:is>
          <x:t xml:space="preserve">pass</x:t>
        </x:is>
      </x:c>
      <x:c r="H31" s="93" t="inlineStr">
        <x:is>
          <x:t xml:space="preserve">covered</x:t>
        </x:is>
      </x:c>
      <x:c r="I31" s="94" t="inlineStr">
        <x:is>
          <x:t xml:space="preserve">DropdownMenu playground manual verification.</x:t>
        </x:is>
      </x:c>
      <x:c r="J31" s="94" t="n"/>
      <x:c r="K31" s="95" t="n">
        <x:f>IF(AND(E31="yes",F31="yes",H31="covered"),1,IF(H31="partial",0.5,0))</x:f>
        <x:v>1</x:v>
      </x:c>
    </x:row>
    <x:row r="32" s="51" customFormat="1" ht="31.5" customHeight="1">
      <x:c r="A32" s="93" t="n">
        <x:v>24</x:v>
      </x:c>
      <x:c r="B32" s="94" t="inlineStr">
        <x:is>
          <x:t xml:space="preserve">Public API</x:t>
        </x:is>
      </x:c>
      <x:c r="C32" s="94" t="inlineStr">
        <x:is>
          <x:t xml:space="preserve">Trigger</x:t>
        </x:is>
      </x:c>
      <x:c r="D32" s="94" t="inlineStr">
        <x:is>
          <x:t xml:space="preserve">disabled trigger exposes aria-disabled true</x:t>
        </x:is>
      </x:c>
      <x:c r="E32" s="93" t="inlineStr">
        <x:is>
          <x:t xml:space="preserve">yes</x:t>
        </x:is>
      </x:c>
      <x:c r="F32" s="93" t="inlineStr">
        <x:is>
          <x:t xml:space="preserve">yes</x:t>
        </x:is>
      </x:c>
      <x:c r="G32" s="93" t="inlineStr">
        <x:is>
          <x:t xml:space="preserve">pass</x:t>
        </x:is>
      </x:c>
      <x:c r="H32" s="93" t="inlineStr">
        <x:is>
          <x:t xml:space="preserve">covered</x:t>
        </x:is>
      </x:c>
      <x:c r="I32" s="94" t="inlineStr">
        <x:is>
          <x:t xml:space="preserve">DropdownMenu playground manual verification.</x:t>
        </x:is>
      </x:c>
      <x:c r="J32" s="94" t="n"/>
      <x:c r="K32" s="95" t="n">
        <x:f>IF(AND(E32="yes",F32="yes",H32="covered"),1,IF(H32="partial",0.5,0))</x:f>
        <x:v>1</x:v>
      </x:c>
    </x:row>
    <x:row r="33" s="51" customFormat="1" ht="31.5" customHeight="1">
      <x:c r="A33" s="93" t="n">
        <x:v>25</x:v>
      </x:c>
      <x:c r="B33" s="94" t="inlineStr">
        <x:is>
          <x:t xml:space="preserve">Public API</x:t>
        </x:is>
      </x:c>
      <x:c r="C33" s="94" t="inlineStr">
        <x:is>
          <x:t xml:space="preserve">Trigger</x:t>
        </x:is>
      </x:c>
      <x:c r="D33" s="94" t="inlineStr">
        <x:is>
          <x:t xml:space="preserve">disabled trigger exposes data-disabled flag</x:t>
        </x:is>
      </x:c>
      <x:c r="E33" s="93" t="inlineStr">
        <x:is>
          <x:t xml:space="preserve">yes</x:t>
        </x:is>
      </x:c>
      <x:c r="F33" s="93" t="inlineStr">
        <x:is>
          <x:t xml:space="preserve">yes</x:t>
        </x:is>
      </x:c>
      <x:c r="G33" s="93" t="inlineStr">
        <x:is>
          <x:t xml:space="preserve">pass</x:t>
        </x:is>
      </x:c>
      <x:c r="H33" s="93" t="inlineStr">
        <x:is>
          <x:t xml:space="preserve">covered</x:t>
        </x:is>
      </x:c>
      <x:c r="I33" s="94" t="inlineStr">
        <x:is>
          <x:t xml:space="preserve">DropdownMenu playground manual verification.</x:t>
        </x:is>
      </x:c>
      <x:c r="J33" s="94" t="n"/>
      <x:c r="K33" s="95" t="n">
        <x:f>IF(AND(E33="yes",F33="yes",H33="covered"),1,IF(H33="partial",0.5,0))</x:f>
        <x:v>1</x:v>
      </x:c>
    </x:row>
    <x:row r="34" s="51" customFormat="1" ht="31.5" customHeight="1">
      <x:c r="A34" s="93" t="n">
        <x:v>26</x:v>
      </x:c>
      <x:c r="B34" s="94" t="inlineStr">
        <x:is>
          <x:t xml:space="preserve">Public API</x:t>
        </x:is>
      </x:c>
      <x:c r="C34" s="94" t="inlineStr">
        <x:is>
          <x:t xml:space="preserve">Trigger</x:t>
        </x:is>
      </x:c>
      <x:c r="D34" s="94" t="inlineStr">
        <x:is>
          <x:t xml:space="preserve">disabled trigger does not open on click</x:t>
        </x:is>
      </x:c>
      <x:c r="E34" s="93" t="inlineStr">
        <x:is>
          <x:t xml:space="preserve">yes</x:t>
        </x:is>
      </x:c>
      <x:c r="F34" s="93" t="inlineStr">
        <x:is>
          <x:t xml:space="preserve">yes</x:t>
        </x:is>
      </x:c>
      <x:c r="G34" s="93" t="inlineStr">
        <x:is>
          <x:t xml:space="preserve">pass</x:t>
        </x:is>
      </x:c>
      <x:c r="H34" s="93" t="inlineStr">
        <x:is>
          <x:t xml:space="preserve">covered</x:t>
        </x:is>
      </x:c>
      <x:c r="I34" s="94" t="inlineStr">
        <x:is>
          <x:t xml:space="preserve">DropdownMenu playground manual verification.</x:t>
        </x:is>
      </x:c>
      <x:c r="J34" s="94" t="n"/>
      <x:c r="K34" s="95" t="n">
        <x:f>IF(AND(E34="yes",F34="yes",H34="covered"),1,IF(H34="partial",0.5,0))</x:f>
        <x:v>1</x:v>
      </x:c>
    </x:row>
    <x:row r="35" s="51" customFormat="1" ht="31.5" customHeight="1">
      <x:c r="A35" s="93" t="n">
        <x:v>27</x:v>
      </x:c>
      <x:c r="B35" s="94" t="inlineStr">
        <x:is>
          <x:t xml:space="preserve">Public API</x:t>
        </x:is>
      </x:c>
      <x:c r="C35" s="94" t="inlineStr">
        <x:is>
          <x:t xml:space="preserve">Trigger</x:t>
        </x:is>
      </x:c>
      <x:c r="D35" s="94" t="inlineStr">
        <x:is>
          <x:t xml:space="preserve">disabled trigger does not open from keyboard</x:t>
        </x:is>
      </x:c>
      <x:c r="E35" s="93" t="inlineStr">
        <x:is>
          <x:t xml:space="preserve">yes</x:t>
        </x:is>
      </x:c>
      <x:c r="F35" s="93" t="inlineStr">
        <x:is>
          <x:t xml:space="preserve">yes</x:t>
        </x:is>
      </x:c>
      <x:c r="G35" s="93" t="inlineStr">
        <x:is>
          <x:t xml:space="preserve">pass</x:t>
        </x:is>
      </x:c>
      <x:c r="H35" s="93" t="inlineStr">
        <x:is>
          <x:t xml:space="preserve">covered</x:t>
        </x:is>
      </x:c>
      <x:c r="I35" s="94" t="inlineStr">
        <x:is>
          <x:t xml:space="preserve">DropdownMenu playground manual verification.</x:t>
        </x:is>
      </x:c>
      <x:c r="J35" s="94" t="n"/>
      <x:c r="K35" s="95" t="n">
        <x:f>IF(AND(E35="yes",F35="yes",H35="covered"),1,IF(H35="partial",0.5,0))</x:f>
        <x:v>1</x:v>
      </x:c>
    </x:row>
    <x:row r="36" s="51" customFormat="1" ht="31.5" customHeight="1">
      <x:c r="A36" s="93" t="n">
        <x:v>28</x:v>
      </x:c>
      <x:c r="B36" s="94" t="inlineStr">
        <x:is>
          <x:t xml:space="preserve">Public API</x:t>
        </x:is>
      </x:c>
      <x:c r="C36" s="94" t="inlineStr">
        <x:is>
          <x:t xml:space="preserve">Trigger</x:t>
        </x:is>
      </x:c>
      <x:c r="D36" s="94" t="inlineStr">
        <x:is>
          <x:t xml:space="preserve">native className and data props pass through</x:t>
        </x:is>
      </x:c>
      <x:c r="E36" s="93" t="inlineStr">
        <x:is>
          <x:t xml:space="preserve">yes</x:t>
        </x:is>
      </x:c>
      <x:c r="F36" s="93" t="inlineStr">
        <x:is>
          <x:t xml:space="preserve">yes</x:t>
        </x:is>
      </x:c>
      <x:c r="G36" s="93" t="inlineStr">
        <x:is>
          <x:t xml:space="preserve">pass</x:t>
        </x:is>
      </x:c>
      <x:c r="H36" s="93" t="inlineStr">
        <x:is>
          <x:t xml:space="preserve">covered</x:t>
        </x:is>
      </x:c>
      <x:c r="I36" s="94" t="inlineStr">
        <x:is>
          <x:t xml:space="preserve">DropdownMenu playground manual verification.</x:t>
        </x:is>
      </x:c>
      <x:c r="J36" s="94" t="n"/>
      <x:c r="K36" s="95" t="n">
        <x:f>IF(AND(E36="yes",F36="yes",H36="covered"),1,IF(H36="partial",0.5,0))</x:f>
        <x:v>1</x:v>
      </x:c>
    </x:row>
    <x:row r="37" s="51" customFormat="1" ht="31.5" customHeight="1">
      <x:c r="A37" s="93" t="n">
        <x:v>29</x:v>
      </x:c>
      <x:c r="B37" s="94" t="inlineStr">
        <x:is>
          <x:t xml:space="preserve">Public API</x:t>
        </x:is>
      </x:c>
      <x:c r="C37" s="94" t="inlineStr">
        <x:is>
          <x:t xml:space="preserve">Trigger</x:t>
        </x:is>
      </x:c>
      <x:c r="D37" s="94" t="inlineStr">
        <x:is>
          <x:t xml:space="preserve">consumer onClick runs before Atom toggle</x:t>
        </x:is>
      </x:c>
      <x:c r="E37" s="93" t="inlineStr">
        <x:is>
          <x:t xml:space="preserve">yes</x:t>
        </x:is>
      </x:c>
      <x:c r="F37" s="93" t="inlineStr">
        <x:is>
          <x:t xml:space="preserve">yes</x:t>
        </x:is>
      </x:c>
      <x:c r="G37" s="93" t="inlineStr">
        <x:is>
          <x:t xml:space="preserve">pass</x:t>
        </x:is>
      </x:c>
      <x:c r="H37" s="93" t="inlineStr">
        <x:is>
          <x:t xml:space="preserve">covered</x:t>
        </x:is>
      </x:c>
      <x:c r="I37" s="94" t="inlineStr">
        <x:is>
          <x:t xml:space="preserve">DropdownMenu playground manual verification.</x:t>
        </x:is>
      </x:c>
      <x:c r="J37" s="94" t="n"/>
      <x:c r="K37" s="95" t="n">
        <x:f>IF(AND(E37="yes",F37="yes",H37="covered"),1,IF(H37="partial",0.5,0))</x:f>
        <x:v>1</x:v>
      </x:c>
    </x:row>
    <x:row r="38" s="51" customFormat="1" ht="31.5" customHeight="1">
      <x:c r="A38" s="93" t="n">
        <x:v>30</x:v>
      </x:c>
      <x:c r="B38" s="94" t="inlineStr">
        <x:is>
          <x:t xml:space="preserve">Public API</x:t>
        </x:is>
      </x:c>
      <x:c r="C38" s="94" t="inlineStr">
        <x:is>
          <x:t xml:space="preserve">Trigger</x:t>
        </x:is>
      </x:c>
      <x:c r="D38" s="94" t="inlineStr">
        <x:is>
          <x:t xml:space="preserve">consumer onClick can prevent Atom toggle</x:t>
        </x:is>
      </x:c>
      <x:c r="E38" s="93" t="inlineStr">
        <x:is>
          <x:t xml:space="preserve">yes</x:t>
        </x:is>
      </x:c>
      <x:c r="F38" s="93" t="inlineStr">
        <x:is>
          <x:t xml:space="preserve">yes</x:t>
        </x:is>
      </x:c>
      <x:c r="G38" s="93" t="inlineStr">
        <x:is>
          <x:t xml:space="preserve">pass</x:t>
        </x:is>
      </x:c>
      <x:c r="H38" s="93" t="inlineStr">
        <x:is>
          <x:t xml:space="preserve">covered</x:t>
        </x:is>
      </x:c>
      <x:c r="I38" s="94" t="inlineStr">
        <x:is>
          <x:t xml:space="preserve">DropdownMenu playground manual verification.</x:t>
        </x:is>
      </x:c>
      <x:c r="J38" s="94" t="n"/>
      <x:c r="K38" s="95" t="n">
        <x:f>IF(AND(E38="yes",F38="yes",H38="covered"),1,IF(H38="partial",0.5,0))</x:f>
        <x:v>1</x:v>
      </x:c>
    </x:row>
    <x:row r="39" s="51" customFormat="1" ht="31.5" customHeight="1">
      <x:c r="A39" s="93" t="n">
        <x:v>31</x:v>
      </x:c>
      <x:c r="B39" s="94" t="inlineStr">
        <x:is>
          <x:t xml:space="preserve">Public API</x:t>
        </x:is>
      </x:c>
      <x:c r="C39" s="94" t="inlineStr">
        <x:is>
          <x:t xml:space="preserve">Trigger</x:t>
        </x:is>
      </x:c>
      <x:c r="D39" s="94" t="inlineStr">
        <x:is>
          <x:t xml:space="preserve">consumer onKeyDown runs before Atom key behavior</x:t>
        </x:is>
      </x:c>
      <x:c r="E39" s="93" t="inlineStr">
        <x:is>
          <x:t xml:space="preserve">yes</x:t>
        </x:is>
      </x:c>
      <x:c r="F39" s="93" t="inlineStr">
        <x:is>
          <x:t xml:space="preserve">yes</x:t>
        </x:is>
      </x:c>
      <x:c r="G39" s="93" t="inlineStr">
        <x:is>
          <x:t xml:space="preserve">pass</x:t>
        </x:is>
      </x:c>
      <x:c r="H39" s="93" t="inlineStr">
        <x:is>
          <x:t xml:space="preserve">covered</x:t>
        </x:is>
      </x:c>
      <x:c r="I39" s="94" t="inlineStr">
        <x:is>
          <x:t xml:space="preserve">DropdownMenu playground manual verification.</x:t>
        </x:is>
      </x:c>
      <x:c r="J39" s="94" t="n"/>
      <x:c r="K39" s="95" t="n">
        <x:f>IF(AND(E39="yes",F39="yes",H39="covered"),1,IF(H39="partial",0.5,0))</x:f>
        <x:v>1</x:v>
      </x:c>
    </x:row>
    <x:row r="40" s="51" customFormat="1" ht="31.5" customHeight="1">
      <x:c r="A40" s="93" t="n">
        <x:v>32</x:v>
      </x:c>
      <x:c r="B40" s="94" t="inlineStr">
        <x:is>
          <x:t xml:space="preserve">Public API</x:t>
        </x:is>
      </x:c>
      <x:c r="C40" s="94" t="inlineStr">
        <x:is>
          <x:t xml:space="preserve">Trigger</x:t>
        </x:is>
      </x:c>
      <x:c r="D40" s="94" t="inlineStr">
        <x:is>
          <x:t xml:space="preserve">consumer onKeyDown can prevent Atom key behavior</x:t>
        </x:is>
      </x:c>
      <x:c r="E40" s="93" t="inlineStr">
        <x:is>
          <x:t xml:space="preserve">yes</x:t>
        </x:is>
      </x:c>
      <x:c r="F40" s="93" t="inlineStr">
        <x:is>
          <x:t xml:space="preserve">yes</x:t>
        </x:is>
      </x:c>
      <x:c r="G40" s="93" t="inlineStr">
        <x:is>
          <x:t xml:space="preserve">pass</x:t>
        </x:is>
      </x:c>
      <x:c r="H40" s="93" t="inlineStr">
        <x:is>
          <x:t xml:space="preserve">covered</x:t>
        </x:is>
      </x:c>
      <x:c r="I40" s="94" t="inlineStr">
        <x:is>
          <x:t xml:space="preserve">DropdownMenu playground manual verification.</x:t>
        </x:is>
      </x:c>
      <x:c r="J40" s="94" t="n"/>
      <x:c r="K40" s="95" t="n">
        <x:f>IF(AND(E40="yes",F40="yes",H40="covered"),1,IF(H40="partial",0.5,0))</x:f>
        <x:v>1</x:v>
      </x:c>
    </x:row>
    <x:row r="41" s="51" customFormat="1" ht="31.5" customHeight="1">
      <x:c r="A41" s="93" t="n">
        <x:v>33</x:v>
      </x:c>
      <x:c r="B41" s="94" t="inlineStr">
        <x:is>
          <x:t xml:space="preserve">Public API</x:t>
        </x:is>
      </x:c>
      <x:c r="C41" s="94" t="inlineStr">
        <x:is>
          <x:t xml:space="preserve">Trigger</x:t>
        </x:is>
      </x:c>
      <x:c r="D41" s="94" t="inlineStr">
        <x:is>
          <x:t xml:space="preserve">click toggles menu open and closed</x:t>
        </x:is>
      </x:c>
      <x:c r="E41" s="93" t="inlineStr">
        <x:is>
          <x:t xml:space="preserve">yes</x:t>
        </x:is>
      </x:c>
      <x:c r="F41" s="93" t="inlineStr">
        <x:is>
          <x:t xml:space="preserve">yes</x:t>
        </x:is>
      </x:c>
      <x:c r="G41" s="93" t="inlineStr">
        <x:is>
          <x:t xml:space="preserve">pass</x:t>
        </x:is>
      </x:c>
      <x:c r="H41" s="93" t="inlineStr">
        <x:is>
          <x:t xml:space="preserve">covered</x:t>
        </x:is>
      </x:c>
      <x:c r="I41" s="94" t="inlineStr">
        <x:is>
          <x:t xml:space="preserve">DropdownMenu playground manual verification.</x:t>
        </x:is>
      </x:c>
      <x:c r="J41" s="94" t="n"/>
      <x:c r="K41" s="95" t="n">
        <x:f>IF(AND(E41="yes",F41="yes",H41="covered"),1,IF(H41="partial",0.5,0))</x:f>
        <x:v>1</x:v>
      </x:c>
    </x:row>
    <x:row r="42" s="51" customFormat="1" ht="31.5" customHeight="1">
      <x:c r="A42" s="93" t="n">
        <x:v>34</x:v>
      </x:c>
      <x:c r="B42" s="94" t="inlineStr">
        <x:is>
          <x:t xml:space="preserve">Public API</x:t>
        </x:is>
      </x:c>
      <x:c r="C42" s="94" t="inlineStr">
        <x:is>
          <x:t xml:space="preserve">Trigger</x:t>
        </x:is>
      </x:c>
      <x:c r="D42" s="94" t="inlineStr">
        <x:is>
          <x:t xml:space="preserve">pointer click opens without pre-highlighting first item</x:t>
        </x:is>
      </x:c>
      <x:c r="E42" s="93" t="inlineStr">
        <x:is>
          <x:t xml:space="preserve">yes</x:t>
        </x:is>
      </x:c>
      <x:c r="F42" s="93" t="inlineStr">
        <x:is>
          <x:t xml:space="preserve">yes</x:t>
        </x:is>
      </x:c>
      <x:c r="G42" s="93" t="inlineStr">
        <x:is>
          <x:t xml:space="preserve">pass</x:t>
        </x:is>
      </x:c>
      <x:c r="H42" s="93" t="inlineStr">
        <x:is>
          <x:t xml:space="preserve">covered</x:t>
        </x:is>
      </x:c>
      <x:c r="I42" s="94" t="inlineStr">
        <x:is>
          <x:t xml:space="preserve">DropdownMenu playground manual verification.</x:t>
        </x:is>
      </x:c>
      <x:c r="J42" s="94" t="n"/>
      <x:c r="K42" s="95" t="n">
        <x:f>IF(AND(E42="yes",F42="yes",H42="covered"),1,IF(H42="partial",0.5,0))</x:f>
        <x:v>1</x:v>
      </x:c>
    </x:row>
    <x:row r="43" s="51" customFormat="1" ht="31.5" customHeight="1">
      <x:c r="A43" s="93" t="n">
        <x:v>35</x:v>
      </x:c>
      <x:c r="B43" s="94" t="inlineStr">
        <x:is>
          <x:t xml:space="preserve">Public API</x:t>
        </x:is>
      </x:c>
      <x:c r="C43" s="94" t="inlineStr">
        <x:is>
          <x:t xml:space="preserve">Trigger</x:t>
        </x:is>
      </x:c>
      <x:c r="D43" s="94" t="inlineStr">
        <x:is>
          <x:t xml:space="preserve">Enter opens menu and seeds first highlight</x:t>
        </x:is>
      </x:c>
      <x:c r="E43" s="93" t="inlineStr">
        <x:is>
          <x:t xml:space="preserve">yes</x:t>
        </x:is>
      </x:c>
      <x:c r="F43" s="93" t="inlineStr">
        <x:is>
          <x:t xml:space="preserve">yes</x:t>
        </x:is>
      </x:c>
      <x:c r="G43" s="93" t="inlineStr">
        <x:is>
          <x:t xml:space="preserve">pass</x:t>
        </x:is>
      </x:c>
      <x:c r="H43" s="93" t="inlineStr">
        <x:is>
          <x:t xml:space="preserve">covered</x:t>
        </x:is>
      </x:c>
      <x:c r="I43" s="94" t="inlineStr">
        <x:is>
          <x:t xml:space="preserve">DropdownMenu playground manual verification.</x:t>
        </x:is>
      </x:c>
      <x:c r="J43" s="94" t="n"/>
      <x:c r="K43" s="95" t="n">
        <x:f>IF(AND(E43="yes",F43="yes",H43="covered"),1,IF(H43="partial",0.5,0))</x:f>
        <x:v>1</x:v>
      </x:c>
    </x:row>
    <x:row r="44" s="51" customFormat="1" ht="31.5" customHeight="1">
      <x:c r="A44" s="93" t="n">
        <x:v>36</x:v>
      </x:c>
      <x:c r="B44" s="94" t="inlineStr">
        <x:is>
          <x:t xml:space="preserve">Public API</x:t>
        </x:is>
      </x:c>
      <x:c r="C44" s="94" t="inlineStr">
        <x:is>
          <x:t xml:space="preserve">Trigger</x:t>
        </x:is>
      </x:c>
      <x:c r="D44" s="94" t="inlineStr">
        <x:is>
          <x:t xml:space="preserve">Space opens menu and seeds first highlight</x:t>
        </x:is>
      </x:c>
      <x:c r="E44" s="93" t="inlineStr">
        <x:is>
          <x:t xml:space="preserve">yes</x:t>
        </x:is>
      </x:c>
      <x:c r="F44" s="93" t="inlineStr">
        <x:is>
          <x:t xml:space="preserve">yes</x:t>
        </x:is>
      </x:c>
      <x:c r="G44" s="93" t="inlineStr">
        <x:is>
          <x:t xml:space="preserve">pass</x:t>
        </x:is>
      </x:c>
      <x:c r="H44" s="93" t="inlineStr">
        <x:is>
          <x:t xml:space="preserve">covered</x:t>
        </x:is>
      </x:c>
      <x:c r="I44" s="94" t="inlineStr">
        <x:is>
          <x:t xml:space="preserve">DropdownMenu playground manual verification.</x:t>
        </x:is>
      </x:c>
      <x:c r="J44" s="94" t="n"/>
      <x:c r="K44" s="95" t="n">
        <x:f>IF(AND(E44="yes",F44="yes",H44="covered"),1,IF(H44="partial",0.5,0))</x:f>
        <x:v>1</x:v>
      </x:c>
    </x:row>
    <x:row r="45" s="51" customFormat="1" ht="31.5" customHeight="1">
      <x:c r="A45" s="93" t="n">
        <x:v>37</x:v>
      </x:c>
      <x:c r="B45" s="94" t="inlineStr">
        <x:is>
          <x:t xml:space="preserve">Public API</x:t>
        </x:is>
      </x:c>
      <x:c r="C45" s="94" t="inlineStr">
        <x:is>
          <x:t xml:space="preserve">Trigger</x:t>
        </x:is>
      </x:c>
      <x:c r="D45" s="94" t="inlineStr">
        <x:is>
          <x:t xml:space="preserve">ArrowDown opens menu and seeds first highlight</x:t>
        </x:is>
      </x:c>
      <x:c r="E45" s="93" t="inlineStr">
        <x:is>
          <x:t xml:space="preserve">yes</x:t>
        </x:is>
      </x:c>
      <x:c r="F45" s="93" t="inlineStr">
        <x:is>
          <x:t xml:space="preserve">yes</x:t>
        </x:is>
      </x:c>
      <x:c r="G45" s="93" t="inlineStr">
        <x:is>
          <x:t xml:space="preserve">pass</x:t>
        </x:is>
      </x:c>
      <x:c r="H45" s="93" t="inlineStr">
        <x:is>
          <x:t xml:space="preserve">covered</x:t>
        </x:is>
      </x:c>
      <x:c r="I45" s="94" t="inlineStr">
        <x:is>
          <x:t xml:space="preserve">DropdownMenu playground manual verification.</x:t>
        </x:is>
      </x:c>
      <x:c r="J45" s="94" t="n"/>
      <x:c r="K45" s="95" t="n">
        <x:f>IF(AND(E45="yes",F45="yes",H45="covered"),1,IF(H45="partial",0.5,0))</x:f>
        <x:v>1</x:v>
      </x:c>
    </x:row>
    <x:row r="46" s="51" customFormat="1" ht="31.5" customHeight="1">
      <x:c r="A46" s="93" t="n">
        <x:v>38</x:v>
      </x:c>
      <x:c r="B46" s="94" t="inlineStr">
        <x:is>
          <x:t xml:space="preserve">Public API</x:t>
        </x:is>
      </x:c>
      <x:c r="C46" s="94" t="inlineStr">
        <x:is>
          <x:t xml:space="preserve">Trigger</x:t>
        </x:is>
      </x:c>
      <x:c r="D46" s="94" t="inlineStr">
        <x:is>
          <x:t xml:space="preserve">ArrowUp opens menu and seeds last highlight</x:t>
        </x:is>
      </x:c>
      <x:c r="E46" s="93" t="inlineStr">
        <x:is>
          <x:t xml:space="preserve">yes</x:t>
        </x:is>
      </x:c>
      <x:c r="F46" s="93" t="inlineStr">
        <x:is>
          <x:t xml:space="preserve">yes</x:t>
        </x:is>
      </x:c>
      <x:c r="G46" s="93" t="inlineStr">
        <x:is>
          <x:t xml:space="preserve">pass</x:t>
        </x:is>
      </x:c>
      <x:c r="H46" s="93" t="inlineStr">
        <x:is>
          <x:t xml:space="preserve">covered</x:t>
        </x:is>
      </x:c>
      <x:c r="I46" s="94" t="inlineStr">
        <x:is>
          <x:t xml:space="preserve">DropdownMenu playground manual verification.</x:t>
        </x:is>
      </x:c>
      <x:c r="J46" s="94" t="n"/>
      <x:c r="K46" s="95" t="n">
        <x:f>IF(AND(E46="yes",F46="yes",H46="covered"),1,IF(H46="partial",0.5,0))</x:f>
        <x:v>1</x:v>
      </x:c>
    </x:row>
    <x:row r="47" s="51" customFormat="1" ht="31.5" customHeight="1">
      <x:c r="A47" s="93" t="n">
        <x:v>39</x:v>
      </x:c>
      <x:c r="B47" s="94" t="inlineStr">
        <x:is>
          <x:t xml:space="preserve">Public API</x:t>
        </x:is>
      </x:c>
      <x:c r="C47" s="94" t="inlineStr">
        <x:is>
          <x:t xml:space="preserve">Trigger</x:t>
        </x:is>
      </x:c>
      <x:c r="D47" s="94" t="inlineStr">
        <x:is>
          <x:t xml:space="preserve">focus returns to trigger after Escape close</x:t>
        </x:is>
      </x:c>
      <x:c r="E47" s="93" t="inlineStr">
        <x:is>
          <x:t xml:space="preserve">yes</x:t>
        </x:is>
      </x:c>
      <x:c r="F47" s="93" t="inlineStr">
        <x:is>
          <x:t xml:space="preserve">yes</x:t>
        </x:is>
      </x:c>
      <x:c r="G47" s="93" t="inlineStr">
        <x:is>
          <x:t xml:space="preserve">pass</x:t>
        </x:is>
      </x:c>
      <x:c r="H47" s="93" t="inlineStr">
        <x:is>
          <x:t xml:space="preserve">covered</x:t>
        </x:is>
      </x:c>
      <x:c r="I47" s="94" t="inlineStr">
        <x:is>
          <x:t xml:space="preserve">DropdownMenu playground manual verification.</x:t>
        </x:is>
      </x:c>
      <x:c r="J47" s="94" t="n"/>
      <x:c r="K47" s="95" t="n">
        <x:f>IF(AND(E47="yes",F47="yes",H47="covered"),1,IF(H47="partial",0.5,0))</x:f>
        <x:v>1</x:v>
      </x:c>
    </x:row>
    <x:row r="48" s="51" customFormat="1" ht="31.5" customHeight="1">
      <x:c r="A48" s="93" t="n">
        <x:v>40</x:v>
      </x:c>
      <x:c r="B48" s="94" t="inlineStr">
        <x:is>
          <x:t xml:space="preserve">Public API</x:t>
        </x:is>
      </x:c>
      <x:c r="C48" s="94" t="inlineStr">
        <x:is>
          <x:t xml:space="preserve">Trigger</x:t>
        </x:is>
      </x:c>
      <x:c r="D48" s="94" t="inlineStr">
        <x:is>
          <x:t xml:space="preserve">focus returns to trigger after item selection close</x:t>
        </x:is>
      </x:c>
      <x:c r="E48" s="93" t="inlineStr">
        <x:is>
          <x:t xml:space="preserve">yes</x:t>
        </x:is>
      </x:c>
      <x:c r="F48" s="93" t="inlineStr">
        <x:is>
          <x:t xml:space="preserve">yes</x:t>
        </x:is>
      </x:c>
      <x:c r="G48" s="93" t="inlineStr">
        <x:is>
          <x:t xml:space="preserve">pass</x:t>
        </x:is>
      </x:c>
      <x:c r="H48" s="93" t="inlineStr">
        <x:is>
          <x:t xml:space="preserve">covered</x:t>
        </x:is>
      </x:c>
      <x:c r="I48" s="94" t="inlineStr">
        <x:is>
          <x:t xml:space="preserve">DropdownMenu playground manual verification.</x:t>
        </x:is>
      </x:c>
      <x:c r="J48" s="94" t="n"/>
      <x:c r="K48" s="95" t="n">
        <x:f>IF(AND(E48="yes",F48="yes",H48="covered"),1,IF(H48="partial",0.5,0))</x:f>
        <x:v>1</x:v>
      </x:c>
    </x:row>
    <x:row r="49" s="51" customFormat="1" ht="31.5" customHeight="1">
      <x:c r="A49" s="93" t="n">
        <x:v>41</x:v>
      </x:c>
      <x:c r="B49" s="94" t="inlineStr">
        <x:is>
          <x:t xml:space="preserve">Public API</x:t>
        </x:is>
      </x:c>
      <x:c r="C49" s="94" t="inlineStr">
        <x:is>
          <x:t xml:space="preserve">Trigger</x:t>
        </x:is>
      </x:c>
      <x:c r="D49" s="94" t="inlineStr">
        <x:is>
          <x:t xml:space="preserve">trigger ref points to rendered trigger element</x:t>
        </x:is>
      </x:c>
      <x:c r="E49" s="93" t="inlineStr">
        <x:is>
          <x:t xml:space="preserve">yes</x:t>
        </x:is>
      </x:c>
      <x:c r="F49" s="93" t="inlineStr">
        <x:is>
          <x:t xml:space="preserve">yes</x:t>
        </x:is>
      </x:c>
      <x:c r="G49" s="93" t="inlineStr">
        <x:is>
          <x:t xml:space="preserve">pass</x:t>
        </x:is>
      </x:c>
      <x:c r="H49" s="93" t="inlineStr">
        <x:is>
          <x:t xml:space="preserve">covered</x:t>
        </x:is>
      </x:c>
      <x:c r="I49" s="94" t="inlineStr">
        <x:is>
          <x:t xml:space="preserve">DropdownMenu playground manual verification.</x:t>
        </x:is>
      </x:c>
      <x:c r="J49" s="94" t="n"/>
      <x:c r="K49" s="95" t="n">
        <x:f>IF(AND(E49="yes",F49="yes",H49="covered"),1,IF(H49="partial",0.5,0))</x:f>
        <x:v>1</x:v>
      </x:c>
    </x:row>
    <x:row r="50" s="51" customFormat="1" ht="31.5" customHeight="1">
      <x:c r="A50" s="93" t="n">
        <x:v>42</x:v>
      </x:c>
      <x:c r="B50" s="94" t="inlineStr">
        <x:is>
          <x:t xml:space="preserve">Public API</x:t>
        </x:is>
      </x:c>
      <x:c r="C50" s="94" t="inlineStr">
        <x:is>
          <x:t xml:space="preserve">Trigger</x:t>
        </x:is>
      </x:c>
      <x:c r="D50" s="94" t="inlineStr">
        <x:is>
          <x:t xml:space="preserve">asChild trigger preserves child content without nesting</x:t>
        </x:is>
      </x:c>
      <x:c r="E50" s="93" t="inlineStr">
        <x:is>
          <x:t xml:space="preserve">yes</x:t>
        </x:is>
      </x:c>
      <x:c r="F50" s="93" t="inlineStr">
        <x:is>
          <x:t xml:space="preserve">yes</x:t>
        </x:is>
      </x:c>
      <x:c r="G50" s="93" t="inlineStr">
        <x:is>
          <x:t xml:space="preserve">pass</x:t>
        </x:is>
      </x:c>
      <x:c r="H50" s="93" t="inlineStr">
        <x:is>
          <x:t xml:space="preserve">covered</x:t>
        </x:is>
      </x:c>
      <x:c r="I50" s="94" t="inlineStr">
        <x:is>
          <x:t xml:space="preserve">DropdownMenu playground manual verification.</x:t>
        </x:is>
      </x:c>
      <x:c r="J50" s="94" t="n"/>
      <x:c r="K50" s="95" t="n">
        <x:f>IF(AND(E50="yes",F50="yes",H50="covered"),1,IF(H50="partial",0.5,0))</x:f>
        <x:v>1</x:v>
      </x:c>
    </x:row>
    <x:row r="51" s="51" customFormat="1" ht="31.5" customHeight="1">
      <x:c r="A51" s="93" t="n">
        <x:v>43</x:v>
      </x:c>
      <x:c r="B51" s="94" t="inlineStr">
        <x:is>
          <x:t xml:space="preserve">Public API</x:t>
        </x:is>
      </x:c>
      <x:c r="C51" s="94" t="inlineStr">
        <x:is>
          <x:t xml:space="preserve">Trigger</x:t>
        </x:is>
      </x:c>
      <x:c r="D51" s="94" t="inlineStr">
        <x:is>
          <x:t xml:space="preserve">asChild trigger receives role button</x:t>
        </x:is>
      </x:c>
      <x:c r="E51" s="93" t="inlineStr">
        <x:is>
          <x:t xml:space="preserve">yes</x:t>
        </x:is>
      </x:c>
      <x:c r="F51" s="93" t="inlineStr">
        <x:is>
          <x:t xml:space="preserve">yes</x:t>
        </x:is>
      </x:c>
      <x:c r="G51" s="93" t="inlineStr">
        <x:is>
          <x:t xml:space="preserve">pass</x:t>
        </x:is>
      </x:c>
      <x:c r="H51" s="93" t="inlineStr">
        <x:is>
          <x:t xml:space="preserve">covered</x:t>
        </x:is>
      </x:c>
      <x:c r="I51" s="94" t="inlineStr">
        <x:is>
          <x:t xml:space="preserve">DropdownMenu playground manual verification.</x:t>
        </x:is>
      </x:c>
      <x:c r="J51" s="94" t="n"/>
      <x:c r="K51" s="95" t="n">
        <x:f>IF(AND(E51="yes",F51="yes",H51="covered"),1,IF(H51="partial",0.5,0))</x:f>
        <x:v>1</x:v>
      </x:c>
    </x:row>
    <x:row r="52" s="51" customFormat="1" ht="31.5" customHeight="1">
      <x:c r="A52" s="93" t="n">
        <x:v>44</x:v>
      </x:c>
      <x:c r="B52" s="94" t="inlineStr">
        <x:is>
          <x:t xml:space="preserve">Public API</x:t>
        </x:is>
      </x:c>
      <x:c r="C52" s="94" t="inlineStr">
        <x:is>
          <x:t xml:space="preserve">Trigger</x:t>
        </x:is>
      </x:c>
      <x:c r="D52" s="94" t="inlineStr">
        <x:is>
          <x:t xml:space="preserve">asChild trigger receives tabindex 0 when enabled</x:t>
        </x:is>
      </x:c>
      <x:c r="E52" s="93" t="inlineStr">
        <x:is>
          <x:t xml:space="preserve">yes</x:t>
        </x:is>
      </x:c>
      <x:c r="F52" s="93" t="inlineStr">
        <x:is>
          <x:t xml:space="preserve">yes</x:t>
        </x:is>
      </x:c>
      <x:c r="G52" s="93" t="inlineStr">
        <x:is>
          <x:t xml:space="preserve">pass</x:t>
        </x:is>
      </x:c>
      <x:c r="H52" s="93" t="inlineStr">
        <x:is>
          <x:t xml:space="preserve">covered</x:t>
        </x:is>
      </x:c>
      <x:c r="I52" s="94" t="inlineStr">
        <x:is>
          <x:t xml:space="preserve">DropdownMenu playground manual verification.</x:t>
        </x:is>
      </x:c>
      <x:c r="J52" s="94" t="n"/>
      <x:c r="K52" s="95" t="n">
        <x:f>IF(AND(E52="yes",F52="yes",H52="covered"),1,IF(H52="partial",0.5,0))</x:f>
        <x:v>1</x:v>
      </x:c>
    </x:row>
    <x:row r="53" s="51" customFormat="1" ht="31.5" customHeight="1">
      <x:c r="A53" s="93" t="n">
        <x:v>45</x:v>
      </x:c>
      <x:c r="B53" s="94" t="inlineStr">
        <x:is>
          <x:t xml:space="preserve">Public API</x:t>
        </x:is>
      </x:c>
      <x:c r="C53" s="94" t="inlineStr">
        <x:is>
          <x:t xml:space="preserve">Trigger</x:t>
        </x:is>
      </x:c>
      <x:c r="D53" s="94" t="inlineStr">
        <x:is>
          <x:t xml:space="preserve">asChild disabled trigger receives tabindex -1</x:t>
        </x:is>
      </x:c>
      <x:c r="E53" s="93" t="inlineStr">
        <x:is>
          <x:t xml:space="preserve">yes</x:t>
        </x:is>
      </x:c>
      <x:c r="F53" s="93" t="inlineStr">
        <x:is>
          <x:t xml:space="preserve">yes</x:t>
        </x:is>
      </x:c>
      <x:c r="G53" s="93" t="inlineStr">
        <x:is>
          <x:t xml:space="preserve">pass</x:t>
        </x:is>
      </x:c>
      <x:c r="H53" s="93" t="inlineStr">
        <x:is>
          <x:t xml:space="preserve">covered</x:t>
        </x:is>
      </x:c>
      <x:c r="I53" s="94" t="inlineStr">
        <x:is>
          <x:t xml:space="preserve">DropdownMenu playground manual verification.</x:t>
        </x:is>
      </x:c>
      <x:c r="J53" s="94" t="n"/>
      <x:c r="K53" s="95" t="n">
        <x:f>IF(AND(E53="yes",F53="yes",H53="covered"),1,IF(H53="partial",0.5,0))</x:f>
        <x:v>1</x:v>
      </x:c>
    </x:row>
    <x:row r="54" s="51" customFormat="1" ht="31.5" customHeight="1">
      <x:c r="A54" s="93" t="n">
        <x:v>46</x:v>
      </x:c>
      <x:c r="B54" s="94" t="inlineStr">
        <x:is>
          <x:t xml:space="preserve">Public API</x:t>
        </x:is>
      </x:c>
      <x:c r="C54" s="94" t="inlineStr">
        <x:is>
          <x:t xml:space="preserve">Trigger</x:t>
        </x:is>
      </x:c>
      <x:c r="D54" s="94" t="inlineStr">
        <x:is>
          <x:t xml:space="preserve">render trigger preserves custom element content</x:t>
        </x:is>
      </x:c>
      <x:c r="E54" s="93" t="inlineStr">
        <x:is>
          <x:t xml:space="preserve">yes</x:t>
        </x:is>
      </x:c>
      <x:c r="F54" s="93" t="inlineStr">
        <x:is>
          <x:t xml:space="preserve">yes</x:t>
        </x:is>
      </x:c>
      <x:c r="G54" s="93" t="inlineStr">
        <x:is>
          <x:t xml:space="preserve">pass</x:t>
        </x:is>
      </x:c>
      <x:c r="H54" s="93" t="inlineStr">
        <x:is>
          <x:t xml:space="preserve">covered</x:t>
        </x:is>
      </x:c>
      <x:c r="I54" s="94" t="inlineStr">
        <x:is>
          <x:t xml:space="preserve">DropdownMenu playground manual verification.</x:t>
        </x:is>
      </x:c>
      <x:c r="J54" s="94" t="n"/>
      <x:c r="K54" s="95" t="n">
        <x:f>IF(AND(E54="yes",F54="yes",H54="covered"),1,IF(H54="partial",0.5,0))</x:f>
        <x:v>1</x:v>
      </x:c>
    </x:row>
    <x:row r="55" s="51" customFormat="1" ht="31.5" customHeight="1">
      <x:c r="A55" s="93" t="n">
        <x:v>47</x:v>
      </x:c>
      <x:c r="B55" s="94" t="inlineStr">
        <x:is>
          <x:t xml:space="preserve">Public API</x:t>
        </x:is>
      </x:c>
      <x:c r="C55" s="94" t="inlineStr">
        <x:is>
          <x:t xml:space="preserve">Trigger</x:t>
        </x:is>
      </x:c>
      <x:c r="D55" s="94" t="inlineStr">
        <x:is>
          <x:t xml:space="preserve">render trigger receives role button</x:t>
        </x:is>
      </x:c>
      <x:c r="E55" s="93" t="inlineStr">
        <x:is>
          <x:t xml:space="preserve">yes</x:t>
        </x:is>
      </x:c>
      <x:c r="F55" s="93" t="inlineStr">
        <x:is>
          <x:t xml:space="preserve">yes</x:t>
        </x:is>
      </x:c>
      <x:c r="G55" s="93" t="inlineStr">
        <x:is>
          <x:t xml:space="preserve">pass</x:t>
        </x:is>
      </x:c>
      <x:c r="H55" s="93" t="inlineStr">
        <x:is>
          <x:t xml:space="preserve">covered</x:t>
        </x:is>
      </x:c>
      <x:c r="I55" s="94" t="inlineStr">
        <x:is>
          <x:t xml:space="preserve">DropdownMenu playground manual verification.</x:t>
        </x:is>
      </x:c>
      <x:c r="J55" s="94" t="n"/>
      <x:c r="K55" s="95" t="n">
        <x:f>IF(AND(E55="yes",F55="yes",H55="covered"),1,IF(H55="partial",0.5,0))</x:f>
        <x:v>1</x:v>
      </x:c>
    </x:row>
    <x:row r="56" s="51" customFormat="1" ht="31.5" customHeight="1">
      <x:c r="A56" s="93" t="n">
        <x:v>48</x:v>
      </x:c>
      <x:c r="B56" s="94" t="inlineStr">
        <x:is>
          <x:t xml:space="preserve">Public API</x:t>
        </x:is>
      </x:c>
      <x:c r="C56" s="94" t="inlineStr">
        <x:is>
          <x:t xml:space="preserve">Trigger</x:t>
        </x:is>
      </x:c>
      <x:c r="D56" s="94" t="inlineStr">
        <x:is>
          <x:t xml:space="preserve">render trigger receives tabindex 0 when enabled</x:t>
        </x:is>
      </x:c>
      <x:c r="E56" s="93" t="inlineStr">
        <x:is>
          <x:t xml:space="preserve">yes</x:t>
        </x:is>
      </x:c>
      <x:c r="F56" s="93" t="inlineStr">
        <x:is>
          <x:t xml:space="preserve">yes</x:t>
        </x:is>
      </x:c>
      <x:c r="G56" s="93" t="inlineStr">
        <x:is>
          <x:t xml:space="preserve">pass</x:t>
        </x:is>
      </x:c>
      <x:c r="H56" s="93" t="inlineStr">
        <x:is>
          <x:t xml:space="preserve">covered</x:t>
        </x:is>
      </x:c>
      <x:c r="I56" s="94" t="inlineStr">
        <x:is>
          <x:t xml:space="preserve">DropdownMenu playground manual verification.</x:t>
        </x:is>
      </x:c>
      <x:c r="J56" s="94" t="n"/>
      <x:c r="K56" s="95" t="n">
        <x:f>IF(AND(E56="yes",F56="yes",H56="covered"),1,IF(H56="partial",0.5,0))</x:f>
        <x:v>1</x:v>
      </x:c>
    </x:row>
    <x:row r="57" s="51" customFormat="1" ht="31.5" customHeight="1">
      <x:c r="A57" s="93" t="n">
        <x:v>49</x:v>
      </x:c>
      <x:c r="B57" s="94" t="inlineStr">
        <x:is>
          <x:t xml:space="preserve">Public API</x:t>
        </x:is>
      </x:c>
      <x:c r="C57" s="94" t="inlineStr">
        <x:is>
          <x:t xml:space="preserve">Trigger</x:t>
        </x:is>
      </x:c>
      <x:c r="D57" s="94" t="inlineStr">
        <x:is>
          <x:t xml:space="preserve">render disabled trigger receives tabindex -1</x:t>
        </x:is>
      </x:c>
      <x:c r="E57" s="93" t="inlineStr">
        <x:is>
          <x:t xml:space="preserve">yes</x:t>
        </x:is>
      </x:c>
      <x:c r="F57" s="93" t="inlineStr">
        <x:is>
          <x:t xml:space="preserve">yes</x:t>
        </x:is>
      </x:c>
      <x:c r="G57" s="93" t="inlineStr">
        <x:is>
          <x:t xml:space="preserve">pass</x:t>
        </x:is>
      </x:c>
      <x:c r="H57" s="93" t="inlineStr">
        <x:is>
          <x:t xml:space="preserve">covered</x:t>
        </x:is>
      </x:c>
      <x:c r="I57" s="94" t="inlineStr">
        <x:is>
          <x:t xml:space="preserve">DropdownMenu playground manual verification.</x:t>
        </x:is>
      </x:c>
      <x:c r="J57" s="94" t="n"/>
      <x:c r="K57" s="95" t="n">
        <x:f>IF(AND(E57="yes",F57="yes",H57="covered"),1,IF(H57="partial",0.5,0))</x:f>
        <x:v>1</x:v>
      </x:c>
    </x:row>
    <x:row r="58" s="51" customFormat="1" ht="31.5" customHeight="1">
      <x:c r="A58" s="93" t="n">
        <x:v>50</x:v>
      </x:c>
      <x:c r="B58" s="94" t="inlineStr">
        <x:is>
          <x:t xml:space="preserve">Public API</x:t>
        </x:is>
      </x:c>
      <x:c r="C58" s="94" t="inlineStr">
        <x:is>
          <x:t xml:space="preserve">Trigger</x:t>
        </x:is>
      </x:c>
      <x:c r="D58" s="94" t="inlineStr">
        <x:is>
          <x:t xml:space="preserve">custom data-slot override applies to trigger</x:t>
        </x:is>
      </x:c>
      <x:c r="E58" s="93" t="inlineStr">
        <x:is>
          <x:t xml:space="preserve">yes</x:t>
        </x:is>
      </x:c>
      <x:c r="F58" s="93" t="inlineStr">
        <x:is>
          <x:t xml:space="preserve">yes</x:t>
        </x:is>
      </x:c>
      <x:c r="G58" s="93" t="inlineStr">
        <x:is>
          <x:t xml:space="preserve">pass</x:t>
        </x:is>
      </x:c>
      <x:c r="H58" s="93" t="inlineStr">
        <x:is>
          <x:t xml:space="preserve">covered</x:t>
        </x:is>
      </x:c>
      <x:c r="I58" s="94" t="inlineStr">
        <x:is>
          <x:t xml:space="preserve">DropdownMenu playground manual verification.</x:t>
        </x:is>
      </x:c>
      <x:c r="J58" s="94" t="n"/>
      <x:c r="K58" s="95" t="n">
        <x:f>IF(AND(E58="yes",F58="yes",H58="covered"),1,IF(H58="partial",0.5,0))</x:f>
        <x:v>1</x:v>
      </x:c>
    </x:row>
    <x:row r="59" s="51" customFormat="1" ht="31.5" customHeight="1">
      <x:c r="A59" s="93" t="n">
        <x:v>51</x:v>
      </x:c>
      <x:c r="B59" s="94" t="inlineStr">
        <x:is>
          <x:t xml:space="preserve">Public API</x:t>
        </x:is>
      </x:c>
      <x:c r="C59" s="94" t="inlineStr">
        <x:is>
          <x:t xml:space="preserve">Content</x:t>
        </x:is>
      </x:c>
      <x:c r="D59" s="94" t="inlineStr">
        <x:is>
          <x:t xml:space="preserve">renders only while open</x:t>
        </x:is>
      </x:c>
      <x:c r="E59" s="93" t="inlineStr">
        <x:is>
          <x:t xml:space="preserve">yes</x:t>
        </x:is>
      </x:c>
      <x:c r="F59" s="93" t="inlineStr">
        <x:is>
          <x:t xml:space="preserve">yes</x:t>
        </x:is>
      </x:c>
      <x:c r="G59" s="93" t="inlineStr">
        <x:is>
          <x:t xml:space="preserve">pass</x:t>
        </x:is>
      </x:c>
      <x:c r="H59" s="93" t="inlineStr">
        <x:is>
          <x:t xml:space="preserve">covered</x:t>
        </x:is>
      </x:c>
      <x:c r="I59" s="94" t="inlineStr">
        <x:is>
          <x:t xml:space="preserve">DropdownMenu playground manual verification.</x:t>
        </x:is>
      </x:c>
      <x:c r="J59" s="94" t="n"/>
      <x:c r="K59" s="95" t="n">
        <x:f>IF(AND(E59="yes",F59="yes",H59="covered"),1,IF(H59="partial",0.5,0))</x:f>
        <x:v>1</x:v>
      </x:c>
    </x:row>
    <x:row r="60" s="51" customFormat="1" ht="31.5" customHeight="1">
      <x:c r="A60" s="93" t="n">
        <x:v>52</x:v>
      </x:c>
      <x:c r="B60" s="94" t="inlineStr">
        <x:is>
          <x:t xml:space="preserve">Public API</x:t>
        </x:is>
      </x:c>
      <x:c r="C60" s="94" t="inlineStr">
        <x:is>
          <x:t xml:space="preserve">Content</x:t>
        </x:is>
      </x:c>
      <x:c r="D60" s="94" t="inlineStr">
        <x:is>
          <x:t xml:space="preserve">role is menu</x:t>
        </x:is>
      </x:c>
      <x:c r="E60" s="93" t="inlineStr">
        <x:is>
          <x:t xml:space="preserve">yes</x:t>
        </x:is>
      </x:c>
      <x:c r="F60" s="93" t="inlineStr">
        <x:is>
          <x:t xml:space="preserve">yes</x:t>
        </x:is>
      </x:c>
      <x:c r="G60" s="93" t="inlineStr">
        <x:is>
          <x:t xml:space="preserve">pass</x:t>
        </x:is>
      </x:c>
      <x:c r="H60" s="93" t="inlineStr">
        <x:is>
          <x:t xml:space="preserve">covered</x:t>
        </x:is>
      </x:c>
      <x:c r="I60" s="94" t="inlineStr">
        <x:is>
          <x:t xml:space="preserve">DropdownMenu playground manual verification.</x:t>
        </x:is>
      </x:c>
      <x:c r="J60" s="94" t="n"/>
      <x:c r="K60" s="95" t="n">
        <x:f>IF(AND(E60="yes",F60="yes",H60="covered"),1,IF(H60="partial",0.5,0))</x:f>
        <x:v>1</x:v>
      </x:c>
    </x:row>
    <x:row r="61" s="51" customFormat="1" ht="31.5" customHeight="1">
      <x:c r="A61" s="93" t="n">
        <x:v>53</x:v>
      </x:c>
      <x:c r="B61" s="94" t="inlineStr">
        <x:is>
          <x:t xml:space="preserve">Public API</x:t>
        </x:is>
      </x:c>
      <x:c r="C61" s="94" t="inlineStr">
        <x:is>
          <x:t xml:space="preserve">Content</x:t>
        </x:is>
      </x:c>
      <x:c r="D61" s="94" t="inlineStr">
        <x:is>
          <x:t xml:space="preserve">aria-orientation is vertical</x:t>
        </x:is>
      </x:c>
      <x:c r="E61" s="93" t="inlineStr">
        <x:is>
          <x:t xml:space="preserve">yes</x:t>
        </x:is>
      </x:c>
      <x:c r="F61" s="93" t="inlineStr">
        <x:is>
          <x:t xml:space="preserve">yes</x:t>
        </x:is>
      </x:c>
      <x:c r="G61" s="93" t="inlineStr">
        <x:is>
          <x:t xml:space="preserve">pass</x:t>
        </x:is>
      </x:c>
      <x:c r="H61" s="93" t="inlineStr">
        <x:is>
          <x:t xml:space="preserve">covered</x:t>
        </x:is>
      </x:c>
      <x:c r="I61" s="94" t="inlineStr">
        <x:is>
          <x:t xml:space="preserve">DropdownMenu playground manual verification.</x:t>
        </x:is>
      </x:c>
      <x:c r="J61" s="94" t="n"/>
      <x:c r="K61" s="95" t="n">
        <x:f>IF(AND(E61="yes",F61="yes",H61="covered"),1,IF(H61="partial",0.5,0))</x:f>
        <x:v>1</x:v>
      </x:c>
    </x:row>
    <x:row r="62" s="51" customFormat="1" ht="31.5" customHeight="1">
      <x:c r="A62" s="93" t="n">
        <x:v>54</x:v>
      </x:c>
      <x:c r="B62" s="94" t="inlineStr">
        <x:is>
          <x:t xml:space="preserve">Public API</x:t>
        </x:is>
      </x:c>
      <x:c r="C62" s="94" t="inlineStr">
        <x:is>
          <x:t xml:space="preserve">Content</x:t>
        </x:is>
      </x:c>
      <x:c r="D62" s="94" t="inlineStr">
        <x:is>
          <x:t xml:space="preserve">aria-label prop names menu</x:t>
        </x:is>
      </x:c>
      <x:c r="E62" s="93" t="inlineStr">
        <x:is>
          <x:t xml:space="preserve">yes</x:t>
        </x:is>
      </x:c>
      <x:c r="F62" s="93" t="inlineStr">
        <x:is>
          <x:t xml:space="preserve">yes</x:t>
        </x:is>
      </x:c>
      <x:c r="G62" s="93" t="inlineStr">
        <x:is>
          <x:t xml:space="preserve">pass</x:t>
        </x:is>
      </x:c>
      <x:c r="H62" s="93" t="inlineStr">
        <x:is>
          <x:t xml:space="preserve">covered</x:t>
        </x:is>
      </x:c>
      <x:c r="I62" s="94" t="inlineStr">
        <x:is>
          <x:t xml:space="preserve">DropdownMenu playground manual verification.</x:t>
        </x:is>
      </x:c>
      <x:c r="J62" s="94" t="n"/>
      <x:c r="K62" s="95" t="n">
        <x:f>IF(AND(E62="yes",F62="yes",H62="covered"),1,IF(H62="partial",0.5,0))</x:f>
        <x:v>1</x:v>
      </x:c>
    </x:row>
    <x:row r="63" s="51" customFormat="1" ht="31.5" customHeight="1">
      <x:c r="A63" s="93" t="n">
        <x:v>55</x:v>
      </x:c>
      <x:c r="B63" s="94" t="inlineStr">
        <x:is>
          <x:t xml:space="preserve">Public API</x:t>
        </x:is>
      </x:c>
      <x:c r="C63" s="94" t="inlineStr">
        <x:is>
          <x:t xml:space="preserve">Content</x:t>
        </x:is>
      </x:c>
      <x:c r="D63" s="94" t="inlineStr">
        <x:is>
          <x:t xml:space="preserve">aria-labelledby references trigger when ariaLabel is absent</x:t>
        </x:is>
      </x:c>
      <x:c r="E63" s="93" t="inlineStr">
        <x:is>
          <x:t xml:space="preserve">yes</x:t>
        </x:is>
      </x:c>
      <x:c r="F63" s="93" t="inlineStr">
        <x:is>
          <x:t xml:space="preserve">yes</x:t>
        </x:is>
      </x:c>
      <x:c r="G63" s="93" t="inlineStr">
        <x:is>
          <x:t xml:space="preserve">pass</x:t>
        </x:is>
      </x:c>
      <x:c r="H63" s="93" t="inlineStr">
        <x:is>
          <x:t xml:space="preserve">covered</x:t>
        </x:is>
      </x:c>
      <x:c r="I63" s="94" t="inlineStr">
        <x:is>
          <x:t xml:space="preserve">DropdownMenu playground manual verification.</x:t>
        </x:is>
      </x:c>
      <x:c r="J63" s="94" t="n"/>
      <x:c r="K63" s="95" t="n">
        <x:f>IF(AND(E63="yes",F63="yes",H63="covered"),1,IF(H63="partial",0.5,0))</x:f>
        <x:v>1</x:v>
      </x:c>
    </x:row>
    <x:row r="64" s="51" customFormat="1" ht="31.5" customHeight="1">
      <x:c r="A64" s="93" t="n">
        <x:v>56</x:v>
      </x:c>
      <x:c r="B64" s="94" t="inlineStr">
        <x:is>
          <x:t xml:space="preserve">Public API</x:t>
        </x:is>
      </x:c>
      <x:c r="C64" s="94" t="inlineStr">
        <x:is>
          <x:t xml:space="preserve">Content</x:t>
        </x:is>
      </x:c>
      <x:c r="D64" s="94" t="inlineStr">
        <x:is>
          <x:t xml:space="preserve">tabindex attr is -1</x:t>
        </x:is>
      </x:c>
      <x:c r="E64" s="93" t="inlineStr">
        <x:is>
          <x:t xml:space="preserve">yes</x:t>
        </x:is>
      </x:c>
      <x:c r="F64" s="93" t="inlineStr">
        <x:is>
          <x:t xml:space="preserve">yes</x:t>
        </x:is>
      </x:c>
      <x:c r="G64" s="93" t="inlineStr">
        <x:is>
          <x:t xml:space="preserve">pass</x:t>
        </x:is>
      </x:c>
      <x:c r="H64" s="93" t="inlineStr">
        <x:is>
          <x:t xml:space="preserve">covered</x:t>
        </x:is>
      </x:c>
      <x:c r="I64" s="94" t="inlineStr">
        <x:is>
          <x:t xml:space="preserve">DropdownMenu playground manual verification.</x:t>
        </x:is>
      </x:c>
      <x:c r="J64" s="94" t="n"/>
      <x:c r="K64" s="95" t="n">
        <x:f>IF(AND(E64="yes",F64="yes",H64="covered"),1,IF(H64="partial",0.5,0))</x:f>
        <x:v>1</x:v>
      </x:c>
    </x:row>
    <x:row r="65" s="51" customFormat="1" ht="31.5" customHeight="1">
      <x:c r="A65" s="93" t="n">
        <x:v>57</x:v>
      </x:c>
      <x:c r="B65" s="94" t="inlineStr">
        <x:is>
          <x:t xml:space="preserve">Public API</x:t>
        </x:is>
      </x:c>
      <x:c r="C65" s="94" t="inlineStr">
        <x:is>
          <x:t xml:space="preserve">Content</x:t>
        </x:is>
      </x:c>
      <x:c r="D65" s="94" t="inlineStr">
        <x:is>
          <x:t xml:space="preserve">id matches trigger aria-controls</x:t>
        </x:is>
      </x:c>
      <x:c r="E65" s="93" t="inlineStr">
        <x:is>
          <x:t xml:space="preserve">yes</x:t>
        </x:is>
      </x:c>
      <x:c r="F65" s="93" t="inlineStr">
        <x:is>
          <x:t xml:space="preserve">yes</x:t>
        </x:is>
      </x:c>
      <x:c r="G65" s="93" t="inlineStr">
        <x:is>
          <x:t xml:space="preserve">pass</x:t>
        </x:is>
      </x:c>
      <x:c r="H65" s="93" t="inlineStr">
        <x:is>
          <x:t xml:space="preserve">covered</x:t>
        </x:is>
      </x:c>
      <x:c r="I65" s="94" t="inlineStr">
        <x:is>
          <x:t xml:space="preserve">DropdownMenu playground manual verification.</x:t>
        </x:is>
      </x:c>
      <x:c r="J65" s="94" t="n"/>
      <x:c r="K65" s="95" t="n">
        <x:f>IF(AND(E65="yes",F65="yes",H65="covered"),1,IF(H65="partial",0.5,0))</x:f>
        <x:v>1</x:v>
      </x:c>
    </x:row>
    <x:row r="66" s="51" customFormat="1" ht="31.5" customHeight="1">
      <x:c r="A66" s="93" t="n">
        <x:v>58</x:v>
      </x:c>
      <x:c r="B66" s="94" t="inlineStr">
        <x:is>
          <x:t xml:space="preserve">Public API</x:t>
        </x:is>
      </x:c>
      <x:c r="C66" s="94" t="inlineStr">
        <x:is>
          <x:t xml:space="preserve">Content</x:t>
        </x:is>
      </x:c>
      <x:c r="D66" s="94" t="inlineStr">
        <x:is>
          <x:t xml:space="preserve">data-slot is menu-content</x:t>
        </x:is>
      </x:c>
      <x:c r="E66" s="93" t="inlineStr">
        <x:is>
          <x:t xml:space="preserve">yes</x:t>
        </x:is>
      </x:c>
      <x:c r="F66" s="93" t="inlineStr">
        <x:is>
          <x:t xml:space="preserve">yes</x:t>
        </x:is>
      </x:c>
      <x:c r="G66" s="93" t="inlineStr">
        <x:is>
          <x:t xml:space="preserve">pass</x:t>
        </x:is>
      </x:c>
      <x:c r="H66" s="93" t="inlineStr">
        <x:is>
          <x:t xml:space="preserve">covered</x:t>
        </x:is>
      </x:c>
      <x:c r="I66" s="94" t="inlineStr">
        <x:is>
          <x:t xml:space="preserve">DropdownMenu playground manual verification.</x:t>
        </x:is>
      </x:c>
      <x:c r="J66" s="94" t="n"/>
      <x:c r="K66" s="95" t="n">
        <x:f>IF(AND(E66="yes",F66="yes",H66="covered"),1,IF(H66="partial",0.5,0))</x:f>
        <x:v>1</x:v>
      </x:c>
    </x:row>
    <x:row r="67" s="51" customFormat="1" ht="31.5" customHeight="1">
      <x:c r="A67" s="93" t="n">
        <x:v>59</x:v>
      </x:c>
      <x:c r="B67" s="94" t="inlineStr">
        <x:is>
          <x:t xml:space="preserve">Public API</x:t>
        </x:is>
      </x:c>
      <x:c r="C67" s="94" t="inlineStr">
        <x:is>
          <x:t xml:space="preserve">Content</x:t>
        </x:is>
      </x:c>
      <x:c r="D67" s="94" t="inlineStr">
        <x:is>
          <x:t xml:space="preserve">data-state is open</x:t>
        </x:is>
      </x:c>
      <x:c r="E67" s="93" t="inlineStr">
        <x:is>
          <x:t xml:space="preserve">yes</x:t>
        </x:is>
      </x:c>
      <x:c r="F67" s="93" t="inlineStr">
        <x:is>
          <x:t xml:space="preserve">yes</x:t>
        </x:is>
      </x:c>
      <x:c r="G67" s="93" t="inlineStr">
        <x:is>
          <x:t xml:space="preserve">pass</x:t>
        </x:is>
      </x:c>
      <x:c r="H67" s="93" t="inlineStr">
        <x:is>
          <x:t xml:space="preserve">covered</x:t>
        </x:is>
      </x:c>
      <x:c r="I67" s="94" t="inlineStr">
        <x:is>
          <x:t xml:space="preserve">DropdownMenu playground manual verification.</x:t>
        </x:is>
      </x:c>
      <x:c r="J67" s="94" t="n"/>
      <x:c r="K67" s="95" t="n">
        <x:f>IF(AND(E67="yes",F67="yes",H67="covered"),1,IF(H67="partial",0.5,0))</x:f>
        <x:v>1</x:v>
      </x:c>
    </x:row>
    <x:row r="68" s="51" customFormat="1" ht="31.5" customHeight="1">
      <x:c r="A68" s="93" t="n">
        <x:v>60</x:v>
      </x:c>
      <x:c r="B68" s="94" t="inlineStr">
        <x:is>
          <x:t xml:space="preserve">Public API</x:t>
        </x:is>
      </x:c>
      <x:c r="C68" s="94" t="inlineStr">
        <x:is>
          <x:t xml:space="preserve">Content</x:t>
        </x:is>
      </x:c>
      <x:c r="D68" s="94" t="inlineStr">
        <x:is>
          <x:t xml:space="preserve">data-side reflects final placement</x:t>
        </x:is>
      </x:c>
      <x:c r="E68" s="93" t="inlineStr">
        <x:is>
          <x:t xml:space="preserve">yes</x:t>
        </x:is>
      </x:c>
      <x:c r="F68" s="93" t="inlineStr">
        <x:is>
          <x:t xml:space="preserve">yes</x:t>
        </x:is>
      </x:c>
      <x:c r="G68" s="93" t="inlineStr">
        <x:is>
          <x:t xml:space="preserve">pass</x:t>
        </x:is>
      </x:c>
      <x:c r="H68" s="93" t="inlineStr">
        <x:is>
          <x:t xml:space="preserve">covered</x:t>
        </x:is>
      </x:c>
      <x:c r="I68" s="94" t="inlineStr">
        <x:is>
          <x:t xml:space="preserve">DropdownMenu playground manual verification.</x:t>
        </x:is>
      </x:c>
      <x:c r="J68" s="94" t="n"/>
      <x:c r="K68" s="95" t="n">
        <x:f>IF(AND(E68="yes",F68="yes",H68="covered"),1,IF(H68="partial",0.5,0))</x:f>
        <x:v>1</x:v>
      </x:c>
    </x:row>
    <x:row r="69" s="51" customFormat="1" ht="31.5" customHeight="1">
      <x:c r="A69" s="93" t="n">
        <x:v>61</x:v>
      </x:c>
      <x:c r="B69" s="94" t="inlineStr">
        <x:is>
          <x:t xml:space="preserve">Public API</x:t>
        </x:is>
      </x:c>
      <x:c r="C69" s="94" t="inlineStr">
        <x:is>
          <x:t xml:space="preserve">Content</x:t>
        </x:is>
      </x:c>
      <x:c r="D69" s="94" t="inlineStr">
        <x:is>
          <x:t xml:space="preserve">data-align reflects final placement</x:t>
        </x:is>
      </x:c>
      <x:c r="E69" s="93" t="inlineStr">
        <x:is>
          <x:t xml:space="preserve">yes</x:t>
        </x:is>
      </x:c>
      <x:c r="F69" s="93" t="inlineStr">
        <x:is>
          <x:t xml:space="preserve">yes</x:t>
        </x:is>
      </x:c>
      <x:c r="G69" s="93" t="inlineStr">
        <x:is>
          <x:t xml:space="preserve">pass</x:t>
        </x:is>
      </x:c>
      <x:c r="H69" s="93" t="inlineStr">
        <x:is>
          <x:t xml:space="preserve">covered</x:t>
        </x:is>
      </x:c>
      <x:c r="I69" s="94" t="inlineStr">
        <x:is>
          <x:t xml:space="preserve">DropdownMenu playground manual verification.</x:t>
        </x:is>
      </x:c>
      <x:c r="J69" s="94" t="n"/>
      <x:c r="K69" s="95" t="n">
        <x:f>IF(AND(E69="yes",F69="yes",H69="covered"),1,IF(H69="partial",0.5,0))</x:f>
        <x:v>1</x:v>
      </x:c>
    </x:row>
    <x:row r="70" s="51" customFormat="1" ht="31.5" customHeight="1">
      <x:c r="A70" s="93" t="n">
        <x:v>62</x:v>
      </x:c>
      <x:c r="B70" s="94" t="inlineStr">
        <x:is>
          <x:t xml:space="preserve">Public API</x:t>
        </x:is>
      </x:c>
      <x:c r="C70" s="94" t="inlineStr">
        <x:is>
          <x:t xml:space="preserve">Content</x:t>
        </x:is>
      </x:c>
      <x:c r="D70" s="94" t="inlineStr">
        <x:is>
          <x:t xml:space="preserve">data-positioned appears after positioning</x:t>
        </x:is>
      </x:c>
      <x:c r="E70" s="93" t="inlineStr">
        <x:is>
          <x:t xml:space="preserve">yes</x:t>
        </x:is>
      </x:c>
      <x:c r="F70" s="93" t="inlineStr">
        <x:is>
          <x:t xml:space="preserve">yes</x:t>
        </x:is>
      </x:c>
      <x:c r="G70" s="93" t="inlineStr">
        <x:is>
          <x:t xml:space="preserve">pass</x:t>
        </x:is>
      </x:c>
      <x:c r="H70" s="93" t="inlineStr">
        <x:is>
          <x:t xml:space="preserve">covered</x:t>
        </x:is>
      </x:c>
      <x:c r="I70" s="94" t="inlineStr">
        <x:is>
          <x:t xml:space="preserve">DropdownMenu playground manual verification.</x:t>
        </x:is>
      </x:c>
      <x:c r="J70" s="94" t="n"/>
      <x:c r="K70" s="95" t="n">
        <x:f>IF(AND(E70="yes",F70="yes",H70="covered"),1,IF(H70="partial",0.5,0))</x:f>
        <x:v>1</x:v>
      </x:c>
    </x:row>
    <x:row r="71" s="51" customFormat="1" ht="31.5" customHeight="1">
      <x:c r="A71" s="93" t="n">
        <x:v>63</x:v>
      </x:c>
      <x:c r="B71" s="94" t="inlineStr">
        <x:is>
          <x:t xml:space="preserve">Public API</x:t>
        </x:is>
      </x:c>
      <x:c r="C71" s="94" t="inlineStr">
        <x:is>
          <x:t xml:space="preserve">Content</x:t>
        </x:is>
      </x:c>
      <x:c r="D71" s="94" t="inlineStr">
        <x:is>
          <x:t xml:space="preserve">side prop changes placement</x:t>
        </x:is>
      </x:c>
      <x:c r="E71" s="93" t="inlineStr">
        <x:is>
          <x:t xml:space="preserve">yes</x:t>
        </x:is>
      </x:c>
      <x:c r="F71" s="93" t="inlineStr">
        <x:is>
          <x:t xml:space="preserve">yes</x:t>
        </x:is>
      </x:c>
      <x:c r="G71" s="93" t="inlineStr">
        <x:is>
          <x:t xml:space="preserve">pass</x:t>
        </x:is>
      </x:c>
      <x:c r="H71" s="93" t="inlineStr">
        <x:is>
          <x:t xml:space="preserve">covered</x:t>
        </x:is>
      </x:c>
      <x:c r="I71" s="94" t="inlineStr">
        <x:is>
          <x:t xml:space="preserve">DropdownMenu playground manual verification.</x:t>
        </x:is>
      </x:c>
      <x:c r="J71" s="94" t="n"/>
      <x:c r="K71" s="95" t="n">
        <x:f>IF(AND(E71="yes",F71="yes",H71="covered"),1,IF(H71="partial",0.5,0))</x:f>
        <x:v>1</x:v>
      </x:c>
    </x:row>
    <x:row r="72" s="51" customFormat="1" ht="31.5" customHeight="1">
      <x:c r="A72" s="93" t="n">
        <x:v>64</x:v>
      </x:c>
      <x:c r="B72" s="94" t="inlineStr">
        <x:is>
          <x:t xml:space="preserve">Public API</x:t>
        </x:is>
      </x:c>
      <x:c r="C72" s="94" t="inlineStr">
        <x:is>
          <x:t xml:space="preserve">Content</x:t>
        </x:is>
      </x:c>
      <x:c r="D72" s="94" t="inlineStr">
        <x:is>
          <x:t xml:space="preserve">align prop changes placement</x:t>
        </x:is>
      </x:c>
      <x:c r="E72" s="93" t="inlineStr">
        <x:is>
          <x:t xml:space="preserve">yes</x:t>
        </x:is>
      </x:c>
      <x:c r="F72" s="93" t="inlineStr">
        <x:is>
          <x:t xml:space="preserve">yes</x:t>
        </x:is>
      </x:c>
      <x:c r="G72" s="93" t="inlineStr">
        <x:is>
          <x:t xml:space="preserve">pass</x:t>
        </x:is>
      </x:c>
      <x:c r="H72" s="93" t="inlineStr">
        <x:is>
          <x:t xml:space="preserve">covered</x:t>
        </x:is>
      </x:c>
      <x:c r="I72" s="94" t="inlineStr">
        <x:is>
          <x:t xml:space="preserve">DropdownMenu playground manual verification.</x:t>
        </x:is>
      </x:c>
      <x:c r="J72" s="94" t="n"/>
      <x:c r="K72" s="95" t="n">
        <x:f>IF(AND(E72="yes",F72="yes",H72="covered"),1,IF(H72="partial",0.5,0))</x:f>
        <x:v>1</x:v>
      </x:c>
    </x:row>
    <x:row r="73" s="51" customFormat="1" ht="31.5" customHeight="1">
      <x:c r="A73" s="93" t="n">
        <x:v>65</x:v>
      </x:c>
      <x:c r="B73" s="94" t="inlineStr">
        <x:is>
          <x:t xml:space="preserve">Public API</x:t>
        </x:is>
      </x:c>
      <x:c r="C73" s="94" t="inlineStr">
        <x:is>
          <x:t xml:space="preserve">Content</x:t>
        </x:is>
      </x:c>
      <x:c r="D73" s="94" t="inlineStr">
        <x:is>
          <x:t xml:space="preserve">sideOffset changes menu distance</x:t>
        </x:is>
      </x:c>
      <x:c r="E73" s="93" t="inlineStr">
        <x:is>
          <x:t xml:space="preserve">yes</x:t>
        </x:is>
      </x:c>
      <x:c r="F73" s="93" t="inlineStr">
        <x:is>
          <x:t xml:space="preserve">yes</x:t>
        </x:is>
      </x:c>
      <x:c r="G73" s="93" t="inlineStr">
        <x:is>
          <x:t xml:space="preserve">pass</x:t>
        </x:is>
      </x:c>
      <x:c r="H73" s="93" t="inlineStr">
        <x:is>
          <x:t xml:space="preserve">covered</x:t>
        </x:is>
      </x:c>
      <x:c r="I73" s="94" t="inlineStr">
        <x:is>
          <x:t xml:space="preserve">DropdownMenu playground manual verification.</x:t>
        </x:is>
      </x:c>
      <x:c r="J73" s="94" t="n"/>
      <x:c r="K73" s="95" t="n">
        <x:f>IF(AND(E73="yes",F73="yes",H73="covered"),1,IF(H73="partial",0.5,0))</x:f>
        <x:v>1</x:v>
      </x:c>
    </x:row>
    <x:row r="74" s="51" customFormat="1" ht="31.5" customHeight="1">
      <x:c r="A74" s="93" t="n">
        <x:v>66</x:v>
      </x:c>
      <x:c r="B74" s="94" t="inlineStr">
        <x:is>
          <x:t xml:space="preserve">Public API</x:t>
        </x:is>
      </x:c>
      <x:c r="C74" s="94" t="inlineStr">
        <x:is>
          <x:t xml:space="preserve">Content</x:t>
        </x:is>
      </x:c>
      <x:c r="D74" s="94" t="inlineStr">
        <x:is>
          <x:t xml:space="preserve">loop prop overrides root loop</x:t>
        </x:is>
      </x:c>
      <x:c r="E74" s="93" t="inlineStr">
        <x:is>
          <x:t xml:space="preserve">yes</x:t>
        </x:is>
      </x:c>
      <x:c r="F74" s="93" t="inlineStr">
        <x:is>
          <x:t xml:space="preserve">yes</x:t>
        </x:is>
      </x:c>
      <x:c r="G74" s="93" t="inlineStr">
        <x:is>
          <x:t xml:space="preserve">pass</x:t>
        </x:is>
      </x:c>
      <x:c r="H74" s="93" t="inlineStr">
        <x:is>
          <x:t xml:space="preserve">covered</x:t>
        </x:is>
      </x:c>
      <x:c r="I74" s="94" t="inlineStr">
        <x:is>
          <x:t xml:space="preserve">DropdownMenu playground manual verification.</x:t>
        </x:is>
      </x:c>
      <x:c r="J74" s="94" t="n"/>
      <x:c r="K74" s="95" t="n">
        <x:f>IF(AND(E74="yes",F74="yes",H74="covered"),1,IF(H74="partial",0.5,0))</x:f>
        <x:v>1</x:v>
      </x:c>
    </x:row>
    <x:row r="75" s="51" customFormat="1" ht="31.5" customHeight="1">
      <x:c r="A75" s="93" t="n">
        <x:v>67</x:v>
      </x:c>
      <x:c r="B75" s="94" t="inlineStr">
        <x:is>
          <x:t xml:space="preserve">Public API</x:t>
        </x:is>
      </x:c>
      <x:c r="C75" s="94" t="inlineStr">
        <x:is>
          <x:t xml:space="preserve">Content</x:t>
        </x:is>
      </x:c>
      <x:c r="D75" s="94" t="inlineStr">
        <x:is>
          <x:t xml:space="preserve">native className and data props pass through</x:t>
        </x:is>
      </x:c>
      <x:c r="E75" s="93" t="inlineStr">
        <x:is>
          <x:t xml:space="preserve">yes</x:t>
        </x:is>
      </x:c>
      <x:c r="F75" s="93" t="inlineStr">
        <x:is>
          <x:t xml:space="preserve">yes</x:t>
        </x:is>
      </x:c>
      <x:c r="G75" s="93" t="inlineStr">
        <x:is>
          <x:t xml:space="preserve">pass</x:t>
        </x:is>
      </x:c>
      <x:c r="H75" s="93" t="inlineStr">
        <x:is>
          <x:t xml:space="preserve">covered</x:t>
        </x:is>
      </x:c>
      <x:c r="I75" s="94" t="inlineStr">
        <x:is>
          <x:t xml:space="preserve">DropdownMenu playground manual verification.</x:t>
        </x:is>
      </x:c>
      <x:c r="J75" s="94" t="n"/>
      <x:c r="K75" s="95" t="n">
        <x:f>IF(AND(E75="yes",F75="yes",H75="covered"),1,IF(H75="partial",0.5,0))</x:f>
        <x:v>1</x:v>
      </x:c>
    </x:row>
    <x:row r="76" s="51" customFormat="1" ht="31.5" customHeight="1">
      <x:c r="A76" s="93" t="n">
        <x:v>68</x:v>
      </x:c>
      <x:c r="B76" s="94" t="inlineStr">
        <x:is>
          <x:t xml:space="preserve">Public API</x:t>
        </x:is>
      </x:c>
      <x:c r="C76" s="94" t="inlineStr">
        <x:is>
          <x:t xml:space="preserve">Content</x:t>
        </x:is>
      </x:c>
      <x:c r="D76" s="94" t="inlineStr">
        <x:is>
          <x:t xml:space="preserve">onKeyDownCapture can block Atom key behavior</x:t>
        </x:is>
      </x:c>
      <x:c r="E76" s="93" t="inlineStr">
        <x:is>
          <x:t xml:space="preserve">yes</x:t>
        </x:is>
      </x:c>
      <x:c r="F76" s="93" t="inlineStr">
        <x:is>
          <x:t xml:space="preserve">yes</x:t>
        </x:is>
      </x:c>
      <x:c r="G76" s="93" t="inlineStr">
        <x:is>
          <x:t xml:space="preserve">pass</x:t>
        </x:is>
      </x:c>
      <x:c r="H76" s="93" t="inlineStr">
        <x:is>
          <x:t xml:space="preserve">covered</x:t>
        </x:is>
      </x:c>
      <x:c r="I76" s="94" t="inlineStr">
        <x:is>
          <x:t xml:space="preserve">DropdownMenu playground manual verification.</x:t>
        </x:is>
      </x:c>
      <x:c r="J76" s="94" t="n"/>
      <x:c r="K76" s="95" t="n">
        <x:f>IF(AND(E76="yes",F76="yes",H76="covered"),1,IF(H76="partial",0.5,0))</x:f>
        <x:v>1</x:v>
      </x:c>
    </x:row>
    <x:row r="77" s="51" customFormat="1" ht="31.5" customHeight="1">
      <x:c r="A77" s="93" t="n">
        <x:v>69</x:v>
      </x:c>
      <x:c r="B77" s="94" t="inlineStr">
        <x:is>
          <x:t xml:space="preserve">Public API</x:t>
        </x:is>
      </x:c>
      <x:c r="C77" s="94" t="inlineStr">
        <x:is>
          <x:t xml:space="preserve">Item</x:t>
        </x:is>
      </x:c>
      <x:c r="D77" s="94" t="inlineStr">
        <x:is>
          <x:t xml:space="preserve">renders role menuitem</x:t>
        </x:is>
      </x:c>
      <x:c r="E77" s="93" t="inlineStr">
        <x:is>
          <x:t xml:space="preserve">yes</x:t>
        </x:is>
      </x:c>
      <x:c r="F77" s="93" t="inlineStr">
        <x:is>
          <x:t xml:space="preserve">yes</x:t>
        </x:is>
      </x:c>
      <x:c r="G77" s="93" t="inlineStr">
        <x:is>
          <x:t xml:space="preserve">pass</x:t>
        </x:is>
      </x:c>
      <x:c r="H77" s="93" t="inlineStr">
        <x:is>
          <x:t xml:space="preserve">covered</x:t>
        </x:is>
      </x:c>
      <x:c r="I77" s="94" t="inlineStr">
        <x:is>
          <x:t xml:space="preserve">DropdownMenu playground manual verification.</x:t>
        </x:is>
      </x:c>
      <x:c r="J77" s="94" t="n"/>
      <x:c r="K77" s="95" t="n">
        <x:f>IF(AND(E77="yes",F77="yes",H77="covered"),1,IF(H77="partial",0.5,0))</x:f>
        <x:v>1</x:v>
      </x:c>
    </x:row>
    <x:row r="78" s="51" customFormat="1" ht="31.5" customHeight="1">
      <x:c r="A78" s="93" t="n">
        <x:v>70</x:v>
      </x:c>
      <x:c r="B78" s="94" t="inlineStr">
        <x:is>
          <x:t xml:space="preserve">Public API</x:t>
        </x:is>
      </x:c>
      <x:c r="C78" s="94" t="inlineStr">
        <x:is>
          <x:t xml:space="preserve">Item</x:t>
        </x:is>
      </x:c>
      <x:c r="D78" s="94" t="inlineStr">
        <x:is>
          <x:t xml:space="preserve">value appears as data-value</x:t>
        </x:is>
      </x:c>
      <x:c r="E78" s="93" t="inlineStr">
        <x:is>
          <x:t xml:space="preserve">yes</x:t>
        </x:is>
      </x:c>
      <x:c r="F78" s="93" t="inlineStr">
        <x:is>
          <x:t xml:space="preserve">yes</x:t>
        </x:is>
      </x:c>
      <x:c r="G78" s="93" t="inlineStr">
        <x:is>
          <x:t xml:space="preserve">pass</x:t>
        </x:is>
      </x:c>
      <x:c r="H78" s="93" t="inlineStr">
        <x:is>
          <x:t xml:space="preserve">covered</x:t>
        </x:is>
      </x:c>
      <x:c r="I78" s="94" t="inlineStr">
        <x:is>
          <x:t xml:space="preserve">DropdownMenu playground manual verification.</x:t>
        </x:is>
      </x:c>
      <x:c r="J78" s="94" t="n"/>
      <x:c r="K78" s="95" t="n">
        <x:f>IF(AND(E78="yes",F78="yes",H78="covered"),1,IF(H78="partial",0.5,0))</x:f>
        <x:v>1</x:v>
      </x:c>
    </x:row>
    <x:row r="79" s="51" customFormat="1" ht="31.5" customHeight="1">
      <x:c r="A79" s="93" t="n">
        <x:v>71</x:v>
      </x:c>
      <x:c r="B79" s="94" t="inlineStr">
        <x:is>
          <x:t xml:space="preserve">Public API</x:t>
        </x:is>
      </x:c>
      <x:c r="C79" s="94" t="inlineStr">
        <x:is>
          <x:t xml:space="preserve">Item</x:t>
        </x:is>
      </x:c>
      <x:c r="D79" s="94" t="inlineStr">
        <x:is>
          <x:t xml:space="preserve">textValue is used for typeahead</x:t>
        </x:is>
      </x:c>
      <x:c r="E79" s="93" t="inlineStr">
        <x:is>
          <x:t xml:space="preserve">yes</x:t>
        </x:is>
      </x:c>
      <x:c r="F79" s="93" t="inlineStr">
        <x:is>
          <x:t xml:space="preserve">yes</x:t>
        </x:is>
      </x:c>
      <x:c r="G79" s="93" t="inlineStr">
        <x:is>
          <x:t xml:space="preserve">pass</x:t>
        </x:is>
      </x:c>
      <x:c r="H79" s="93" t="inlineStr">
        <x:is>
          <x:t xml:space="preserve">covered</x:t>
        </x:is>
      </x:c>
      <x:c r="I79" s="94" t="inlineStr">
        <x:is>
          <x:t xml:space="preserve">DropdownMenu playground manual verification.</x:t>
        </x:is>
      </x:c>
      <x:c r="J79" s="94" t="n"/>
      <x:c r="K79" s="95" t="n">
        <x:f>IF(AND(E79="yes",F79="yes",H79="covered"),1,IF(H79="partial",0.5,0))</x:f>
        <x:v>1</x:v>
      </x:c>
    </x:row>
    <x:row r="80" s="51" customFormat="1" ht="31.5" customHeight="1">
      <x:c r="A80" s="93" t="n">
        <x:v>72</x:v>
      </x:c>
      <x:c r="B80" s="94" t="inlineStr">
        <x:is>
          <x:t xml:space="preserve">Public API</x:t>
        </x:is>
      </x:c>
      <x:c r="C80" s="94" t="inlineStr">
        <x:is>
          <x:t xml:space="preserve">Item</x:t>
        </x:is>
      </x:c>
      <x:c r="D80" s="94" t="inlineStr">
        <x:is>
          <x:t xml:space="preserve">onSelect fires on click</x:t>
        </x:is>
      </x:c>
      <x:c r="E80" s="93" t="inlineStr">
        <x:is>
          <x:t xml:space="preserve">yes</x:t>
        </x:is>
      </x:c>
      <x:c r="F80" s="93" t="inlineStr">
        <x:is>
          <x:t xml:space="preserve">yes</x:t>
        </x:is>
      </x:c>
      <x:c r="G80" s="93" t="inlineStr">
        <x:is>
          <x:t xml:space="preserve">pass</x:t>
        </x:is>
      </x:c>
      <x:c r="H80" s="93" t="inlineStr">
        <x:is>
          <x:t xml:space="preserve">covered</x:t>
        </x:is>
      </x:c>
      <x:c r="I80" s="94" t="inlineStr">
        <x:is>
          <x:t xml:space="preserve">DropdownMenu playground manual verification.</x:t>
        </x:is>
      </x:c>
      <x:c r="J80" s="94" t="n"/>
      <x:c r="K80" s="95" t="n">
        <x:f>IF(AND(E80="yes",F80="yes",H80="covered"),1,IF(H80="partial",0.5,0))</x:f>
        <x:v>1</x:v>
      </x:c>
    </x:row>
    <x:row r="81" s="51" customFormat="1" ht="31.5" customHeight="1">
      <x:c r="A81" s="93" t="n">
        <x:v>73</x:v>
      </x:c>
      <x:c r="B81" s="94" t="inlineStr">
        <x:is>
          <x:t xml:space="preserve">Public API</x:t>
        </x:is>
      </x:c>
      <x:c r="C81" s="94" t="inlineStr">
        <x:is>
          <x:t xml:space="preserve">Item</x:t>
        </x:is>
      </x:c>
      <x:c r="D81" s="94" t="inlineStr">
        <x:is>
          <x:t xml:space="preserve">onSelect fires from keyboard activation</x:t>
        </x:is>
      </x:c>
      <x:c r="E81" s="93" t="inlineStr">
        <x:is>
          <x:t xml:space="preserve">yes</x:t>
        </x:is>
      </x:c>
      <x:c r="F81" s="93" t="inlineStr">
        <x:is>
          <x:t xml:space="preserve">yes</x:t>
        </x:is>
      </x:c>
      <x:c r="G81" s="93" t="inlineStr">
        <x:is>
          <x:t xml:space="preserve">pass</x:t>
        </x:is>
      </x:c>
      <x:c r="H81" s="93" t="inlineStr">
        <x:is>
          <x:t xml:space="preserve">covered</x:t>
        </x:is>
      </x:c>
      <x:c r="I81" s="94" t="inlineStr">
        <x:is>
          <x:t xml:space="preserve">DropdownMenu playground manual verification.</x:t>
        </x:is>
      </x:c>
      <x:c r="J81" s="94" t="n"/>
      <x:c r="K81" s="95" t="n">
        <x:f>IF(AND(E81="yes",F81="yes",H81="covered"),1,IF(H81="partial",0.5,0))</x:f>
        <x:v>1</x:v>
      </x:c>
    </x:row>
    <x:row r="82" s="51" customFormat="1" ht="30" customHeight="1">
      <x:c r="A82" s="73" t="n">
        <x:v>74</x:v>
      </x:c>
      <x:c r="B82" s="84" t="inlineStr">
        <x:is>
          <x:t xml:space="preserve">Public API</x:t>
        </x:is>
      </x:c>
      <x:c r="C82" s="84" t="inlineStr">
        <x:is>
          <x:t xml:space="preserve">Item</x:t>
        </x:is>
      </x:c>
      <x:c r="D82" s="84" t="inlineStr">
        <x:is>
          <x:t xml:space="preserve">disabled item receives real keyboard focus but Enter, Space, click, and selection callbacks cannot activate it</x:t>
        </x:is>
      </x:c>
      <x:c r="E82" s="76" t="inlineStr">
        <x:is>
          <x:t xml:space="preserve">yes</x:t>
        </x:is>
      </x:c>
      <x:c r="F82" s="85" t="inlineStr">
        <x:is>
          <x:t xml:space="preserve">no</x:t>
        </x:is>
      </x:c>
      <x:c r="G82" s="73" t="inlineStr">
        <x:is>
          <x:t xml:space="preserve">automated tests pass; manual pending</x:t>
        </x:is>
      </x:c>
      <x:c r="H82" s="86" t="inlineStr">
        <x:is>
          <x:t xml:space="preserve">untested</x:t>
        </x:is>
      </x:c>
      <x:c r="I82" s="84" t="inlineStr">
        <x:is>
          <x:t xml:space="preserve">playground/.manual-tests/dropdown-menu.md (draft)</x:t>
        </x:is>
      </x:c>
      <x:c r="J82" s="84" t="inlineStr">
        <x:is>
          <x:t xml:space="preserve">Run the updated component Manual Test Protocol and named browser/device matrix.</x:t>
        </x:is>
      </x:c>
      <x:c r="K82" s="87" t="n">
        <x:f>IF(AND(E82="yes",F82="yes",H82="covered"),1,IF(H82="partial",0.5,0))</x:f>
        <x:v>0</x:v>
      </x:c>
    </x:row>
    <x:row r="83" s="51" customFormat="1" ht="31.5" customHeight="1">
      <x:c r="A83" s="93" t="n">
        <x:v>75</x:v>
      </x:c>
      <x:c r="B83" s="94" t="inlineStr">
        <x:is>
          <x:t xml:space="preserve">Public API</x:t>
        </x:is>
      </x:c>
      <x:c r="C83" s="94" t="inlineStr">
        <x:is>
          <x:t xml:space="preserve">Item</x:t>
        </x:is>
      </x:c>
      <x:c r="D83" s="94" t="inlineStr">
        <x:is>
          <x:t xml:space="preserve">disabled item exposes aria-disabled</x:t>
        </x:is>
      </x:c>
      <x:c r="E83" s="93" t="inlineStr">
        <x:is>
          <x:t xml:space="preserve">yes</x:t>
        </x:is>
      </x:c>
      <x:c r="F83" s="93" t="inlineStr">
        <x:is>
          <x:t xml:space="preserve">yes</x:t>
        </x:is>
      </x:c>
      <x:c r="G83" s="93" t="inlineStr">
        <x:is>
          <x:t xml:space="preserve">pass</x:t>
        </x:is>
      </x:c>
      <x:c r="H83" s="93" t="inlineStr">
        <x:is>
          <x:t xml:space="preserve">covered</x:t>
        </x:is>
      </x:c>
      <x:c r="I83" s="94" t="inlineStr">
        <x:is>
          <x:t xml:space="preserve">DropdownMenu playground manual verification.</x:t>
        </x:is>
      </x:c>
      <x:c r="J83" s="94" t="n"/>
      <x:c r="K83" s="95" t="n">
        <x:f>IF(AND(E83="yes",F83="yes",H83="covered"),1,IF(H83="partial",0.5,0))</x:f>
        <x:v>1</x:v>
      </x:c>
    </x:row>
    <x:row r="84" s="51" customFormat="1" ht="31.5" customHeight="1">
      <x:c r="A84" s="93" t="n">
        <x:v>76</x:v>
      </x:c>
      <x:c r="B84" s="94" t="inlineStr">
        <x:is>
          <x:t xml:space="preserve">Public API</x:t>
        </x:is>
      </x:c>
      <x:c r="C84" s="94" t="inlineStr">
        <x:is>
          <x:t xml:space="preserve">Item</x:t>
        </x:is>
      </x:c>
      <x:c r="D84" s="94" t="inlineStr">
        <x:is>
          <x:t xml:space="preserve">disabled item exposes data-disabled</x:t>
        </x:is>
      </x:c>
      <x:c r="E84" s="93" t="inlineStr">
        <x:is>
          <x:t xml:space="preserve">yes</x:t>
        </x:is>
      </x:c>
      <x:c r="F84" s="93" t="inlineStr">
        <x:is>
          <x:t xml:space="preserve">yes</x:t>
        </x:is>
      </x:c>
      <x:c r="G84" s="93" t="inlineStr">
        <x:is>
          <x:t xml:space="preserve">pass</x:t>
        </x:is>
      </x:c>
      <x:c r="H84" s="93" t="inlineStr">
        <x:is>
          <x:t xml:space="preserve">covered</x:t>
        </x:is>
      </x:c>
      <x:c r="I84" s="94" t="inlineStr">
        <x:is>
          <x:t xml:space="preserve">DropdownMenu playground manual verification.</x:t>
        </x:is>
      </x:c>
      <x:c r="J84" s="94" t="n"/>
      <x:c r="K84" s="95" t="n">
        <x:f>IF(AND(E84="yes",F84="yes",H84="covered"),1,IF(H84="partial",0.5,0))</x:f>
        <x:v>1</x:v>
      </x:c>
    </x:row>
    <x:row r="85" s="51" customFormat="1" ht="31.5" customHeight="1">
      <x:c r="A85" s="93" t="n">
        <x:v>77</x:v>
      </x:c>
      <x:c r="B85" s="94" t="inlineStr">
        <x:is>
          <x:t xml:space="preserve">Public API</x:t>
        </x:is>
      </x:c>
      <x:c r="C85" s="94" t="inlineStr">
        <x:is>
          <x:t xml:space="preserve">Item</x:t>
        </x:is>
      </x:c>
      <x:c r="D85" s="94" t="inlineStr">
        <x:is>
          <x:t xml:space="preserve">highlighted item exposes data-highlighted</x:t>
        </x:is>
      </x:c>
      <x:c r="E85" s="93" t="inlineStr">
        <x:is>
          <x:t xml:space="preserve">yes</x:t>
        </x:is>
      </x:c>
      <x:c r="F85" s="93" t="inlineStr">
        <x:is>
          <x:t xml:space="preserve">yes</x:t>
        </x:is>
      </x:c>
      <x:c r="G85" s="93" t="inlineStr">
        <x:is>
          <x:t xml:space="preserve">pass</x:t>
        </x:is>
      </x:c>
      <x:c r="H85" s="93" t="inlineStr">
        <x:is>
          <x:t xml:space="preserve">covered</x:t>
        </x:is>
      </x:c>
      <x:c r="I85" s="94" t="inlineStr">
        <x:is>
          <x:t xml:space="preserve">DropdownMenu playground manual verification.</x:t>
        </x:is>
      </x:c>
      <x:c r="J85" s="94" t="n"/>
      <x:c r="K85" s="95" t="n">
        <x:f>IF(AND(E85="yes",F85="yes",H85="covered"),1,IF(H85="partial",0.5,0))</x:f>
        <x:v>1</x:v>
      </x:c>
    </x:row>
    <x:row r="86" s="51" customFormat="1" ht="31.5" customHeight="1">
      <x:c r="A86" s="93" t="n">
        <x:v>78</x:v>
      </x:c>
      <x:c r="B86" s="94" t="inlineStr">
        <x:is>
          <x:t xml:space="preserve">Public API</x:t>
        </x:is>
      </x:c>
      <x:c r="C86" s="94" t="inlineStr">
        <x:is>
          <x:t xml:space="preserve">Item</x:t>
        </x:is>
      </x:c>
      <x:c r="D86" s="94" t="inlineStr">
        <x:is>
          <x:t xml:space="preserve">closeOnSelect overrides root close behavior</x:t>
        </x:is>
      </x:c>
      <x:c r="E86" s="93" t="inlineStr">
        <x:is>
          <x:t xml:space="preserve">yes</x:t>
        </x:is>
      </x:c>
      <x:c r="F86" s="93" t="inlineStr">
        <x:is>
          <x:t xml:space="preserve">yes</x:t>
        </x:is>
      </x:c>
      <x:c r="G86" s="93" t="inlineStr">
        <x:is>
          <x:t xml:space="preserve">pass</x:t>
        </x:is>
      </x:c>
      <x:c r="H86" s="93" t="inlineStr">
        <x:is>
          <x:t xml:space="preserve">covered</x:t>
        </x:is>
      </x:c>
      <x:c r="I86" s="94" t="inlineStr">
        <x:is>
          <x:t xml:space="preserve">DropdownMenu playground manual verification.</x:t>
        </x:is>
      </x:c>
      <x:c r="J86" s="94" t="n"/>
      <x:c r="K86" s="95" t="n">
        <x:f>IF(AND(E86="yes",F86="yes",H86="covered"),1,IF(H86="partial",0.5,0))</x:f>
        <x:v>1</x:v>
      </x:c>
    </x:row>
    <x:row r="87" s="51" customFormat="1" ht="31.5" customHeight="1">
      <x:c r="A87" s="93" t="n">
        <x:v>79</x:v>
      </x:c>
      <x:c r="B87" s="94" t="inlineStr">
        <x:is>
          <x:t xml:space="preserve">Public API</x:t>
        </x:is>
      </x:c>
      <x:c r="C87" s="94" t="inlineStr">
        <x:is>
          <x:t xml:space="preserve">Item</x:t>
        </x:is>
      </x:c>
      <x:c r="D87" s="94" t="inlineStr">
        <x:is>
          <x:t xml:space="preserve">asChild composition works</x:t>
        </x:is>
      </x:c>
      <x:c r="E87" s="93" t="inlineStr">
        <x:is>
          <x:t xml:space="preserve">yes</x:t>
        </x:is>
      </x:c>
      <x:c r="F87" s="93" t="inlineStr">
        <x:is>
          <x:t xml:space="preserve">yes</x:t>
        </x:is>
      </x:c>
      <x:c r="G87" s="93" t="inlineStr">
        <x:is>
          <x:t xml:space="preserve">pass</x:t>
        </x:is>
      </x:c>
      <x:c r="H87" s="93" t="inlineStr">
        <x:is>
          <x:t xml:space="preserve">covered</x:t>
        </x:is>
      </x:c>
      <x:c r="I87" s="94" t="inlineStr">
        <x:is>
          <x:t xml:space="preserve">DropdownMenu playground manual verification.</x:t>
        </x:is>
      </x:c>
      <x:c r="J87" s="94" t="n"/>
      <x:c r="K87" s="95" t="n">
        <x:f>IF(AND(E87="yes",F87="yes",H87="covered"),1,IF(H87="partial",0.5,0))</x:f>
        <x:v>1</x:v>
      </x:c>
    </x:row>
    <x:row r="88" s="51" customFormat="1" ht="31.5" customHeight="1">
      <x:c r="A88" s="93" t="n">
        <x:v>80</x:v>
      </x:c>
      <x:c r="B88" s="94" t="inlineStr">
        <x:is>
          <x:t xml:space="preserve">Public API</x:t>
        </x:is>
      </x:c>
      <x:c r="C88" s="94" t="inlineStr">
        <x:is>
          <x:t xml:space="preserve">Item</x:t>
        </x:is>
      </x:c>
      <x:c r="D88" s="94" t="inlineStr">
        <x:is>
          <x:t xml:space="preserve">render composition works</x:t>
        </x:is>
      </x:c>
      <x:c r="E88" s="93" t="inlineStr">
        <x:is>
          <x:t xml:space="preserve">yes</x:t>
        </x:is>
      </x:c>
      <x:c r="F88" s="93" t="inlineStr">
        <x:is>
          <x:t xml:space="preserve">yes</x:t>
        </x:is>
      </x:c>
      <x:c r="G88" s="93" t="inlineStr">
        <x:is>
          <x:t xml:space="preserve">pass</x:t>
        </x:is>
      </x:c>
      <x:c r="H88" s="93" t="inlineStr">
        <x:is>
          <x:t xml:space="preserve">covered</x:t>
        </x:is>
      </x:c>
      <x:c r="I88" s="94" t="inlineStr">
        <x:is>
          <x:t xml:space="preserve">DropdownMenu playground manual verification.</x:t>
        </x:is>
      </x:c>
      <x:c r="J88" s="94" t="n"/>
      <x:c r="K88" s="95" t="n">
        <x:f>IF(AND(E88="yes",F88="yes",H88="covered"),1,IF(H88="partial",0.5,0))</x:f>
        <x:v>1</x:v>
      </x:c>
    </x:row>
    <x:row r="89" s="51" customFormat="1" ht="31.5" customHeight="1">
      <x:c r="A89" s="93" t="n">
        <x:v>81</x:v>
      </x:c>
      <x:c r="B89" s="94" t="inlineStr">
        <x:is>
          <x:t xml:space="preserve">Public API</x:t>
        </x:is>
      </x:c>
      <x:c r="C89" s="94" t="inlineStr">
        <x:is>
          <x:t xml:space="preserve">Item</x:t>
        </x:is>
      </x:c>
      <x:c r="D89" s="94" t="inlineStr">
        <x:is>
          <x:t xml:space="preserve">consumer onClick can prevent Atom behavior</x:t>
        </x:is>
      </x:c>
      <x:c r="E89" s="93" t="inlineStr">
        <x:is>
          <x:t xml:space="preserve">yes</x:t>
        </x:is>
      </x:c>
      <x:c r="F89" s="93" t="inlineStr">
        <x:is>
          <x:t xml:space="preserve">yes</x:t>
        </x:is>
      </x:c>
      <x:c r="G89" s="93" t="inlineStr">
        <x:is>
          <x:t xml:space="preserve">pass</x:t>
        </x:is>
      </x:c>
      <x:c r="H89" s="93" t="inlineStr">
        <x:is>
          <x:t xml:space="preserve">covered</x:t>
        </x:is>
      </x:c>
      <x:c r="I89" s="94" t="inlineStr">
        <x:is>
          <x:t xml:space="preserve">DropdownMenu playground manual verification.</x:t>
        </x:is>
      </x:c>
      <x:c r="J89" s="94" t="n"/>
      <x:c r="K89" s="95" t="n">
        <x:f>IF(AND(E89="yes",F89="yes",H89="covered"),1,IF(H89="partial",0.5,0))</x:f>
        <x:v>1</x:v>
      </x:c>
    </x:row>
    <x:row r="90" s="51" customFormat="1" ht="31.5" customHeight="1">
      <x:c r="A90" s="93" t="n">
        <x:v>82</x:v>
      </x:c>
      <x:c r="B90" s="94" t="inlineStr">
        <x:is>
          <x:t xml:space="preserve">Public API</x:t>
        </x:is>
      </x:c>
      <x:c r="C90" s="94" t="inlineStr">
        <x:is>
          <x:t xml:space="preserve">Item</x:t>
        </x:is>
      </x:c>
      <x:c r="D90" s="94" t="inlineStr">
        <x:is>
          <x:t xml:space="preserve">native className and data props pass through</x:t>
        </x:is>
      </x:c>
      <x:c r="E90" s="93" t="inlineStr">
        <x:is>
          <x:t xml:space="preserve">yes</x:t>
        </x:is>
      </x:c>
      <x:c r="F90" s="93" t="inlineStr">
        <x:is>
          <x:t xml:space="preserve">yes</x:t>
        </x:is>
      </x:c>
      <x:c r="G90" s="93" t="inlineStr">
        <x:is>
          <x:t xml:space="preserve">pass</x:t>
        </x:is>
      </x:c>
      <x:c r="H90" s="93" t="inlineStr">
        <x:is>
          <x:t xml:space="preserve">covered</x:t>
        </x:is>
      </x:c>
      <x:c r="I90" s="94" t="inlineStr">
        <x:is>
          <x:t xml:space="preserve">DropdownMenu playground manual verification.</x:t>
        </x:is>
      </x:c>
      <x:c r="J90" s="94" t="n"/>
      <x:c r="K90" s="95" t="n">
        <x:f>IF(AND(E90="yes",F90="yes",H90="covered"),1,IF(H90="partial",0.5,0))</x:f>
        <x:v>1</x:v>
      </x:c>
    </x:row>
    <x:row r="91" s="51" customFormat="1" ht="31.5" customHeight="1">
      <x:c r="A91" s="93" t="n">
        <x:v>83</x:v>
      </x:c>
      <x:c r="B91" s="94" t="inlineStr">
        <x:is>
          <x:t xml:space="preserve">Public API</x:t>
        </x:is>
      </x:c>
      <x:c r="C91" s="94" t="inlineStr">
        <x:is>
          <x:t xml:space="preserve">Checkbox Item</x:t>
        </x:is>
      </x:c>
      <x:c r="D91" s="94" t="inlineStr">
        <x:is>
          <x:t xml:space="preserve">renders role menuitemcheckbox</x:t>
        </x:is>
      </x:c>
      <x:c r="E91" s="93" t="inlineStr">
        <x:is>
          <x:t xml:space="preserve">yes</x:t>
        </x:is>
      </x:c>
      <x:c r="F91" s="93" t="inlineStr">
        <x:is>
          <x:t xml:space="preserve">yes</x:t>
        </x:is>
      </x:c>
      <x:c r="G91" s="93" t="inlineStr">
        <x:is>
          <x:t xml:space="preserve">pass</x:t>
        </x:is>
      </x:c>
      <x:c r="H91" s="93" t="inlineStr">
        <x:is>
          <x:t xml:space="preserve">covered</x:t>
        </x:is>
      </x:c>
      <x:c r="I91" s="94" t="inlineStr">
        <x:is>
          <x:t xml:space="preserve">DropdownMenu playground manual verification.</x:t>
        </x:is>
      </x:c>
      <x:c r="J91" s="94" t="n"/>
      <x:c r="K91" s="95" t="n">
        <x:f>IF(AND(E91="yes",F91="yes",H91="covered"),1,IF(H91="partial",0.5,0))</x:f>
        <x:v>1</x:v>
      </x:c>
    </x:row>
    <x:row r="92" s="51" customFormat="1" ht="31.5" customHeight="1">
      <x:c r="A92" s="93" t="n">
        <x:v>84</x:v>
      </x:c>
      <x:c r="B92" s="94" t="inlineStr">
        <x:is>
          <x:t xml:space="preserve">Public API</x:t>
        </x:is>
      </x:c>
      <x:c r="C92" s="94" t="inlineStr">
        <x:is>
          <x:t xml:space="preserve">Checkbox Item</x:t>
        </x:is>
      </x:c>
      <x:c r="D92" s="94" t="inlineStr">
        <x:is>
          <x:t xml:space="preserve">checked true exposes aria-checked true</x:t>
        </x:is>
      </x:c>
      <x:c r="E92" s="93" t="inlineStr">
        <x:is>
          <x:t xml:space="preserve">yes</x:t>
        </x:is>
      </x:c>
      <x:c r="F92" s="93" t="inlineStr">
        <x:is>
          <x:t xml:space="preserve">yes</x:t>
        </x:is>
      </x:c>
      <x:c r="G92" s="93" t="inlineStr">
        <x:is>
          <x:t xml:space="preserve">pass</x:t>
        </x:is>
      </x:c>
      <x:c r="H92" s="93" t="inlineStr">
        <x:is>
          <x:t xml:space="preserve">covered</x:t>
        </x:is>
      </x:c>
      <x:c r="I92" s="94" t="inlineStr">
        <x:is>
          <x:t xml:space="preserve">DropdownMenu playground manual verification.</x:t>
        </x:is>
      </x:c>
      <x:c r="J92" s="94" t="n"/>
      <x:c r="K92" s="95" t="n">
        <x:f>IF(AND(E92="yes",F92="yes",H92="covered"),1,IF(H92="partial",0.5,0))</x:f>
        <x:v>1</x:v>
      </x:c>
    </x:row>
    <x:row r="93" s="51" customFormat="1" ht="31.5" customHeight="1">
      <x:c r="A93" s="93" t="n">
        <x:v>85</x:v>
      </x:c>
      <x:c r="B93" s="94" t="inlineStr">
        <x:is>
          <x:t xml:space="preserve">Public API</x:t>
        </x:is>
      </x:c>
      <x:c r="C93" s="94" t="inlineStr">
        <x:is>
          <x:t xml:space="preserve">Checkbox Item</x:t>
        </x:is>
      </x:c>
      <x:c r="D93" s="94" t="inlineStr">
        <x:is>
          <x:t xml:space="preserve">checked false exposes aria-checked false</x:t>
        </x:is>
      </x:c>
      <x:c r="E93" s="93" t="inlineStr">
        <x:is>
          <x:t xml:space="preserve">yes</x:t>
        </x:is>
      </x:c>
      <x:c r="F93" s="93" t="inlineStr">
        <x:is>
          <x:t xml:space="preserve">yes</x:t>
        </x:is>
      </x:c>
      <x:c r="G93" s="93" t="inlineStr">
        <x:is>
          <x:t xml:space="preserve">pass</x:t>
        </x:is>
      </x:c>
      <x:c r="H93" s="93" t="inlineStr">
        <x:is>
          <x:t xml:space="preserve">covered</x:t>
        </x:is>
      </x:c>
      <x:c r="I93" s="94" t="inlineStr">
        <x:is>
          <x:t xml:space="preserve">DropdownMenu playground manual verification.</x:t>
        </x:is>
      </x:c>
      <x:c r="J93" s="94" t="n"/>
      <x:c r="K93" s="95" t="n">
        <x:f>IF(AND(E93="yes",F93="yes",H93="covered"),1,IF(H93="partial",0.5,0))</x:f>
        <x:v>1</x:v>
      </x:c>
    </x:row>
    <x:row r="94" s="51" customFormat="1" ht="31.5" customHeight="1">
      <x:c r="A94" s="93" t="n">
        <x:v>86</x:v>
      </x:c>
      <x:c r="B94" s="94" t="inlineStr">
        <x:is>
          <x:t xml:space="preserve">Public API</x:t>
        </x:is>
      </x:c>
      <x:c r="C94" s="94" t="inlineStr">
        <x:is>
          <x:t xml:space="preserve">Checkbox Item</x:t>
        </x:is>
      </x:c>
      <x:c r="D94" s="94" t="inlineStr">
        <x:is>
          <x:t xml:space="preserve">checked true exposes data-checked</x:t>
        </x:is>
      </x:c>
      <x:c r="E94" s="93" t="inlineStr">
        <x:is>
          <x:t xml:space="preserve">yes</x:t>
        </x:is>
      </x:c>
      <x:c r="F94" s="93" t="inlineStr">
        <x:is>
          <x:t xml:space="preserve">yes</x:t>
        </x:is>
      </x:c>
      <x:c r="G94" s="93" t="inlineStr">
        <x:is>
          <x:t xml:space="preserve">pass</x:t>
        </x:is>
      </x:c>
      <x:c r="H94" s="93" t="inlineStr">
        <x:is>
          <x:t xml:space="preserve">covered</x:t>
        </x:is>
      </x:c>
      <x:c r="I94" s="94" t="inlineStr">
        <x:is>
          <x:t xml:space="preserve">DropdownMenu playground manual verification.</x:t>
        </x:is>
      </x:c>
      <x:c r="J94" s="94" t="n"/>
      <x:c r="K94" s="95" t="n">
        <x:f>IF(AND(E94="yes",F94="yes",H94="covered"),1,IF(H94="partial",0.5,0))</x:f>
        <x:v>1</x:v>
      </x:c>
    </x:row>
    <x:row r="95" s="51" customFormat="1" ht="31.5" customHeight="1">
      <x:c r="A95" s="93" t="n">
        <x:v>87</x:v>
      </x:c>
      <x:c r="B95" s="94" t="inlineStr">
        <x:is>
          <x:t xml:space="preserve">Public API</x:t>
        </x:is>
      </x:c>
      <x:c r="C95" s="94" t="inlineStr">
        <x:is>
          <x:t xml:space="preserve">Checkbox Item</x:t>
        </x:is>
      </x:c>
      <x:c r="D95" s="94" t="inlineStr">
        <x:is>
          <x:t xml:space="preserve">onCheckedChange toggles checked state</x:t>
        </x:is>
      </x:c>
      <x:c r="E95" s="93" t="inlineStr">
        <x:is>
          <x:t xml:space="preserve">yes</x:t>
        </x:is>
      </x:c>
      <x:c r="F95" s="93" t="inlineStr">
        <x:is>
          <x:t xml:space="preserve">yes</x:t>
        </x:is>
      </x:c>
      <x:c r="G95" s="93" t="inlineStr">
        <x:is>
          <x:t xml:space="preserve">pass</x:t>
        </x:is>
      </x:c>
      <x:c r="H95" s="93" t="inlineStr">
        <x:is>
          <x:t xml:space="preserve">covered</x:t>
        </x:is>
      </x:c>
      <x:c r="I95" s="94" t="inlineStr">
        <x:is>
          <x:t xml:space="preserve">DropdownMenu playground manual verification.</x:t>
        </x:is>
      </x:c>
      <x:c r="J95" s="94" t="n"/>
      <x:c r="K95" s="95" t="n">
        <x:f>IF(AND(E95="yes",F95="yes",H95="covered"),1,IF(H95="partial",0.5,0))</x:f>
        <x:v>1</x:v>
      </x:c>
    </x:row>
    <x:row r="96" s="51" customFormat="1" ht="31.5" customHeight="1">
      <x:c r="A96" s="93" t="n">
        <x:v>88</x:v>
      </x:c>
      <x:c r="B96" s="94" t="inlineStr">
        <x:is>
          <x:t xml:space="preserve">Public API</x:t>
        </x:is>
      </x:c>
      <x:c r="C96" s="94" t="inlineStr">
        <x:is>
          <x:t xml:space="preserve">Checkbox Item</x:t>
        </x:is>
      </x:c>
      <x:c r="D96" s="94" t="inlineStr">
        <x:is>
          <x:t xml:space="preserve">default closeOnSelect false keeps menu open</x:t>
        </x:is>
      </x:c>
      <x:c r="E96" s="93" t="inlineStr">
        <x:is>
          <x:t xml:space="preserve">yes</x:t>
        </x:is>
      </x:c>
      <x:c r="F96" s="93" t="inlineStr">
        <x:is>
          <x:t xml:space="preserve">yes</x:t>
        </x:is>
      </x:c>
      <x:c r="G96" s="93" t="inlineStr">
        <x:is>
          <x:t xml:space="preserve">pass</x:t>
        </x:is>
      </x:c>
      <x:c r="H96" s="93" t="inlineStr">
        <x:is>
          <x:t xml:space="preserve">covered</x:t>
        </x:is>
      </x:c>
      <x:c r="I96" s="94" t="inlineStr">
        <x:is>
          <x:t xml:space="preserve">DropdownMenu playground manual verification.</x:t>
        </x:is>
      </x:c>
      <x:c r="J96" s="94" t="n"/>
      <x:c r="K96" s="95" t="n">
        <x:f>IF(AND(E96="yes",F96="yes",H96="covered"),1,IF(H96="partial",0.5,0))</x:f>
        <x:v>1</x:v>
      </x:c>
    </x:row>
    <x:row r="97" s="51" customFormat="1" ht="31.5" customHeight="1">
      <x:c r="A97" s="93" t="n">
        <x:v>89</x:v>
      </x:c>
      <x:c r="B97" s="94" t="inlineStr">
        <x:is>
          <x:t xml:space="preserve">Public API</x:t>
        </x:is>
      </x:c>
      <x:c r="C97" s="94" t="inlineStr">
        <x:is>
          <x:t xml:space="preserve">Checkbox Item</x:t>
        </x:is>
      </x:c>
      <x:c r="D97" s="94" t="inlineStr">
        <x:is>
          <x:t xml:space="preserve">closeOnSelect true closes menu</x:t>
        </x:is>
      </x:c>
      <x:c r="E97" s="93" t="inlineStr">
        <x:is>
          <x:t xml:space="preserve">yes</x:t>
        </x:is>
      </x:c>
      <x:c r="F97" s="93" t="inlineStr">
        <x:is>
          <x:t xml:space="preserve">yes</x:t>
        </x:is>
      </x:c>
      <x:c r="G97" s="93" t="inlineStr">
        <x:is>
          <x:t xml:space="preserve">pass</x:t>
        </x:is>
      </x:c>
      <x:c r="H97" s="93" t="inlineStr">
        <x:is>
          <x:t xml:space="preserve">covered</x:t>
        </x:is>
      </x:c>
      <x:c r="I97" s="94" t="inlineStr">
        <x:is>
          <x:t xml:space="preserve">DropdownMenu playground manual verification.</x:t>
        </x:is>
      </x:c>
      <x:c r="J97" s="94" t="n"/>
      <x:c r="K97" s="95" t="n">
        <x:f>IF(AND(E97="yes",F97="yes",H97="covered"),1,IF(H97="partial",0.5,0))</x:f>
        <x:v>1</x:v>
      </x:c>
    </x:row>
    <x:row r="98" s="51" customFormat="1" ht="30" customHeight="1">
      <x:c r="A98" s="73" t="n">
        <x:v>90</x:v>
      </x:c>
      <x:c r="B98" s="84" t="inlineStr">
        <x:is>
          <x:t xml:space="preserve">Public API</x:t>
        </x:is>
      </x:c>
      <x:c r="C98" s="84" t="inlineStr">
        <x:is>
          <x:t xml:space="preserve">Checkbox Item</x:t>
        </x:is>
      </x:c>
      <x:c r="D98" s="84" t="inlineStr">
        <x:is>
          <x:t xml:space="preserve">disabled checkbox receives real keyboard focus but cannot toggle or close the menu</x:t>
        </x:is>
      </x:c>
      <x:c r="E98" s="76" t="inlineStr">
        <x:is>
          <x:t xml:space="preserve">yes</x:t>
        </x:is>
      </x:c>
      <x:c r="F98" s="85" t="inlineStr">
        <x:is>
          <x:t xml:space="preserve">no</x:t>
        </x:is>
      </x:c>
      <x:c r="G98" s="73" t="inlineStr">
        <x:is>
          <x:t xml:space="preserve">automated tests pass; manual pending</x:t>
        </x:is>
      </x:c>
      <x:c r="H98" s="86" t="inlineStr">
        <x:is>
          <x:t xml:space="preserve">untested</x:t>
        </x:is>
      </x:c>
      <x:c r="I98" s="84" t="inlineStr">
        <x:is>
          <x:t xml:space="preserve">playground/.manual-tests/dropdown-menu.md (draft)</x:t>
        </x:is>
      </x:c>
      <x:c r="J98" s="84" t="inlineStr">
        <x:is>
          <x:t xml:space="preserve">Run the updated component Manual Test Protocol and named browser/device matrix.</x:t>
        </x:is>
      </x:c>
      <x:c r="K98" s="87" t="n">
        <x:f>IF(AND(E98="yes",F98="yes",H98="covered"),1,IF(H98="partial",0.5,0))</x:f>
        <x:v>0</x:v>
      </x:c>
    </x:row>
    <x:row r="99" s="51" customFormat="1" ht="31.5" customHeight="1">
      <x:c r="A99" s="93" t="n">
        <x:v>91</x:v>
      </x:c>
      <x:c r="B99" s="94" t="inlineStr">
        <x:is>
          <x:t xml:space="preserve">Public API</x:t>
        </x:is>
      </x:c>
      <x:c r="C99" s="94" t="inlineStr">
        <x:is>
          <x:t xml:space="preserve">Checkbox Item</x:t>
        </x:is>
      </x:c>
      <x:c r="D99" s="94" t="inlineStr">
        <x:is>
          <x:t xml:space="preserve">textValue is used for typeahead</x:t>
        </x:is>
      </x:c>
      <x:c r="E99" s="93" t="inlineStr">
        <x:is>
          <x:t xml:space="preserve">yes</x:t>
        </x:is>
      </x:c>
      <x:c r="F99" s="93" t="inlineStr">
        <x:is>
          <x:t xml:space="preserve">yes</x:t>
        </x:is>
      </x:c>
      <x:c r="G99" s="93" t="inlineStr">
        <x:is>
          <x:t xml:space="preserve">pass</x:t>
        </x:is>
      </x:c>
      <x:c r="H99" s="93" t="inlineStr">
        <x:is>
          <x:t xml:space="preserve">covered</x:t>
        </x:is>
      </x:c>
      <x:c r="I99" s="94" t="inlineStr">
        <x:is>
          <x:t xml:space="preserve">DropdownMenu playground manual verification.</x:t>
        </x:is>
      </x:c>
      <x:c r="J99" s="94" t="n"/>
      <x:c r="K99" s="95" t="n">
        <x:f>IF(AND(E99="yes",F99="yes",H99="covered"),1,IF(H99="partial",0.5,0))</x:f>
        <x:v>1</x:v>
      </x:c>
    </x:row>
    <x:row r="100" s="51" customFormat="1" ht="31.5" customHeight="1">
      <x:c r="A100" s="93" t="n">
        <x:v>92</x:v>
      </x:c>
      <x:c r="B100" s="94" t="inlineStr">
        <x:is>
          <x:t xml:space="preserve">Public API</x:t>
        </x:is>
      </x:c>
      <x:c r="C100" s="94" t="inlineStr">
        <x:is>
          <x:t xml:space="preserve">Radio Group</x:t>
        </x:is>
      </x:c>
      <x:c r="D100" s="94" t="inlineStr">
        <x:is>
          <x:t xml:space="preserve">renders role group</x:t>
        </x:is>
      </x:c>
      <x:c r="E100" s="93" t="inlineStr">
        <x:is>
          <x:t xml:space="preserve">yes</x:t>
        </x:is>
      </x:c>
      <x:c r="F100" s="93" t="inlineStr">
        <x:is>
          <x:t xml:space="preserve">yes</x:t>
        </x:is>
      </x:c>
      <x:c r="G100" s="93" t="inlineStr">
        <x:is>
          <x:t xml:space="preserve">pass</x:t>
        </x:is>
      </x:c>
      <x:c r="H100" s="93" t="inlineStr">
        <x:is>
          <x:t xml:space="preserve">covered</x:t>
        </x:is>
      </x:c>
      <x:c r="I100" s="94" t="inlineStr">
        <x:is>
          <x:t xml:space="preserve">DropdownMenu playground manual verification.</x:t>
        </x:is>
      </x:c>
      <x:c r="J100" s="94" t="n"/>
      <x:c r="K100" s="95" t="n">
        <x:f>IF(AND(E100="yes",F100="yes",H100="covered"),1,IF(H100="partial",0.5,0))</x:f>
        <x:v>1</x:v>
      </x:c>
    </x:row>
    <x:row r="101" s="51" customFormat="1" ht="31.5" customHeight="1">
      <x:c r="A101" s="93" t="n">
        <x:v>93</x:v>
      </x:c>
      <x:c r="B101" s="94" t="inlineStr">
        <x:is>
          <x:t xml:space="preserve">Public API</x:t>
        </x:is>
      </x:c>
      <x:c r="C101" s="94" t="inlineStr">
        <x:is>
          <x:t xml:space="preserve">Radio Group</x:t>
        </x:is>
      </x:c>
      <x:c r="D101" s="94" t="inlineStr">
        <x:is>
          <x:t xml:space="preserve">data-slot is menu-radio-group</x:t>
        </x:is>
      </x:c>
      <x:c r="E101" s="93" t="inlineStr">
        <x:is>
          <x:t xml:space="preserve">yes</x:t>
        </x:is>
      </x:c>
      <x:c r="F101" s="93" t="inlineStr">
        <x:is>
          <x:t xml:space="preserve">yes</x:t>
        </x:is>
      </x:c>
      <x:c r="G101" s="93" t="inlineStr">
        <x:is>
          <x:t xml:space="preserve">pass</x:t>
        </x:is>
      </x:c>
      <x:c r="H101" s="93" t="inlineStr">
        <x:is>
          <x:t xml:space="preserve">covered</x:t>
        </x:is>
      </x:c>
      <x:c r="I101" s="94" t="inlineStr">
        <x:is>
          <x:t xml:space="preserve">DropdownMenu playground manual verification.</x:t>
        </x:is>
      </x:c>
      <x:c r="J101" s="94" t="n"/>
      <x:c r="K101" s="95" t="n">
        <x:f>IF(AND(E101="yes",F101="yes",H101="covered"),1,IF(H101="partial",0.5,0))</x:f>
        <x:v>1</x:v>
      </x:c>
    </x:row>
    <x:row r="102" s="51" customFormat="1" ht="31.5" customHeight="1">
      <x:c r="A102" s="93" t="n">
        <x:v>94</x:v>
      </x:c>
      <x:c r="B102" s="94" t="inlineStr">
        <x:is>
          <x:t xml:space="preserve">Public API</x:t>
        </x:is>
      </x:c>
      <x:c r="C102" s="94" t="inlineStr">
        <x:is>
          <x:t xml:space="preserve">Radio Group</x:t>
        </x:is>
      </x:c>
      <x:c r="D102" s="94" t="inlineStr">
        <x:is>
          <x:t xml:space="preserve">value controls checked item</x:t>
        </x:is>
      </x:c>
      <x:c r="E102" s="93" t="inlineStr">
        <x:is>
          <x:t xml:space="preserve">yes</x:t>
        </x:is>
      </x:c>
      <x:c r="F102" s="93" t="inlineStr">
        <x:is>
          <x:t xml:space="preserve">yes</x:t>
        </x:is>
      </x:c>
      <x:c r="G102" s="93" t="inlineStr">
        <x:is>
          <x:t xml:space="preserve">pass</x:t>
        </x:is>
      </x:c>
      <x:c r="H102" s="93" t="inlineStr">
        <x:is>
          <x:t xml:space="preserve">covered</x:t>
        </x:is>
      </x:c>
      <x:c r="I102" s="94" t="inlineStr">
        <x:is>
          <x:t xml:space="preserve">DropdownMenu playground manual verification.</x:t>
        </x:is>
      </x:c>
      <x:c r="J102" s="94" t="n"/>
      <x:c r="K102" s="95" t="n">
        <x:f>IF(AND(E102="yes",F102="yes",H102="covered"),1,IF(H102="partial",0.5,0))</x:f>
        <x:v>1</x:v>
      </x:c>
    </x:row>
    <x:row r="103" s="51" customFormat="1" ht="31.5" customHeight="1">
      <x:c r="A103" s="93" t="n">
        <x:v>95</x:v>
      </x:c>
      <x:c r="B103" s="94" t="inlineStr">
        <x:is>
          <x:t xml:space="preserve">Public API</x:t>
        </x:is>
      </x:c>
      <x:c r="C103" s="94" t="inlineStr">
        <x:is>
          <x:t xml:space="preserve">Radio Group</x:t>
        </x:is>
      </x:c>
      <x:c r="D103" s="94" t="inlineStr">
        <x:is>
          <x:t xml:space="preserve">onValueChange fires when selecting radio item</x:t>
        </x:is>
      </x:c>
      <x:c r="E103" s="93" t="inlineStr">
        <x:is>
          <x:t xml:space="preserve">yes</x:t>
        </x:is>
      </x:c>
      <x:c r="F103" s="93" t="inlineStr">
        <x:is>
          <x:t xml:space="preserve">yes</x:t>
        </x:is>
      </x:c>
      <x:c r="G103" s="93" t="inlineStr">
        <x:is>
          <x:t xml:space="preserve">pass</x:t>
        </x:is>
      </x:c>
      <x:c r="H103" s="93" t="inlineStr">
        <x:is>
          <x:t xml:space="preserve">covered</x:t>
        </x:is>
      </x:c>
      <x:c r="I103" s="94" t="inlineStr">
        <x:is>
          <x:t xml:space="preserve">DropdownMenu playground manual verification.</x:t>
        </x:is>
      </x:c>
      <x:c r="J103" s="94" t="n"/>
      <x:c r="K103" s="95" t="n">
        <x:f>IF(AND(E103="yes",F103="yes",H103="covered"),1,IF(H103="partial",0.5,0))</x:f>
        <x:v>1</x:v>
      </x:c>
    </x:row>
    <x:row r="104" s="51" customFormat="1" ht="31.5" customHeight="1">
      <x:c r="A104" s="93" t="n">
        <x:v>96</x:v>
      </x:c>
      <x:c r="B104" s="94" t="inlineStr">
        <x:is>
          <x:t xml:space="preserve">Public API</x:t>
        </x:is>
      </x:c>
      <x:c r="C104" s="94" t="inlineStr">
        <x:is>
          <x:t xml:space="preserve">Radio Group</x:t>
        </x:is>
      </x:c>
      <x:c r="D104" s="94" t="inlineStr">
        <x:is>
          <x:t xml:space="preserve">duplicate public radio values in different groups do not conflict</x:t>
        </x:is>
      </x:c>
      <x:c r="E104" s="93" t="inlineStr">
        <x:is>
          <x:t xml:space="preserve">yes</x:t>
        </x:is>
      </x:c>
      <x:c r="F104" s="93" t="inlineStr">
        <x:is>
          <x:t xml:space="preserve">yes</x:t>
        </x:is>
      </x:c>
      <x:c r="G104" s="93" t="inlineStr">
        <x:is>
          <x:t xml:space="preserve">pass</x:t>
        </x:is>
      </x:c>
      <x:c r="H104" s="93" t="inlineStr">
        <x:is>
          <x:t xml:space="preserve">covered</x:t>
        </x:is>
      </x:c>
      <x:c r="I104" s="94" t="inlineStr">
        <x:is>
          <x:t xml:space="preserve">DropdownMenu playground manual verification.</x:t>
        </x:is>
      </x:c>
      <x:c r="J104" s="94" t="n"/>
      <x:c r="K104" s="95" t="n">
        <x:f>IF(AND(E104="yes",F104="yes",H104="covered"),1,IF(H104="partial",0.5,0))</x:f>
        <x:v>1</x:v>
      </x:c>
    </x:row>
    <x:row r="105" s="51" customFormat="1" ht="31.5" customHeight="1">
      <x:c r="A105" s="93" t="n">
        <x:v>97</x:v>
      </x:c>
      <x:c r="B105" s="94" t="inlineStr">
        <x:is>
          <x:t xml:space="preserve">Public API</x:t>
        </x:is>
      </x:c>
      <x:c r="C105" s="94" t="inlineStr">
        <x:is>
          <x:t xml:space="preserve">Radio Group</x:t>
        </x:is>
      </x:c>
      <x:c r="D105" s="94" t="inlineStr">
        <x:is>
          <x:t xml:space="preserve">native className and data props pass through</x:t>
        </x:is>
      </x:c>
      <x:c r="E105" s="93" t="inlineStr">
        <x:is>
          <x:t xml:space="preserve">yes</x:t>
        </x:is>
      </x:c>
      <x:c r="F105" s="93" t="inlineStr">
        <x:is>
          <x:t xml:space="preserve">yes</x:t>
        </x:is>
      </x:c>
      <x:c r="G105" s="93" t="inlineStr">
        <x:is>
          <x:t xml:space="preserve">pass</x:t>
        </x:is>
      </x:c>
      <x:c r="H105" s="93" t="inlineStr">
        <x:is>
          <x:t xml:space="preserve">covered</x:t>
        </x:is>
      </x:c>
      <x:c r="I105" s="94" t="inlineStr">
        <x:is>
          <x:t xml:space="preserve">DropdownMenu playground manual verification.</x:t>
        </x:is>
      </x:c>
      <x:c r="J105" s="94" t="n"/>
      <x:c r="K105" s="95" t="n">
        <x:f>IF(AND(E105="yes",F105="yes",H105="covered"),1,IF(H105="partial",0.5,0))</x:f>
        <x:v>1</x:v>
      </x:c>
    </x:row>
    <x:row r="106" s="51" customFormat="1" ht="31.5" customHeight="1">
      <x:c r="A106" s="93" t="n">
        <x:v>98</x:v>
      </x:c>
      <x:c r="B106" s="94" t="inlineStr">
        <x:is>
          <x:t xml:space="preserve">Public API</x:t>
        </x:is>
      </x:c>
      <x:c r="C106" s="94" t="inlineStr">
        <x:is>
          <x:t xml:space="preserve">Radio Item</x:t>
        </x:is>
      </x:c>
      <x:c r="D106" s="94" t="inlineStr">
        <x:is>
          <x:t xml:space="preserve">renders role menuitemradio</x:t>
        </x:is>
      </x:c>
      <x:c r="E106" s="93" t="inlineStr">
        <x:is>
          <x:t xml:space="preserve">yes</x:t>
        </x:is>
      </x:c>
      <x:c r="F106" s="93" t="inlineStr">
        <x:is>
          <x:t xml:space="preserve">yes</x:t>
        </x:is>
      </x:c>
      <x:c r="G106" s="93" t="inlineStr">
        <x:is>
          <x:t xml:space="preserve">pass</x:t>
        </x:is>
      </x:c>
      <x:c r="H106" s="93" t="inlineStr">
        <x:is>
          <x:t xml:space="preserve">covered</x:t>
        </x:is>
      </x:c>
      <x:c r="I106" s="94" t="inlineStr">
        <x:is>
          <x:t xml:space="preserve">DropdownMenu playground manual verification.</x:t>
        </x:is>
      </x:c>
      <x:c r="J106" s="94" t="n"/>
      <x:c r="K106" s="95" t="n">
        <x:f>IF(AND(E106="yes",F106="yes",H106="covered"),1,IF(H106="partial",0.5,0))</x:f>
        <x:v>1</x:v>
      </x:c>
    </x:row>
    <x:row r="107" s="51" customFormat="1" ht="31.5" customHeight="1">
      <x:c r="A107" s="93" t="n">
        <x:v>99</x:v>
      </x:c>
      <x:c r="B107" s="94" t="inlineStr">
        <x:is>
          <x:t xml:space="preserve">Public API</x:t>
        </x:is>
      </x:c>
      <x:c r="C107" s="94" t="inlineStr">
        <x:is>
          <x:t xml:space="preserve">Radio Item</x:t>
        </x:is>
      </x:c>
      <x:c r="D107" s="94" t="inlineStr">
        <x:is>
          <x:t xml:space="preserve">checked item exposes aria-checked true</x:t>
        </x:is>
      </x:c>
      <x:c r="E107" s="93" t="inlineStr">
        <x:is>
          <x:t xml:space="preserve">yes</x:t>
        </x:is>
      </x:c>
      <x:c r="F107" s="93" t="inlineStr">
        <x:is>
          <x:t xml:space="preserve">yes</x:t>
        </x:is>
      </x:c>
      <x:c r="G107" s="93" t="inlineStr">
        <x:is>
          <x:t xml:space="preserve">pass</x:t>
        </x:is>
      </x:c>
      <x:c r="H107" s="93" t="inlineStr">
        <x:is>
          <x:t xml:space="preserve">covered</x:t>
        </x:is>
      </x:c>
      <x:c r="I107" s="94" t="inlineStr">
        <x:is>
          <x:t xml:space="preserve">DropdownMenu playground manual verification.</x:t>
        </x:is>
      </x:c>
      <x:c r="J107" s="94" t="n"/>
      <x:c r="K107" s="95" t="n">
        <x:f>IF(AND(E107="yes",F107="yes",H107="covered"),1,IF(H107="partial",0.5,0))</x:f>
        <x:v>1</x:v>
      </x:c>
    </x:row>
    <x:row r="108" s="51" customFormat="1" ht="31.5" customHeight="1">
      <x:c r="A108" s="93" t="n">
        <x:v>100</x:v>
      </x:c>
      <x:c r="B108" s="94" t="inlineStr">
        <x:is>
          <x:t xml:space="preserve">Public API</x:t>
        </x:is>
      </x:c>
      <x:c r="C108" s="94" t="inlineStr">
        <x:is>
          <x:t xml:space="preserve">Radio Item</x:t>
        </x:is>
      </x:c>
      <x:c r="D108" s="94" t="inlineStr">
        <x:is>
          <x:t xml:space="preserve">unchecked item exposes aria-checked false</x:t>
        </x:is>
      </x:c>
      <x:c r="E108" s="93" t="inlineStr">
        <x:is>
          <x:t xml:space="preserve">yes</x:t>
        </x:is>
      </x:c>
      <x:c r="F108" s="93" t="inlineStr">
        <x:is>
          <x:t xml:space="preserve">yes</x:t>
        </x:is>
      </x:c>
      <x:c r="G108" s="93" t="inlineStr">
        <x:is>
          <x:t xml:space="preserve">pass</x:t>
        </x:is>
      </x:c>
      <x:c r="H108" s="93" t="inlineStr">
        <x:is>
          <x:t xml:space="preserve">covered</x:t>
        </x:is>
      </x:c>
      <x:c r="I108" s="94" t="inlineStr">
        <x:is>
          <x:t xml:space="preserve">DropdownMenu playground manual verification.</x:t>
        </x:is>
      </x:c>
      <x:c r="J108" s="94" t="n"/>
      <x:c r="K108" s="95" t="n">
        <x:f>IF(AND(E108="yes",F108="yes",H108="covered"),1,IF(H108="partial",0.5,0))</x:f>
        <x:v>1</x:v>
      </x:c>
    </x:row>
    <x:row r="109" s="51" customFormat="1" ht="31.5" customHeight="1">
      <x:c r="A109" s="93" t="n">
        <x:v>101</x:v>
      </x:c>
      <x:c r="B109" s="94" t="inlineStr">
        <x:is>
          <x:t xml:space="preserve">Public API</x:t>
        </x:is>
      </x:c>
      <x:c r="C109" s="94" t="inlineStr">
        <x:is>
          <x:t xml:space="preserve">Radio Item</x:t>
        </x:is>
      </x:c>
      <x:c r="D109" s="94" t="inlineStr">
        <x:is>
          <x:t xml:space="preserve">checked item exposes data-checked</x:t>
        </x:is>
      </x:c>
      <x:c r="E109" s="93" t="inlineStr">
        <x:is>
          <x:t xml:space="preserve">yes</x:t>
        </x:is>
      </x:c>
      <x:c r="F109" s="93" t="inlineStr">
        <x:is>
          <x:t xml:space="preserve">yes</x:t>
        </x:is>
      </x:c>
      <x:c r="G109" s="93" t="inlineStr">
        <x:is>
          <x:t xml:space="preserve">pass</x:t>
        </x:is>
      </x:c>
      <x:c r="H109" s="93" t="inlineStr">
        <x:is>
          <x:t xml:space="preserve">covered</x:t>
        </x:is>
      </x:c>
      <x:c r="I109" s="94" t="inlineStr">
        <x:is>
          <x:t xml:space="preserve">DropdownMenu playground manual verification.</x:t>
        </x:is>
      </x:c>
      <x:c r="J109" s="94" t="n"/>
      <x:c r="K109" s="95" t="n">
        <x:f>IF(AND(E109="yes",F109="yes",H109="covered"),1,IF(H109="partial",0.5,0))</x:f>
        <x:v>1</x:v>
      </x:c>
    </x:row>
    <x:row r="110" s="51" customFormat="1" ht="31.5" customHeight="1">
      <x:c r="A110" s="93" t="n">
        <x:v>102</x:v>
      </x:c>
      <x:c r="B110" s="94" t="inlineStr">
        <x:is>
          <x:t xml:space="preserve">Public API</x:t>
        </x:is>
      </x:c>
      <x:c r="C110" s="94" t="inlineStr">
        <x:is>
          <x:t xml:space="preserve">Radio Item</x:t>
        </x:is>
      </x:c>
      <x:c r="D110" s="94" t="inlineStr">
        <x:is>
          <x:t xml:space="preserve">value appears as data-value without internal group id</x:t>
        </x:is>
      </x:c>
      <x:c r="E110" s="93" t="inlineStr">
        <x:is>
          <x:t xml:space="preserve">yes</x:t>
        </x:is>
      </x:c>
      <x:c r="F110" s="93" t="inlineStr">
        <x:is>
          <x:t xml:space="preserve">yes</x:t>
        </x:is>
      </x:c>
      <x:c r="G110" s="93" t="inlineStr">
        <x:is>
          <x:t xml:space="preserve">pass</x:t>
        </x:is>
      </x:c>
      <x:c r="H110" s="93" t="inlineStr">
        <x:is>
          <x:t xml:space="preserve">covered</x:t>
        </x:is>
      </x:c>
      <x:c r="I110" s="94" t="inlineStr">
        <x:is>
          <x:t xml:space="preserve">DropdownMenu playground manual verification.</x:t>
        </x:is>
      </x:c>
      <x:c r="J110" s="94" t="n"/>
      <x:c r="K110" s="95" t="n">
        <x:f>IF(AND(E110="yes",F110="yes",H110="covered"),1,IF(H110="partial",0.5,0))</x:f>
        <x:v>1</x:v>
      </x:c>
    </x:row>
    <x:row r="111" s="51" customFormat="1" ht="30" customHeight="1">
      <x:c r="A111" s="73" t="n">
        <x:v>103</x:v>
      </x:c>
      <x:c r="B111" s="84" t="inlineStr">
        <x:is>
          <x:t xml:space="preserve">Public API</x:t>
        </x:is>
      </x:c>
      <x:c r="C111" s="84" t="inlineStr">
        <x:is>
          <x:t xml:space="preserve">Radio Item</x:t>
        </x:is>
      </x:c>
      <x:c r="D111" s="84" t="inlineStr">
        <x:is>
          <x:t xml:space="preserve">disabled radio item receives real keyboard focus but cannot change selection</x:t>
        </x:is>
      </x:c>
      <x:c r="E111" s="76" t="inlineStr">
        <x:is>
          <x:t xml:space="preserve">yes</x:t>
        </x:is>
      </x:c>
      <x:c r="F111" s="85" t="inlineStr">
        <x:is>
          <x:t xml:space="preserve">no</x:t>
        </x:is>
      </x:c>
      <x:c r="G111" s="73" t="inlineStr">
        <x:is>
          <x:t xml:space="preserve">automated tests pass; manual pending</x:t>
        </x:is>
      </x:c>
      <x:c r="H111" s="86" t="inlineStr">
        <x:is>
          <x:t xml:space="preserve">untested</x:t>
        </x:is>
      </x:c>
      <x:c r="I111" s="84" t="inlineStr">
        <x:is>
          <x:t xml:space="preserve">playground/.manual-tests/dropdown-menu.md (draft)</x:t>
        </x:is>
      </x:c>
      <x:c r="J111" s="84" t="inlineStr">
        <x:is>
          <x:t xml:space="preserve">Run the updated component Manual Test Protocol and named browser/device matrix.</x:t>
        </x:is>
      </x:c>
      <x:c r="K111" s="87" t="n">
        <x:f>IF(AND(E111="yes",F111="yes",H111="covered"),1,IF(H111="partial",0.5,0))</x:f>
        <x:v>0</x:v>
      </x:c>
    </x:row>
    <x:row r="112" s="51" customFormat="1" ht="31.5" customHeight="1">
      <x:c r="A112" s="93" t="n">
        <x:v>104</x:v>
      </x:c>
      <x:c r="B112" s="94" t="inlineStr">
        <x:is>
          <x:t xml:space="preserve">Public API</x:t>
        </x:is>
      </x:c>
      <x:c r="C112" s="94" t="inlineStr">
        <x:is>
          <x:t xml:space="preserve">Radio Item</x:t>
        </x:is>
      </x:c>
      <x:c r="D112" s="94" t="inlineStr">
        <x:is>
          <x:t xml:space="preserve">default closeOnSelect false keeps menu open</x:t>
        </x:is>
      </x:c>
      <x:c r="E112" s="93" t="inlineStr">
        <x:is>
          <x:t xml:space="preserve">yes</x:t>
        </x:is>
      </x:c>
      <x:c r="F112" s="93" t="inlineStr">
        <x:is>
          <x:t xml:space="preserve">yes</x:t>
        </x:is>
      </x:c>
      <x:c r="G112" s="93" t="inlineStr">
        <x:is>
          <x:t xml:space="preserve">pass</x:t>
        </x:is>
      </x:c>
      <x:c r="H112" s="93" t="inlineStr">
        <x:is>
          <x:t xml:space="preserve">covered</x:t>
        </x:is>
      </x:c>
      <x:c r="I112" s="94" t="inlineStr">
        <x:is>
          <x:t xml:space="preserve">DropdownMenu playground manual verification.</x:t>
        </x:is>
      </x:c>
      <x:c r="J112" s="94" t="n"/>
      <x:c r="K112" s="95" t="n">
        <x:f>IF(AND(E112="yes",F112="yes",H112="covered"),1,IF(H112="partial",0.5,0))</x:f>
        <x:v>1</x:v>
      </x:c>
    </x:row>
    <x:row r="113" s="51" customFormat="1" ht="31.5" customHeight="1">
      <x:c r="A113" s="93" t="n">
        <x:v>105</x:v>
      </x:c>
      <x:c r="B113" s="94" t="inlineStr">
        <x:is>
          <x:t xml:space="preserve">Public API</x:t>
        </x:is>
      </x:c>
      <x:c r="C113" s="94" t="inlineStr">
        <x:is>
          <x:t xml:space="preserve">Radio Item</x:t>
        </x:is>
      </x:c>
      <x:c r="D113" s="94" t="inlineStr">
        <x:is>
          <x:t xml:space="preserve">closeOnSelect true closes menu</x:t>
        </x:is>
      </x:c>
      <x:c r="E113" s="93" t="inlineStr">
        <x:is>
          <x:t xml:space="preserve">yes</x:t>
        </x:is>
      </x:c>
      <x:c r="F113" s="93" t="inlineStr">
        <x:is>
          <x:t xml:space="preserve">yes</x:t>
        </x:is>
      </x:c>
      <x:c r="G113" s="93" t="inlineStr">
        <x:is>
          <x:t xml:space="preserve">pass</x:t>
        </x:is>
      </x:c>
      <x:c r="H113" s="93" t="inlineStr">
        <x:is>
          <x:t xml:space="preserve">covered</x:t>
        </x:is>
      </x:c>
      <x:c r="I113" s="94" t="inlineStr">
        <x:is>
          <x:t xml:space="preserve">DropdownMenu playground manual verification.</x:t>
        </x:is>
      </x:c>
      <x:c r="J113" s="94" t="n"/>
      <x:c r="K113" s="95" t="n">
        <x:f>IF(AND(E113="yes",F113="yes",H113="covered"),1,IF(H113="partial",0.5,0))</x:f>
        <x:v>1</x:v>
      </x:c>
    </x:row>
    <x:row r="114" s="51" customFormat="1" ht="31.5" customHeight="1">
      <x:c r="A114" s="93" t="n">
        <x:v>106</x:v>
      </x:c>
      <x:c r="B114" s="94" t="inlineStr">
        <x:is>
          <x:t xml:space="preserve">Public API</x:t>
        </x:is>
      </x:c>
      <x:c r="C114" s="94" t="inlineStr">
        <x:is>
          <x:t xml:space="preserve">Radio Item</x:t>
        </x:is>
      </x:c>
      <x:c r="D114" s="94" t="inlineStr">
        <x:is>
          <x:t xml:space="preserve">textValue is used for typeahead</x:t>
        </x:is>
      </x:c>
      <x:c r="E114" s="93" t="inlineStr">
        <x:is>
          <x:t xml:space="preserve">yes</x:t>
        </x:is>
      </x:c>
      <x:c r="F114" s="93" t="inlineStr">
        <x:is>
          <x:t xml:space="preserve">yes</x:t>
        </x:is>
      </x:c>
      <x:c r="G114" s="93" t="inlineStr">
        <x:is>
          <x:t xml:space="preserve">pass</x:t>
        </x:is>
      </x:c>
      <x:c r="H114" s="93" t="inlineStr">
        <x:is>
          <x:t xml:space="preserve">covered</x:t>
        </x:is>
      </x:c>
      <x:c r="I114" s="94" t="inlineStr">
        <x:is>
          <x:t xml:space="preserve">DropdownMenu playground manual verification.</x:t>
        </x:is>
      </x:c>
      <x:c r="J114" s="94" t="n"/>
      <x:c r="K114" s="95" t="n">
        <x:f>IF(AND(E114="yes",F114="yes",H114="covered"),1,IF(H114="partial",0.5,0))</x:f>
        <x:v>1</x:v>
      </x:c>
    </x:row>
    <x:row r="115" s="51" customFormat="1" ht="31.5" customHeight="1">
      <x:c r="A115" s="93" t="n">
        <x:v>107</x:v>
      </x:c>
      <x:c r="B115" s="94" t="inlineStr">
        <x:is>
          <x:t xml:space="preserve">Public API</x:t>
        </x:is>
      </x:c>
      <x:c r="C115" s="94" t="inlineStr">
        <x:is>
          <x:t xml:space="preserve">Group</x:t>
        </x:is>
      </x:c>
      <x:c r="D115" s="94" t="inlineStr">
        <x:is>
          <x:t xml:space="preserve">renders role group</x:t>
        </x:is>
      </x:c>
      <x:c r="E115" s="93" t="inlineStr">
        <x:is>
          <x:t xml:space="preserve">yes</x:t>
        </x:is>
      </x:c>
      <x:c r="F115" s="93" t="inlineStr">
        <x:is>
          <x:t xml:space="preserve">yes</x:t>
        </x:is>
      </x:c>
      <x:c r="G115" s="93" t="inlineStr">
        <x:is>
          <x:t xml:space="preserve">pass</x:t>
        </x:is>
      </x:c>
      <x:c r="H115" s="93" t="inlineStr">
        <x:is>
          <x:t xml:space="preserve">covered</x:t>
        </x:is>
      </x:c>
      <x:c r="I115" s="94" t="inlineStr">
        <x:is>
          <x:t xml:space="preserve">DropdownMenu playground manual verification.</x:t>
        </x:is>
      </x:c>
      <x:c r="J115" s="94" t="n"/>
      <x:c r="K115" s="95" t="n">
        <x:f>IF(AND(E115="yes",F115="yes",H115="covered"),1,IF(H115="partial",0.5,0))</x:f>
        <x:v>1</x:v>
      </x:c>
    </x:row>
    <x:row r="116" s="51" customFormat="1" ht="31.5" customHeight="1">
      <x:c r="A116" s="93" t="n">
        <x:v>108</x:v>
      </x:c>
      <x:c r="B116" s="94" t="inlineStr">
        <x:is>
          <x:t xml:space="preserve">Public API</x:t>
        </x:is>
      </x:c>
      <x:c r="C116" s="94" t="inlineStr">
        <x:is>
          <x:t xml:space="preserve">Group</x:t>
        </x:is>
      </x:c>
      <x:c r="D116" s="94" t="inlineStr">
        <x:is>
          <x:t xml:space="preserve">data-slot is menu-group</x:t>
        </x:is>
      </x:c>
      <x:c r="E116" s="93" t="inlineStr">
        <x:is>
          <x:t xml:space="preserve">yes</x:t>
        </x:is>
      </x:c>
      <x:c r="F116" s="93" t="inlineStr">
        <x:is>
          <x:t xml:space="preserve">yes</x:t>
        </x:is>
      </x:c>
      <x:c r="G116" s="93" t="inlineStr">
        <x:is>
          <x:t xml:space="preserve">pass</x:t>
        </x:is>
      </x:c>
      <x:c r="H116" s="93" t="inlineStr">
        <x:is>
          <x:t xml:space="preserve">covered</x:t>
        </x:is>
      </x:c>
      <x:c r="I116" s="94" t="inlineStr">
        <x:is>
          <x:t xml:space="preserve">DropdownMenu playground manual verification.</x:t>
        </x:is>
      </x:c>
      <x:c r="J116" s="94" t="n"/>
      <x:c r="K116" s="95" t="n">
        <x:f>IF(AND(E116="yes",F116="yes",H116="covered"),1,IF(H116="partial",0.5,0))</x:f>
        <x:v>1</x:v>
      </x:c>
    </x:row>
    <x:row r="117" s="51" customFormat="1" ht="31.5" customHeight="1">
      <x:c r="A117" s="93" t="n">
        <x:v>109</x:v>
      </x:c>
      <x:c r="B117" s="94" t="inlineStr">
        <x:is>
          <x:t xml:space="preserve">Public API</x:t>
        </x:is>
      </x:c>
      <x:c r="C117" s="94" t="inlineStr">
        <x:is>
          <x:t xml:space="preserve">Group</x:t>
        </x:is>
      </x:c>
      <x:c r="D117" s="94" t="inlineStr">
        <x:is>
          <x:t xml:space="preserve">native className and data props pass through</x:t>
        </x:is>
      </x:c>
      <x:c r="E117" s="93" t="inlineStr">
        <x:is>
          <x:t xml:space="preserve">yes</x:t>
        </x:is>
      </x:c>
      <x:c r="F117" s="93" t="inlineStr">
        <x:is>
          <x:t xml:space="preserve">yes</x:t>
        </x:is>
      </x:c>
      <x:c r="G117" s="93" t="inlineStr">
        <x:is>
          <x:t xml:space="preserve">pass</x:t>
        </x:is>
      </x:c>
      <x:c r="H117" s="93" t="inlineStr">
        <x:is>
          <x:t xml:space="preserve">covered</x:t>
        </x:is>
      </x:c>
      <x:c r="I117" s="94" t="inlineStr">
        <x:is>
          <x:t xml:space="preserve">DropdownMenu playground manual verification.</x:t>
        </x:is>
      </x:c>
      <x:c r="J117" s="94" t="n"/>
      <x:c r="K117" s="95" t="n">
        <x:f>IF(AND(E117="yes",F117="yes",H117="covered"),1,IF(H117="partial",0.5,0))</x:f>
        <x:v>1</x:v>
      </x:c>
    </x:row>
    <x:row r="118" s="51" customFormat="1" ht="31.5" customHeight="1">
      <x:c r="A118" s="93" t="n">
        <x:v>110</x:v>
      </x:c>
      <x:c r="B118" s="94" t="inlineStr">
        <x:is>
          <x:t xml:space="preserve">Public API</x:t>
        </x:is>
      </x:c>
      <x:c r="C118" s="94" t="inlineStr">
        <x:is>
          <x:t xml:space="preserve">Separator</x:t>
        </x:is>
      </x:c>
      <x:c r="D118" s="94" t="inlineStr">
        <x:is>
          <x:t xml:space="preserve">renders role separator</x:t>
        </x:is>
      </x:c>
      <x:c r="E118" s="93" t="inlineStr">
        <x:is>
          <x:t xml:space="preserve">yes</x:t>
        </x:is>
      </x:c>
      <x:c r="F118" s="93" t="inlineStr">
        <x:is>
          <x:t xml:space="preserve">yes</x:t>
        </x:is>
      </x:c>
      <x:c r="G118" s="93" t="inlineStr">
        <x:is>
          <x:t xml:space="preserve">pass</x:t>
        </x:is>
      </x:c>
      <x:c r="H118" s="93" t="inlineStr">
        <x:is>
          <x:t xml:space="preserve">covered</x:t>
        </x:is>
      </x:c>
      <x:c r="I118" s="94" t="inlineStr">
        <x:is>
          <x:t xml:space="preserve">DropdownMenu playground manual verification.</x:t>
        </x:is>
      </x:c>
      <x:c r="J118" s="94" t="n"/>
      <x:c r="K118" s="95" t="n">
        <x:f>IF(AND(E118="yes",F118="yes",H118="covered"),1,IF(H118="partial",0.5,0))</x:f>
        <x:v>1</x:v>
      </x:c>
    </x:row>
    <x:row r="119" s="51" customFormat="1" ht="31.5" customHeight="1">
      <x:c r="A119" s="93" t="n">
        <x:v>111</x:v>
      </x:c>
      <x:c r="B119" s="94" t="inlineStr">
        <x:is>
          <x:t xml:space="preserve">Public API</x:t>
        </x:is>
      </x:c>
      <x:c r="C119" s="94" t="inlineStr">
        <x:is>
          <x:t xml:space="preserve">Separator</x:t>
        </x:is>
      </x:c>
      <x:c r="D119" s="94" t="inlineStr">
        <x:is>
          <x:t xml:space="preserve">aria-orientation is horizontal</x:t>
        </x:is>
      </x:c>
      <x:c r="E119" s="93" t="inlineStr">
        <x:is>
          <x:t xml:space="preserve">yes</x:t>
        </x:is>
      </x:c>
      <x:c r="F119" s="93" t="inlineStr">
        <x:is>
          <x:t xml:space="preserve">yes</x:t>
        </x:is>
      </x:c>
      <x:c r="G119" s="93" t="inlineStr">
        <x:is>
          <x:t xml:space="preserve">pass</x:t>
        </x:is>
      </x:c>
      <x:c r="H119" s="93" t="inlineStr">
        <x:is>
          <x:t xml:space="preserve">covered</x:t>
        </x:is>
      </x:c>
      <x:c r="I119" s="94" t="inlineStr">
        <x:is>
          <x:t xml:space="preserve">DropdownMenu playground manual verification.</x:t>
        </x:is>
      </x:c>
      <x:c r="J119" s="94" t="n"/>
      <x:c r="K119" s="95" t="n">
        <x:f>IF(AND(E119="yes",F119="yes",H119="covered"),1,IF(H119="partial",0.5,0))</x:f>
        <x:v>1</x:v>
      </x:c>
    </x:row>
    <x:row r="120" s="51" customFormat="1" ht="31.5" customHeight="1">
      <x:c r="A120" s="93" t="n">
        <x:v>112</x:v>
      </x:c>
      <x:c r="B120" s="94" t="inlineStr">
        <x:is>
          <x:t xml:space="preserve">Public API</x:t>
        </x:is>
      </x:c>
      <x:c r="C120" s="94" t="inlineStr">
        <x:is>
          <x:t xml:space="preserve">Separator</x:t>
        </x:is>
      </x:c>
      <x:c r="D120" s="94" t="inlineStr">
        <x:is>
          <x:t xml:space="preserve">data-slot is menu-separator</x:t>
        </x:is>
      </x:c>
      <x:c r="E120" s="93" t="inlineStr">
        <x:is>
          <x:t xml:space="preserve">yes</x:t>
        </x:is>
      </x:c>
      <x:c r="F120" s="93" t="inlineStr">
        <x:is>
          <x:t xml:space="preserve">yes</x:t>
        </x:is>
      </x:c>
      <x:c r="G120" s="93" t="inlineStr">
        <x:is>
          <x:t xml:space="preserve">pass</x:t>
        </x:is>
      </x:c>
      <x:c r="H120" s="93" t="inlineStr">
        <x:is>
          <x:t xml:space="preserve">covered</x:t>
        </x:is>
      </x:c>
      <x:c r="I120" s="94" t="inlineStr">
        <x:is>
          <x:t xml:space="preserve">DropdownMenu playground manual verification.</x:t>
        </x:is>
      </x:c>
      <x:c r="J120" s="94" t="n"/>
      <x:c r="K120" s="95" t="n">
        <x:f>IF(AND(E120="yes",F120="yes",H120="covered"),1,IF(H120="partial",0.5,0))</x:f>
        <x:v>1</x:v>
      </x:c>
    </x:row>
    <x:row r="121" s="51" customFormat="1" ht="31.5" customHeight="1">
      <x:c r="A121" s="93" t="n">
        <x:v>113</x:v>
      </x:c>
      <x:c r="B121" s="94" t="inlineStr">
        <x:is>
          <x:t xml:space="preserve">Public API</x:t>
        </x:is>
      </x:c>
      <x:c r="C121" s="94" t="inlineStr">
        <x:is>
          <x:t xml:space="preserve">Separator</x:t>
        </x:is>
      </x:c>
      <x:c r="D121" s="94" t="inlineStr">
        <x:is>
          <x:t xml:space="preserve">is not keyboard highlightable</x:t>
        </x:is>
      </x:c>
      <x:c r="E121" s="93" t="inlineStr">
        <x:is>
          <x:t xml:space="preserve">yes</x:t>
        </x:is>
      </x:c>
      <x:c r="F121" s="93" t="inlineStr">
        <x:is>
          <x:t xml:space="preserve">yes</x:t>
        </x:is>
      </x:c>
      <x:c r="G121" s="93" t="inlineStr">
        <x:is>
          <x:t xml:space="preserve">pass</x:t>
        </x:is>
      </x:c>
      <x:c r="H121" s="93" t="inlineStr">
        <x:is>
          <x:t xml:space="preserve">covered</x:t>
        </x:is>
      </x:c>
      <x:c r="I121" s="94" t="inlineStr">
        <x:is>
          <x:t xml:space="preserve">DropdownMenu playground manual verification.</x:t>
        </x:is>
      </x:c>
      <x:c r="J121" s="94" t="n"/>
      <x:c r="K121" s="95" t="n">
        <x:f>IF(AND(E121="yes",F121="yes",H121="covered"),1,IF(H121="partial",0.5,0))</x:f>
        <x:v>1</x:v>
      </x:c>
    </x:row>
    <x:row r="122" s="51" customFormat="1" ht="31.5" customHeight="1">
      <x:c r="A122" s="93" t="n">
        <x:v>114</x:v>
      </x:c>
      <x:c r="B122" s="94" t="inlineStr">
        <x:is>
          <x:t xml:space="preserve">Public API</x:t>
        </x:is>
      </x:c>
      <x:c r="C122" s="94" t="inlineStr">
        <x:is>
          <x:t xml:space="preserve">Sub</x:t>
        </x:is>
      </x:c>
      <x:c r="D122" s="94" t="inlineStr">
        <x:is>
          <x:t xml:space="preserve">defaultOpen initializes uncontrolled submenu</x:t>
        </x:is>
      </x:c>
      <x:c r="E122" s="93" t="inlineStr">
        <x:is>
          <x:t xml:space="preserve">yes</x:t>
        </x:is>
      </x:c>
      <x:c r="F122" s="93" t="inlineStr">
        <x:is>
          <x:t xml:space="preserve">yes</x:t>
        </x:is>
      </x:c>
      <x:c r="G122" s="93" t="inlineStr">
        <x:is>
          <x:t xml:space="preserve">pass</x:t>
        </x:is>
      </x:c>
      <x:c r="H122" s="93" t="inlineStr">
        <x:is>
          <x:t xml:space="preserve">covered</x:t>
        </x:is>
      </x:c>
      <x:c r="I122" s="94" t="inlineStr">
        <x:is>
          <x:t xml:space="preserve">DropdownMenu playground manual verification.</x:t>
        </x:is>
      </x:c>
      <x:c r="J122" s="94" t="n"/>
      <x:c r="K122" s="95" t="n">
        <x:f>IF(AND(E122="yes",F122="yes",H122="covered"),1,IF(H122="partial",0.5,0))</x:f>
        <x:v>1</x:v>
      </x:c>
    </x:row>
    <x:row r="123" s="51" customFormat="1" ht="31.5" customHeight="1">
      <x:c r="A123" s="93" t="n">
        <x:v>115</x:v>
      </x:c>
      <x:c r="B123" s="94" t="inlineStr">
        <x:is>
          <x:t xml:space="preserve">Public API</x:t>
        </x:is>
      </x:c>
      <x:c r="C123" s="94" t="inlineStr">
        <x:is>
          <x:t xml:space="preserve">Sub</x:t>
        </x:is>
      </x:c>
      <x:c r="D123" s="94" t="inlineStr">
        <x:is>
          <x:t xml:space="preserve">open prop controls submenu</x:t>
        </x:is>
      </x:c>
      <x:c r="E123" s="93" t="inlineStr">
        <x:is>
          <x:t xml:space="preserve">yes</x:t>
        </x:is>
      </x:c>
      <x:c r="F123" s="93" t="inlineStr">
        <x:is>
          <x:t xml:space="preserve">yes</x:t>
        </x:is>
      </x:c>
      <x:c r="G123" s="93" t="inlineStr">
        <x:is>
          <x:t xml:space="preserve">pass</x:t>
        </x:is>
      </x:c>
      <x:c r="H123" s="93" t="inlineStr">
        <x:is>
          <x:t xml:space="preserve">covered</x:t>
        </x:is>
      </x:c>
      <x:c r="I123" s="94" t="inlineStr">
        <x:is>
          <x:t xml:space="preserve">DropdownMenu playground manual verification.</x:t>
        </x:is>
      </x:c>
      <x:c r="J123" s="94" t="n"/>
      <x:c r="K123" s="95" t="n">
        <x:f>IF(AND(E123="yes",F123="yes",H123="covered"),1,IF(H123="partial",0.5,0))</x:f>
        <x:v>1</x:v>
      </x:c>
    </x:row>
    <x:row r="124" s="51" customFormat="1" ht="31.5" customHeight="1">
      <x:c r="A124" s="93" t="n">
        <x:v>116</x:v>
      </x:c>
      <x:c r="B124" s="94" t="inlineStr">
        <x:is>
          <x:t xml:space="preserve">Public API</x:t>
        </x:is>
      </x:c>
      <x:c r="C124" s="94" t="inlineStr">
        <x:is>
          <x:t xml:space="preserve">Sub</x:t>
        </x:is>
      </x:c>
      <x:c r="D124" s="94" t="inlineStr">
        <x:is>
          <x:t xml:space="preserve">onOpenChange fires for controlled submenu</x:t>
        </x:is>
      </x:c>
      <x:c r="E124" s="93" t="inlineStr">
        <x:is>
          <x:t xml:space="preserve">yes</x:t>
        </x:is>
      </x:c>
      <x:c r="F124" s="93" t="inlineStr">
        <x:is>
          <x:t xml:space="preserve">yes</x:t>
        </x:is>
      </x:c>
      <x:c r="G124" s="93" t="inlineStr">
        <x:is>
          <x:t xml:space="preserve">pass</x:t>
        </x:is>
      </x:c>
      <x:c r="H124" s="93" t="inlineStr">
        <x:is>
          <x:t xml:space="preserve">covered</x:t>
        </x:is>
      </x:c>
      <x:c r="I124" s="94" t="inlineStr">
        <x:is>
          <x:t xml:space="preserve">DropdownMenu playground manual verification.</x:t>
        </x:is>
      </x:c>
      <x:c r="J124" s="94" t="n"/>
      <x:c r="K124" s="95" t="n">
        <x:f>IF(AND(E124="yes",F124="yes",H124="covered"),1,IF(H124="partial",0.5,0))</x:f>
        <x:v>1</x:v>
      </x:c>
    </x:row>
    <x:row r="125" s="51" customFormat="1" ht="31.5" customHeight="1">
      <x:c r="A125" s="93" t="n">
        <x:v>117</x:v>
      </x:c>
      <x:c r="B125" s="94" t="inlineStr">
        <x:is>
          <x:t xml:space="preserve">Public API</x:t>
        </x:is>
      </x:c>
      <x:c r="C125" s="94" t="inlineStr">
        <x:is>
          <x:t xml:space="preserve">Sub</x:t>
        </x:is>
      </x:c>
      <x:c r="D125" s="94" t="inlineStr">
        <x:is>
          <x:t xml:space="preserve">only one uncontrolled submenu is open at a time</x:t>
        </x:is>
      </x:c>
      <x:c r="E125" s="93" t="inlineStr">
        <x:is>
          <x:t xml:space="preserve">yes</x:t>
        </x:is>
      </x:c>
      <x:c r="F125" s="93" t="inlineStr">
        <x:is>
          <x:t xml:space="preserve">yes</x:t>
        </x:is>
      </x:c>
      <x:c r="G125" s="93" t="inlineStr">
        <x:is>
          <x:t xml:space="preserve">pass</x:t>
        </x:is>
      </x:c>
      <x:c r="H125" s="93" t="inlineStr">
        <x:is>
          <x:t xml:space="preserve">covered</x:t>
        </x:is>
      </x:c>
      <x:c r="I125" s="94" t="inlineStr">
        <x:is>
          <x:t xml:space="preserve">DropdownMenu playground manual verification.</x:t>
        </x:is>
      </x:c>
      <x:c r="J125" s="94" t="n"/>
      <x:c r="K125" s="95" t="n">
        <x:f>IF(AND(E125="yes",F125="yes",H125="covered"),1,IF(H125="partial",0.5,0))</x:f>
        <x:v>1</x:v>
      </x:c>
    </x:row>
    <x:row r="126" s="51" customFormat="1" ht="31.5" customHeight="1">
      <x:c r="A126" s="93" t="n">
        <x:v>118</x:v>
      </x:c>
      <x:c r="B126" s="94" t="inlineStr">
        <x:is>
          <x:t xml:space="preserve">Public API</x:t>
        </x:is>
      </x:c>
      <x:c r="C126" s="94" t="inlineStr">
        <x:is>
          <x:t xml:space="preserve">Sub Trigger</x:t>
        </x:is>
      </x:c>
      <x:c r="D126" s="94" t="inlineStr">
        <x:is>
          <x:t xml:space="preserve">renders role menuitem</x:t>
        </x:is>
      </x:c>
      <x:c r="E126" s="93" t="inlineStr">
        <x:is>
          <x:t xml:space="preserve">yes</x:t>
        </x:is>
      </x:c>
      <x:c r="F126" s="93" t="inlineStr">
        <x:is>
          <x:t xml:space="preserve">yes</x:t>
        </x:is>
      </x:c>
      <x:c r="G126" s="93" t="inlineStr">
        <x:is>
          <x:t xml:space="preserve">pass</x:t>
        </x:is>
      </x:c>
      <x:c r="H126" s="93" t="inlineStr">
        <x:is>
          <x:t xml:space="preserve">covered</x:t>
        </x:is>
      </x:c>
      <x:c r="I126" s="94" t="inlineStr">
        <x:is>
          <x:t xml:space="preserve">DropdownMenu playground manual verification.</x:t>
        </x:is>
      </x:c>
      <x:c r="J126" s="94" t="n"/>
      <x:c r="K126" s="95" t="n">
        <x:f>IF(AND(E126="yes",F126="yes",H126="covered"),1,IF(H126="partial",0.5,0))</x:f>
        <x:v>1</x:v>
      </x:c>
    </x:row>
    <x:row r="127" s="51" customFormat="1" ht="31.5" customHeight="1">
      <x:c r="A127" s="93" t="n">
        <x:v>119</x:v>
      </x:c>
      <x:c r="B127" s="94" t="inlineStr">
        <x:is>
          <x:t xml:space="preserve">Public API</x:t>
        </x:is>
      </x:c>
      <x:c r="C127" s="94" t="inlineStr">
        <x:is>
          <x:t xml:space="preserve">Sub Trigger</x:t>
        </x:is>
      </x:c>
      <x:c r="D127" s="94" t="inlineStr">
        <x:is>
          <x:t xml:space="preserve">aria-haspopup is menu</x:t>
        </x:is>
      </x:c>
      <x:c r="E127" s="93" t="inlineStr">
        <x:is>
          <x:t xml:space="preserve">yes</x:t>
        </x:is>
      </x:c>
      <x:c r="F127" s="93" t="inlineStr">
        <x:is>
          <x:t xml:space="preserve">yes</x:t>
        </x:is>
      </x:c>
      <x:c r="G127" s="93" t="inlineStr">
        <x:is>
          <x:t xml:space="preserve">pass</x:t>
        </x:is>
      </x:c>
      <x:c r="H127" s="93" t="inlineStr">
        <x:is>
          <x:t xml:space="preserve">covered</x:t>
        </x:is>
      </x:c>
      <x:c r="I127" s="94" t="inlineStr">
        <x:is>
          <x:t xml:space="preserve">DropdownMenu playground manual verification.</x:t>
        </x:is>
      </x:c>
      <x:c r="J127" s="94" t="n"/>
      <x:c r="K127" s="95" t="n">
        <x:f>IF(AND(E127="yes",F127="yes",H127="covered"),1,IF(H127="partial",0.5,0))</x:f>
        <x:v>1</x:v>
      </x:c>
    </x:row>
    <x:row r="128" s="51" customFormat="1" ht="31.5" customHeight="1">
      <x:c r="A128" s="93" t="n">
        <x:v>120</x:v>
      </x:c>
      <x:c r="B128" s="94" t="inlineStr">
        <x:is>
          <x:t xml:space="preserve">Public API</x:t>
        </x:is>
      </x:c>
      <x:c r="C128" s="94" t="inlineStr">
        <x:is>
          <x:t xml:space="preserve">Sub Trigger</x:t>
        </x:is>
      </x:c>
      <x:c r="D128" s="94" t="inlineStr">
        <x:is>
          <x:t xml:space="preserve">aria-expanded reflects submenu open state</x:t>
        </x:is>
      </x:c>
      <x:c r="E128" s="93" t="inlineStr">
        <x:is>
          <x:t xml:space="preserve">yes</x:t>
        </x:is>
      </x:c>
      <x:c r="F128" s="93" t="inlineStr">
        <x:is>
          <x:t xml:space="preserve">yes</x:t>
        </x:is>
      </x:c>
      <x:c r="G128" s="93" t="inlineStr">
        <x:is>
          <x:t xml:space="preserve">pass</x:t>
        </x:is>
      </x:c>
      <x:c r="H128" s="93" t="inlineStr">
        <x:is>
          <x:t xml:space="preserve">covered</x:t>
        </x:is>
      </x:c>
      <x:c r="I128" s="94" t="inlineStr">
        <x:is>
          <x:t xml:space="preserve">DropdownMenu playground manual verification.</x:t>
        </x:is>
      </x:c>
      <x:c r="J128" s="94" t="n"/>
      <x:c r="K128" s="95" t="n">
        <x:f>IF(AND(E128="yes",F128="yes",H128="covered"),1,IF(H128="partial",0.5,0))</x:f>
        <x:v>1</x:v>
      </x:c>
    </x:row>
    <x:row r="129" s="51" customFormat="1" ht="31.5" customHeight="1">
      <x:c r="A129" s="93" t="n">
        <x:v>121</x:v>
      </x:c>
      <x:c r="B129" s="94" t="inlineStr">
        <x:is>
          <x:t xml:space="preserve">Public API</x:t>
        </x:is>
      </x:c>
      <x:c r="C129" s="94" t="inlineStr">
        <x:is>
          <x:t xml:space="preserve">Sub Trigger</x:t>
        </x:is>
      </x:c>
      <x:c r="D129" s="94" t="inlineStr">
        <x:is>
          <x:t xml:space="preserve">data-state reflects submenu state</x:t>
        </x:is>
      </x:c>
      <x:c r="E129" s="93" t="inlineStr">
        <x:is>
          <x:t xml:space="preserve">yes</x:t>
        </x:is>
      </x:c>
      <x:c r="F129" s="93" t="inlineStr">
        <x:is>
          <x:t xml:space="preserve">yes</x:t>
        </x:is>
      </x:c>
      <x:c r="G129" s="93" t="inlineStr">
        <x:is>
          <x:t xml:space="preserve">pass</x:t>
        </x:is>
      </x:c>
      <x:c r="H129" s="93" t="inlineStr">
        <x:is>
          <x:t xml:space="preserve">covered</x:t>
        </x:is>
      </x:c>
      <x:c r="I129" s="94" t="inlineStr">
        <x:is>
          <x:t xml:space="preserve">DropdownMenu playground manual verification.</x:t>
        </x:is>
      </x:c>
      <x:c r="J129" s="94" t="n"/>
      <x:c r="K129" s="95" t="n">
        <x:f>IF(AND(E129="yes",F129="yes",H129="covered"),1,IF(H129="partial",0.5,0))</x:f>
        <x:v>1</x:v>
      </x:c>
    </x:row>
    <x:row r="130" s="51" customFormat="1" ht="31.5" customHeight="1">
      <x:c r="A130" s="93" t="n">
        <x:v>122</x:v>
      </x:c>
      <x:c r="B130" s="94" t="inlineStr">
        <x:is>
          <x:t xml:space="preserve">Public API</x:t>
        </x:is>
      </x:c>
      <x:c r="C130" s="94" t="inlineStr">
        <x:is>
          <x:t xml:space="preserve">Sub Trigger</x:t>
        </x:is>
      </x:c>
      <x:c r="D130" s="94" t="inlineStr">
        <x:is>
          <x:t xml:space="preserve">data-slot is menu-sub-trigger</x:t>
        </x:is>
      </x:c>
      <x:c r="E130" s="93" t="inlineStr">
        <x:is>
          <x:t xml:space="preserve">yes</x:t>
        </x:is>
      </x:c>
      <x:c r="F130" s="93" t="inlineStr">
        <x:is>
          <x:t xml:space="preserve">yes</x:t>
        </x:is>
      </x:c>
      <x:c r="G130" s="93" t="inlineStr">
        <x:is>
          <x:t xml:space="preserve">pass</x:t>
        </x:is>
      </x:c>
      <x:c r="H130" s="93" t="inlineStr">
        <x:is>
          <x:t xml:space="preserve">covered</x:t>
        </x:is>
      </x:c>
      <x:c r="I130" s="94" t="inlineStr">
        <x:is>
          <x:t xml:space="preserve">DropdownMenu playground manual verification.</x:t>
        </x:is>
      </x:c>
      <x:c r="J130" s="94" t="n"/>
      <x:c r="K130" s="95" t="n">
        <x:f>IF(AND(E130="yes",F130="yes",H130="covered"),1,IF(H130="partial",0.5,0))</x:f>
        <x:v>1</x:v>
      </x:c>
    </x:row>
    <x:row r="131" s="51" customFormat="1" ht="31.5" customHeight="1">
      <x:c r="A131" s="93" t="n">
        <x:v>123</x:v>
      </x:c>
      <x:c r="B131" s="94" t="inlineStr">
        <x:is>
          <x:t xml:space="preserve">Public API</x:t>
        </x:is>
      </x:c>
      <x:c r="C131" s="94" t="inlineStr">
        <x:is>
          <x:t xml:space="preserve">Sub Trigger</x:t>
        </x:is>
      </x:c>
      <x:c r="D131" s="94" t="inlineStr">
        <x:is>
          <x:t xml:space="preserve">hover opens submenu after delay</x:t>
        </x:is>
      </x:c>
      <x:c r="E131" s="93" t="inlineStr">
        <x:is>
          <x:t xml:space="preserve">yes</x:t>
        </x:is>
      </x:c>
      <x:c r="F131" s="93" t="inlineStr">
        <x:is>
          <x:t xml:space="preserve">yes</x:t>
        </x:is>
      </x:c>
      <x:c r="G131" s="93" t="inlineStr">
        <x:is>
          <x:t xml:space="preserve">pass</x:t>
        </x:is>
      </x:c>
      <x:c r="H131" s="93" t="inlineStr">
        <x:is>
          <x:t xml:space="preserve">covered</x:t>
        </x:is>
      </x:c>
      <x:c r="I131" s="94" t="inlineStr">
        <x:is>
          <x:t xml:space="preserve">DropdownMenu playground manual verification.</x:t>
        </x:is>
      </x:c>
      <x:c r="J131" s="94" t="n"/>
      <x:c r="K131" s="95" t="n">
        <x:f>IF(AND(E131="yes",F131="yes",H131="covered"),1,IF(H131="partial",0.5,0))</x:f>
        <x:v>1</x:v>
      </x:c>
    </x:row>
    <x:row r="132" s="51" customFormat="1" ht="31.5" customHeight="1">
      <x:c r="A132" s="93" t="n">
        <x:v>124</x:v>
      </x:c>
      <x:c r="B132" s="94" t="inlineStr">
        <x:is>
          <x:t xml:space="preserve">Public API</x:t>
        </x:is>
      </x:c>
      <x:c r="C132" s="94" t="inlineStr">
        <x:is>
          <x:t xml:space="preserve">Sub Trigger</x:t>
        </x:is>
      </x:c>
      <x:c r="D132" s="94" t="inlineStr">
        <x:is>
          <x:t xml:space="preserve">click toggles submenu</x:t>
        </x:is>
      </x:c>
      <x:c r="E132" s="93" t="inlineStr">
        <x:is>
          <x:t xml:space="preserve">yes</x:t>
        </x:is>
      </x:c>
      <x:c r="F132" s="93" t="inlineStr">
        <x:is>
          <x:t xml:space="preserve">yes</x:t>
        </x:is>
      </x:c>
      <x:c r="G132" s="93" t="inlineStr">
        <x:is>
          <x:t xml:space="preserve">pass</x:t>
        </x:is>
      </x:c>
      <x:c r="H132" s="93" t="inlineStr">
        <x:is>
          <x:t xml:space="preserve">covered</x:t>
        </x:is>
      </x:c>
      <x:c r="I132" s="94" t="inlineStr">
        <x:is>
          <x:t xml:space="preserve">DropdownMenu playground manual verification.</x:t>
        </x:is>
      </x:c>
      <x:c r="J132" s="94" t="n"/>
      <x:c r="K132" s="95" t="n">
        <x:f>IF(AND(E132="yes",F132="yes",H132="covered"),1,IF(H132="partial",0.5,0))</x:f>
        <x:v>1</x:v>
      </x:c>
    </x:row>
    <x:row r="133" s="51" customFormat="1" ht="31.5" customHeight="1">
      <x:c r="A133" s="93" t="n">
        <x:v>125</x:v>
      </x:c>
      <x:c r="B133" s="94" t="inlineStr">
        <x:is>
          <x:t xml:space="preserve">Public API</x:t>
        </x:is>
      </x:c>
      <x:c r="C133" s="94" t="inlineStr">
        <x:is>
          <x:t xml:space="preserve">Sub Trigger</x:t>
        </x:is>
      </x:c>
      <x:c r="D133" s="94" t="inlineStr">
        <x:is>
          <x:t xml:space="preserve">ArrowRight opens submenu</x:t>
        </x:is>
      </x:c>
      <x:c r="E133" s="93" t="inlineStr">
        <x:is>
          <x:t xml:space="preserve">yes</x:t>
        </x:is>
      </x:c>
      <x:c r="F133" s="93" t="inlineStr">
        <x:is>
          <x:t xml:space="preserve">yes</x:t>
        </x:is>
      </x:c>
      <x:c r="G133" s="93" t="inlineStr">
        <x:is>
          <x:t xml:space="preserve">pass</x:t>
        </x:is>
      </x:c>
      <x:c r="H133" s="93" t="inlineStr">
        <x:is>
          <x:t xml:space="preserve">covered</x:t>
        </x:is>
      </x:c>
      <x:c r="I133" s="94" t="inlineStr">
        <x:is>
          <x:t xml:space="preserve">DropdownMenu playground manual verification.</x:t>
        </x:is>
      </x:c>
      <x:c r="J133" s="94" t="n"/>
      <x:c r="K133" s="95" t="n">
        <x:f>IF(AND(E133="yes",F133="yes",H133="covered"),1,IF(H133="partial",0.5,0))</x:f>
        <x:v>1</x:v>
      </x:c>
    </x:row>
    <x:row r="134" s="51" customFormat="1" ht="30" customHeight="1">
      <x:c r="A134" s="73" t="n">
        <x:v>126</x:v>
      </x:c>
      <x:c r="B134" s="84" t="inlineStr">
        <x:is>
          <x:t xml:space="preserve">Public API</x:t>
        </x:is>
      </x:c>
      <x:c r="C134" s="84" t="inlineStr">
        <x:is>
          <x:t xml:space="preserve">Sub Trigger</x:t>
        </x:is>
      </x:c>
      <x:c r="D134" s="84" t="inlineStr">
        <x:is>
          <x:t xml:space="preserve">disabled sub trigger receives real keyboard focus but cannot open its submenu</x:t>
        </x:is>
      </x:c>
      <x:c r="E134" s="76" t="inlineStr">
        <x:is>
          <x:t xml:space="preserve">yes</x:t>
        </x:is>
      </x:c>
      <x:c r="F134" s="85" t="inlineStr">
        <x:is>
          <x:t xml:space="preserve">no</x:t>
        </x:is>
      </x:c>
      <x:c r="G134" s="73" t="inlineStr">
        <x:is>
          <x:t xml:space="preserve">automated tests pass; manual pending</x:t>
        </x:is>
      </x:c>
      <x:c r="H134" s="86" t="inlineStr">
        <x:is>
          <x:t xml:space="preserve">untested</x:t>
        </x:is>
      </x:c>
      <x:c r="I134" s="84" t="inlineStr">
        <x:is>
          <x:t xml:space="preserve">playground/.manual-tests/dropdown-menu.md (draft)</x:t>
        </x:is>
      </x:c>
      <x:c r="J134" s="84" t="inlineStr">
        <x:is>
          <x:t xml:space="preserve">Run the updated component Manual Test Protocol and named browser/device matrix.</x:t>
        </x:is>
      </x:c>
      <x:c r="K134" s="87" t="n">
        <x:f>IF(AND(E134="yes",F134="yes",H134="covered"),1,IF(H134="partial",0.5,0))</x:f>
        <x:v>0</x:v>
      </x:c>
    </x:row>
    <x:row r="135" s="51" customFormat="1" ht="31.5" customHeight="1">
      <x:c r="A135" s="93" t="n">
        <x:v>127</x:v>
      </x:c>
      <x:c r="B135" s="94" t="inlineStr">
        <x:is>
          <x:t xml:space="preserve">Public API</x:t>
        </x:is>
      </x:c>
      <x:c r="C135" s="94" t="inlineStr">
        <x:is>
          <x:t xml:space="preserve">Sub Trigger</x:t>
        </x:is>
      </x:c>
      <x:c r="D135" s="94" t="inlineStr">
        <x:is>
          <x:t xml:space="preserve">textValue is used for typeahead</x:t>
        </x:is>
      </x:c>
      <x:c r="E135" s="93" t="inlineStr">
        <x:is>
          <x:t xml:space="preserve">yes</x:t>
        </x:is>
      </x:c>
      <x:c r="F135" s="93" t="inlineStr">
        <x:is>
          <x:t xml:space="preserve">yes</x:t>
        </x:is>
      </x:c>
      <x:c r="G135" s="93" t="inlineStr">
        <x:is>
          <x:t xml:space="preserve">pass</x:t>
        </x:is>
      </x:c>
      <x:c r="H135" s="93" t="inlineStr">
        <x:is>
          <x:t xml:space="preserve">covered</x:t>
        </x:is>
      </x:c>
      <x:c r="I135" s="94" t="inlineStr">
        <x:is>
          <x:t xml:space="preserve">DropdownMenu playground manual verification.</x:t>
        </x:is>
      </x:c>
      <x:c r="J135" s="94" t="n"/>
      <x:c r="K135" s="95" t="n">
        <x:f>IF(AND(E135="yes",F135="yes",H135="covered"),1,IF(H135="partial",0.5,0))</x:f>
        <x:v>1</x:v>
      </x:c>
    </x:row>
    <x:row r="136" s="51" customFormat="1" ht="31.5" customHeight="1">
      <x:c r="A136" s="93" t="n">
        <x:v>128</x:v>
      </x:c>
      <x:c r="B136" s="94" t="inlineStr">
        <x:is>
          <x:t xml:space="preserve">Public API</x:t>
        </x:is>
      </x:c>
      <x:c r="C136" s="94" t="inlineStr">
        <x:is>
          <x:t xml:space="preserve">Sub Content</x:t>
        </x:is>
      </x:c>
      <x:c r="D136" s="94" t="inlineStr">
        <x:is>
          <x:t xml:space="preserve">renders role menu</x:t>
        </x:is>
      </x:c>
      <x:c r="E136" s="93" t="inlineStr">
        <x:is>
          <x:t xml:space="preserve">yes</x:t>
        </x:is>
      </x:c>
      <x:c r="F136" s="93" t="inlineStr">
        <x:is>
          <x:t xml:space="preserve">yes</x:t>
        </x:is>
      </x:c>
      <x:c r="G136" s="93" t="inlineStr">
        <x:is>
          <x:t xml:space="preserve">pass</x:t>
        </x:is>
      </x:c>
      <x:c r="H136" s="93" t="inlineStr">
        <x:is>
          <x:t xml:space="preserve">covered</x:t>
        </x:is>
      </x:c>
      <x:c r="I136" s="94" t="inlineStr">
        <x:is>
          <x:t xml:space="preserve">DropdownMenu playground manual verification.</x:t>
        </x:is>
      </x:c>
      <x:c r="J136" s="94" t="n"/>
      <x:c r="K136" s="95" t="n">
        <x:f>IF(AND(E136="yes",F136="yes",H136="covered"),1,IF(H136="partial",0.5,0))</x:f>
        <x:v>1</x:v>
      </x:c>
    </x:row>
    <x:row r="137" s="51" customFormat="1" ht="31.5" customHeight="1">
      <x:c r="A137" s="93" t="n">
        <x:v>129</x:v>
      </x:c>
      <x:c r="B137" s="94" t="inlineStr">
        <x:is>
          <x:t xml:space="preserve">Public API</x:t>
        </x:is>
      </x:c>
      <x:c r="C137" s="94" t="inlineStr">
        <x:is>
          <x:t xml:space="preserve">Sub Content</x:t>
        </x:is>
      </x:c>
      <x:c r="D137" s="94" t="inlineStr">
        <x:is>
          <x:t xml:space="preserve">aria-label prop names submenu</x:t>
        </x:is>
      </x:c>
      <x:c r="E137" s="93" t="inlineStr">
        <x:is>
          <x:t xml:space="preserve">yes</x:t>
        </x:is>
      </x:c>
      <x:c r="F137" s="93" t="inlineStr">
        <x:is>
          <x:t xml:space="preserve">yes</x:t>
        </x:is>
      </x:c>
      <x:c r="G137" s="93" t="inlineStr">
        <x:is>
          <x:t xml:space="preserve">pass</x:t>
        </x:is>
      </x:c>
      <x:c r="H137" s="93" t="inlineStr">
        <x:is>
          <x:t xml:space="preserve">covered</x:t>
        </x:is>
      </x:c>
      <x:c r="I137" s="94" t="inlineStr">
        <x:is>
          <x:t xml:space="preserve">DropdownMenu playground manual verification.</x:t>
        </x:is>
      </x:c>
      <x:c r="J137" s="94" t="n"/>
      <x:c r="K137" s="95" t="n">
        <x:f>IF(AND(E137="yes",F137="yes",H137="covered"),1,IF(H137="partial",0.5,0))</x:f>
        <x:v>1</x:v>
      </x:c>
    </x:row>
    <x:row r="138" s="51" customFormat="1" ht="31.5" customHeight="1">
      <x:c r="A138" s="93" t="n">
        <x:v>130</x:v>
      </x:c>
      <x:c r="B138" s="94" t="inlineStr">
        <x:is>
          <x:t xml:space="preserve">Public API</x:t>
        </x:is>
      </x:c>
      <x:c r="C138" s="94" t="inlineStr">
        <x:is>
          <x:t xml:space="preserve">Sub Content</x:t>
        </x:is>
      </x:c>
      <x:c r="D138" s="94" t="inlineStr">
        <x:is>
          <x:t xml:space="preserve">aria-labelledby references sub trigger when ariaLabel is absent</x:t>
        </x:is>
      </x:c>
      <x:c r="E138" s="93" t="inlineStr">
        <x:is>
          <x:t xml:space="preserve">yes</x:t>
        </x:is>
      </x:c>
      <x:c r="F138" s="93" t="inlineStr">
        <x:is>
          <x:t xml:space="preserve">yes</x:t>
        </x:is>
      </x:c>
      <x:c r="G138" s="93" t="inlineStr">
        <x:is>
          <x:t xml:space="preserve">pass</x:t>
        </x:is>
      </x:c>
      <x:c r="H138" s="93" t="inlineStr">
        <x:is>
          <x:t xml:space="preserve">covered</x:t>
        </x:is>
      </x:c>
      <x:c r="I138" s="94" t="inlineStr">
        <x:is>
          <x:t xml:space="preserve">DropdownMenu playground manual verification.</x:t>
        </x:is>
      </x:c>
      <x:c r="J138" s="94" t="n"/>
      <x:c r="K138" s="95" t="n">
        <x:f>IF(AND(E138="yes",F138="yes",H138="covered"),1,IF(H138="partial",0.5,0))</x:f>
        <x:v>1</x:v>
      </x:c>
    </x:row>
    <x:row r="139" s="51" customFormat="1" ht="31.5" customHeight="1">
      <x:c r="A139" s="93" t="n">
        <x:v>131</x:v>
      </x:c>
      <x:c r="B139" s="94" t="inlineStr">
        <x:is>
          <x:t xml:space="preserve">Public API</x:t>
        </x:is>
      </x:c>
      <x:c r="C139" s="94" t="inlineStr">
        <x:is>
          <x:t xml:space="preserve">Sub Content</x:t>
        </x:is>
      </x:c>
      <x:c r="D139" s="94" t="inlineStr">
        <x:is>
          <x:t xml:space="preserve">data-slot is menu-sub-content</x:t>
        </x:is>
      </x:c>
      <x:c r="E139" s="93" t="inlineStr">
        <x:is>
          <x:t xml:space="preserve">yes</x:t>
        </x:is>
      </x:c>
      <x:c r="F139" s="93" t="inlineStr">
        <x:is>
          <x:t xml:space="preserve">yes</x:t>
        </x:is>
      </x:c>
      <x:c r="G139" s="93" t="inlineStr">
        <x:is>
          <x:t xml:space="preserve">pass</x:t>
        </x:is>
      </x:c>
      <x:c r="H139" s="93" t="inlineStr">
        <x:is>
          <x:t xml:space="preserve">covered</x:t>
        </x:is>
      </x:c>
      <x:c r="I139" s="94" t="inlineStr">
        <x:is>
          <x:t xml:space="preserve">DropdownMenu playground manual verification.</x:t>
        </x:is>
      </x:c>
      <x:c r="J139" s="94" t="n"/>
      <x:c r="K139" s="95" t="n">
        <x:f>IF(AND(E139="yes",F139="yes",H139="covered"),1,IF(H139="partial",0.5,0))</x:f>
        <x:v>1</x:v>
      </x:c>
    </x:row>
    <x:row r="140" s="51" customFormat="1" ht="31.5" customHeight="1">
      <x:c r="A140" s="93" t="n">
        <x:v>132</x:v>
      </x:c>
      <x:c r="B140" s="94" t="inlineStr">
        <x:is>
          <x:t xml:space="preserve">Public API</x:t>
        </x:is>
      </x:c>
      <x:c r="C140" s="94" t="inlineStr">
        <x:is>
          <x:t xml:space="preserve">Sub Content</x:t>
        </x:is>
      </x:c>
      <x:c r="D140" s="94" t="inlineStr">
        <x:is>
          <x:t xml:space="preserve">data-state is open</x:t>
        </x:is>
      </x:c>
      <x:c r="E140" s="93" t="inlineStr">
        <x:is>
          <x:t xml:space="preserve">yes</x:t>
        </x:is>
      </x:c>
      <x:c r="F140" s="93" t="inlineStr">
        <x:is>
          <x:t xml:space="preserve">yes</x:t>
        </x:is>
      </x:c>
      <x:c r="G140" s="93" t="inlineStr">
        <x:is>
          <x:t xml:space="preserve">pass</x:t>
        </x:is>
      </x:c>
      <x:c r="H140" s="93" t="inlineStr">
        <x:is>
          <x:t xml:space="preserve">covered</x:t>
        </x:is>
      </x:c>
      <x:c r="I140" s="94" t="inlineStr">
        <x:is>
          <x:t xml:space="preserve">DropdownMenu playground manual verification.</x:t>
        </x:is>
      </x:c>
      <x:c r="J140" s="94" t="n"/>
      <x:c r="K140" s="95" t="n">
        <x:f>IF(AND(E140="yes",F140="yes",H140="covered"),1,IF(H140="partial",0.5,0))</x:f>
        <x:v>1</x:v>
      </x:c>
    </x:row>
    <x:row r="141" s="51" customFormat="1" ht="31.5" customHeight="1">
      <x:c r="A141" s="93" t="n">
        <x:v>133</x:v>
      </x:c>
      <x:c r="B141" s="94" t="inlineStr">
        <x:is>
          <x:t xml:space="preserve">Public API</x:t>
        </x:is>
      </x:c>
      <x:c r="C141" s="94" t="inlineStr">
        <x:is>
          <x:t xml:space="preserve">Sub Content</x:t>
        </x:is>
      </x:c>
      <x:c r="D141" s="94" t="inlineStr">
        <x:is>
          <x:t xml:space="preserve">data-side reflects final placement</x:t>
        </x:is>
      </x:c>
      <x:c r="E141" s="93" t="inlineStr">
        <x:is>
          <x:t xml:space="preserve">yes</x:t>
        </x:is>
      </x:c>
      <x:c r="F141" s="93" t="inlineStr">
        <x:is>
          <x:t xml:space="preserve">yes</x:t>
        </x:is>
      </x:c>
      <x:c r="G141" s="93" t="inlineStr">
        <x:is>
          <x:t xml:space="preserve">pass</x:t>
        </x:is>
      </x:c>
      <x:c r="H141" s="93" t="inlineStr">
        <x:is>
          <x:t xml:space="preserve">covered</x:t>
        </x:is>
      </x:c>
      <x:c r="I141" s="94" t="inlineStr">
        <x:is>
          <x:t xml:space="preserve">DropdownMenu playground manual verification.</x:t>
        </x:is>
      </x:c>
      <x:c r="J141" s="94" t="n"/>
      <x:c r="K141" s="95" t="n">
        <x:f>IF(AND(E141="yes",F141="yes",H141="covered"),1,IF(H141="partial",0.5,0))</x:f>
        <x:v>1</x:v>
      </x:c>
    </x:row>
    <x:row r="142" s="51" customFormat="1" ht="31.5" customHeight="1">
      <x:c r="A142" s="93" t="n">
        <x:v>134</x:v>
      </x:c>
      <x:c r="B142" s="94" t="inlineStr">
        <x:is>
          <x:t xml:space="preserve">Public API</x:t>
        </x:is>
      </x:c>
      <x:c r="C142" s="94" t="inlineStr">
        <x:is>
          <x:t xml:space="preserve">Sub Content</x:t>
        </x:is>
      </x:c>
      <x:c r="D142" s="94" t="inlineStr">
        <x:is>
          <x:t xml:space="preserve">data-positioned appears after positioning</x:t>
        </x:is>
      </x:c>
      <x:c r="E142" s="93" t="inlineStr">
        <x:is>
          <x:t xml:space="preserve">yes</x:t>
        </x:is>
      </x:c>
      <x:c r="F142" s="93" t="inlineStr">
        <x:is>
          <x:t xml:space="preserve">yes</x:t>
        </x:is>
      </x:c>
      <x:c r="G142" s="93" t="inlineStr">
        <x:is>
          <x:t xml:space="preserve">pass</x:t>
        </x:is>
      </x:c>
      <x:c r="H142" s="93" t="inlineStr">
        <x:is>
          <x:t xml:space="preserve">covered</x:t>
        </x:is>
      </x:c>
      <x:c r="I142" s="94" t="inlineStr">
        <x:is>
          <x:t xml:space="preserve">DropdownMenu playground manual verification.</x:t>
        </x:is>
      </x:c>
      <x:c r="J142" s="94" t="n"/>
      <x:c r="K142" s="95" t="n">
        <x:f>IF(AND(E142="yes",F142="yes",H142="covered"),1,IF(H142="partial",0.5,0))</x:f>
        <x:v>1</x:v>
      </x:c>
    </x:row>
    <x:row r="143" s="51" customFormat="1" ht="31.5" customHeight="1">
      <x:c r="A143" s="93" t="n">
        <x:v>135</x:v>
      </x:c>
      <x:c r="B143" s="94" t="inlineStr">
        <x:is>
          <x:t xml:space="preserve">Public API</x:t>
        </x:is>
      </x:c>
      <x:c r="C143" s="94" t="inlineStr">
        <x:is>
          <x:t xml:space="preserve">Sub Content</x:t>
        </x:is>
      </x:c>
      <x:c r="D143" s="94" t="inlineStr">
        <x:is>
          <x:t xml:space="preserve">sideOffset changes submenu distance</x:t>
        </x:is>
      </x:c>
      <x:c r="E143" s="93" t="inlineStr">
        <x:is>
          <x:t xml:space="preserve">yes</x:t>
        </x:is>
      </x:c>
      <x:c r="F143" s="93" t="inlineStr">
        <x:is>
          <x:t xml:space="preserve">yes</x:t>
        </x:is>
      </x:c>
      <x:c r="G143" s="93" t="inlineStr">
        <x:is>
          <x:t xml:space="preserve">pass</x:t>
        </x:is>
      </x:c>
      <x:c r="H143" s="93" t="inlineStr">
        <x:is>
          <x:t xml:space="preserve">covered</x:t>
        </x:is>
      </x:c>
      <x:c r="I143" s="94" t="inlineStr">
        <x:is>
          <x:t xml:space="preserve">DropdownMenu playground manual verification.</x:t>
        </x:is>
      </x:c>
      <x:c r="J143" s="94" t="n"/>
      <x:c r="K143" s="95" t="n">
        <x:f>IF(AND(E143="yes",F143="yes",H143="covered"),1,IF(H143="partial",0.5,0))</x:f>
        <x:v>1</x:v>
      </x:c>
    </x:row>
    <x:row r="144" s="51" customFormat="1" ht="31.5" customHeight="1">
      <x:c r="A144" s="93" t="n">
        <x:v>136</x:v>
      </x:c>
      <x:c r="B144" s="94" t="inlineStr">
        <x:is>
          <x:t xml:space="preserve">Public API</x:t>
        </x:is>
      </x:c>
      <x:c r="C144" s="94" t="inlineStr">
        <x:is>
          <x:t xml:space="preserve">Sub Content</x:t>
        </x:is>
      </x:c>
      <x:c r="D144" s="94" t="inlineStr">
        <x:is>
          <x:t xml:space="preserve">loop prop controls submenu wrapping</x:t>
        </x:is>
      </x:c>
      <x:c r="E144" s="93" t="inlineStr">
        <x:is>
          <x:t xml:space="preserve">yes</x:t>
        </x:is>
      </x:c>
      <x:c r="F144" s="93" t="inlineStr">
        <x:is>
          <x:t xml:space="preserve">yes</x:t>
        </x:is>
      </x:c>
      <x:c r="G144" s="93" t="inlineStr">
        <x:is>
          <x:t xml:space="preserve">pass</x:t>
        </x:is>
      </x:c>
      <x:c r="H144" s="93" t="inlineStr">
        <x:is>
          <x:t xml:space="preserve">covered</x:t>
        </x:is>
      </x:c>
      <x:c r="I144" s="94" t="inlineStr">
        <x:is>
          <x:t xml:space="preserve">DropdownMenu playground manual verification.</x:t>
        </x:is>
      </x:c>
      <x:c r="J144" s="94" t="n"/>
      <x:c r="K144" s="95" t="n">
        <x:f>IF(AND(E144="yes",F144="yes",H144="covered"),1,IF(H144="partial",0.5,0))</x:f>
        <x:v>1</x:v>
      </x:c>
    </x:row>
    <x:row r="145" s="51" customFormat="1" ht="31.5" customHeight="1">
      <x:c r="A145" s="93" t="n">
        <x:v>137</x:v>
      </x:c>
      <x:c r="B145" s="94" t="inlineStr">
        <x:is>
          <x:t xml:space="preserve">Interaction</x:t>
        </x:is>
      </x:c>
      <x:c r="C145" s="94" t="inlineStr">
        <x:is>
          <x:t xml:space="preserve">Open And Close</x:t>
        </x:is>
      </x:c>
      <x:c r="D145" s="94" t="inlineStr">
        <x:is>
          <x:t xml:space="preserve">trigger click opens menu</x:t>
        </x:is>
      </x:c>
      <x:c r="E145" s="93" t="inlineStr">
        <x:is>
          <x:t xml:space="preserve">yes</x:t>
        </x:is>
      </x:c>
      <x:c r="F145" s="93" t="inlineStr">
        <x:is>
          <x:t xml:space="preserve">yes</x:t>
        </x:is>
      </x:c>
      <x:c r="G145" s="93" t="inlineStr">
        <x:is>
          <x:t xml:space="preserve">pass</x:t>
        </x:is>
      </x:c>
      <x:c r="H145" s="93" t="inlineStr">
        <x:is>
          <x:t xml:space="preserve">covered</x:t>
        </x:is>
      </x:c>
      <x:c r="I145" s="94" t="inlineStr">
        <x:is>
          <x:t xml:space="preserve">DropdownMenu playground manual verification.</x:t>
        </x:is>
      </x:c>
      <x:c r="J145" s="94" t="n"/>
      <x:c r="K145" s="95" t="n">
        <x:f>IF(AND(E145="yes",F145="yes",H145="covered"),1,IF(H145="partial",0.5,0))</x:f>
        <x:v>1</x:v>
      </x:c>
    </x:row>
    <x:row r="146" s="51" customFormat="1" ht="31.5" customHeight="1">
      <x:c r="A146" s="93" t="n">
        <x:v>138</x:v>
      </x:c>
      <x:c r="B146" s="94" t="inlineStr">
        <x:is>
          <x:t xml:space="preserve">Interaction</x:t>
        </x:is>
      </x:c>
      <x:c r="C146" s="94" t="inlineStr">
        <x:is>
          <x:t xml:space="preserve">Open And Close</x:t>
        </x:is>
      </x:c>
      <x:c r="D146" s="94" t="inlineStr">
        <x:is>
          <x:t xml:space="preserve">trigger click closes open menu</x:t>
        </x:is>
      </x:c>
      <x:c r="E146" s="93" t="inlineStr">
        <x:is>
          <x:t xml:space="preserve">yes</x:t>
        </x:is>
      </x:c>
      <x:c r="F146" s="93" t="inlineStr">
        <x:is>
          <x:t xml:space="preserve">yes</x:t>
        </x:is>
      </x:c>
      <x:c r="G146" s="93" t="inlineStr">
        <x:is>
          <x:t xml:space="preserve">pass</x:t>
        </x:is>
      </x:c>
      <x:c r="H146" s="93" t="inlineStr">
        <x:is>
          <x:t xml:space="preserve">covered</x:t>
        </x:is>
      </x:c>
      <x:c r="I146" s="94" t="inlineStr">
        <x:is>
          <x:t xml:space="preserve">DropdownMenu playground manual verification.</x:t>
        </x:is>
      </x:c>
      <x:c r="J146" s="94" t="n"/>
      <x:c r="K146" s="95" t="n">
        <x:f>IF(AND(E146="yes",F146="yes",H146="covered"),1,IF(H146="partial",0.5,0))</x:f>
        <x:v>1</x:v>
      </x:c>
    </x:row>
    <x:row r="147" s="51" customFormat="1" ht="31.5" customHeight="1">
      <x:c r="A147" s="93" t="n">
        <x:v>139</x:v>
      </x:c>
      <x:c r="B147" s="94" t="inlineStr">
        <x:is>
          <x:t xml:space="preserve">Interaction</x:t>
        </x:is>
      </x:c>
      <x:c r="C147" s="94" t="inlineStr">
        <x:is>
          <x:t xml:space="preserve">Open And Close</x:t>
        </x:is>
      </x:c>
      <x:c r="D147" s="94" t="inlineStr">
        <x:is>
          <x:t xml:space="preserve">controlled open button opens menu</x:t>
        </x:is>
      </x:c>
      <x:c r="E147" s="93" t="inlineStr">
        <x:is>
          <x:t xml:space="preserve">yes</x:t>
        </x:is>
      </x:c>
      <x:c r="F147" s="93" t="inlineStr">
        <x:is>
          <x:t xml:space="preserve">yes</x:t>
        </x:is>
      </x:c>
      <x:c r="G147" s="93" t="inlineStr">
        <x:is>
          <x:t xml:space="preserve">pass</x:t>
        </x:is>
      </x:c>
      <x:c r="H147" s="93" t="inlineStr">
        <x:is>
          <x:t xml:space="preserve">covered</x:t>
        </x:is>
      </x:c>
      <x:c r="I147" s="94" t="inlineStr">
        <x:is>
          <x:t xml:space="preserve">DropdownMenu playground manual verification.</x:t>
        </x:is>
      </x:c>
      <x:c r="J147" s="94" t="n"/>
      <x:c r="K147" s="95" t="n">
        <x:f>IF(AND(E147="yes",F147="yes",H147="covered"),1,IF(H147="partial",0.5,0))</x:f>
        <x:v>1</x:v>
      </x:c>
    </x:row>
    <x:row r="148" s="51" customFormat="1" ht="31.5" customHeight="1">
      <x:c r="A148" s="93" t="n">
        <x:v>140</x:v>
      </x:c>
      <x:c r="B148" s="94" t="inlineStr">
        <x:is>
          <x:t xml:space="preserve">Interaction</x:t>
        </x:is>
      </x:c>
      <x:c r="C148" s="94" t="inlineStr">
        <x:is>
          <x:t xml:space="preserve">Open And Close</x:t>
        </x:is>
      </x:c>
      <x:c r="D148" s="94" t="inlineStr">
        <x:is>
          <x:t xml:space="preserve">controlled close button closes menu</x:t>
        </x:is>
      </x:c>
      <x:c r="E148" s="93" t="inlineStr">
        <x:is>
          <x:t xml:space="preserve">yes</x:t>
        </x:is>
      </x:c>
      <x:c r="F148" s="93" t="inlineStr">
        <x:is>
          <x:t xml:space="preserve">yes</x:t>
        </x:is>
      </x:c>
      <x:c r="G148" s="93" t="inlineStr">
        <x:is>
          <x:t xml:space="preserve">pass</x:t>
        </x:is>
      </x:c>
      <x:c r="H148" s="93" t="inlineStr">
        <x:is>
          <x:t xml:space="preserve">covered</x:t>
        </x:is>
      </x:c>
      <x:c r="I148" s="94" t="inlineStr">
        <x:is>
          <x:t xml:space="preserve">DropdownMenu playground manual verification.</x:t>
        </x:is>
      </x:c>
      <x:c r="J148" s="94" t="n"/>
      <x:c r="K148" s="95" t="n">
        <x:f>IF(AND(E148="yes",F148="yes",H148="covered"),1,IF(H148="partial",0.5,0))</x:f>
        <x:v>1</x:v>
      </x:c>
    </x:row>
    <x:row r="149" s="51" customFormat="1" ht="31.5" customHeight="1">
      <x:c r="A149" s="93" t="n">
        <x:v>141</x:v>
      </x:c>
      <x:c r="B149" s="94" t="inlineStr">
        <x:is>
          <x:t xml:space="preserve">Interaction</x:t>
        </x:is>
      </x:c>
      <x:c r="C149" s="94" t="inlineStr">
        <x:is>
          <x:t xml:space="preserve">Open And Close</x:t>
        </x:is>
      </x:c>
      <x:c r="D149" s="94" t="inlineStr">
        <x:is>
          <x:t xml:space="preserve">outside click closes menu</x:t>
        </x:is>
      </x:c>
      <x:c r="E149" s="93" t="inlineStr">
        <x:is>
          <x:t xml:space="preserve">yes</x:t>
        </x:is>
      </x:c>
      <x:c r="F149" s="93" t="inlineStr">
        <x:is>
          <x:t xml:space="preserve">yes</x:t>
        </x:is>
      </x:c>
      <x:c r="G149" s="93" t="inlineStr">
        <x:is>
          <x:t xml:space="preserve">pass</x:t>
        </x:is>
      </x:c>
      <x:c r="H149" s="93" t="inlineStr">
        <x:is>
          <x:t xml:space="preserve">covered</x:t>
        </x:is>
      </x:c>
      <x:c r="I149" s="94" t="inlineStr">
        <x:is>
          <x:t xml:space="preserve">DropdownMenu playground manual verification.</x:t>
        </x:is>
      </x:c>
      <x:c r="J149" s="94" t="n"/>
      <x:c r="K149" s="95" t="n">
        <x:f>IF(AND(E149="yes",F149="yes",H149="covered"),1,IF(H149="partial",0.5,0))</x:f>
        <x:v>1</x:v>
      </x:c>
    </x:row>
    <x:row r="150" s="51" customFormat="1" ht="31.5" customHeight="1">
      <x:c r="A150" s="93" t="n">
        <x:v>142</x:v>
      </x:c>
      <x:c r="B150" s="94" t="inlineStr">
        <x:is>
          <x:t xml:space="preserve">Interaction</x:t>
        </x:is>
      </x:c>
      <x:c r="C150" s="94" t="inlineStr">
        <x:is>
          <x:t xml:space="preserve">Open And Close</x:t>
        </x:is>
      </x:c>
      <x:c r="D150" s="94" t="inlineStr">
        <x:is>
          <x:t xml:space="preserve">outside click closes submenu</x:t>
        </x:is>
      </x:c>
      <x:c r="E150" s="93" t="inlineStr">
        <x:is>
          <x:t xml:space="preserve">yes</x:t>
        </x:is>
      </x:c>
      <x:c r="F150" s="93" t="inlineStr">
        <x:is>
          <x:t xml:space="preserve">yes</x:t>
        </x:is>
      </x:c>
      <x:c r="G150" s="93" t="inlineStr">
        <x:is>
          <x:t xml:space="preserve">pass</x:t>
        </x:is>
      </x:c>
      <x:c r="H150" s="93" t="inlineStr">
        <x:is>
          <x:t xml:space="preserve">covered</x:t>
        </x:is>
      </x:c>
      <x:c r="I150" s="94" t="inlineStr">
        <x:is>
          <x:t xml:space="preserve">DropdownMenu playground manual verification.</x:t>
        </x:is>
      </x:c>
      <x:c r="J150" s="94" t="n"/>
      <x:c r="K150" s="95" t="n">
        <x:f>IF(AND(E150="yes",F150="yes",H150="covered"),1,IF(H150="partial",0.5,0))</x:f>
        <x:v>1</x:v>
      </x:c>
    </x:row>
    <x:row r="151" s="51" customFormat="1" ht="30" customHeight="1">
      <x:c r="A151" s="73" t="n">
        <x:v>143</x:v>
      </x:c>
      <x:c r="B151" s="84" t="inlineStr">
        <x:is>
          <x:t xml:space="preserve">Interaction</x:t>
        </x:is>
      </x:c>
      <x:c r="C151" s="84" t="inlineStr">
        <x:is>
          <x:t xml:space="preserve">Open And Close</x:t>
        </x:is>
      </x:c>
      <x:c r="D151" s="84" t="inlineStr">
        <x:is>
          <x:t xml:space="preserve">Tab closes every menu level and moves focus after the complete DropdownMenu owner boundary</x:t>
        </x:is>
      </x:c>
      <x:c r="E151" s="76" t="inlineStr">
        <x:is>
          <x:t xml:space="preserve">yes</x:t>
        </x:is>
      </x:c>
      <x:c r="F151" s="85" t="inlineStr">
        <x:is>
          <x:t xml:space="preserve">no</x:t>
        </x:is>
      </x:c>
      <x:c r="G151" s="73" t="inlineStr">
        <x:is>
          <x:t xml:space="preserve">automated tests pass; manual pending</x:t>
        </x:is>
      </x:c>
      <x:c r="H151" s="86" t="inlineStr">
        <x:is>
          <x:t xml:space="preserve">untested</x:t>
        </x:is>
      </x:c>
      <x:c r="I151" s="84" t="inlineStr">
        <x:is>
          <x:t xml:space="preserve">playground/.manual-tests/dropdown-menu.md (draft)</x:t>
        </x:is>
      </x:c>
      <x:c r="J151" s="84" t="inlineStr">
        <x:is>
          <x:t xml:space="preserve">Run the updated component Manual Test Protocol and named browser/device matrix.</x:t>
        </x:is>
      </x:c>
      <x:c r="K151" s="87" t="n">
        <x:f>IF(AND(E151="yes",F151="yes",H151="covered"),1,IF(H151="partial",0.5,0))</x:f>
        <x:v>0</x:v>
      </x:c>
    </x:row>
    <x:row r="152" s="51" customFormat="1" ht="31.5" customHeight="1">
      <x:c r="A152" s="93" t="n">
        <x:v>144</x:v>
      </x:c>
      <x:c r="B152" s="94" t="inlineStr">
        <x:is>
          <x:t xml:space="preserve">Interaction</x:t>
        </x:is>
      </x:c>
      <x:c r="C152" s="94" t="inlineStr">
        <x:is>
          <x:t xml:space="preserve">Open And Close</x:t>
        </x:is>
      </x:c>
      <x:c r="D152" s="94" t="inlineStr">
        <x:is>
          <x:t xml:space="preserve">Escape closes root menu and returns focus</x:t>
        </x:is>
      </x:c>
      <x:c r="E152" s="93" t="inlineStr">
        <x:is>
          <x:t xml:space="preserve">yes</x:t>
        </x:is>
      </x:c>
      <x:c r="F152" s="93" t="inlineStr">
        <x:is>
          <x:t xml:space="preserve">yes</x:t>
        </x:is>
      </x:c>
      <x:c r="G152" s="93" t="inlineStr">
        <x:is>
          <x:t xml:space="preserve">pass</x:t>
        </x:is>
      </x:c>
      <x:c r="H152" s="93" t="inlineStr">
        <x:is>
          <x:t xml:space="preserve">covered</x:t>
        </x:is>
      </x:c>
      <x:c r="I152" s="94" t="inlineStr">
        <x:is>
          <x:t xml:space="preserve">DropdownMenu playground manual verification.</x:t>
        </x:is>
      </x:c>
      <x:c r="J152" s="94" t="n"/>
      <x:c r="K152" s="95" t="n">
        <x:f>IF(AND(E152="yes",F152="yes",H152="covered"),1,IF(H152="partial",0.5,0))</x:f>
        <x:v>1</x:v>
      </x:c>
    </x:row>
    <x:row r="153" s="51" customFormat="1" ht="30" customHeight="1">
      <x:c r="A153" s="73" t="n">
        <x:v>145</x:v>
      </x:c>
      <x:c r="B153" s="84" t="inlineStr">
        <x:is>
          <x:t xml:space="preserve">Interaction</x:t>
        </x:is>
      </x:c>
      <x:c r="C153" s="84" t="inlineStr">
        <x:is>
          <x:t xml:space="preserve">Open And Close</x:t>
        </x:is>
      </x:c>
      <x:c r="D153" s="84" t="inlineStr">
        <x:is>
          <x:t xml:space="preserve">Escape closes the innermost submenu first and restores real focus to its SubTrigger</x:t>
        </x:is>
      </x:c>
      <x:c r="E153" s="76" t="inlineStr">
        <x:is>
          <x:t xml:space="preserve">yes</x:t>
        </x:is>
      </x:c>
      <x:c r="F153" s="85" t="inlineStr">
        <x:is>
          <x:t xml:space="preserve">no</x:t>
        </x:is>
      </x:c>
      <x:c r="G153" s="73" t="inlineStr">
        <x:is>
          <x:t xml:space="preserve">automated tests pass; manual pending</x:t>
        </x:is>
      </x:c>
      <x:c r="H153" s="86" t="inlineStr">
        <x:is>
          <x:t xml:space="preserve">untested</x:t>
        </x:is>
      </x:c>
      <x:c r="I153" s="84" t="inlineStr">
        <x:is>
          <x:t xml:space="preserve">playground/.manual-tests/dropdown-menu.md (draft)</x:t>
        </x:is>
      </x:c>
      <x:c r="J153" s="84" t="inlineStr">
        <x:is>
          <x:t xml:space="preserve">Run the updated component Manual Test Protocol and named browser/device matrix.</x:t>
        </x:is>
      </x:c>
      <x:c r="K153" s="87" t="n">
        <x:f>IF(AND(E153="yes",F153="yes",H153="covered"),1,IF(H153="partial",0.5,0))</x:f>
        <x:v>0</x:v>
      </x:c>
    </x:row>
    <x:row r="154" s="51" customFormat="1" ht="31.5" customHeight="1">
      <x:c r="A154" s="93" t="n">
        <x:v>146</x:v>
      </x:c>
      <x:c r="B154" s="94" t="inlineStr">
        <x:is>
          <x:t xml:space="preserve">Interaction</x:t>
        </x:is>
      </x:c>
      <x:c r="C154" s="94" t="inlineStr">
        <x:is>
          <x:t xml:space="preserve">Open And Close</x:t>
        </x:is>
      </x:c>
      <x:c r="D154" s="94" t="inlineStr">
        <x:is>
          <x:t xml:space="preserve">selecting action item closes menu when enabled</x:t>
        </x:is>
      </x:c>
      <x:c r="E154" s="93" t="inlineStr">
        <x:is>
          <x:t xml:space="preserve">yes</x:t>
        </x:is>
      </x:c>
      <x:c r="F154" s="93" t="inlineStr">
        <x:is>
          <x:t xml:space="preserve">yes</x:t>
        </x:is>
      </x:c>
      <x:c r="G154" s="93" t="inlineStr">
        <x:is>
          <x:t xml:space="preserve">pass</x:t>
        </x:is>
      </x:c>
      <x:c r="H154" s="93" t="inlineStr">
        <x:is>
          <x:t xml:space="preserve">covered</x:t>
        </x:is>
      </x:c>
      <x:c r="I154" s="94" t="inlineStr">
        <x:is>
          <x:t xml:space="preserve">DropdownMenu playground manual verification.</x:t>
        </x:is>
      </x:c>
      <x:c r="J154" s="94" t="n"/>
      <x:c r="K154" s="95" t="n">
        <x:f>IF(AND(E154="yes",F154="yes",H154="covered"),1,IF(H154="partial",0.5,0))</x:f>
        <x:v>1</x:v>
      </x:c>
    </x:row>
    <x:row r="155" s="51" customFormat="1" ht="31.5" customHeight="1">
      <x:c r="A155" s="93" t="n">
        <x:v>147</x:v>
      </x:c>
      <x:c r="B155" s="94" t="inlineStr">
        <x:is>
          <x:t xml:space="preserve">Interaction</x:t>
        </x:is>
      </x:c>
      <x:c r="C155" s="94" t="inlineStr">
        <x:is>
          <x:t xml:space="preserve">Open And Close</x:t>
        </x:is>
      </x:c>
      <x:c r="D155" s="94" t="inlineStr">
        <x:is>
          <x:t xml:space="preserve">selecting checkbox/radio stays open by default</x:t>
        </x:is>
      </x:c>
      <x:c r="E155" s="93" t="inlineStr">
        <x:is>
          <x:t xml:space="preserve">yes</x:t>
        </x:is>
      </x:c>
      <x:c r="F155" s="93" t="inlineStr">
        <x:is>
          <x:t xml:space="preserve">yes</x:t>
        </x:is>
      </x:c>
      <x:c r="G155" s="93" t="inlineStr">
        <x:is>
          <x:t xml:space="preserve">pass</x:t>
        </x:is>
      </x:c>
      <x:c r="H155" s="93" t="inlineStr">
        <x:is>
          <x:t xml:space="preserve">covered</x:t>
        </x:is>
      </x:c>
      <x:c r="I155" s="94" t="inlineStr">
        <x:is>
          <x:t xml:space="preserve">DropdownMenu playground manual verification.</x:t>
        </x:is>
      </x:c>
      <x:c r="J155" s="94" t="n"/>
      <x:c r="K155" s="95" t="n">
        <x:f>IF(AND(E155="yes",F155="yes",H155="covered"),1,IF(H155="partial",0.5,0))</x:f>
        <x:v>1</x:v>
      </x:c>
    </x:row>
    <x:row r="156" s="51" customFormat="1" ht="31.5" customHeight="1">
      <x:c r="A156" s="93" t="n">
        <x:v>148</x:v>
      </x:c>
      <x:c r="B156" s="94" t="inlineStr">
        <x:is>
          <x:t xml:space="preserve">Interaction</x:t>
        </x:is>
      </x:c>
      <x:c r="C156" s="94" t="inlineStr">
        <x:is>
          <x:t xml:space="preserve">Open And Close</x:t>
        </x:is>
      </x:c>
      <x:c r="D156" s="94" t="inlineStr">
        <x:is>
          <x:t xml:space="preserve">selecting submenu item closes submenu and parent menu</x:t>
        </x:is>
      </x:c>
      <x:c r="E156" s="93" t="inlineStr">
        <x:is>
          <x:t xml:space="preserve">yes</x:t>
        </x:is>
      </x:c>
      <x:c r="F156" s="93" t="inlineStr">
        <x:is>
          <x:t xml:space="preserve">yes</x:t>
        </x:is>
      </x:c>
      <x:c r="G156" s="93" t="inlineStr">
        <x:is>
          <x:t xml:space="preserve">pass</x:t>
        </x:is>
      </x:c>
      <x:c r="H156" s="93" t="inlineStr">
        <x:is>
          <x:t xml:space="preserve">covered</x:t>
        </x:is>
      </x:c>
      <x:c r="I156" s="94" t="inlineStr">
        <x:is>
          <x:t xml:space="preserve">DropdownMenu playground manual verification.</x:t>
        </x:is>
      </x:c>
      <x:c r="J156" s="94" t="n"/>
      <x:c r="K156" s="95" t="n">
        <x:f>IF(AND(E156="yes",F156="yes",H156="covered"),1,IF(H156="partial",0.5,0))</x:f>
        <x:v>1</x:v>
      </x:c>
    </x:row>
    <x:row r="157" s="51" customFormat="1" ht="31.5" customHeight="1">
      <x:c r="A157" s="93" t="n">
        <x:v>149</x:v>
      </x:c>
      <x:c r="B157" s="94" t="inlineStr">
        <x:is>
          <x:t xml:space="preserve">Keyboard</x:t>
        </x:is>
      </x:c>
      <x:c r="C157" s="94" t="inlineStr">
        <x:is>
          <x:t xml:space="preserve">Navigation</x:t>
        </x:is>
      </x:c>
      <x:c r="D157" s="94" t="inlineStr">
        <x:is>
          <x:t xml:space="preserve">ArrowDown opens from trigger and highlights first enabled item</x:t>
        </x:is>
      </x:c>
      <x:c r="E157" s="93" t="inlineStr">
        <x:is>
          <x:t xml:space="preserve">yes</x:t>
        </x:is>
      </x:c>
      <x:c r="F157" s="93" t="inlineStr">
        <x:is>
          <x:t xml:space="preserve">yes</x:t>
        </x:is>
      </x:c>
      <x:c r="G157" s="93" t="inlineStr">
        <x:is>
          <x:t xml:space="preserve">pass</x:t>
        </x:is>
      </x:c>
      <x:c r="H157" s="93" t="inlineStr">
        <x:is>
          <x:t xml:space="preserve">covered</x:t>
        </x:is>
      </x:c>
      <x:c r="I157" s="94" t="inlineStr">
        <x:is>
          <x:t xml:space="preserve">DropdownMenu playground manual verification.</x:t>
        </x:is>
      </x:c>
      <x:c r="J157" s="94" t="n"/>
      <x:c r="K157" s="95" t="n">
        <x:f>IF(AND(E157="yes",F157="yes",H157="covered"),1,IF(H157="partial",0.5,0))</x:f>
        <x:v>1</x:v>
      </x:c>
    </x:row>
    <x:row r="158" s="51" customFormat="1" ht="31.5" customHeight="1">
      <x:c r="A158" s="93" t="n">
        <x:v>150</x:v>
      </x:c>
      <x:c r="B158" s="94" t="inlineStr">
        <x:is>
          <x:t xml:space="preserve">Keyboard</x:t>
        </x:is>
      </x:c>
      <x:c r="C158" s="94" t="inlineStr">
        <x:is>
          <x:t xml:space="preserve">Navigation</x:t>
        </x:is>
      </x:c>
      <x:c r="D158" s="94" t="inlineStr">
        <x:is>
          <x:t xml:space="preserve">ArrowUp opens from trigger and highlights last enabled item</x:t>
        </x:is>
      </x:c>
      <x:c r="E158" s="93" t="inlineStr">
        <x:is>
          <x:t xml:space="preserve">yes</x:t>
        </x:is>
      </x:c>
      <x:c r="F158" s="93" t="inlineStr">
        <x:is>
          <x:t xml:space="preserve">yes</x:t>
        </x:is>
      </x:c>
      <x:c r="G158" s="93" t="inlineStr">
        <x:is>
          <x:t xml:space="preserve">pass</x:t>
        </x:is>
      </x:c>
      <x:c r="H158" s="93" t="inlineStr">
        <x:is>
          <x:t xml:space="preserve">covered</x:t>
        </x:is>
      </x:c>
      <x:c r="I158" s="94" t="inlineStr">
        <x:is>
          <x:t xml:space="preserve">DropdownMenu playground manual verification.</x:t>
        </x:is>
      </x:c>
      <x:c r="J158" s="94" t="n"/>
      <x:c r="K158" s="95" t="n">
        <x:f>IF(AND(E158="yes",F158="yes",H158="covered"),1,IF(H158="partial",0.5,0))</x:f>
        <x:v>1</x:v>
      </x:c>
    </x:row>
    <x:row r="159" s="51" customFormat="1" ht="31.5" customHeight="1">
      <x:c r="A159" s="93" t="n">
        <x:v>151</x:v>
      </x:c>
      <x:c r="B159" s="94" t="inlineStr">
        <x:is>
          <x:t xml:space="preserve">Keyboard</x:t>
        </x:is>
      </x:c>
      <x:c r="C159" s="94" t="inlineStr">
        <x:is>
          <x:t xml:space="preserve">Navigation</x:t>
        </x:is>
      </x:c>
      <x:c r="D159" s="94" t="inlineStr">
        <x:is>
          <x:t xml:space="preserve">Enter opens from trigger and highlights first enabled item</x:t>
        </x:is>
      </x:c>
      <x:c r="E159" s="93" t="inlineStr">
        <x:is>
          <x:t xml:space="preserve">yes</x:t>
        </x:is>
      </x:c>
      <x:c r="F159" s="93" t="inlineStr">
        <x:is>
          <x:t xml:space="preserve">yes</x:t>
        </x:is>
      </x:c>
      <x:c r="G159" s="93" t="inlineStr">
        <x:is>
          <x:t xml:space="preserve">pass</x:t>
        </x:is>
      </x:c>
      <x:c r="H159" s="93" t="inlineStr">
        <x:is>
          <x:t xml:space="preserve">covered</x:t>
        </x:is>
      </x:c>
      <x:c r="I159" s="94" t="inlineStr">
        <x:is>
          <x:t xml:space="preserve">DropdownMenu playground manual verification.</x:t>
        </x:is>
      </x:c>
      <x:c r="J159" s="94" t="n"/>
      <x:c r="K159" s="95" t="n">
        <x:f>IF(AND(E159="yes",F159="yes",H159="covered"),1,IF(H159="partial",0.5,0))</x:f>
        <x:v>1</x:v>
      </x:c>
    </x:row>
    <x:row r="160" s="51" customFormat="1" ht="31.5" customHeight="1">
      <x:c r="A160" s="93" t="n">
        <x:v>152</x:v>
      </x:c>
      <x:c r="B160" s="94" t="inlineStr">
        <x:is>
          <x:t xml:space="preserve">Keyboard</x:t>
        </x:is>
      </x:c>
      <x:c r="C160" s="94" t="inlineStr">
        <x:is>
          <x:t xml:space="preserve">Navigation</x:t>
        </x:is>
      </x:c>
      <x:c r="D160" s="94" t="inlineStr">
        <x:is>
          <x:t xml:space="preserve">Space opens from trigger and highlights first enabled item</x:t>
        </x:is>
      </x:c>
      <x:c r="E160" s="93" t="inlineStr">
        <x:is>
          <x:t xml:space="preserve">yes</x:t>
        </x:is>
      </x:c>
      <x:c r="F160" s="93" t="inlineStr">
        <x:is>
          <x:t xml:space="preserve">yes</x:t>
        </x:is>
      </x:c>
      <x:c r="G160" s="93" t="inlineStr">
        <x:is>
          <x:t xml:space="preserve">pass</x:t>
        </x:is>
      </x:c>
      <x:c r="H160" s="93" t="inlineStr">
        <x:is>
          <x:t xml:space="preserve">covered</x:t>
        </x:is>
      </x:c>
      <x:c r="I160" s="94" t="inlineStr">
        <x:is>
          <x:t xml:space="preserve">DropdownMenu playground manual verification.</x:t>
        </x:is>
      </x:c>
      <x:c r="J160" s="94" t="n"/>
      <x:c r="K160" s="95" t="n">
        <x:f>IF(AND(E160="yes",F160="yes",H160="covered"),1,IF(H160="partial",0.5,0))</x:f>
        <x:v>1</x:v>
      </x:c>
    </x:row>
    <x:row r="161" s="51" customFormat="1" ht="30" customHeight="1">
      <x:c r="A161" s="73" t="n">
        <x:v>153</x:v>
      </x:c>
      <x:c r="B161" s="84" t="inlineStr">
        <x:is>
          <x:t xml:space="preserve">Keyboard</x:t>
        </x:is>
      </x:c>
      <x:c r="C161" s="84" t="inlineStr">
        <x:is>
          <x:t xml:space="preserve">Navigation</x:t>
        </x:is>
      </x:c>
      <x:c r="D161" s="84" t="inlineStr">
        <x:is>
          <x:t xml:space="preserve">ArrowDown moves real focus to the next item, including disabled items</x:t>
        </x:is>
      </x:c>
      <x:c r="E161" s="76" t="inlineStr">
        <x:is>
          <x:t xml:space="preserve">yes</x:t>
        </x:is>
      </x:c>
      <x:c r="F161" s="85" t="inlineStr">
        <x:is>
          <x:t xml:space="preserve">no</x:t>
        </x:is>
      </x:c>
      <x:c r="G161" s="73" t="inlineStr">
        <x:is>
          <x:t xml:space="preserve">automated tests pass; manual pending</x:t>
        </x:is>
      </x:c>
      <x:c r="H161" s="86" t="inlineStr">
        <x:is>
          <x:t xml:space="preserve">untested</x:t>
        </x:is>
      </x:c>
      <x:c r="I161" s="84" t="inlineStr">
        <x:is>
          <x:t xml:space="preserve">playground/.manual-tests/dropdown-menu.md (draft)</x:t>
        </x:is>
      </x:c>
      <x:c r="J161" s="84" t="inlineStr">
        <x:is>
          <x:t xml:space="preserve">Run the updated component Manual Test Protocol and named browser/device matrix.</x:t>
        </x:is>
      </x:c>
      <x:c r="K161" s="87" t="n">
        <x:f>IF(AND(E161="yes",F161="yes",H161="covered"),1,IF(H161="partial",0.5,0))</x:f>
        <x:v>0</x:v>
      </x:c>
    </x:row>
    <x:row r="162" s="51" customFormat="1" ht="30" customHeight="1">
      <x:c r="A162" s="73" t="n">
        <x:v>154</x:v>
      </x:c>
      <x:c r="B162" s="84" t="inlineStr">
        <x:is>
          <x:t xml:space="preserve">Keyboard</x:t>
        </x:is>
      </x:c>
      <x:c r="C162" s="84" t="inlineStr">
        <x:is>
          <x:t xml:space="preserve">Navigation</x:t>
        </x:is>
      </x:c>
      <x:c r="D162" s="84" t="inlineStr">
        <x:is>
          <x:t xml:space="preserve">ArrowUp moves real focus to the previous item, including disabled items</x:t>
        </x:is>
      </x:c>
      <x:c r="E162" s="76" t="inlineStr">
        <x:is>
          <x:t xml:space="preserve">yes</x:t>
        </x:is>
      </x:c>
      <x:c r="F162" s="85" t="inlineStr">
        <x:is>
          <x:t xml:space="preserve">no</x:t>
        </x:is>
      </x:c>
      <x:c r="G162" s="73" t="inlineStr">
        <x:is>
          <x:t xml:space="preserve">automated tests pass; manual pending</x:t>
        </x:is>
      </x:c>
      <x:c r="H162" s="86" t="inlineStr">
        <x:is>
          <x:t xml:space="preserve">untested</x:t>
        </x:is>
      </x:c>
      <x:c r="I162" s="84" t="inlineStr">
        <x:is>
          <x:t xml:space="preserve">playground/.manual-tests/dropdown-menu.md (draft)</x:t>
        </x:is>
      </x:c>
      <x:c r="J162" s="84" t="inlineStr">
        <x:is>
          <x:t xml:space="preserve">Run the updated component Manual Test Protocol and named browser/device matrix.</x:t>
        </x:is>
      </x:c>
      <x:c r="K162" s="87" t="n">
        <x:f>IF(AND(E162="yes",F162="yes",H162="covered"),1,IF(H162="partial",0.5,0))</x:f>
        <x:v>0</x:v>
      </x:c>
    </x:row>
    <x:row r="163" s="51" customFormat="1" ht="30" customHeight="1">
      <x:c r="A163" s="73" t="n">
        <x:v>155</x:v>
      </x:c>
      <x:c r="B163" s="84" t="inlineStr">
        <x:is>
          <x:t xml:space="preserve">Keyboard</x:t>
        </x:is>
      </x:c>
      <x:c r="C163" s="84" t="inlineStr">
        <x:is>
          <x:t xml:space="preserve">Navigation</x:t>
        </x:is>
      </x:c>
      <x:c r="D163" s="84" t="inlineStr">
        <x:is>
          <x:t xml:space="preserve">Home moves real focus to the first item</x:t>
        </x:is>
      </x:c>
      <x:c r="E163" s="76" t="inlineStr">
        <x:is>
          <x:t xml:space="preserve">yes</x:t>
        </x:is>
      </x:c>
      <x:c r="F163" s="85" t="inlineStr">
        <x:is>
          <x:t xml:space="preserve">no</x:t>
        </x:is>
      </x:c>
      <x:c r="G163" s="73" t="inlineStr">
        <x:is>
          <x:t xml:space="preserve">automated tests pass; manual pending</x:t>
        </x:is>
      </x:c>
      <x:c r="H163" s="86" t="inlineStr">
        <x:is>
          <x:t xml:space="preserve">untested</x:t>
        </x:is>
      </x:c>
      <x:c r="I163" s="84" t="inlineStr">
        <x:is>
          <x:t xml:space="preserve">playground/.manual-tests/dropdown-menu.md (draft)</x:t>
        </x:is>
      </x:c>
      <x:c r="J163" s="84" t="inlineStr">
        <x:is>
          <x:t xml:space="preserve">Run the updated component Manual Test Protocol and named browser/device matrix.</x:t>
        </x:is>
      </x:c>
      <x:c r="K163" s="87" t="n">
        <x:f>IF(AND(E163="yes",F163="yes",H163="covered"),1,IF(H163="partial",0.5,0))</x:f>
        <x:v>0</x:v>
      </x:c>
    </x:row>
    <x:row r="164" s="51" customFormat="1" ht="30" customHeight="1">
      <x:c r="A164" s="73" t="n">
        <x:v>156</x:v>
      </x:c>
      <x:c r="B164" s="84" t="inlineStr">
        <x:is>
          <x:t xml:space="preserve">Keyboard</x:t>
        </x:is>
      </x:c>
      <x:c r="C164" s="84" t="inlineStr">
        <x:is>
          <x:t xml:space="preserve">Navigation</x:t>
        </x:is>
      </x:c>
      <x:c r="D164" s="84" t="inlineStr">
        <x:is>
          <x:t xml:space="preserve">End moves real focus to the last item</x:t>
        </x:is>
      </x:c>
      <x:c r="E164" s="76" t="inlineStr">
        <x:is>
          <x:t xml:space="preserve">yes</x:t>
        </x:is>
      </x:c>
      <x:c r="F164" s="85" t="inlineStr">
        <x:is>
          <x:t xml:space="preserve">no</x:t>
        </x:is>
      </x:c>
      <x:c r="G164" s="73" t="inlineStr">
        <x:is>
          <x:t xml:space="preserve">automated tests pass; manual pending</x:t>
        </x:is>
      </x:c>
      <x:c r="H164" s="86" t="inlineStr">
        <x:is>
          <x:t xml:space="preserve">untested</x:t>
        </x:is>
      </x:c>
      <x:c r="I164" s="84" t="inlineStr">
        <x:is>
          <x:t xml:space="preserve">playground/.manual-tests/dropdown-menu.md (draft)</x:t>
        </x:is>
      </x:c>
      <x:c r="J164" s="84" t="inlineStr">
        <x:is>
          <x:t xml:space="preserve">Run the updated component Manual Test Protocol and named browser/device matrix.</x:t>
        </x:is>
      </x:c>
      <x:c r="K164" s="87" t="n">
        <x:f>IF(AND(E164="yes",F164="yes",H164="covered"),1,IF(H164="partial",0.5,0))</x:f>
        <x:v>0</x:v>
      </x:c>
    </x:row>
    <x:row r="165" s="51" customFormat="1" ht="31.5" customHeight="1">
      <x:c r="A165" s="93" t="n">
        <x:v>157</x:v>
      </x:c>
      <x:c r="B165" s="94" t="inlineStr">
        <x:is>
          <x:t xml:space="preserve">Keyboard</x:t>
        </x:is>
      </x:c>
      <x:c r="C165" s="94" t="inlineStr">
        <x:is>
          <x:t xml:space="preserve">Navigation</x:t>
        </x:is>
      </x:c>
      <x:c r="D165" s="94" t="inlineStr">
        <x:is>
          <x:t xml:space="preserve">loop forward wraps to first</x:t>
        </x:is>
      </x:c>
      <x:c r="E165" s="93" t="inlineStr">
        <x:is>
          <x:t xml:space="preserve">yes</x:t>
        </x:is>
      </x:c>
      <x:c r="F165" s="93" t="inlineStr">
        <x:is>
          <x:t xml:space="preserve">yes</x:t>
        </x:is>
      </x:c>
      <x:c r="G165" s="93" t="inlineStr">
        <x:is>
          <x:t xml:space="preserve">pass</x:t>
        </x:is>
      </x:c>
      <x:c r="H165" s="93" t="inlineStr">
        <x:is>
          <x:t xml:space="preserve">covered</x:t>
        </x:is>
      </x:c>
      <x:c r="I165" s="94" t="inlineStr">
        <x:is>
          <x:t xml:space="preserve">DropdownMenu playground manual verification.</x:t>
        </x:is>
      </x:c>
      <x:c r="J165" s="94" t="n"/>
      <x:c r="K165" s="95" t="n">
        <x:f>IF(AND(E165="yes",F165="yes",H165="covered"),1,IF(H165="partial",0.5,0))</x:f>
        <x:v>1</x:v>
      </x:c>
    </x:row>
    <x:row r="166" s="51" customFormat="1" ht="31.5" customHeight="1">
      <x:c r="A166" s="93" t="n">
        <x:v>158</x:v>
      </x:c>
      <x:c r="B166" s="94" t="inlineStr">
        <x:is>
          <x:t xml:space="preserve">Keyboard</x:t>
        </x:is>
      </x:c>
      <x:c r="C166" s="94" t="inlineStr">
        <x:is>
          <x:t xml:space="preserve">Navigation</x:t>
        </x:is>
      </x:c>
      <x:c r="D166" s="94" t="inlineStr">
        <x:is>
          <x:t xml:space="preserve">loop backward wraps to last</x:t>
        </x:is>
      </x:c>
      <x:c r="E166" s="93" t="inlineStr">
        <x:is>
          <x:t xml:space="preserve">yes</x:t>
        </x:is>
      </x:c>
      <x:c r="F166" s="93" t="inlineStr">
        <x:is>
          <x:t xml:space="preserve">yes</x:t>
        </x:is>
      </x:c>
      <x:c r="G166" s="93" t="inlineStr">
        <x:is>
          <x:t xml:space="preserve">pass</x:t>
        </x:is>
      </x:c>
      <x:c r="H166" s="93" t="inlineStr">
        <x:is>
          <x:t xml:space="preserve">covered</x:t>
        </x:is>
      </x:c>
      <x:c r="I166" s="94" t="inlineStr">
        <x:is>
          <x:t xml:space="preserve">DropdownMenu playground manual verification.</x:t>
        </x:is>
      </x:c>
      <x:c r="J166" s="94" t="n"/>
      <x:c r="K166" s="95" t="n">
        <x:f>IF(AND(E166="yes",F166="yes",H166="covered"),1,IF(H166="partial",0.5,0))</x:f>
        <x:v>1</x:v>
      </x:c>
    </x:row>
    <x:row r="167" s="51" customFormat="1" ht="30" customHeight="1">
      <x:c r="A167" s="73" t="n">
        <x:v>159</x:v>
      </x:c>
      <x:c r="B167" s="84" t="inlineStr">
        <x:is>
          <x:t xml:space="preserve">Keyboard</x:t>
        </x:is>
      </x:c>
      <x:c r="C167" s="84" t="inlineStr">
        <x:is>
          <x:t xml:space="preserve">Navigation</x:t>
        </x:is>
      </x:c>
      <x:c r="D167" s="84" t="inlineStr">
        <x:is>
          <x:t xml:space="preserve">disabled items participate in Arrow and typeahead focus movement but never activate</x:t>
        </x:is>
      </x:c>
      <x:c r="E167" s="76" t="inlineStr">
        <x:is>
          <x:t xml:space="preserve">yes</x:t>
        </x:is>
      </x:c>
      <x:c r="F167" s="85" t="inlineStr">
        <x:is>
          <x:t xml:space="preserve">no</x:t>
        </x:is>
      </x:c>
      <x:c r="G167" s="73" t="inlineStr">
        <x:is>
          <x:t xml:space="preserve">automated tests pass; manual pending</x:t>
        </x:is>
      </x:c>
      <x:c r="H167" s="86" t="inlineStr">
        <x:is>
          <x:t xml:space="preserve">untested</x:t>
        </x:is>
      </x:c>
      <x:c r="I167" s="84" t="inlineStr">
        <x:is>
          <x:t xml:space="preserve">playground/.manual-tests/dropdown-menu.md (draft)</x:t>
        </x:is>
      </x:c>
      <x:c r="J167" s="84" t="inlineStr">
        <x:is>
          <x:t xml:space="preserve">Run the updated component Manual Test Protocol and named browser/device matrix.</x:t>
        </x:is>
      </x:c>
      <x:c r="K167" s="87" t="n">
        <x:f>IF(AND(E167="yes",F167="yes",H167="covered"),1,IF(H167="partial",0.5,0))</x:f>
        <x:v>0</x:v>
      </x:c>
    </x:row>
    <x:row r="168" s="51" customFormat="1" ht="31.5" customHeight="1">
      <x:c r="A168" s="93" t="n">
        <x:v>160</x:v>
      </x:c>
      <x:c r="B168" s="94" t="inlineStr">
        <x:is>
          <x:t xml:space="preserve">Keyboard</x:t>
        </x:is>
      </x:c>
      <x:c r="C168" s="94" t="inlineStr">
        <x:is>
          <x:t xml:space="preserve">Navigation</x:t>
        </x:is>
      </x:c>
      <x:c r="D168" s="94" t="inlineStr">
        <x:is>
          <x:t xml:space="preserve">separator is skipped by Arrow keys</x:t>
        </x:is>
      </x:c>
      <x:c r="E168" s="93" t="inlineStr">
        <x:is>
          <x:t xml:space="preserve">yes</x:t>
        </x:is>
      </x:c>
      <x:c r="F168" s="93" t="inlineStr">
        <x:is>
          <x:t xml:space="preserve">yes</x:t>
        </x:is>
      </x:c>
      <x:c r="G168" s="93" t="inlineStr">
        <x:is>
          <x:t xml:space="preserve">pass</x:t>
        </x:is>
      </x:c>
      <x:c r="H168" s="93" t="inlineStr">
        <x:is>
          <x:t xml:space="preserve">covered</x:t>
        </x:is>
      </x:c>
      <x:c r="I168" s="94" t="inlineStr">
        <x:is>
          <x:t xml:space="preserve">DropdownMenu playground manual verification.</x:t>
        </x:is>
      </x:c>
      <x:c r="J168" s="94" t="n"/>
      <x:c r="K168" s="95" t="n">
        <x:f>IF(AND(E168="yes",F168="yes",H168="covered"),1,IF(H168="partial",0.5,0))</x:f>
        <x:v>1</x:v>
      </x:c>
    </x:row>
    <x:row r="169" s="51" customFormat="1" ht="31.5" customHeight="1">
      <x:c r="A169" s="93" t="n">
        <x:v>161</x:v>
      </x:c>
      <x:c r="B169" s="94" t="inlineStr">
        <x:is>
          <x:t xml:space="preserve">Keyboard</x:t>
        </x:is>
      </x:c>
      <x:c r="C169" s="94" t="inlineStr">
        <x:is>
          <x:t xml:space="preserve">Navigation</x:t>
        </x:is>
      </x:c>
      <x:c r="D169" s="94" t="inlineStr">
        <x:is>
          <x:t xml:space="preserve">Enter activates highlighted item</x:t>
        </x:is>
      </x:c>
      <x:c r="E169" s="93" t="inlineStr">
        <x:is>
          <x:t xml:space="preserve">yes</x:t>
        </x:is>
      </x:c>
      <x:c r="F169" s="93" t="inlineStr">
        <x:is>
          <x:t xml:space="preserve">yes</x:t>
        </x:is>
      </x:c>
      <x:c r="G169" s="93" t="inlineStr">
        <x:is>
          <x:t xml:space="preserve">pass</x:t>
        </x:is>
      </x:c>
      <x:c r="H169" s="93" t="inlineStr">
        <x:is>
          <x:t xml:space="preserve">covered</x:t>
        </x:is>
      </x:c>
      <x:c r="I169" s="94" t="inlineStr">
        <x:is>
          <x:t xml:space="preserve">DropdownMenu playground manual verification.</x:t>
        </x:is>
      </x:c>
      <x:c r="J169" s="94" t="n"/>
      <x:c r="K169" s="95" t="n">
        <x:f>IF(AND(E169="yes",F169="yes",H169="covered"),1,IF(H169="partial",0.5,0))</x:f>
        <x:v>1</x:v>
      </x:c>
    </x:row>
    <x:row r="170" s="51" customFormat="1" ht="31.5" customHeight="1">
      <x:c r="A170" s="93" t="n">
        <x:v>162</x:v>
      </x:c>
      <x:c r="B170" s="94" t="inlineStr">
        <x:is>
          <x:t xml:space="preserve">Keyboard</x:t>
        </x:is>
      </x:c>
      <x:c r="C170" s="94" t="inlineStr">
        <x:is>
          <x:t xml:space="preserve">Navigation</x:t>
        </x:is>
      </x:c>
      <x:c r="D170" s="94" t="inlineStr">
        <x:is>
          <x:t xml:space="preserve">Space activates highlighted item</x:t>
        </x:is>
      </x:c>
      <x:c r="E170" s="93" t="inlineStr">
        <x:is>
          <x:t xml:space="preserve">yes</x:t>
        </x:is>
      </x:c>
      <x:c r="F170" s="93" t="inlineStr">
        <x:is>
          <x:t xml:space="preserve">yes</x:t>
        </x:is>
      </x:c>
      <x:c r="G170" s="93" t="inlineStr">
        <x:is>
          <x:t xml:space="preserve">pass</x:t>
        </x:is>
      </x:c>
      <x:c r="H170" s="93" t="inlineStr">
        <x:is>
          <x:t xml:space="preserve">covered</x:t>
        </x:is>
      </x:c>
      <x:c r="I170" s="94" t="inlineStr">
        <x:is>
          <x:t xml:space="preserve">DropdownMenu playground manual verification.</x:t>
        </x:is>
      </x:c>
      <x:c r="J170" s="94" t="n"/>
      <x:c r="K170" s="95" t="n">
        <x:f>IF(AND(E170="yes",F170="yes",H170="covered"),1,IF(H170="partial",0.5,0))</x:f>
        <x:v>1</x:v>
      </x:c>
    </x:row>
    <x:row r="171" s="51" customFormat="1" ht="31.5" customHeight="1">
      <x:c r="A171" s="93" t="n">
        <x:v>163</x:v>
      </x:c>
      <x:c r="B171" s="94" t="inlineStr">
        <x:is>
          <x:t xml:space="preserve">Keyboard</x:t>
        </x:is>
      </x:c>
      <x:c r="C171" s="94" t="inlineStr">
        <x:is>
          <x:t xml:space="preserve">Navigation</x:t>
        </x:is>
      </x:c>
      <x:c r="D171" s="94" t="inlineStr">
        <x:is>
          <x:t xml:space="preserve">typeahead highlights matching item</x:t>
        </x:is>
      </x:c>
      <x:c r="E171" s="93" t="inlineStr">
        <x:is>
          <x:t xml:space="preserve">yes</x:t>
        </x:is>
      </x:c>
      <x:c r="F171" s="93" t="inlineStr">
        <x:is>
          <x:t xml:space="preserve">yes</x:t>
        </x:is>
      </x:c>
      <x:c r="G171" s="93" t="inlineStr">
        <x:is>
          <x:t xml:space="preserve">pass</x:t>
        </x:is>
      </x:c>
      <x:c r="H171" s="93" t="inlineStr">
        <x:is>
          <x:t xml:space="preserve">covered</x:t>
        </x:is>
      </x:c>
      <x:c r="I171" s="94" t="inlineStr">
        <x:is>
          <x:t xml:space="preserve">DropdownMenu playground manual verification.</x:t>
        </x:is>
      </x:c>
      <x:c r="J171" s="94" t="n"/>
      <x:c r="K171" s="95" t="n">
        <x:f>IF(AND(E171="yes",F171="yes",H171="covered"),1,IF(H171="partial",0.5,0))</x:f>
        <x:v>1</x:v>
      </x:c>
    </x:row>
    <x:row r="172" s="51" customFormat="1" ht="31.5" customHeight="1">
      <x:c r="A172" s="93" t="n">
        <x:v>164</x:v>
      </x:c>
      <x:c r="B172" s="94" t="inlineStr">
        <x:is>
          <x:t xml:space="preserve">Keyboard</x:t>
        </x:is>
      </x:c>
      <x:c r="C172" s="94" t="inlineStr">
        <x:is>
          <x:t xml:space="preserve">Navigation</x:t>
        </x:is>
      </x:c>
      <x:c r="D172" s="94" t="inlineStr">
        <x:is>
          <x:t xml:space="preserve">typeahead uses explicit textValue</x:t>
        </x:is>
      </x:c>
      <x:c r="E172" s="93" t="inlineStr">
        <x:is>
          <x:t xml:space="preserve">yes</x:t>
        </x:is>
      </x:c>
      <x:c r="F172" s="93" t="inlineStr">
        <x:is>
          <x:t xml:space="preserve">yes</x:t>
        </x:is>
      </x:c>
      <x:c r="G172" s="93" t="inlineStr">
        <x:is>
          <x:t xml:space="preserve">pass</x:t>
        </x:is>
      </x:c>
      <x:c r="H172" s="93" t="inlineStr">
        <x:is>
          <x:t xml:space="preserve">covered</x:t>
        </x:is>
      </x:c>
      <x:c r="I172" s="94" t="inlineStr">
        <x:is>
          <x:t xml:space="preserve">DropdownMenu playground manual verification.</x:t>
        </x:is>
      </x:c>
      <x:c r="J172" s="94" t="n"/>
      <x:c r="K172" s="95" t="n">
        <x:f>IF(AND(E172="yes",F172="yes",H172="covered"),1,IF(H172="partial",0.5,0))</x:f>
        <x:v>1</x:v>
      </x:c>
    </x:row>
    <x:row r="173" s="51" customFormat="1" ht="31.5" customHeight="1">
      <x:c r="A173" s="93" t="n">
        <x:v>165</x:v>
      </x:c>
      <x:c r="B173" s="94" t="inlineStr">
        <x:is>
          <x:t xml:space="preserve">Keyboard</x:t>
        </x:is>
      </x:c>
      <x:c r="C173" s="94" t="inlineStr">
        <x:is>
          <x:t xml:space="preserve">Navigation</x:t>
        </x:is>
      </x:c>
      <x:c r="D173" s="94" t="inlineStr">
        <x:is>
          <x:t xml:space="preserve">typeahead buffer resets after delay</x:t>
        </x:is>
      </x:c>
      <x:c r="E173" s="93" t="inlineStr">
        <x:is>
          <x:t xml:space="preserve">yes</x:t>
        </x:is>
      </x:c>
      <x:c r="F173" s="93" t="inlineStr">
        <x:is>
          <x:t xml:space="preserve">yes</x:t>
        </x:is>
      </x:c>
      <x:c r="G173" s="93" t="inlineStr">
        <x:is>
          <x:t xml:space="preserve">pass</x:t>
        </x:is>
      </x:c>
      <x:c r="H173" s="93" t="inlineStr">
        <x:is>
          <x:t xml:space="preserve">covered</x:t>
        </x:is>
      </x:c>
      <x:c r="I173" s="94" t="inlineStr">
        <x:is>
          <x:t xml:space="preserve">DropdownMenu playground manual verification.</x:t>
        </x:is>
      </x:c>
      <x:c r="J173" s="94" t="n"/>
      <x:c r="K173" s="95" t="n">
        <x:f>IF(AND(E173="yes",F173="yes",H173="covered"),1,IF(H173="partial",0.5,0))</x:f>
        <x:v>1</x:v>
      </x:c>
    </x:row>
    <x:row r="174" s="51" customFormat="1" ht="31.5" customHeight="1">
      <x:c r="A174" s="93" t="n">
        <x:v>166</x:v>
      </x:c>
      <x:c r="B174" s="94" t="inlineStr">
        <x:is>
          <x:t xml:space="preserve">Keyboard</x:t>
        </x:is>
      </x:c>
      <x:c r="C174" s="94" t="inlineStr">
        <x:is>
          <x:t xml:space="preserve">Navigation</x:t>
        </x:is>
      </x:c>
      <x:c r="D174" s="94" t="inlineStr">
        <x:is>
          <x:t xml:space="preserve">submenu has independent highlight state</x:t>
        </x:is>
      </x:c>
      <x:c r="E174" s="93" t="inlineStr">
        <x:is>
          <x:t xml:space="preserve">yes</x:t>
        </x:is>
      </x:c>
      <x:c r="F174" s="93" t="inlineStr">
        <x:is>
          <x:t xml:space="preserve">yes</x:t>
        </x:is>
      </x:c>
      <x:c r="G174" s="93" t="inlineStr">
        <x:is>
          <x:t xml:space="preserve">pass</x:t>
        </x:is>
      </x:c>
      <x:c r="H174" s="93" t="inlineStr">
        <x:is>
          <x:t xml:space="preserve">covered</x:t>
        </x:is>
      </x:c>
      <x:c r="I174" s="94" t="inlineStr">
        <x:is>
          <x:t xml:space="preserve">DropdownMenu playground manual verification.</x:t>
        </x:is>
      </x:c>
      <x:c r="J174" s="94" t="n"/>
      <x:c r="K174" s="95" t="n">
        <x:f>IF(AND(E174="yes",F174="yes",H174="covered"),1,IF(H174="partial",0.5,0))</x:f>
        <x:v>1</x:v>
      </x:c>
    </x:row>
    <x:row r="175" s="51" customFormat="1" ht="31.5" customHeight="1">
      <x:c r="A175" s="93" t="n">
        <x:v>167</x:v>
      </x:c>
      <x:c r="B175" s="94" t="inlineStr">
        <x:is>
          <x:t xml:space="preserve">Keyboard</x:t>
        </x:is>
      </x:c>
      <x:c r="C175" s="94" t="inlineStr">
        <x:is>
          <x:t xml:space="preserve">Navigation</x:t>
        </x:is>
      </x:c>
      <x:c r="D175" s="94" t="inlineStr">
        <x:is>
          <x:t xml:space="preserve">ArrowLeft closes submenu</x:t>
        </x:is>
      </x:c>
      <x:c r="E175" s="93" t="inlineStr">
        <x:is>
          <x:t xml:space="preserve">yes</x:t>
        </x:is>
      </x:c>
      <x:c r="F175" s="93" t="inlineStr">
        <x:is>
          <x:t xml:space="preserve">yes</x:t>
        </x:is>
      </x:c>
      <x:c r="G175" s="93" t="inlineStr">
        <x:is>
          <x:t xml:space="preserve">pass</x:t>
        </x:is>
      </x:c>
      <x:c r="H175" s="93" t="inlineStr">
        <x:is>
          <x:t xml:space="preserve">covered</x:t>
        </x:is>
      </x:c>
      <x:c r="I175" s="94" t="inlineStr">
        <x:is>
          <x:t xml:space="preserve">DropdownMenu playground manual verification.</x:t>
        </x:is>
      </x:c>
      <x:c r="J175" s="94" t="n"/>
      <x:c r="K175" s="95" t="n">
        <x:f>IF(AND(E175="yes",F175="yes",H175="covered"),1,IF(H175="partial",0.5,0))</x:f>
        <x:v>1</x:v>
      </x:c>
    </x:row>
    <x:row r="176" s="51" customFormat="1" ht="31.5" customHeight="1">
      <x:c r="A176" s="93" t="n">
        <x:v>168</x:v>
      </x:c>
      <x:c r="B176" s="94" t="inlineStr">
        <x:is>
          <x:t xml:space="preserve">Keyboard</x:t>
        </x:is>
      </x:c>
      <x:c r="C176" s="94" t="inlineStr">
        <x:is>
          <x:t xml:space="preserve">Navigation</x:t>
        </x:is>
      </x:c>
      <x:c r="D176" s="94" t="inlineStr">
        <x:is>
          <x:t xml:space="preserve">ArrowRight opens nested submenu from submenu</x:t>
        </x:is>
      </x:c>
      <x:c r="E176" s="93" t="inlineStr">
        <x:is>
          <x:t xml:space="preserve">yes</x:t>
        </x:is>
      </x:c>
      <x:c r="F176" s="93" t="inlineStr">
        <x:is>
          <x:t xml:space="preserve">yes</x:t>
        </x:is>
      </x:c>
      <x:c r="G176" s="93" t="inlineStr">
        <x:is>
          <x:t xml:space="preserve">pass</x:t>
        </x:is>
      </x:c>
      <x:c r="H176" s="93" t="inlineStr">
        <x:is>
          <x:t xml:space="preserve">covered</x:t>
        </x:is>
      </x:c>
      <x:c r="I176" s="94" t="inlineStr">
        <x:is>
          <x:t xml:space="preserve">DropdownMenu playground manual verification.</x:t>
        </x:is>
      </x:c>
      <x:c r="J176" s="94" t="n"/>
      <x:c r="K176" s="95" t="n">
        <x:f>IF(AND(E176="yes",F176="yes",H176="covered"),1,IF(H176="partial",0.5,0))</x:f>
        <x:v>1</x:v>
      </x:c>
    </x:row>
    <x:row r="177" s="51" customFormat="1" ht="30" customHeight="1">
      <x:c r="A177" s="73" t="n">
        <x:v>169</x:v>
      </x:c>
      <x:c r="B177" s="84" t="inlineStr">
        <x:is>
          <x:t xml:space="preserve">Pointer</x:t>
        </x:is>
      </x:c>
      <x:c r="C177" s="84" t="inlineStr">
        <x:is>
          <x:t xml:space="preserve">Highlight</x:t>
        </x:is>
      </x:c>
      <x:c r="D177" s="84" t="inlineStr">
        <x:is>
          <x:t xml:space="preserve">mouse pointer enter moves real focus and highlight to the item</x:t>
        </x:is>
      </x:c>
      <x:c r="E177" s="76" t="inlineStr">
        <x:is>
          <x:t xml:space="preserve">yes</x:t>
        </x:is>
      </x:c>
      <x:c r="F177" s="85" t="inlineStr">
        <x:is>
          <x:t xml:space="preserve">no</x:t>
        </x:is>
      </x:c>
      <x:c r="G177" s="73" t="inlineStr">
        <x:is>
          <x:t xml:space="preserve">automated tests pass; manual pending</x:t>
        </x:is>
      </x:c>
      <x:c r="H177" s="86" t="inlineStr">
        <x:is>
          <x:t xml:space="preserve">untested</x:t>
        </x:is>
      </x:c>
      <x:c r="I177" s="84" t="inlineStr">
        <x:is>
          <x:t xml:space="preserve">playground/.manual-tests/dropdown-menu.md (draft)</x:t>
        </x:is>
      </x:c>
      <x:c r="J177" s="84" t="inlineStr">
        <x:is>
          <x:t xml:space="preserve">Run the updated component Manual Test Protocol and named browser/device matrix.</x:t>
        </x:is>
      </x:c>
      <x:c r="K177" s="87" t="n">
        <x:f>IF(AND(E177="yes",F177="yes",H177="covered"),1,IF(H177="partial",0.5,0))</x:f>
        <x:v>0</x:v>
      </x:c>
    </x:row>
    <x:row r="178" s="51" customFormat="1" ht="30" customHeight="1">
      <x:c r="A178" s="73" t="n">
        <x:v>170</x:v>
      </x:c>
      <x:c r="B178" s="84" t="inlineStr">
        <x:is>
          <x:t xml:space="preserve">Pointer</x:t>
        </x:is>
      </x:c>
      <x:c r="C178" s="84" t="inlineStr">
        <x:is>
          <x:t xml:space="preserve">Highlight</x:t>
        </x:is>
      </x:c>
      <x:c r="D178" s="84" t="inlineStr">
        <x:is>
          <x:t xml:space="preserve">pointer leave preserves the current real item focus</x:t>
        </x:is>
      </x:c>
      <x:c r="E178" s="76" t="inlineStr">
        <x:is>
          <x:t xml:space="preserve">yes</x:t>
        </x:is>
      </x:c>
      <x:c r="F178" s="85" t="inlineStr">
        <x:is>
          <x:t xml:space="preserve">no</x:t>
        </x:is>
      </x:c>
      <x:c r="G178" s="73" t="inlineStr">
        <x:is>
          <x:t xml:space="preserve">automated tests pass; manual pending</x:t>
        </x:is>
      </x:c>
      <x:c r="H178" s="86" t="inlineStr">
        <x:is>
          <x:t xml:space="preserve">untested</x:t>
        </x:is>
      </x:c>
      <x:c r="I178" s="84" t="inlineStr">
        <x:is>
          <x:t xml:space="preserve">playground/.manual-tests/dropdown-menu.md (draft)</x:t>
        </x:is>
      </x:c>
      <x:c r="J178" s="84" t="inlineStr">
        <x:is>
          <x:t xml:space="preserve">Run the updated component Manual Test Protocol and named browser/device matrix.</x:t>
        </x:is>
      </x:c>
      <x:c r="K178" s="87" t="n">
        <x:f>IF(AND(E178="yes",F178="yes",H178="covered"),1,IF(H178="partial",0.5,0))</x:f>
        <x:v>0</x:v>
      </x:c>
    </x:row>
    <x:row r="179" s="51" customFormat="1" ht="31.5" customHeight="1">
      <x:c r="A179" s="93" t="n">
        <x:v>171</x:v>
      </x:c>
      <x:c r="B179" s="94" t="inlineStr">
        <x:is>
          <x:t xml:space="preserve">Pointer</x:t>
        </x:is>
      </x:c>
      <x:c r="C179" s="94" t="inlineStr">
        <x:is>
          <x:t xml:space="preserve">Highlight</x:t>
        </x:is>
      </x:c>
      <x:c r="D179" s="94" t="inlineStr">
        <x:is>
          <x:t xml:space="preserve">pointer-opened menu does not pre-highlight first item</x:t>
        </x:is>
      </x:c>
      <x:c r="E179" s="93" t="inlineStr">
        <x:is>
          <x:t xml:space="preserve">yes</x:t>
        </x:is>
      </x:c>
      <x:c r="F179" s="93" t="inlineStr">
        <x:is>
          <x:t xml:space="preserve">yes</x:t>
        </x:is>
      </x:c>
      <x:c r="G179" s="93" t="inlineStr">
        <x:is>
          <x:t xml:space="preserve">pass</x:t>
        </x:is>
      </x:c>
      <x:c r="H179" s="93" t="inlineStr">
        <x:is>
          <x:t xml:space="preserve">covered</x:t>
        </x:is>
      </x:c>
      <x:c r="I179" s="94" t="inlineStr">
        <x:is>
          <x:t xml:space="preserve">DropdownMenu playground manual verification.</x:t>
        </x:is>
      </x:c>
      <x:c r="J179" s="94" t="n"/>
      <x:c r="K179" s="95" t="n">
        <x:f>IF(AND(E179="yes",F179="yes",H179="covered"),1,IF(H179="partial",0.5,0))</x:f>
        <x:v>1</x:v>
      </x:c>
    </x:row>
    <x:row r="180" s="51" customFormat="1" ht="31.5" customHeight="1">
      <x:c r="A180" s="93" t="n">
        <x:v>172</x:v>
      </x:c>
      <x:c r="B180" s="94" t="inlineStr">
        <x:is>
          <x:t xml:space="preserve">Pointer</x:t>
        </x:is>
      </x:c>
      <x:c r="C180" s="94" t="inlineStr">
        <x:is>
          <x:t xml:space="preserve">Highlight</x:t>
        </x:is>
      </x:c>
      <x:c r="D180" s="94" t="inlineStr">
        <x:is>
          <x:t xml:space="preserve">hovering group labels or gaps does not reset initial highlight</x:t>
        </x:is>
      </x:c>
      <x:c r="E180" s="93" t="inlineStr">
        <x:is>
          <x:t xml:space="preserve">yes</x:t>
        </x:is>
      </x:c>
      <x:c r="F180" s="93" t="inlineStr">
        <x:is>
          <x:t xml:space="preserve">yes</x:t>
        </x:is>
      </x:c>
      <x:c r="G180" s="93" t="inlineStr">
        <x:is>
          <x:t xml:space="preserve">pass</x:t>
        </x:is>
      </x:c>
      <x:c r="H180" s="93" t="inlineStr">
        <x:is>
          <x:t xml:space="preserve">covered</x:t>
        </x:is>
      </x:c>
      <x:c r="I180" s="94" t="inlineStr">
        <x:is>
          <x:t xml:space="preserve">DropdownMenu playground manual verification.</x:t>
        </x:is>
      </x:c>
      <x:c r="J180" s="94" t="n"/>
      <x:c r="K180" s="95" t="n">
        <x:f>IF(AND(E180="yes",F180="yes",H180="covered"),1,IF(H180="partial",0.5,0))</x:f>
        <x:v>1</x:v>
      </x:c>
    </x:row>
    <x:row r="181" s="51" customFormat="1" ht="31.5" customHeight="1">
      <x:c r="A181" s="93" t="n">
        <x:v>173</x:v>
      </x:c>
      <x:c r="B181" s="94" t="inlineStr">
        <x:is>
          <x:t xml:space="preserve">Pointer</x:t>
        </x:is>
      </x:c>
      <x:c r="C181" s="94" t="inlineStr">
        <x:is>
          <x:t xml:space="preserve">Highlight</x:t>
        </x:is>
      </x:c>
      <x:c r="D181" s="94" t="inlineStr">
        <x:is>
          <x:t xml:space="preserve">hovering item closes previously open submenu</x:t>
        </x:is>
      </x:c>
      <x:c r="E181" s="93" t="inlineStr">
        <x:is>
          <x:t xml:space="preserve">yes</x:t>
        </x:is>
      </x:c>
      <x:c r="F181" s="93" t="inlineStr">
        <x:is>
          <x:t xml:space="preserve">yes</x:t>
        </x:is>
      </x:c>
      <x:c r="G181" s="93" t="inlineStr">
        <x:is>
          <x:t xml:space="preserve">pass</x:t>
        </x:is>
      </x:c>
      <x:c r="H181" s="93" t="inlineStr">
        <x:is>
          <x:t xml:space="preserve">covered</x:t>
        </x:is>
      </x:c>
      <x:c r="I181" s="94" t="inlineStr">
        <x:is>
          <x:t xml:space="preserve">DropdownMenu playground manual verification.</x:t>
        </x:is>
      </x:c>
      <x:c r="J181" s="94" t="n"/>
      <x:c r="K181" s="95" t="n">
        <x:f>IF(AND(E181="yes",F181="yes",H181="covered"),1,IF(H181="partial",0.5,0))</x:f>
        <x:v>1</x:v>
      </x:c>
    </x:row>
    <x:row r="182" s="51" customFormat="1" ht="30" customHeight="1">
      <x:c r="A182" s="73" t="n">
        <x:v>174</x:v>
      </x:c>
      <x:c r="B182" s="84" t="inlineStr">
        <x:is>
          <x:t xml:space="preserve">Pointer</x:t>
        </x:is>
      </x:c>
      <x:c r="C182" s="84" t="inlineStr">
        <x:is>
          <x:t xml:space="preserve">Highlight</x:t>
        </x:is>
      </x:c>
      <x:c r="D182" s="84" t="inlineStr">
        <x:is>
          <x:t xml:space="preserve">mouse hover may focus and highlight a disabled item without activating it</x:t>
        </x:is>
      </x:c>
      <x:c r="E182" s="76" t="inlineStr">
        <x:is>
          <x:t xml:space="preserve">yes</x:t>
        </x:is>
      </x:c>
      <x:c r="F182" s="85" t="inlineStr">
        <x:is>
          <x:t xml:space="preserve">no</x:t>
        </x:is>
      </x:c>
      <x:c r="G182" s="73" t="inlineStr">
        <x:is>
          <x:t xml:space="preserve">automated tests pass; manual pending</x:t>
        </x:is>
      </x:c>
      <x:c r="H182" s="86" t="inlineStr">
        <x:is>
          <x:t xml:space="preserve">untested</x:t>
        </x:is>
      </x:c>
      <x:c r="I182" s="84" t="inlineStr">
        <x:is>
          <x:t xml:space="preserve">playground/.manual-tests/dropdown-menu.md (draft)</x:t>
        </x:is>
      </x:c>
      <x:c r="J182" s="84" t="inlineStr">
        <x:is>
          <x:t xml:space="preserve">Run the updated component Manual Test Protocol and named browser/device matrix.</x:t>
        </x:is>
      </x:c>
      <x:c r="K182" s="87" t="n">
        <x:f>IF(AND(E182="yes",F182="yes",H182="covered"),1,IF(H182="partial",0.5,0))</x:f>
        <x:v>0</x:v>
      </x:c>
    </x:row>
    <x:row r="183" s="51" customFormat="1" ht="31.5" customHeight="1">
      <x:c r="A183" s="93" t="n">
        <x:v>175</x:v>
      </x:c>
      <x:c r="B183" s="94" t="inlineStr">
        <x:is>
          <x:t xml:space="preserve">Accessibility</x:t>
        </x:is>
      </x:c>
      <x:c r="C183" s="94" t="inlineStr">
        <x:is>
          <x:t xml:space="preserve">Relationships</x:t>
        </x:is>
      </x:c>
      <x:c r="D183" s="94" t="inlineStr">
        <x:is>
          <x:t xml:space="preserve">trigger has accessible text</x:t>
        </x:is>
      </x:c>
      <x:c r="E183" s="93" t="inlineStr">
        <x:is>
          <x:t xml:space="preserve">yes</x:t>
        </x:is>
      </x:c>
      <x:c r="F183" s="93" t="inlineStr">
        <x:is>
          <x:t xml:space="preserve">yes</x:t>
        </x:is>
      </x:c>
      <x:c r="G183" s="93" t="inlineStr">
        <x:is>
          <x:t xml:space="preserve">pass</x:t>
        </x:is>
      </x:c>
      <x:c r="H183" s="93" t="inlineStr">
        <x:is>
          <x:t xml:space="preserve">covered</x:t>
        </x:is>
      </x:c>
      <x:c r="I183" s="94" t="inlineStr">
        <x:is>
          <x:t xml:space="preserve">DropdownMenu playground manual verification.</x:t>
        </x:is>
      </x:c>
      <x:c r="J183" s="94" t="n"/>
      <x:c r="K183" s="95" t="n">
        <x:f>IF(AND(E183="yes",F183="yes",H183="covered"),1,IF(H183="partial",0.5,0))</x:f>
        <x:v>1</x:v>
      </x:c>
    </x:row>
    <x:row r="184" s="51" customFormat="1" ht="31.5" customHeight="1">
      <x:c r="A184" s="93" t="n">
        <x:v>176</x:v>
      </x:c>
      <x:c r="B184" s="94" t="inlineStr">
        <x:is>
          <x:t xml:space="preserve">Accessibility</x:t>
        </x:is>
      </x:c>
      <x:c r="C184" s="94" t="inlineStr">
        <x:is>
          <x:t xml:space="preserve">Relationships</x:t>
        </x:is>
      </x:c>
      <x:c r="D184" s="94" t="inlineStr">
        <x:is>
          <x:t xml:space="preserve">trigger controls content by id</x:t>
        </x:is>
      </x:c>
      <x:c r="E184" s="93" t="inlineStr">
        <x:is>
          <x:t xml:space="preserve">yes</x:t>
        </x:is>
      </x:c>
      <x:c r="F184" s="93" t="inlineStr">
        <x:is>
          <x:t xml:space="preserve">yes</x:t>
        </x:is>
      </x:c>
      <x:c r="G184" s="93" t="inlineStr">
        <x:is>
          <x:t xml:space="preserve">pass</x:t>
        </x:is>
      </x:c>
      <x:c r="H184" s="93" t="inlineStr">
        <x:is>
          <x:t xml:space="preserve">covered</x:t>
        </x:is>
      </x:c>
      <x:c r="I184" s="94" t="inlineStr">
        <x:is>
          <x:t xml:space="preserve">DropdownMenu playground manual verification.</x:t>
        </x:is>
      </x:c>
      <x:c r="J184" s="94" t="n"/>
      <x:c r="K184" s="95" t="n">
        <x:f>IF(AND(E184="yes",F184="yes",H184="covered"),1,IF(H184="partial",0.5,0))</x:f>
        <x:v>1</x:v>
      </x:c>
    </x:row>
    <x:row r="185" s="51" customFormat="1" ht="31.5" customHeight="1">
      <x:c r="A185" s="93" t="n">
        <x:v>177</x:v>
      </x:c>
      <x:c r="B185" s="94" t="inlineStr">
        <x:is>
          <x:t xml:space="preserve">Accessibility</x:t>
        </x:is>
      </x:c>
      <x:c r="C185" s="94" t="inlineStr">
        <x:is>
          <x:t xml:space="preserve">Relationships</x:t>
        </x:is>
      </x:c>
      <x:c r="D185" s="94" t="inlineStr">
        <x:is>
          <x:t xml:space="preserve">content has accessible name</x:t>
        </x:is>
      </x:c>
      <x:c r="E185" s="93" t="inlineStr">
        <x:is>
          <x:t xml:space="preserve">yes</x:t>
        </x:is>
      </x:c>
      <x:c r="F185" s="93" t="inlineStr">
        <x:is>
          <x:t xml:space="preserve">yes</x:t>
        </x:is>
      </x:c>
      <x:c r="G185" s="93" t="inlineStr">
        <x:is>
          <x:t xml:space="preserve">pass</x:t>
        </x:is>
      </x:c>
      <x:c r="H185" s="93" t="inlineStr">
        <x:is>
          <x:t xml:space="preserve">covered</x:t>
        </x:is>
      </x:c>
      <x:c r="I185" s="94" t="inlineStr">
        <x:is>
          <x:t xml:space="preserve">DropdownMenu playground manual verification.</x:t>
        </x:is>
      </x:c>
      <x:c r="J185" s="94" t="n"/>
      <x:c r="K185" s="95" t="n">
        <x:f>IF(AND(E185="yes",F185="yes",H185="covered"),1,IF(H185="partial",0.5,0))</x:f>
        <x:v>1</x:v>
      </x:c>
    </x:row>
    <x:row r="186" s="51" customFormat="1" ht="31.5" customHeight="1">
      <x:c r="A186" s="93" t="n">
        <x:v>178</x:v>
      </x:c>
      <x:c r="B186" s="94" t="inlineStr">
        <x:is>
          <x:t xml:space="preserve">Accessibility</x:t>
        </x:is>
      </x:c>
      <x:c r="C186" s="94" t="inlineStr">
        <x:is>
          <x:t xml:space="preserve">Relationships</x:t>
        </x:is>
      </x:c>
      <x:c r="D186" s="94" t="inlineStr">
        <x:is>
          <x:t xml:space="preserve">content references trigger when unnamed</x:t>
        </x:is>
      </x:c>
      <x:c r="E186" s="93" t="inlineStr">
        <x:is>
          <x:t xml:space="preserve">yes</x:t>
        </x:is>
      </x:c>
      <x:c r="F186" s="93" t="inlineStr">
        <x:is>
          <x:t xml:space="preserve">yes</x:t>
        </x:is>
      </x:c>
      <x:c r="G186" s="93" t="inlineStr">
        <x:is>
          <x:t xml:space="preserve">pass</x:t>
        </x:is>
      </x:c>
      <x:c r="H186" s="93" t="inlineStr">
        <x:is>
          <x:t xml:space="preserve">covered</x:t>
        </x:is>
      </x:c>
      <x:c r="I186" s="94" t="inlineStr">
        <x:is>
          <x:t xml:space="preserve">DropdownMenu playground manual verification.</x:t>
        </x:is>
      </x:c>
      <x:c r="J186" s="94" t="n"/>
      <x:c r="K186" s="95" t="n">
        <x:f>IF(AND(E186="yes",F186="yes",H186="covered"),1,IF(H186="partial",0.5,0))</x:f>
        <x:v>1</x:v>
      </x:c>
    </x:row>
    <x:row r="187" s="51" customFormat="1" ht="31.5" customHeight="1">
      <x:c r="A187" s="93" t="n">
        <x:v>179</x:v>
      </x:c>
      <x:c r="B187" s="94" t="inlineStr">
        <x:is>
          <x:t xml:space="preserve">Accessibility</x:t>
        </x:is>
      </x:c>
      <x:c r="C187" s="94" t="inlineStr">
        <x:is>
          <x:t xml:space="preserve">Relationships</x:t>
        </x:is>
      </x:c>
      <x:c r="D187" s="94" t="inlineStr">
        <x:is>
          <x:t xml:space="preserve">sub content references sub trigger when unnamed</x:t>
        </x:is>
      </x:c>
      <x:c r="E187" s="93" t="inlineStr">
        <x:is>
          <x:t xml:space="preserve">yes</x:t>
        </x:is>
      </x:c>
      <x:c r="F187" s="93" t="inlineStr">
        <x:is>
          <x:t xml:space="preserve">yes</x:t>
        </x:is>
      </x:c>
      <x:c r="G187" s="93" t="inlineStr">
        <x:is>
          <x:t xml:space="preserve">pass</x:t>
        </x:is>
      </x:c>
      <x:c r="H187" s="93" t="inlineStr">
        <x:is>
          <x:t xml:space="preserve">covered</x:t>
        </x:is>
      </x:c>
      <x:c r="I187" s="94" t="inlineStr">
        <x:is>
          <x:t xml:space="preserve">DropdownMenu playground manual verification.</x:t>
        </x:is>
      </x:c>
      <x:c r="J187" s="94" t="n"/>
      <x:c r="K187" s="95" t="n">
        <x:f>IF(AND(E187="yes",F187="yes",H187="covered"),1,IF(H187="partial",0.5,0))</x:f>
        <x:v>1</x:v>
      </x:c>
    </x:row>
    <x:row r="188" s="51" customFormat="1" ht="31.5" customHeight="1">
      <x:c r="A188" s="93" t="n">
        <x:v>180</x:v>
      </x:c>
      <x:c r="B188" s="94" t="inlineStr">
        <x:is>
          <x:t xml:space="preserve">Accessibility</x:t>
        </x:is>
      </x:c>
      <x:c r="C188" s="94" t="inlineStr">
        <x:is>
          <x:t xml:space="preserve">Relationships</x:t>
        </x:is>
      </x:c>
      <x:c r="D188" s="94" t="inlineStr">
        <x:is>
          <x:t xml:space="preserve">checked states are exposed through aria-checked</x:t>
        </x:is>
      </x:c>
      <x:c r="E188" s="93" t="inlineStr">
        <x:is>
          <x:t xml:space="preserve">yes</x:t>
        </x:is>
      </x:c>
      <x:c r="F188" s="93" t="inlineStr">
        <x:is>
          <x:t xml:space="preserve">yes</x:t>
        </x:is>
      </x:c>
      <x:c r="G188" s="93" t="inlineStr">
        <x:is>
          <x:t xml:space="preserve">pass</x:t>
        </x:is>
      </x:c>
      <x:c r="H188" s="93" t="inlineStr">
        <x:is>
          <x:t xml:space="preserve">covered</x:t>
        </x:is>
      </x:c>
      <x:c r="I188" s="94" t="inlineStr">
        <x:is>
          <x:t xml:space="preserve">DropdownMenu playground manual verification.</x:t>
        </x:is>
      </x:c>
      <x:c r="J188" s="94" t="n"/>
      <x:c r="K188" s="95" t="n">
        <x:f>IF(AND(E188="yes",F188="yes",H188="covered"),1,IF(H188="partial",0.5,0))</x:f>
        <x:v>1</x:v>
      </x:c>
    </x:row>
    <x:row r="189" s="51" customFormat="1" ht="31.5" customHeight="1">
      <x:c r="A189" s="93" t="n">
        <x:v>181</x:v>
      </x:c>
      <x:c r="B189" s="94" t="inlineStr">
        <x:is>
          <x:t xml:space="preserve">Accessibility</x:t>
        </x:is>
      </x:c>
      <x:c r="C189" s="94" t="inlineStr">
        <x:is>
          <x:t xml:space="preserve">Relationships</x:t>
        </x:is>
      </x:c>
      <x:c r="D189" s="94" t="inlineStr">
        <x:is>
          <x:t xml:space="preserve">disabled states are exposed through aria-disabled</x:t>
        </x:is>
      </x:c>
      <x:c r="E189" s="93" t="inlineStr">
        <x:is>
          <x:t xml:space="preserve">yes</x:t>
        </x:is>
      </x:c>
      <x:c r="F189" s="93" t="inlineStr">
        <x:is>
          <x:t xml:space="preserve">yes</x:t>
        </x:is>
      </x:c>
      <x:c r="G189" s="93" t="inlineStr">
        <x:is>
          <x:t xml:space="preserve">pass</x:t>
        </x:is>
      </x:c>
      <x:c r="H189" s="93" t="inlineStr">
        <x:is>
          <x:t xml:space="preserve">covered</x:t>
        </x:is>
      </x:c>
      <x:c r="I189" s="94" t="inlineStr">
        <x:is>
          <x:t xml:space="preserve">DropdownMenu playground manual verification.</x:t>
        </x:is>
      </x:c>
      <x:c r="J189" s="94" t="n"/>
      <x:c r="K189" s="95" t="n">
        <x:f>IF(AND(E189="yes",F189="yes",H189="covered"),1,IF(H189="partial",0.5,0))</x:f>
        <x:v>1</x:v>
      </x:c>
    </x:row>
    <x:row r="190" s="51" customFormat="1" ht="31.5" customHeight="1">
      <x:c r="A190" s="93" t="n">
        <x:v>182</x:v>
      </x:c>
      <x:c r="B190" s="94" t="inlineStr">
        <x:is>
          <x:t xml:space="preserve">Accessibility</x:t>
        </x:is>
      </x:c>
      <x:c r="C190" s="94" t="inlineStr">
        <x:is>
          <x:t xml:space="preserve">Relationships</x:t>
        </x:is>
      </x:c>
      <x:c r="D190" s="94" t="inlineStr">
        <x:is>
          <x:t xml:space="preserve">focus stays inside modal parent when opened inside Dialog</x:t>
        </x:is>
      </x:c>
      <x:c r="E190" s="93" t="inlineStr">
        <x:is>
          <x:t xml:space="preserve">yes</x:t>
        </x:is>
      </x:c>
      <x:c r="F190" s="93" t="inlineStr">
        <x:is>
          <x:t xml:space="preserve">yes</x:t>
        </x:is>
      </x:c>
      <x:c r="G190" s="93" t="inlineStr">
        <x:is>
          <x:t xml:space="preserve">pass</x:t>
        </x:is>
      </x:c>
      <x:c r="H190" s="93" t="inlineStr">
        <x:is>
          <x:t xml:space="preserve">covered</x:t>
        </x:is>
      </x:c>
      <x:c r="I190" s="94" t="inlineStr">
        <x:is>
          <x:t xml:space="preserve">DropdownMenu playground manual verification.</x:t>
        </x:is>
      </x:c>
      <x:c r="J190" s="94" t="n"/>
      <x:c r="K190" s="95" t="n">
        <x:f>IF(AND(E190="yes",F190="yes",H190="covered"),1,IF(H190="partial",0.5,0))</x:f>
        <x:v>1</x:v>
      </x:c>
    </x:row>
    <x:row r="191" s="51" customFormat="1" ht="31.5" customHeight="1">
      <x:c r="A191" s="93" t="n">
        <x:v>183</x:v>
      </x:c>
      <x:c r="B191" s="94" t="inlineStr">
        <x:is>
          <x:t xml:space="preserve">Accessibility</x:t>
        </x:is>
      </x:c>
      <x:c r="C191" s="94" t="inlineStr">
        <x:is>
          <x:t xml:space="preserve">Relationships</x:t>
        </x:is>
      </x:c>
      <x:c r="D191" s="94" t="inlineStr">
        <x:is>
          <x:t xml:space="preserve">portalled dropdown registers with parent modal focus scope</x:t>
        </x:is>
      </x:c>
      <x:c r="E191" s="93" t="inlineStr">
        <x:is>
          <x:t xml:space="preserve">yes</x:t>
        </x:is>
      </x:c>
      <x:c r="F191" s="93" t="inlineStr">
        <x:is>
          <x:t xml:space="preserve">yes</x:t>
        </x:is>
      </x:c>
      <x:c r="G191" s="93" t="inlineStr">
        <x:is>
          <x:t xml:space="preserve">pass</x:t>
        </x:is>
      </x:c>
      <x:c r="H191" s="93" t="inlineStr">
        <x:is>
          <x:t xml:space="preserve">covered</x:t>
        </x:is>
      </x:c>
      <x:c r="I191" s="94" t="inlineStr">
        <x:is>
          <x:t xml:space="preserve">DropdownMenu playground manual verification.</x:t>
        </x:is>
      </x:c>
      <x:c r="J191" s="94" t="n"/>
      <x:c r="K191" s="95" t="n">
        <x:f>IF(AND(E191="yes",F191="yes",H191="covered"),1,IF(H191="partial",0.5,0))</x:f>
        <x:v>1</x:v>
      </x:c>
    </x:row>
    <x:row r="192" s="51" customFormat="1" ht="31.5" customHeight="1">
      <x:c r="A192" s="93" t="n">
        <x:v>184</x:v>
      </x:c>
      <x:c r="B192" s="94" t="inlineStr">
        <x:is>
          <x:t xml:space="preserve">Accessibility</x:t>
        </x:is>
      </x:c>
      <x:c r="C192" s="94" t="inlineStr">
        <x:is>
          <x:t xml:space="preserve">Relationships</x:t>
        </x:is>
      </x:c>
      <x:c r="D192" s="94" t="inlineStr">
        <x:is>
          <x:t xml:space="preserve">nested dropdown Escape does not close parent overlay</x:t>
        </x:is>
      </x:c>
      <x:c r="E192" s="93" t="inlineStr">
        <x:is>
          <x:t xml:space="preserve">yes</x:t>
        </x:is>
      </x:c>
      <x:c r="F192" s="93" t="inlineStr">
        <x:is>
          <x:t xml:space="preserve">yes</x:t>
        </x:is>
      </x:c>
      <x:c r="G192" s="93" t="inlineStr">
        <x:is>
          <x:t xml:space="preserve">pass</x:t>
        </x:is>
      </x:c>
      <x:c r="H192" s="93" t="inlineStr">
        <x:is>
          <x:t xml:space="preserve">covered</x:t>
        </x:is>
      </x:c>
      <x:c r="I192" s="94" t="inlineStr">
        <x:is>
          <x:t xml:space="preserve">DropdownMenu playground manual verification.</x:t>
        </x:is>
      </x:c>
      <x:c r="J192" s="94" t="n"/>
      <x:c r="K192" s="95" t="n">
        <x:f>IF(AND(E192="yes",F192="yes",H192="covered"),1,IF(H192="partial",0.5,0))</x:f>
        <x:v>1</x:v>
      </x:c>
    </x:row>
    <x:row r="193" s="51" customFormat="1" ht="31.5" customHeight="1">
      <x:c r="A193" s="93" t="n">
        <x:v>185</x:v>
      </x:c>
      <x:c r="B193" s="94" t="inlineStr">
        <x:is>
          <x:t xml:space="preserve">Composition</x:t>
        </x:is>
      </x:c>
      <x:c r="C193" s="94" t="inlineStr">
        <x:is>
          <x:t xml:space="preserve">Trigger Composition</x:t>
        </x:is>
      </x:c>
      <x:c r="D193" s="94" t="inlineStr">
        <x:is>
          <x:t xml:space="preserve">trigger asChild preserves child content</x:t>
        </x:is>
      </x:c>
      <x:c r="E193" s="93" t="inlineStr">
        <x:is>
          <x:t xml:space="preserve">yes</x:t>
        </x:is>
      </x:c>
      <x:c r="F193" s="93" t="inlineStr">
        <x:is>
          <x:t xml:space="preserve">yes</x:t>
        </x:is>
      </x:c>
      <x:c r="G193" s="93" t="inlineStr">
        <x:is>
          <x:t xml:space="preserve">pass</x:t>
        </x:is>
      </x:c>
      <x:c r="H193" s="93" t="inlineStr">
        <x:is>
          <x:t xml:space="preserve">covered</x:t>
        </x:is>
      </x:c>
      <x:c r="I193" s="94" t="inlineStr">
        <x:is>
          <x:t xml:space="preserve">DropdownMenu playground manual verification.</x:t>
        </x:is>
      </x:c>
      <x:c r="J193" s="94" t="n"/>
      <x:c r="K193" s="95" t="n">
        <x:f>IF(AND(E193="yes",F193="yes",H193="covered"),1,IF(H193="partial",0.5,0))</x:f>
        <x:v>1</x:v>
      </x:c>
    </x:row>
    <x:row r="194" s="51" customFormat="1" ht="31.5" customHeight="1">
      <x:c r="A194" s="93" t="n">
        <x:v>186</x:v>
      </x:c>
      <x:c r="B194" s="94" t="inlineStr">
        <x:is>
          <x:t xml:space="preserve">Composition</x:t>
        </x:is>
      </x:c>
      <x:c r="C194" s="94" t="inlineStr">
        <x:is>
          <x:t xml:space="preserve">Trigger Composition</x:t>
        </x:is>
      </x:c>
      <x:c r="D194" s="94" t="inlineStr">
        <x:is>
          <x:t xml:space="preserve">trigger render preserves child content</x:t>
        </x:is>
      </x:c>
      <x:c r="E194" s="93" t="inlineStr">
        <x:is>
          <x:t xml:space="preserve">yes</x:t>
        </x:is>
      </x:c>
      <x:c r="F194" s="93" t="inlineStr">
        <x:is>
          <x:t xml:space="preserve">yes</x:t>
        </x:is>
      </x:c>
      <x:c r="G194" s="93" t="inlineStr">
        <x:is>
          <x:t xml:space="preserve">pass</x:t>
        </x:is>
      </x:c>
      <x:c r="H194" s="93" t="inlineStr">
        <x:is>
          <x:t xml:space="preserve">covered</x:t>
        </x:is>
      </x:c>
      <x:c r="I194" s="94" t="inlineStr">
        <x:is>
          <x:t xml:space="preserve">DropdownMenu playground manual verification.</x:t>
        </x:is>
      </x:c>
      <x:c r="J194" s="94" t="n"/>
      <x:c r="K194" s="95" t="n">
        <x:f>IF(AND(E194="yes",F194="yes",H194="covered"),1,IF(H194="partial",0.5,0))</x:f>
        <x:v>1</x:v>
      </x:c>
    </x:row>
    <x:row r="195" s="51" customFormat="1" ht="31.5" customHeight="1">
      <x:c r="A195" s="93" t="n">
        <x:v>187</x:v>
      </x:c>
      <x:c r="B195" s="94" t="inlineStr">
        <x:is>
          <x:t xml:space="preserve">Composition</x:t>
        </x:is>
      </x:c>
      <x:c r="C195" s="94" t="inlineStr">
        <x:is>
          <x:t xml:space="preserve">Trigger Composition</x:t>
        </x:is>
      </x:c>
      <x:c r="D195" s="94" t="inlineStr">
        <x:is>
          <x:t xml:space="preserve">trigger consumer event can block open</x:t>
        </x:is>
      </x:c>
      <x:c r="E195" s="93" t="inlineStr">
        <x:is>
          <x:t xml:space="preserve">yes</x:t>
        </x:is>
      </x:c>
      <x:c r="F195" s="93" t="inlineStr">
        <x:is>
          <x:t xml:space="preserve">yes</x:t>
        </x:is>
      </x:c>
      <x:c r="G195" s="93" t="inlineStr">
        <x:is>
          <x:t xml:space="preserve">pass</x:t>
        </x:is>
      </x:c>
      <x:c r="H195" s="93" t="inlineStr">
        <x:is>
          <x:t xml:space="preserve">covered</x:t>
        </x:is>
      </x:c>
      <x:c r="I195" s="94" t="inlineStr">
        <x:is>
          <x:t xml:space="preserve">DropdownMenu playground manual verification.</x:t>
        </x:is>
      </x:c>
      <x:c r="J195" s="94" t="n"/>
      <x:c r="K195" s="95" t="n">
        <x:f>IF(AND(E195="yes",F195="yes",H195="covered"),1,IF(H195="partial",0.5,0))</x:f>
        <x:v>1</x:v>
      </x:c>
    </x:row>
    <x:row r="196" s="51" customFormat="1" ht="31.5" customHeight="1">
      <x:c r="A196" s="93" t="n">
        <x:v>188</x:v>
      </x:c>
      <x:c r="B196" s="94" t="inlineStr">
        <x:is>
          <x:t xml:space="preserve">Composition</x:t>
        </x:is>
      </x:c>
      <x:c r="C196" s="94" t="inlineStr">
        <x:is>
          <x:t xml:space="preserve">Item Composition</x:t>
        </x:is>
      </x:c>
      <x:c r="D196" s="94" t="inlineStr">
        <x:is>
          <x:t xml:space="preserve">Item asChild preserves child content</x:t>
        </x:is>
      </x:c>
      <x:c r="E196" s="93" t="inlineStr">
        <x:is>
          <x:t xml:space="preserve">yes</x:t>
        </x:is>
      </x:c>
      <x:c r="F196" s="93" t="inlineStr">
        <x:is>
          <x:t xml:space="preserve">yes</x:t>
        </x:is>
      </x:c>
      <x:c r="G196" s="93" t="inlineStr">
        <x:is>
          <x:t xml:space="preserve">pass</x:t>
        </x:is>
      </x:c>
      <x:c r="H196" s="93" t="inlineStr">
        <x:is>
          <x:t xml:space="preserve">covered</x:t>
        </x:is>
      </x:c>
      <x:c r="I196" s="94" t="inlineStr">
        <x:is>
          <x:t xml:space="preserve">DropdownMenu playground manual verification.</x:t>
        </x:is>
      </x:c>
      <x:c r="J196" s="94" t="n"/>
      <x:c r="K196" s="95" t="n">
        <x:f>IF(AND(E196="yes",F196="yes",H196="covered"),1,IF(H196="partial",0.5,0))</x:f>
        <x:v>1</x:v>
      </x:c>
    </x:row>
    <x:row r="197" s="51" customFormat="1" ht="31.5" customHeight="1">
      <x:c r="A197" s="93" t="n">
        <x:v>189</x:v>
      </x:c>
      <x:c r="B197" s="94" t="inlineStr">
        <x:is>
          <x:t xml:space="preserve">Composition</x:t>
        </x:is>
      </x:c>
      <x:c r="C197" s="94" t="inlineStr">
        <x:is>
          <x:t xml:space="preserve">Item Composition</x:t>
        </x:is>
      </x:c>
      <x:c r="D197" s="94" t="inlineStr">
        <x:is>
          <x:t xml:space="preserve">Item render preserves child content</x:t>
        </x:is>
      </x:c>
      <x:c r="E197" s="93" t="inlineStr">
        <x:is>
          <x:t xml:space="preserve">yes</x:t>
        </x:is>
      </x:c>
      <x:c r="F197" s="93" t="inlineStr">
        <x:is>
          <x:t xml:space="preserve">yes</x:t>
        </x:is>
      </x:c>
      <x:c r="G197" s="93" t="inlineStr">
        <x:is>
          <x:t xml:space="preserve">pass</x:t>
        </x:is>
      </x:c>
      <x:c r="H197" s="93" t="inlineStr">
        <x:is>
          <x:t xml:space="preserve">covered</x:t>
        </x:is>
      </x:c>
      <x:c r="I197" s="94" t="inlineStr">
        <x:is>
          <x:t xml:space="preserve">DropdownMenu playground manual verification.</x:t>
        </x:is>
      </x:c>
      <x:c r="J197" s="94" t="n"/>
      <x:c r="K197" s="95" t="n">
        <x:f>IF(AND(E197="yes",F197="yes",H197="covered"),1,IF(H197="partial",0.5,0))</x:f>
        <x:v>1</x:v>
      </x:c>
    </x:row>
    <x:row r="198" s="51" customFormat="1" ht="31.5" customHeight="1">
      <x:c r="A198" s="93" t="n">
        <x:v>190</x:v>
      </x:c>
      <x:c r="B198" s="94" t="inlineStr">
        <x:is>
          <x:t xml:space="preserve">Composition</x:t>
        </x:is>
      </x:c>
      <x:c r="C198" s="94" t="inlineStr">
        <x:is>
          <x:t xml:space="preserve">Item Composition</x:t>
        </x:is>
      </x:c>
      <x:c r="D198" s="94" t="inlineStr">
        <x:is>
          <x:t xml:space="preserve">Item consumer event can block selection</x:t>
        </x:is>
      </x:c>
      <x:c r="E198" s="93" t="inlineStr">
        <x:is>
          <x:t xml:space="preserve">yes</x:t>
        </x:is>
      </x:c>
      <x:c r="F198" s="93" t="inlineStr">
        <x:is>
          <x:t xml:space="preserve">yes</x:t>
        </x:is>
      </x:c>
      <x:c r="G198" s="93" t="inlineStr">
        <x:is>
          <x:t xml:space="preserve">pass</x:t>
        </x:is>
      </x:c>
      <x:c r="H198" s="93" t="inlineStr">
        <x:is>
          <x:t xml:space="preserve">covered</x:t>
        </x:is>
      </x:c>
      <x:c r="I198" s="94" t="inlineStr">
        <x:is>
          <x:t xml:space="preserve">DropdownMenu playground manual verification.</x:t>
        </x:is>
      </x:c>
      <x:c r="J198" s="94" t="n"/>
      <x:c r="K198" s="95" t="n">
        <x:f>IF(AND(E198="yes",F198="yes",H198="covered"),1,IF(H198="partial",0.5,0))</x:f>
        <x:v>1</x:v>
      </x:c>
    </x:row>
    <x:row r="199" s="51" customFormat="1" ht="31.5" customHeight="1">
      <x:c r="A199" s="93" t="n">
        <x:v>191</x:v>
      </x:c>
      <x:c r="B199" s="94" t="inlineStr">
        <x:is>
          <x:t xml:space="preserve">Composition</x:t>
        </x:is>
      </x:c>
      <x:c r="C199" s="94" t="inlineStr">
        <x:is>
          <x:t xml:space="preserve">Native Props</x:t>
        </x:is>
      </x:c>
      <x:c r="D199" s="94" t="inlineStr">
        <x:is>
          <x:t xml:space="preserve">Trigger native props pass through</x:t>
        </x:is>
      </x:c>
      <x:c r="E199" s="93" t="inlineStr">
        <x:is>
          <x:t xml:space="preserve">yes</x:t>
        </x:is>
      </x:c>
      <x:c r="F199" s="93" t="inlineStr">
        <x:is>
          <x:t xml:space="preserve">yes</x:t>
        </x:is>
      </x:c>
      <x:c r="G199" s="93" t="inlineStr">
        <x:is>
          <x:t xml:space="preserve">pass</x:t>
        </x:is>
      </x:c>
      <x:c r="H199" s="93" t="inlineStr">
        <x:is>
          <x:t xml:space="preserve">covered</x:t>
        </x:is>
      </x:c>
      <x:c r="I199" s="94" t="inlineStr">
        <x:is>
          <x:t xml:space="preserve">DropdownMenu playground manual verification.</x:t>
        </x:is>
      </x:c>
      <x:c r="J199" s="94" t="n"/>
      <x:c r="K199" s="95" t="n">
        <x:f>IF(AND(E199="yes",F199="yes",H199="covered"),1,IF(H199="partial",0.5,0))</x:f>
        <x:v>1</x:v>
      </x:c>
    </x:row>
    <x:row r="200" s="51" customFormat="1" ht="31.5" customHeight="1">
      <x:c r="A200" s="93" t="n">
        <x:v>192</x:v>
      </x:c>
      <x:c r="B200" s="94" t="inlineStr">
        <x:is>
          <x:t xml:space="preserve">Composition</x:t>
        </x:is>
      </x:c>
      <x:c r="C200" s="94" t="inlineStr">
        <x:is>
          <x:t xml:space="preserve">Native Props</x:t>
        </x:is>
      </x:c>
      <x:c r="D200" s="94" t="inlineStr">
        <x:is>
          <x:t xml:space="preserve">Content native props pass through</x:t>
        </x:is>
      </x:c>
      <x:c r="E200" s="93" t="inlineStr">
        <x:is>
          <x:t xml:space="preserve">yes</x:t>
        </x:is>
      </x:c>
      <x:c r="F200" s="93" t="inlineStr">
        <x:is>
          <x:t xml:space="preserve">yes</x:t>
        </x:is>
      </x:c>
      <x:c r="G200" s="93" t="inlineStr">
        <x:is>
          <x:t xml:space="preserve">pass</x:t>
        </x:is>
      </x:c>
      <x:c r="H200" s="93" t="inlineStr">
        <x:is>
          <x:t xml:space="preserve">covered</x:t>
        </x:is>
      </x:c>
      <x:c r="I200" s="94" t="inlineStr">
        <x:is>
          <x:t xml:space="preserve">DropdownMenu playground manual verification.</x:t>
        </x:is>
      </x:c>
      <x:c r="J200" s="94" t="n"/>
      <x:c r="K200" s="95" t="n">
        <x:f>IF(AND(E200="yes",F200="yes",H200="covered"),1,IF(H200="partial",0.5,0))</x:f>
        <x:v>1</x:v>
      </x:c>
    </x:row>
    <x:row r="201" s="51" customFormat="1" ht="31.5" customHeight="1">
      <x:c r="A201" s="93" t="n">
        <x:v>193</x:v>
      </x:c>
      <x:c r="B201" s="94" t="inlineStr">
        <x:is>
          <x:t xml:space="preserve">Composition</x:t>
        </x:is>
      </x:c>
      <x:c r="C201" s="94" t="inlineStr">
        <x:is>
          <x:t xml:space="preserve">Native Props</x:t>
        </x:is>
      </x:c>
      <x:c r="D201" s="94" t="inlineStr">
        <x:is>
          <x:t xml:space="preserve">CheckboxItem native props pass through</x:t>
        </x:is>
      </x:c>
      <x:c r="E201" s="93" t="inlineStr">
        <x:is>
          <x:t xml:space="preserve">yes</x:t>
        </x:is>
      </x:c>
      <x:c r="F201" s="93" t="inlineStr">
        <x:is>
          <x:t xml:space="preserve">yes</x:t>
        </x:is>
      </x:c>
      <x:c r="G201" s="93" t="inlineStr">
        <x:is>
          <x:t xml:space="preserve">pass</x:t>
        </x:is>
      </x:c>
      <x:c r="H201" s="93" t="inlineStr">
        <x:is>
          <x:t xml:space="preserve">covered</x:t>
        </x:is>
      </x:c>
      <x:c r="I201" s="94" t="inlineStr">
        <x:is>
          <x:t xml:space="preserve">DropdownMenu playground manual verification.</x:t>
        </x:is>
      </x:c>
      <x:c r="J201" s="94" t="n"/>
      <x:c r="K201" s="95" t="n">
        <x:f>IF(AND(E201="yes",F201="yes",H201="covered"),1,IF(H201="partial",0.5,0))</x:f>
        <x:v>1</x:v>
      </x:c>
    </x:row>
    <x:row r="202" s="51" customFormat="1" ht="31.5" customHeight="1">
      <x:c r="A202" s="93" t="n">
        <x:v>194</x:v>
      </x:c>
      <x:c r="B202" s="94" t="inlineStr">
        <x:is>
          <x:t xml:space="preserve">Composition</x:t>
        </x:is>
      </x:c>
      <x:c r="C202" s="94" t="inlineStr">
        <x:is>
          <x:t xml:space="preserve">Native Props</x:t>
        </x:is>
      </x:c>
      <x:c r="D202" s="94" t="inlineStr">
        <x:is>
          <x:t xml:space="preserve">RadioItem native props pass through</x:t>
        </x:is>
      </x:c>
      <x:c r="E202" s="93" t="inlineStr">
        <x:is>
          <x:t xml:space="preserve">yes</x:t>
        </x:is>
      </x:c>
      <x:c r="F202" s="93" t="inlineStr">
        <x:is>
          <x:t xml:space="preserve">yes</x:t>
        </x:is>
      </x:c>
      <x:c r="G202" s="93" t="inlineStr">
        <x:is>
          <x:t xml:space="preserve">pass</x:t>
        </x:is>
      </x:c>
      <x:c r="H202" s="93" t="inlineStr">
        <x:is>
          <x:t xml:space="preserve">covered</x:t>
        </x:is>
      </x:c>
      <x:c r="I202" s="94" t="inlineStr">
        <x:is>
          <x:t xml:space="preserve">DropdownMenu playground manual verification.</x:t>
        </x:is>
      </x:c>
      <x:c r="J202" s="94" t="n"/>
      <x:c r="K202" s="95" t="n">
        <x:f>IF(AND(E202="yes",F202="yes",H202="covered"),1,IF(H202="partial",0.5,0))</x:f>
        <x:v>1</x:v>
      </x:c>
    </x:row>
    <x:row r="203" s="51" customFormat="1" ht="31.5" customHeight="1">
      <x:c r="A203" s="93" t="n">
        <x:v>195</x:v>
      </x:c>
      <x:c r="B203" s="94" t="inlineStr">
        <x:is>
          <x:t xml:space="preserve">Composition</x:t>
        </x:is>
      </x:c>
      <x:c r="C203" s="94" t="inlineStr">
        <x:is>
          <x:t xml:space="preserve">Native Props</x:t>
        </x:is>
      </x:c>
      <x:c r="D203" s="94" t="inlineStr">
        <x:is>
          <x:t xml:space="preserve">SubContent native props pass through</x:t>
        </x:is>
      </x:c>
      <x:c r="E203" s="93" t="inlineStr">
        <x:is>
          <x:t xml:space="preserve">yes</x:t>
        </x:is>
      </x:c>
      <x:c r="F203" s="93" t="inlineStr">
        <x:is>
          <x:t xml:space="preserve">yes</x:t>
        </x:is>
      </x:c>
      <x:c r="G203" s="93" t="inlineStr">
        <x:is>
          <x:t xml:space="preserve">pass</x:t>
        </x:is>
      </x:c>
      <x:c r="H203" s="93" t="inlineStr">
        <x:is>
          <x:t xml:space="preserve">covered</x:t>
        </x:is>
      </x:c>
      <x:c r="I203" s="94" t="inlineStr">
        <x:is>
          <x:t xml:space="preserve">DropdownMenu playground manual verification.</x:t>
        </x:is>
      </x:c>
      <x:c r="J203" s="94" t="n"/>
      <x:c r="K203" s="95" t="n">
        <x:f>IF(AND(E203="yes",F203="yes",H203="covered"),1,IF(H203="partial",0.5,0))</x:f>
        <x:v>1</x:v>
      </x:c>
    </x:row>
    <x:row r="204" s="51" customFormat="1" ht="31.5" customHeight="1">
      <x:c r="A204" s="93" t="n">
        <x:v>196</x:v>
      </x:c>
      <x:c r="B204" s="94" t="inlineStr">
        <x:is>
          <x:t xml:space="preserve">Styling Hooks</x:t>
        </x:is>
      </x:c>
      <x:c r="C204" s="94" t="inlineStr">
        <x:is>
          <x:t xml:space="preserve">Data Attributes</x:t>
        </x:is>
      </x:c>
      <x:c r="D204" s="94" t="inlineStr">
        <x:is>
          <x:t xml:space="preserve">trigger open state visible through data-state</x:t>
        </x:is>
      </x:c>
      <x:c r="E204" s="93" t="inlineStr">
        <x:is>
          <x:t xml:space="preserve">yes</x:t>
        </x:is>
      </x:c>
      <x:c r="F204" s="93" t="inlineStr">
        <x:is>
          <x:t xml:space="preserve">yes</x:t>
        </x:is>
      </x:c>
      <x:c r="G204" s="93" t="inlineStr">
        <x:is>
          <x:t xml:space="preserve">pass</x:t>
        </x:is>
      </x:c>
      <x:c r="H204" s="93" t="inlineStr">
        <x:is>
          <x:t xml:space="preserve">covered</x:t>
        </x:is>
      </x:c>
      <x:c r="I204" s="94" t="inlineStr">
        <x:is>
          <x:t xml:space="preserve">DropdownMenu playground manual verification.</x:t>
        </x:is>
      </x:c>
      <x:c r="J204" s="94" t="n"/>
      <x:c r="K204" s="95" t="n">
        <x:f>IF(AND(E204="yes",F204="yes",H204="covered"),1,IF(H204="partial",0.5,0))</x:f>
        <x:v>1</x:v>
      </x:c>
    </x:row>
    <x:row r="205" s="51" customFormat="1" ht="31.5" customHeight="1">
      <x:c r="A205" s="93" t="n">
        <x:v>197</x:v>
      </x:c>
      <x:c r="B205" s="94" t="inlineStr">
        <x:is>
          <x:t xml:space="preserve">Styling Hooks</x:t>
        </x:is>
      </x:c>
      <x:c r="C205" s="94" t="inlineStr">
        <x:is>
          <x:t xml:space="preserve">Data Attributes</x:t>
        </x:is>
      </x:c>
      <x:c r="D205" s="94" t="inlineStr">
        <x:is>
          <x:t xml:space="preserve">content open state visible through data-state</x:t>
        </x:is>
      </x:c>
      <x:c r="E205" s="93" t="inlineStr">
        <x:is>
          <x:t xml:space="preserve">yes</x:t>
        </x:is>
      </x:c>
      <x:c r="F205" s="93" t="inlineStr">
        <x:is>
          <x:t xml:space="preserve">yes</x:t>
        </x:is>
      </x:c>
      <x:c r="G205" s="93" t="inlineStr">
        <x:is>
          <x:t xml:space="preserve">pass</x:t>
        </x:is>
      </x:c>
      <x:c r="H205" s="93" t="inlineStr">
        <x:is>
          <x:t xml:space="preserve">covered</x:t>
        </x:is>
      </x:c>
      <x:c r="I205" s="94" t="inlineStr">
        <x:is>
          <x:t xml:space="preserve">DropdownMenu playground manual verification.</x:t>
        </x:is>
      </x:c>
      <x:c r="J205" s="94" t="n"/>
      <x:c r="K205" s="95" t="n">
        <x:f>IF(AND(E205="yes",F205="yes",H205="covered"),1,IF(H205="partial",0.5,0))</x:f>
        <x:v>1</x:v>
      </x:c>
    </x:row>
    <x:row r="206" s="51" customFormat="1" ht="31.5" customHeight="1">
      <x:c r="A206" s="93" t="n">
        <x:v>198</x:v>
      </x:c>
      <x:c r="B206" s="94" t="inlineStr">
        <x:is>
          <x:t xml:space="preserve">Styling Hooks</x:t>
        </x:is>
      </x:c>
      <x:c r="C206" s="94" t="inlineStr">
        <x:is>
          <x:t xml:space="preserve">Data Attributes</x:t>
        </x:is>
      </x:c>
      <x:c r="D206" s="94" t="inlineStr">
        <x:is>
          <x:t xml:space="preserve">highlighted item visible through data-highlighted</x:t>
        </x:is>
      </x:c>
      <x:c r="E206" s="93" t="inlineStr">
        <x:is>
          <x:t xml:space="preserve">yes</x:t>
        </x:is>
      </x:c>
      <x:c r="F206" s="93" t="inlineStr">
        <x:is>
          <x:t xml:space="preserve">yes</x:t>
        </x:is>
      </x:c>
      <x:c r="G206" s="93" t="inlineStr">
        <x:is>
          <x:t xml:space="preserve">pass</x:t>
        </x:is>
      </x:c>
      <x:c r="H206" s="93" t="inlineStr">
        <x:is>
          <x:t xml:space="preserve">covered</x:t>
        </x:is>
      </x:c>
      <x:c r="I206" s="94" t="inlineStr">
        <x:is>
          <x:t xml:space="preserve">DropdownMenu playground manual verification.</x:t>
        </x:is>
      </x:c>
      <x:c r="J206" s="94" t="n"/>
      <x:c r="K206" s="95" t="n">
        <x:f>IF(AND(E206="yes",F206="yes",H206="covered"),1,IF(H206="partial",0.5,0))</x:f>
        <x:v>1</x:v>
      </x:c>
    </x:row>
    <x:row r="207" s="51" customFormat="1" ht="31.5" customHeight="1">
      <x:c r="A207" s="93" t="n">
        <x:v>199</x:v>
      </x:c>
      <x:c r="B207" s="94" t="inlineStr">
        <x:is>
          <x:t xml:space="preserve">Styling Hooks</x:t>
        </x:is>
      </x:c>
      <x:c r="C207" s="94" t="inlineStr">
        <x:is>
          <x:t xml:space="preserve">Data Attributes</x:t>
        </x:is>
      </x:c>
      <x:c r="D207" s="94" t="inlineStr">
        <x:is>
          <x:t xml:space="preserve">disabled trigger visible through data-disabled</x:t>
        </x:is>
      </x:c>
      <x:c r="E207" s="93" t="inlineStr">
        <x:is>
          <x:t xml:space="preserve">yes</x:t>
        </x:is>
      </x:c>
      <x:c r="F207" s="93" t="inlineStr">
        <x:is>
          <x:t xml:space="preserve">yes</x:t>
        </x:is>
      </x:c>
      <x:c r="G207" s="93" t="inlineStr">
        <x:is>
          <x:t xml:space="preserve">pass</x:t>
        </x:is>
      </x:c>
      <x:c r="H207" s="93" t="inlineStr">
        <x:is>
          <x:t xml:space="preserve">covered</x:t>
        </x:is>
      </x:c>
      <x:c r="I207" s="94" t="inlineStr">
        <x:is>
          <x:t xml:space="preserve">DropdownMenu playground manual verification.</x:t>
        </x:is>
      </x:c>
      <x:c r="J207" s="94" t="n"/>
      <x:c r="K207" s="95" t="n">
        <x:f>IF(AND(E207="yes",F207="yes",H207="covered"),1,IF(H207="partial",0.5,0))</x:f>
        <x:v>1</x:v>
      </x:c>
    </x:row>
    <x:row r="208" s="51" customFormat="1" ht="31.5" customHeight="1">
      <x:c r="A208" s="93" t="n">
        <x:v>200</x:v>
      </x:c>
      <x:c r="B208" s="94" t="inlineStr">
        <x:is>
          <x:t xml:space="preserve">Styling Hooks</x:t>
        </x:is>
      </x:c>
      <x:c r="C208" s="94" t="inlineStr">
        <x:is>
          <x:t xml:space="preserve">Data Attributes</x:t>
        </x:is>
      </x:c>
      <x:c r="D208" s="94" t="inlineStr">
        <x:is>
          <x:t xml:space="preserve">disabled item visible through data-disabled</x:t>
        </x:is>
      </x:c>
      <x:c r="E208" s="93" t="inlineStr">
        <x:is>
          <x:t xml:space="preserve">yes</x:t>
        </x:is>
      </x:c>
      <x:c r="F208" s="93" t="inlineStr">
        <x:is>
          <x:t xml:space="preserve">yes</x:t>
        </x:is>
      </x:c>
      <x:c r="G208" s="93" t="inlineStr">
        <x:is>
          <x:t xml:space="preserve">pass</x:t>
        </x:is>
      </x:c>
      <x:c r="H208" s="93" t="inlineStr">
        <x:is>
          <x:t xml:space="preserve">covered</x:t>
        </x:is>
      </x:c>
      <x:c r="I208" s="94" t="inlineStr">
        <x:is>
          <x:t xml:space="preserve">DropdownMenu playground manual verification.</x:t>
        </x:is>
      </x:c>
      <x:c r="J208" s="94" t="n"/>
      <x:c r="K208" s="95" t="n">
        <x:f>IF(AND(E208="yes",F208="yes",H208="covered"),1,IF(H208="partial",0.5,0))</x:f>
        <x:v>1</x:v>
      </x:c>
    </x:row>
    <x:row r="209" s="51" customFormat="1" ht="31.5" customHeight="1">
      <x:c r="A209" s="93" t="n">
        <x:v>201</x:v>
      </x:c>
      <x:c r="B209" s="94" t="inlineStr">
        <x:is>
          <x:t xml:space="preserve">Styling Hooks</x:t>
        </x:is>
      </x:c>
      <x:c r="C209" s="94" t="inlineStr">
        <x:is>
          <x:t xml:space="preserve">Data Attributes</x:t>
        </x:is>
      </x:c>
      <x:c r="D209" s="94" t="inlineStr">
        <x:is>
          <x:t xml:space="preserve">checked item visible through data-checked</x:t>
        </x:is>
      </x:c>
      <x:c r="E209" s="93" t="inlineStr">
        <x:is>
          <x:t xml:space="preserve">yes</x:t>
        </x:is>
      </x:c>
      <x:c r="F209" s="93" t="inlineStr">
        <x:is>
          <x:t xml:space="preserve">yes</x:t>
        </x:is>
      </x:c>
      <x:c r="G209" s="93" t="inlineStr">
        <x:is>
          <x:t xml:space="preserve">pass</x:t>
        </x:is>
      </x:c>
      <x:c r="H209" s="93" t="inlineStr">
        <x:is>
          <x:t xml:space="preserve">covered</x:t>
        </x:is>
      </x:c>
      <x:c r="I209" s="94" t="inlineStr">
        <x:is>
          <x:t xml:space="preserve">DropdownMenu playground manual verification.</x:t>
        </x:is>
      </x:c>
      <x:c r="J209" s="94" t="n"/>
      <x:c r="K209" s="95" t="n">
        <x:f>IF(AND(E209="yes",F209="yes",H209="covered"),1,IF(H209="partial",0.5,0))</x:f>
        <x:v>1</x:v>
      </x:c>
    </x:row>
    <x:row r="210" s="51" customFormat="1" ht="31.5" customHeight="1">
      <x:c r="A210" s="93" t="n">
        <x:v>202</x:v>
      </x:c>
      <x:c r="B210" s="94" t="inlineStr">
        <x:is>
          <x:t xml:space="preserve">Styling Hooks</x:t>
        </x:is>
      </x:c>
      <x:c r="C210" s="94" t="inlineStr">
        <x:is>
          <x:t xml:space="preserve">Data Attributes</x:t>
        </x:is>
      </x:c>
      <x:c r="D210" s="94" t="inlineStr">
        <x:is>
          <x:t xml:space="preserve">placement visible through data-side and data-align</x:t>
        </x:is>
      </x:c>
      <x:c r="E210" s="93" t="inlineStr">
        <x:is>
          <x:t xml:space="preserve">yes</x:t>
        </x:is>
      </x:c>
      <x:c r="F210" s="93" t="inlineStr">
        <x:is>
          <x:t xml:space="preserve">yes</x:t>
        </x:is>
      </x:c>
      <x:c r="G210" s="93" t="inlineStr">
        <x:is>
          <x:t xml:space="preserve">pass</x:t>
        </x:is>
      </x:c>
      <x:c r="H210" s="93" t="inlineStr">
        <x:is>
          <x:t xml:space="preserve">covered</x:t>
        </x:is>
      </x:c>
      <x:c r="I210" s="94" t="inlineStr">
        <x:is>
          <x:t xml:space="preserve">DropdownMenu playground manual verification.</x:t>
        </x:is>
      </x:c>
      <x:c r="J210" s="94" t="n"/>
      <x:c r="K210" s="95" t="n">
        <x:f>IF(AND(E210="yes",F210="yes",H210="covered"),1,IF(H210="partial",0.5,0))</x:f>
        <x:v>1</x:v>
      </x:c>
    </x:row>
    <x:row r="211" s="51" customFormat="1" ht="31.5" customHeight="1">
      <x:c r="A211" s="93" t="n">
        <x:v>203</x:v>
      </x:c>
      <x:c r="B211" s="94" t="inlineStr">
        <x:is>
          <x:t xml:space="preserve">Styling Hooks</x:t>
        </x:is>
      </x:c>
      <x:c r="C211" s="94" t="inlineStr">
        <x:is>
          <x:t xml:space="preserve">Data Attributes</x:t>
        </x:is>
      </x:c>
      <x:c r="D211" s="94" t="inlineStr">
        <x:is>
          <x:t xml:space="preserve">positioned state visible through data-positioned</x:t>
        </x:is>
      </x:c>
      <x:c r="E211" s="93" t="inlineStr">
        <x:is>
          <x:t xml:space="preserve">yes</x:t>
        </x:is>
      </x:c>
      <x:c r="F211" s="93" t="inlineStr">
        <x:is>
          <x:t xml:space="preserve">yes</x:t>
        </x:is>
      </x:c>
      <x:c r="G211" s="93" t="inlineStr">
        <x:is>
          <x:t xml:space="preserve">pass</x:t>
        </x:is>
      </x:c>
      <x:c r="H211" s="93" t="inlineStr">
        <x:is>
          <x:t xml:space="preserve">covered</x:t>
        </x:is>
      </x:c>
      <x:c r="I211" s="94" t="inlineStr">
        <x:is>
          <x:t xml:space="preserve">DropdownMenu playground manual verification.</x:t>
        </x:is>
      </x:c>
      <x:c r="J211" s="94" t="n"/>
      <x:c r="K211" s="95" t="n">
        <x:f>IF(AND(E211="yes",F211="yes",H211="covered"),1,IF(H211="partial",0.5,0))</x:f>
        <x:v>1</x:v>
      </x:c>
    </x:row>
    <x:row r="212" s="51" customFormat="1" ht="31.5" customHeight="1">
      <x:c r="A212" s="93" t="n">
        <x:v>204</x:v>
      </x:c>
      <x:c r="B212" s="94" t="inlineStr">
        <x:is>
          <x:t xml:space="preserve">Portal And Positioning</x:t>
        </x:is>
      </x:c>
      <x:c r="C212" s="94" t="inlineStr">
        <x:is>
          <x:t xml:space="preserve">Portal</x:t>
        </x:is>
      </x:c>
      <x:c r="D212" s="94" t="inlineStr">
        <x:is>
          <x:t xml:space="preserve">content portals to body</x:t>
        </x:is>
      </x:c>
      <x:c r="E212" s="93" t="inlineStr">
        <x:is>
          <x:t xml:space="preserve">yes</x:t>
        </x:is>
      </x:c>
      <x:c r="F212" s="93" t="inlineStr">
        <x:is>
          <x:t xml:space="preserve">yes</x:t>
        </x:is>
      </x:c>
      <x:c r="G212" s="93" t="inlineStr">
        <x:is>
          <x:t xml:space="preserve">pass</x:t>
        </x:is>
      </x:c>
      <x:c r="H212" s="93" t="inlineStr">
        <x:is>
          <x:t xml:space="preserve">covered</x:t>
        </x:is>
      </x:c>
      <x:c r="I212" s="94" t="inlineStr">
        <x:is>
          <x:t xml:space="preserve">DropdownMenu playground manual verification.</x:t>
        </x:is>
      </x:c>
      <x:c r="J212" s="94" t="n"/>
      <x:c r="K212" s="95" t="n">
        <x:f>IF(AND(E212="yes",F212="yes",H212="covered"),1,IF(H212="partial",0.5,0))</x:f>
        <x:v>1</x:v>
      </x:c>
    </x:row>
    <x:row r="213" s="51" customFormat="1" ht="31.5" customHeight="1">
      <x:c r="A213" s="93" t="n">
        <x:v>205</x:v>
      </x:c>
      <x:c r="B213" s="94" t="inlineStr">
        <x:is>
          <x:t xml:space="preserve">Portal And Positioning</x:t>
        </x:is>
      </x:c>
      <x:c r="C213" s="94" t="inlineStr">
        <x:is>
          <x:t xml:space="preserve">Portal</x:t>
        </x:is>
      </x:c>
      <x:c r="D213" s="94" t="inlineStr">
        <x:is>
          <x:t xml:space="preserve">sub content portals to body</x:t>
        </x:is>
      </x:c>
      <x:c r="E213" s="93" t="inlineStr">
        <x:is>
          <x:t xml:space="preserve">yes</x:t>
        </x:is>
      </x:c>
      <x:c r="F213" s="93" t="inlineStr">
        <x:is>
          <x:t xml:space="preserve">yes</x:t>
        </x:is>
      </x:c>
      <x:c r="G213" s="93" t="inlineStr">
        <x:is>
          <x:t xml:space="preserve">pass</x:t>
        </x:is>
      </x:c>
      <x:c r="H213" s="93" t="inlineStr">
        <x:is>
          <x:t xml:space="preserve">covered</x:t>
        </x:is>
      </x:c>
      <x:c r="I213" s="94" t="inlineStr">
        <x:is>
          <x:t xml:space="preserve">DropdownMenu playground manual verification.</x:t>
        </x:is>
      </x:c>
      <x:c r="J213" s="94" t="n"/>
      <x:c r="K213" s="95" t="n">
        <x:f>IF(AND(E213="yes",F213="yes",H213="covered"),1,IF(H213="partial",0.5,0))</x:f>
        <x:v>1</x:v>
      </x:c>
    </x:row>
    <x:row r="214" s="51" customFormat="1" ht="31.5" customHeight="1">
      <x:c r="A214" s="93" t="n">
        <x:v>206</x:v>
      </x:c>
      <x:c r="B214" s="94" t="inlineStr">
        <x:is>
          <x:t xml:space="preserve">Portal And Positioning</x:t>
        </x:is>
      </x:c>
      <x:c r="C214" s="94" t="inlineStr">
        <x:is>
          <x:t xml:space="preserve">Portal</x:t>
        </x:is>
      </x:c>
      <x:c r="D214" s="94" t="inlineStr">
        <x:is>
          <x:t xml:space="preserve">content positions relative to trigger</x:t>
        </x:is>
      </x:c>
      <x:c r="E214" s="93" t="inlineStr">
        <x:is>
          <x:t xml:space="preserve">yes</x:t>
        </x:is>
      </x:c>
      <x:c r="F214" s="93" t="inlineStr">
        <x:is>
          <x:t xml:space="preserve">yes</x:t>
        </x:is>
      </x:c>
      <x:c r="G214" s="93" t="inlineStr">
        <x:is>
          <x:t xml:space="preserve">pass</x:t>
        </x:is>
      </x:c>
      <x:c r="H214" s="93" t="inlineStr">
        <x:is>
          <x:t xml:space="preserve">covered</x:t>
        </x:is>
      </x:c>
      <x:c r="I214" s="94" t="inlineStr">
        <x:is>
          <x:t xml:space="preserve">DropdownMenu playground manual verification.</x:t>
        </x:is>
      </x:c>
      <x:c r="J214" s="94" t="n"/>
      <x:c r="K214" s="95" t="n">
        <x:f>IF(AND(E214="yes",F214="yes",H214="covered"),1,IF(H214="partial",0.5,0))</x:f>
        <x:v>1</x:v>
      </x:c>
    </x:row>
    <x:row r="215" s="51" customFormat="1" ht="31.5" customHeight="1">
      <x:c r="A215" s="93" t="n">
        <x:v>207</x:v>
      </x:c>
      <x:c r="B215" s="94" t="inlineStr">
        <x:is>
          <x:t xml:space="preserve">Portal And Positioning</x:t>
        </x:is>
      </x:c>
      <x:c r="C215" s="94" t="inlineStr">
        <x:is>
          <x:t xml:space="preserve">Portal</x:t>
        </x:is>
      </x:c>
      <x:c r="D215" s="94" t="inlineStr">
        <x:is>
          <x:t xml:space="preserve">placement flips or shifts near the edge of the manually tested desktop layout viewport</x:t>
        </x:is>
      </x:c>
      <x:c r="E215" s="93" t="inlineStr">
        <x:is>
          <x:t xml:space="preserve">yes</x:t>
        </x:is>
      </x:c>
      <x:c r="F215" s="93" t="inlineStr">
        <x:is>
          <x:t xml:space="preserve">yes</x:t>
        </x:is>
      </x:c>
      <x:c r="G215" s="93" t="inlineStr">
        <x:is>
          <x:t xml:space="preserve">passed existing desktop browser/manual baseline; mobile device qualification not run</x:t>
        </x:is>
      </x:c>
      <x:c r="H215" s="93" t="inlineStr">
        <x:is>
          <x:t xml:space="preserve">covered</x:t>
        </x:is>
      </x:c>
      <x:c r="I215" s="94" t="inlineStr">
        <x:is>
          <x:t xml:space="preserve">Existing desktop browser/manual baseline; not real iOS Safari or Android Chrome evidence.</x:t>
        </x:is>
      </x:c>
      <x:c r="J215" s="94" t="n"/>
      <x:c r="K215" s="95" t="n">
        <x:f>IF(AND(E215="yes",F215="yes",H215="covered"),1,IF(H215="partial",0.5,0))</x:f>
        <x:v>1</x:v>
      </x:c>
    </x:row>
    <x:row r="216" s="51" customFormat="1" ht="31.5" customHeight="1">
      <x:c r="A216" s="93" t="n">
        <x:v>208</x:v>
      </x:c>
      <x:c r="B216" s="94" t="inlineStr">
        <x:is>
          <x:t xml:space="preserve">Portal And Positioning</x:t>
        </x:is>
      </x:c>
      <x:c r="C216" s="94" t="inlineStr">
        <x:is>
          <x:t xml:space="preserve">Portal</x:t>
        </x:is>
      </x:c>
      <x:c r="D216" s="94" t="inlineStr">
        <x:is>
          <x:t xml:space="preserve">dropdown works inside Dialog without focus escape</x:t>
        </x:is>
      </x:c>
      <x:c r="E216" s="93" t="inlineStr">
        <x:is>
          <x:t xml:space="preserve">yes</x:t>
        </x:is>
      </x:c>
      <x:c r="F216" s="93" t="inlineStr">
        <x:is>
          <x:t xml:space="preserve">yes</x:t>
        </x:is>
      </x:c>
      <x:c r="G216" s="93" t="inlineStr">
        <x:is>
          <x:t xml:space="preserve">pass</x:t>
        </x:is>
      </x:c>
      <x:c r="H216" s="93" t="inlineStr">
        <x:is>
          <x:t xml:space="preserve">covered</x:t>
        </x:is>
      </x:c>
      <x:c r="I216" s="94" t="inlineStr">
        <x:is>
          <x:t xml:space="preserve">DropdownMenu playground manual verification.</x:t>
        </x:is>
      </x:c>
      <x:c r="J216" s="94" t="n"/>
      <x:c r="K216" s="95" t="n">
        <x:f>IF(AND(E216="yes",F216="yes",H216="covered"),1,IF(H216="partial",0.5,0))</x:f>
        <x:v>1</x:v>
      </x:c>
    </x:row>
    <x:row r="217" s="51" customFormat="1" ht="31.5" customHeight="1">
      <x:c r="A217" s="93" t="n">
        <x:v>209</x:v>
      </x:c>
      <x:c r="B217" s="94" t="inlineStr">
        <x:is>
          <x:t xml:space="preserve">Portal And Positioning</x:t>
        </x:is>
      </x:c>
      <x:c r="C217" s="94" t="inlineStr">
        <x:is>
          <x:t xml:space="preserve">Portal</x:t>
        </x:is>
      </x:c>
      <x:c r="D217" s="94" t="inlineStr">
        <x:is>
          <x:t xml:space="preserve">dropdown inside Dialog closes before Dialog on Escape</x:t>
        </x:is>
      </x:c>
      <x:c r="E217" s="93" t="inlineStr">
        <x:is>
          <x:t xml:space="preserve">yes</x:t>
        </x:is>
      </x:c>
      <x:c r="F217" s="93" t="inlineStr">
        <x:is>
          <x:t xml:space="preserve">yes</x:t>
        </x:is>
      </x:c>
      <x:c r="G217" s="93" t="inlineStr">
        <x:is>
          <x:t xml:space="preserve">pass</x:t>
        </x:is>
      </x:c>
      <x:c r="H217" s="93" t="inlineStr">
        <x:is>
          <x:t xml:space="preserve">covered</x:t>
        </x:is>
      </x:c>
      <x:c r="I217" s="94" t="inlineStr">
        <x:is>
          <x:t xml:space="preserve">DropdownMenu playground manual verification.</x:t>
        </x:is>
      </x:c>
      <x:c r="J217" s="94" t="n"/>
      <x:c r="K217" s="95" t="n">
        <x:f>IF(AND(E217="yes",F217="yes",H217="covered"),1,IF(H217="partial",0.5,0))</x:f>
        <x:v>1</x:v>
      </x:c>
    </x:row>
    <x:row r="218" s="51" customFormat="1" ht="31.5" customHeight="1">
      <x:c r="A218" s="93" t="n">
        <x:v>210</x:v>
      </x:c>
      <x:c r="B218" s="94" t="inlineStr">
        <x:is>
          <x:t xml:space="preserve">Regression</x:t>
        </x:is>
      </x:c>
      <x:c r="C218" s="94" t="inlineStr">
        <x:is>
          <x:t xml:space="preserve">Recent Fixes</x:t>
        </x:is>
      </x:c>
      <x:c r="D218" s="94" t="inlineStr">
        <x:is>
          <x:t xml:space="preserve">Escape closes topmost dropdown before parent overlay</x:t>
        </x:is>
      </x:c>
      <x:c r="E218" s="93" t="inlineStr">
        <x:is>
          <x:t xml:space="preserve">yes</x:t>
        </x:is>
      </x:c>
      <x:c r="F218" s="93" t="inlineStr">
        <x:is>
          <x:t xml:space="preserve">yes</x:t>
        </x:is>
      </x:c>
      <x:c r="G218" s="93" t="inlineStr">
        <x:is>
          <x:t xml:space="preserve">pass</x:t>
        </x:is>
      </x:c>
      <x:c r="H218" s="93" t="inlineStr">
        <x:is>
          <x:t xml:space="preserve">covered</x:t>
        </x:is>
      </x:c>
      <x:c r="I218" s="94" t="inlineStr">
        <x:is>
          <x:t xml:space="preserve">DropdownMenu playground manual verification.</x:t>
        </x:is>
      </x:c>
      <x:c r="J218" s="94" t="n"/>
      <x:c r="K218" s="95" t="n">
        <x:f>IF(AND(E218="yes",F218="yes",H218="covered"),1,IF(H218="partial",0.5,0))</x:f>
        <x:v>1</x:v>
      </x:c>
    </x:row>
    <x:row r="219" s="51" customFormat="1" ht="31.5" customHeight="1">
      <x:c r="A219" s="93" t="n">
        <x:v>211</x:v>
      </x:c>
      <x:c r="B219" s="94" t="inlineStr">
        <x:is>
          <x:t xml:space="preserve">Regression</x:t>
        </x:is>
      </x:c>
      <x:c r="C219" s="94" t="inlineStr">
        <x:is>
          <x:t xml:space="preserve">Recent Fixes</x:t>
        </x:is>
      </x:c>
      <x:c r="D219" s="94" t="inlineStr">
        <x:is>
          <x:t xml:space="preserve">portalled dropdown remains valid focus target inside Dialog</x:t>
        </x:is>
      </x:c>
      <x:c r="E219" s="93" t="inlineStr">
        <x:is>
          <x:t xml:space="preserve">yes</x:t>
        </x:is>
      </x:c>
      <x:c r="F219" s="93" t="inlineStr">
        <x:is>
          <x:t xml:space="preserve">yes</x:t>
        </x:is>
      </x:c>
      <x:c r="G219" s="93" t="inlineStr">
        <x:is>
          <x:t xml:space="preserve">pass</x:t>
        </x:is>
      </x:c>
      <x:c r="H219" s="93" t="inlineStr">
        <x:is>
          <x:t xml:space="preserve">covered</x:t>
        </x:is>
      </x:c>
      <x:c r="I219" s="94" t="inlineStr">
        <x:is>
          <x:t xml:space="preserve">DropdownMenu playground manual verification.</x:t>
        </x:is>
      </x:c>
      <x:c r="J219" s="94" t="n"/>
      <x:c r="K219" s="95" t="n">
        <x:f>IF(AND(E219="yes",F219="yes",H219="covered"),1,IF(H219="partial",0.5,0))</x:f>
        <x:v>1</x:v>
      </x:c>
    </x:row>
    <x:row r="220" s="51" customFormat="1" ht="31.5" customHeight="1">
      <x:c r="A220" s="93" t="n">
        <x:v>212</x:v>
      </x:c>
      <x:c r="B220" s="94" t="inlineStr">
        <x:is>
          <x:t xml:space="preserve">Regression</x:t>
        </x:is>
      </x:c>
      <x:c r="C220" s="94" t="inlineStr">
        <x:is>
          <x:t xml:space="preserve">Recent Fixes</x:t>
        </x:is>
      </x:c>
      <x:c r="D220" s="94" t="inlineStr">
        <x:is>
          <x:t xml:space="preserve">trigger disabled click does not open menu</x:t>
        </x:is>
      </x:c>
      <x:c r="E220" s="93" t="inlineStr">
        <x:is>
          <x:t xml:space="preserve">yes</x:t>
        </x:is>
      </x:c>
      <x:c r="F220" s="93" t="inlineStr">
        <x:is>
          <x:t xml:space="preserve">yes</x:t>
        </x:is>
      </x:c>
      <x:c r="G220" s="93" t="inlineStr">
        <x:is>
          <x:t xml:space="preserve">pass</x:t>
        </x:is>
      </x:c>
      <x:c r="H220" s="93" t="inlineStr">
        <x:is>
          <x:t xml:space="preserve">covered</x:t>
        </x:is>
      </x:c>
      <x:c r="I220" s="94" t="inlineStr">
        <x:is>
          <x:t xml:space="preserve">DropdownMenu playground manual verification.</x:t>
        </x:is>
      </x:c>
      <x:c r="J220" s="94" t="n"/>
      <x:c r="K220" s="95" t="n">
        <x:f>IF(AND(E220="yes",F220="yes",H220="covered"),1,IF(H220="partial",0.5,0))</x:f>
        <x:v>1</x:v>
      </x:c>
    </x:row>
    <x:row r="221" s="51" customFormat="1" ht="31.5" customHeight="1">
      <x:c r="A221" s="93" t="n">
        <x:v>213</x:v>
      </x:c>
      <x:c r="B221" s="94" t="inlineStr">
        <x:is>
          <x:t xml:space="preserve">Regression</x:t>
        </x:is>
      </x:c>
      <x:c r="C221" s="94" t="inlineStr">
        <x:is>
          <x:t xml:space="preserve">Recent Fixes</x:t>
        </x:is>
      </x:c>
      <x:c r="D221" s="94" t="inlineStr">
        <x:is>
          <x:t xml:space="preserve">trigger disabled asChild is removed from tab order</x:t>
        </x:is>
      </x:c>
      <x:c r="E221" s="93" t="inlineStr">
        <x:is>
          <x:t xml:space="preserve">yes</x:t>
        </x:is>
      </x:c>
      <x:c r="F221" s="93" t="inlineStr">
        <x:is>
          <x:t xml:space="preserve">yes</x:t>
        </x:is>
      </x:c>
      <x:c r="G221" s="93" t="inlineStr">
        <x:is>
          <x:t xml:space="preserve">pass</x:t>
        </x:is>
      </x:c>
      <x:c r="H221" s="93" t="inlineStr">
        <x:is>
          <x:t xml:space="preserve">covered</x:t>
        </x:is>
      </x:c>
      <x:c r="I221" s="94" t="inlineStr">
        <x:is>
          <x:t xml:space="preserve">DropdownMenu playground manual verification.</x:t>
        </x:is>
      </x:c>
      <x:c r="J221" s="94" t="n"/>
      <x:c r="K221" s="95" t="n">
        <x:f>IF(AND(E221="yes",F221="yes",H221="covered"),1,IF(H221="partial",0.5,0))</x:f>
        <x:v>1</x:v>
      </x:c>
    </x:row>
    <x:row r="222" s="51" customFormat="1" ht="31.5" customHeight="1">
      <x:c r="A222" s="93" t="n">
        <x:v>214</x:v>
      </x:c>
      <x:c r="B222" s="94" t="inlineStr">
        <x:is>
          <x:t xml:space="preserve">Regression</x:t>
        </x:is>
      </x:c>
      <x:c r="C222" s="94" t="inlineStr">
        <x:is>
          <x:t xml:space="preserve">Recent Fixes</x:t>
        </x:is>
      </x:c>
      <x:c r="D222" s="94" t="inlineStr">
        <x:is>
          <x:t xml:space="preserve">pointer-opened menu does not preselect first item</x:t>
        </x:is>
      </x:c>
      <x:c r="E222" s="93" t="inlineStr">
        <x:is>
          <x:t xml:space="preserve">yes</x:t>
        </x:is>
      </x:c>
      <x:c r="F222" s="93" t="inlineStr">
        <x:is>
          <x:t xml:space="preserve">yes</x:t>
        </x:is>
      </x:c>
      <x:c r="G222" s="93" t="inlineStr">
        <x:is>
          <x:t xml:space="preserve">pass</x:t>
        </x:is>
      </x:c>
      <x:c r="H222" s="93" t="inlineStr">
        <x:is>
          <x:t xml:space="preserve">covered</x:t>
        </x:is>
      </x:c>
      <x:c r="I222" s="94" t="inlineStr">
        <x:is>
          <x:t xml:space="preserve">DropdownMenu playground manual verification.</x:t>
        </x:is>
      </x:c>
      <x:c r="J222" s="94" t="n"/>
      <x:c r="K222" s="95" t="n">
        <x:f>IF(AND(E222="yes",F222="yes",H222="covered"),1,IF(H222="partial",0.5,0))</x:f>
        <x:v>1</x:v>
      </x:c>
    </x:row>
    <x:row r="223" s="51" customFormat="1" ht="31.5" customHeight="1">
      <x:c r="A223" s="93" t="n">
        <x:v>215</x:v>
      </x:c>
      <x:c r="B223" s="94" t="inlineStr">
        <x:is>
          <x:t xml:space="preserve">Regression</x:t>
        </x:is>
      </x:c>
      <x:c r="C223" s="94" t="inlineStr">
        <x:is>
          <x:t xml:space="preserve">Recent Fixes</x:t>
        </x:is>
      </x:c>
      <x:c r="D223" s="94" t="inlineStr">
        <x:is>
          <x:t xml:space="preserve">keyboard-opened menu highlights expected first or last item</x:t>
        </x:is>
      </x:c>
      <x:c r="E223" s="93" t="inlineStr">
        <x:is>
          <x:t xml:space="preserve">yes</x:t>
        </x:is>
      </x:c>
      <x:c r="F223" s="93" t="inlineStr">
        <x:is>
          <x:t xml:space="preserve">yes</x:t>
        </x:is>
      </x:c>
      <x:c r="G223" s="93" t="inlineStr">
        <x:is>
          <x:t xml:space="preserve">pass</x:t>
        </x:is>
      </x:c>
      <x:c r="H223" s="93" t="inlineStr">
        <x:is>
          <x:t xml:space="preserve">covered</x:t>
        </x:is>
      </x:c>
      <x:c r="I223" s="94" t="inlineStr">
        <x:is>
          <x:t xml:space="preserve">DropdownMenu playground manual verification.</x:t>
        </x:is>
      </x:c>
      <x:c r="J223" s="94" t="n"/>
      <x:c r="K223" s="95" t="n">
        <x:f>IF(AND(E223="yes",F223="yes",H223="covered"),1,IF(H223="partial",0.5,0))</x:f>
        <x:v>1</x:v>
      </x:c>
    </x:row>
    <x:row r="224" s="51" customFormat="1" ht="31.5" customHeight="1">
      <x:c r="A224" s="93" t="n">
        <x:v>216</x:v>
      </x:c>
      <x:c r="B224" s="94" t="inlineStr">
        <x:is>
          <x:t xml:space="preserve">Regression</x:t>
        </x:is>
      </x:c>
      <x:c r="C224" s="94" t="inlineStr">
        <x:is>
          <x:t xml:space="preserve">Recent Fixes</x:t>
        </x:is>
      </x:c>
      <x:c r="D224" s="94" t="inlineStr">
        <x:is>
          <x:t xml:space="preserve">radio groups with duplicate values highlight independently</x:t>
        </x:is>
      </x:c>
      <x:c r="E224" s="93" t="inlineStr">
        <x:is>
          <x:t xml:space="preserve">yes</x:t>
        </x:is>
      </x:c>
      <x:c r="F224" s="93" t="inlineStr">
        <x:is>
          <x:t xml:space="preserve">yes</x:t>
        </x:is>
      </x:c>
      <x:c r="G224" s="93" t="inlineStr">
        <x:is>
          <x:t xml:space="preserve">pass</x:t>
        </x:is>
      </x:c>
      <x:c r="H224" s="93" t="inlineStr">
        <x:is>
          <x:t xml:space="preserve">covered</x:t>
        </x:is>
      </x:c>
      <x:c r="I224" s="94" t="inlineStr">
        <x:is>
          <x:t xml:space="preserve">DropdownMenu playground manual verification.</x:t>
        </x:is>
      </x:c>
      <x:c r="J224" s="94" t="n"/>
      <x:c r="K224" s="95" t="n">
        <x:f>IF(AND(E224="yes",F224="yes",H224="covered"),1,IF(H224="partial",0.5,0))</x:f>
        <x:v>1</x:v>
      </x:c>
    </x:row>
    <x:row r="225" s="51" customFormat="1" ht="31.5" customHeight="1">
      <x:c r="A225" s="93" t="n">
        <x:v>217</x:v>
      </x:c>
      <x:c r="B225" s="94" t="inlineStr">
        <x:is>
          <x:t xml:space="preserve">Regression</x:t>
        </x:is>
      </x:c>
      <x:c r="C225" s="94" t="inlineStr">
        <x:is>
          <x:t xml:space="preserve">Recent Fixes</x:t>
        </x:is>
      </x:c>
      <x:c r="D225" s="94" t="inlineStr">
        <x:is>
          <x:t xml:space="preserve">hovering non-item content does not reset highlight to first item</x:t>
        </x:is>
      </x:c>
      <x:c r="E225" s="93" t="inlineStr">
        <x:is>
          <x:t xml:space="preserve">yes</x:t>
        </x:is>
      </x:c>
      <x:c r="F225" s="93" t="inlineStr">
        <x:is>
          <x:t xml:space="preserve">yes</x:t>
        </x:is>
      </x:c>
      <x:c r="G225" s="93" t="inlineStr">
        <x:is>
          <x:t xml:space="preserve">pass</x:t>
        </x:is>
      </x:c>
      <x:c r="H225" s="93" t="inlineStr">
        <x:is>
          <x:t xml:space="preserve">covered</x:t>
        </x:is>
      </x:c>
      <x:c r="I225" s="94" t="inlineStr">
        <x:is>
          <x:t xml:space="preserve">DropdownMenu playground manual verification.</x:t>
        </x:is>
      </x:c>
      <x:c r="J225" s="94" t="n"/>
      <x:c r="K225" s="95" t="n">
        <x:f>IF(AND(E225="yes",F225="yes",H225="covered"),1,IF(H225="partial",0.5,0))</x:f>
        <x:v>1</x:v>
      </x:c>
    </x:row>
    <x:row r="226" s="51" customFormat="1" ht="31.5" customHeight="1">
      <x:c r="A226" s="93" t="n">
        <x:v>218</x:v>
      </x:c>
      <x:c r="B226" s="94" t="inlineStr">
        <x:is>
          <x:t xml:space="preserve">Regression</x:t>
        </x:is>
      </x:c>
      <x:c r="C226" s="94" t="inlineStr">
        <x:is>
          <x:t xml:space="preserve">Recent Fixes</x:t>
        </x:is>
      </x:c>
      <x:c r="D226" s="94" t="inlineStr">
        <x:is>
          <x:t xml:space="preserve">outside click closes portalled dropdown</x:t>
        </x:is>
      </x:c>
      <x:c r="E226" s="93" t="inlineStr">
        <x:is>
          <x:t xml:space="preserve">yes</x:t>
        </x:is>
      </x:c>
      <x:c r="F226" s="93" t="inlineStr">
        <x:is>
          <x:t xml:space="preserve">yes</x:t>
        </x:is>
      </x:c>
      <x:c r="G226" s="93" t="inlineStr">
        <x:is>
          <x:t xml:space="preserve">pass</x:t>
        </x:is>
      </x:c>
      <x:c r="H226" s="93" t="inlineStr">
        <x:is>
          <x:t xml:space="preserve">covered</x:t>
        </x:is>
      </x:c>
      <x:c r="I226" s="94" t="inlineStr">
        <x:is>
          <x:t xml:space="preserve">DropdownMenu playground manual verification.</x:t>
        </x:is>
      </x:c>
      <x:c r="J226" s="94" t="n"/>
      <x:c r="K226" s="95" t="n">
        <x:f>IF(AND(E226="yes",F226="yes",H226="covered"),1,IF(H226="partial",0.5,0))</x:f>
        <x:v>1</x:v>
      </x:c>
    </x:row>
    <x:row r="227" s="51" customFormat="1" ht="30" customHeight="1">
      <x:c r="A227" s="73" t="n">
        <x:v>219</x:v>
      </x:c>
      <x:c r="B227" s="84" t="inlineStr">
        <x:is>
          <x:t xml:space="preserve">Regression</x:t>
        </x:is>
      </x:c>
      <x:c r="C227" s="84" t="inlineStr">
        <x:is>
          <x:t xml:space="preserve">Recent Fixes</x:t>
        </x:is>
      </x:c>
      <x:c r="D227" s="84" t="inlineStr">
        <x:is>
          <x:t xml:space="preserve">submenu focus returns to its immediate SubTrigger on close</x:t>
        </x:is>
      </x:c>
      <x:c r="E227" s="76" t="inlineStr">
        <x:is>
          <x:t xml:space="preserve">yes</x:t>
        </x:is>
      </x:c>
      <x:c r="F227" s="85" t="inlineStr">
        <x:is>
          <x:t xml:space="preserve">no</x:t>
        </x:is>
      </x:c>
      <x:c r="G227" s="73" t="inlineStr">
        <x:is>
          <x:t xml:space="preserve">automated tests pass; manual pending</x:t>
        </x:is>
      </x:c>
      <x:c r="H227" s="86" t="inlineStr">
        <x:is>
          <x:t xml:space="preserve">untested</x:t>
        </x:is>
      </x:c>
      <x:c r="I227" s="84" t="inlineStr">
        <x:is>
          <x:t xml:space="preserve">playground/.manual-tests/dropdown-menu.md (draft)</x:t>
        </x:is>
      </x:c>
      <x:c r="J227" s="84" t="inlineStr">
        <x:is>
          <x:t xml:space="preserve">Run the updated component Manual Test Protocol and named browser/device matrix.</x:t>
        </x:is>
      </x:c>
      <x:c r="K227" s="87" t="n">
        <x:f>IF(AND(E227="yes",F227="yes",H227="covered"),1,IF(H227="partial",0.5,0))</x:f>
        <x:v>0</x:v>
      </x:c>
    </x:row>
    <x:row r="228" s="51" customFormat="1" ht="31.5" customHeight="1">
      <x:c r="A228" s="93" t="n">
        <x:v>220</x:v>
      </x:c>
      <x:c r="B228" s="94" t="inlineStr">
        <x:is>
          <x:t xml:space="preserve">Interaction</x:t>
        </x:is>
      </x:c>
      <x:c r="C228" s="94" t="inlineStr">
        <x:is>
          <x:t xml:space="preserve">Trigger</x:t>
        </x:is>
      </x:c>
      <x:c r="D228" s="94" t="inlineStr">
        <x:is>
          <x:t xml:space="preserve">pointer/click trigger activation opens DropdownMenu in the existing desktop manual scenario</x:t>
        </x:is>
      </x:c>
      <x:c r="E228" s="93" t="inlineStr">
        <x:is>
          <x:t xml:space="preserve">yes</x:t>
        </x:is>
      </x:c>
      <x:c r="F228" s="93" t="inlineStr">
        <x:is>
          <x:t xml:space="preserve">yes</x:t>
        </x:is>
      </x:c>
      <x:c r="G228" s="93" t="inlineStr">
        <x:is>
          <x:t xml:space="preserve">passed existing desktop browser/manual baseline; mobile device qualification not run</x:t>
        </x:is>
      </x:c>
      <x:c r="H228" s="93" t="inlineStr">
        <x:is>
          <x:t xml:space="preserve">covered</x:t>
        </x:is>
      </x:c>
      <x:c r="I228" s="94" t="inlineStr">
        <x:is>
          <x:t xml:space="preserve">Existing desktop browser/manual baseline; not real iOS Safari or Android Chrome evidence.</x:t>
        </x:is>
      </x:c>
      <x:c r="J228" s="94" t="n"/>
      <x:c r="K228" s="95" t="n">
        <x:f>IF(AND(E228="yes",F228="yes",H228="covered"),1,IF(H228="partial",0.5,0))</x:f>
        <x:v>1</x:v>
      </x:c>
    </x:row>
    <x:row r="229" s="51" customFormat="1" ht="31.5" customHeight="1">
      <x:c r="A229" s="93" t="n">
        <x:v>221</x:v>
      </x:c>
      <x:c r="B229" s="94" t="inlineStr">
        <x:is>
          <x:t xml:space="preserve">Interaction</x:t>
        </x:is>
      </x:c>
      <x:c r="C229" s="94" t="inlineStr">
        <x:is>
          <x:t xml:space="preserve">Trigger</x:t>
        </x:is>
      </x:c>
      <x:c r="D229" s="94" t="inlineStr">
        <x:is>
          <x:t xml:space="preserve">pointer/click trigger activation closes an open DropdownMenu in the existing desktop manual scenario</x:t>
        </x:is>
      </x:c>
      <x:c r="E229" s="93" t="inlineStr">
        <x:is>
          <x:t xml:space="preserve">yes</x:t>
        </x:is>
      </x:c>
      <x:c r="F229" s="93" t="inlineStr">
        <x:is>
          <x:t xml:space="preserve">yes</x:t>
        </x:is>
      </x:c>
      <x:c r="G229" s="93" t="inlineStr">
        <x:is>
          <x:t xml:space="preserve">passed existing desktop browser/manual baseline; mobile device qualification not run</x:t>
        </x:is>
      </x:c>
      <x:c r="H229" s="93" t="inlineStr">
        <x:is>
          <x:t xml:space="preserve">covered</x:t>
        </x:is>
      </x:c>
      <x:c r="I229" s="94" t="inlineStr">
        <x:is>
          <x:t xml:space="preserve">Existing desktop browser/manual baseline; not real iOS Safari or Android Chrome evidence.</x:t>
        </x:is>
      </x:c>
      <x:c r="J229" s="94" t="n"/>
      <x:c r="K229" s="95" t="n">
        <x:f>IF(AND(E229="yes",F229="yes",H229="covered"),1,IF(H229="partial",0.5,0))</x:f>
        <x:v>1</x:v>
      </x:c>
    </x:row>
    <x:row r="230" s="51" customFormat="1" ht="31.5" customHeight="1">
      <x:c r="A230" s="93" t="n">
        <x:v>222</x:v>
      </x:c>
      <x:c r="B230" s="94" t="inlineStr">
        <x:is>
          <x:t xml:space="preserve">Interaction</x:t>
        </x:is>
      </x:c>
      <x:c r="C230" s="94" t="inlineStr">
        <x:is>
          <x:t xml:space="preserve">Item</x:t>
        </x:is>
      </x:c>
      <x:c r="D230" s="94" t="inlineStr">
        <x:is>
          <x:t xml:space="preserve">pointer/click activation selects an action item in the existing desktop manual scenario</x:t>
        </x:is>
      </x:c>
      <x:c r="E230" s="93" t="inlineStr">
        <x:is>
          <x:t xml:space="preserve">yes</x:t>
        </x:is>
      </x:c>
      <x:c r="F230" s="93" t="inlineStr">
        <x:is>
          <x:t xml:space="preserve">yes</x:t>
        </x:is>
      </x:c>
      <x:c r="G230" s="93" t="inlineStr">
        <x:is>
          <x:t xml:space="preserve">passed existing desktop browser/manual baseline; mobile device qualification not run</x:t>
        </x:is>
      </x:c>
      <x:c r="H230" s="93" t="inlineStr">
        <x:is>
          <x:t xml:space="preserve">covered</x:t>
        </x:is>
      </x:c>
      <x:c r="I230" s="94" t="inlineStr">
        <x:is>
          <x:t xml:space="preserve">Existing desktop browser/manual baseline; not real iOS Safari or Android Chrome evidence.</x:t>
        </x:is>
      </x:c>
      <x:c r="J230" s="94" t="n"/>
      <x:c r="K230" s="95" t="n">
        <x:f>IF(AND(E230="yes",F230="yes",H230="covered"),1,IF(H230="partial",0.5,0))</x:f>
        <x:v>1</x:v>
      </x:c>
    </x:row>
    <x:row r="231" s="51" customFormat="1" ht="31.5" customHeight="1">
      <x:c r="A231" s="93" t="n">
        <x:v>223</x:v>
      </x:c>
      <x:c r="B231" s="94" t="inlineStr">
        <x:is>
          <x:t xml:space="preserve">Interaction</x:t>
        </x:is>
      </x:c>
      <x:c r="C231" s="94" t="inlineStr">
        <x:is>
          <x:t xml:space="preserve">Checkbox item</x:t>
        </x:is>
      </x:c>
      <x:c r="D231" s="94" t="inlineStr">
        <x:is>
          <x:t xml:space="preserve">pointer/click activation toggles a checkbox item in the existing desktop manual scenario</x:t>
        </x:is>
      </x:c>
      <x:c r="E231" s="93" t="inlineStr">
        <x:is>
          <x:t xml:space="preserve">yes</x:t>
        </x:is>
      </x:c>
      <x:c r="F231" s="93" t="inlineStr">
        <x:is>
          <x:t xml:space="preserve">yes</x:t>
        </x:is>
      </x:c>
      <x:c r="G231" s="93" t="inlineStr">
        <x:is>
          <x:t xml:space="preserve">passed existing desktop browser/manual baseline; mobile device qualification not run</x:t>
        </x:is>
      </x:c>
      <x:c r="H231" s="93" t="inlineStr">
        <x:is>
          <x:t xml:space="preserve">covered</x:t>
        </x:is>
      </x:c>
      <x:c r="I231" s="94" t="inlineStr">
        <x:is>
          <x:t xml:space="preserve">Existing desktop browser/manual baseline; not real iOS Safari or Android Chrome evidence.</x:t>
        </x:is>
      </x:c>
      <x:c r="J231" s="94" t="n"/>
      <x:c r="K231" s="95" t="n">
        <x:f>IF(AND(E231="yes",F231="yes",H231="covered"),1,IF(H231="partial",0.5,0))</x:f>
        <x:v>1</x:v>
      </x:c>
    </x:row>
    <x:row r="232" s="51" customFormat="1" ht="31.5" customHeight="1">
      <x:c r="A232" s="93" t="n">
        <x:v>224</x:v>
      </x:c>
      <x:c r="B232" s="94" t="inlineStr">
        <x:is>
          <x:t xml:space="preserve">Interaction</x:t>
        </x:is>
      </x:c>
      <x:c r="C232" s="94" t="inlineStr">
        <x:is>
          <x:t xml:space="preserve">Radio item</x:t>
        </x:is>
      </x:c>
      <x:c r="D232" s="94" t="inlineStr">
        <x:is>
          <x:t xml:space="preserve">pointer/click activation selects a radio item in the existing desktop manual scenario</x:t>
        </x:is>
      </x:c>
      <x:c r="E232" s="93" t="inlineStr">
        <x:is>
          <x:t xml:space="preserve">yes</x:t>
        </x:is>
      </x:c>
      <x:c r="F232" s="93" t="inlineStr">
        <x:is>
          <x:t xml:space="preserve">yes</x:t>
        </x:is>
      </x:c>
      <x:c r="G232" s="93" t="inlineStr">
        <x:is>
          <x:t xml:space="preserve">passed existing desktop browser/manual baseline; mobile device qualification not run</x:t>
        </x:is>
      </x:c>
      <x:c r="H232" s="93" t="inlineStr">
        <x:is>
          <x:t xml:space="preserve">covered</x:t>
        </x:is>
      </x:c>
      <x:c r="I232" s="94" t="inlineStr">
        <x:is>
          <x:t xml:space="preserve">Existing desktop browser/manual baseline; not real iOS Safari or Android Chrome evidence.</x:t>
        </x:is>
      </x:c>
      <x:c r="J232" s="94" t="n"/>
      <x:c r="K232" s="95" t="n">
        <x:f>IF(AND(E232="yes",F232="yes",H232="covered"),1,IF(H232="partial",0.5,0))</x:f>
        <x:v>1</x:v>
      </x:c>
    </x:row>
    <x:row r="233" s="51" customFormat="1" ht="30" customHeight="1">
      <x:c r="A233" s="93" t="n">
        <x:v>225</x:v>
      </x:c>
      <x:c r="B233" s="94" t="inlineStr">
        <x:is>
          <x:t xml:space="preserve">Interaction</x:t>
        </x:is>
      </x:c>
      <x:c r="C233" s="94" t="inlineStr">
        <x:is>
          <x:t xml:space="preserve">Submenu</x:t>
        </x:is>
      </x:c>
      <x:c r="D233" s="94" t="inlineStr">
        <x:is>
          <x:t xml:space="preserve">pointer/click activation opens a submenu in the existing desktop manual scenario</x:t>
        </x:is>
      </x:c>
      <x:c r="E233" s="93" t="inlineStr">
        <x:is>
          <x:t xml:space="preserve">yes</x:t>
        </x:is>
      </x:c>
      <x:c r="F233" s="93" t="inlineStr">
        <x:is>
          <x:t xml:space="preserve">yes</x:t>
        </x:is>
      </x:c>
      <x:c r="G233" s="93" t="inlineStr">
        <x:is>
          <x:t xml:space="preserve">passed existing desktop browser/manual baseline; mobile device qualification not run</x:t>
        </x:is>
      </x:c>
      <x:c r="H233" s="93" t="inlineStr">
        <x:is>
          <x:t xml:space="preserve">covered</x:t>
        </x:is>
      </x:c>
      <x:c r="I233" s="94" t="inlineStr">
        <x:is>
          <x:t xml:space="preserve">Existing desktop browser/manual baseline; not real iOS Safari or Android Chrome evidence.</x:t>
        </x:is>
      </x:c>
      <x:c r="J233" s="94" t="n"/>
      <x:c r="K233" s="95" t="n">
        <x:f>IF(AND(E233="yes",F233="yes",H233="covered"),1,IF(H233="partial",0.5,0))</x:f>
        <x:v>1</x:v>
      </x:c>
    </x:row>
    <x:row r="234" s="51" customFormat="1" ht="30" customHeight="1">
      <x:c r="A234" s="73" t="n">
        <x:v>226</x:v>
      </x:c>
      <x:c r="B234" s="84" t="inlineStr">
        <x:is>
          <x:t xml:space="preserve">Interaction</x:t>
        </x:is>
      </x:c>
      <x:c r="C234" s="84" t="inlineStr">
        <x:is>
          <x:t xml:space="preserve">Outside interaction</x:t>
        </x:is>
      </x:c>
      <x:c r="D234" s="84" t="inlineStr">
        <x:is>
          <x:t xml:space="preserve">mouse outside press closes immediately; touch or pen outside release closes only after an uncancelled gesture</x:t>
        </x:is>
      </x:c>
      <x:c r="E234" s="76" t="inlineStr">
        <x:is>
          <x:t xml:space="preserve">yes</x:t>
        </x:is>
      </x:c>
      <x:c r="F234" s="85" t="inlineStr">
        <x:is>
          <x:t xml:space="preserve">no</x:t>
        </x:is>
      </x:c>
      <x:c r="G234" s="73" t="inlineStr">
        <x:is>
          <x:t xml:space="preserve">automated tests pass; manual pending</x:t>
        </x:is>
      </x:c>
      <x:c r="H234" s="86" t="inlineStr">
        <x:is>
          <x:t xml:space="preserve">untested</x:t>
        </x:is>
      </x:c>
      <x:c r="I234" s="84" t="inlineStr">
        <x:is>
          <x:t xml:space="preserve">playground/.manual-tests/dropdown-menu.md (draft)</x:t>
        </x:is>
      </x:c>
      <x:c r="J234" s="84" t="inlineStr">
        <x:is>
          <x:t xml:space="preserve">Run the updated component Manual Test Protocol and named browser/device matrix.</x:t>
        </x:is>
      </x:c>
      <x:c r="K234" s="87" t="n">
        <x:f>IF(AND(E234="yes",F234="yes",H234="covered"),1,IF(H234="partial",0.5,0))</x:f>
        <x:v>0</x:v>
      </x:c>
    </x:row>
    <x:row r="235" s="51" customFormat="1" ht="30" customHeight="1">
      <x:c r="A235" s="93" t="n">
        <x:v>227</x:v>
      </x:c>
      <x:c r="B235" s="94" t="inlineStr">
        <x:is>
          <x:t xml:space="preserve">Keyboard</x:t>
        </x:is>
      </x:c>
      <x:c r="C235" s="94" t="inlineStr">
        <x:is>
          <x:t xml:space="preserve">Typeahead</x:t>
        </x:is>
      </x:c>
      <x:c r="D235" s="94" t="inlineStr">
        <x:is>
          <x:t xml:space="preserve">single-character typeahead cycles from current matching item after buffer reset</x:t>
        </x:is>
      </x:c>
      <x:c r="E235" s="93" t="inlineStr">
        <x:is>
          <x:t xml:space="preserve">yes</x:t>
        </x:is>
      </x:c>
      <x:c r="F235" s="93" t="inlineStr">
        <x:is>
          <x:t xml:space="preserve">yes</x:t>
        </x:is>
      </x:c>
      <x:c r="G235" s="93" t="inlineStr">
        <x:is>
          <x:t xml:space="preserve">pass</x:t>
        </x:is>
      </x:c>
      <x:c r="H235" s="93" t="inlineStr">
        <x:is>
          <x:t xml:space="preserve">covered</x:t>
        </x:is>
      </x:c>
      <x:c r="I235" s="94" t="inlineStr">
        <x:is>
          <x:t xml:space="preserve">DropdownMenu playground manual verification.</x:t>
        </x:is>
      </x:c>
      <x:c r="J235" s="94" t="n"/>
      <x:c r="K235" s="95" t="n">
        <x:f>IF(AND(E235="yes",F235="yes",H235="covered"),1,IF(H235="partial",0.5,0))</x:f>
        <x:v>1</x:v>
      </x:c>
    </x:row>
    <x:row r="236" s="51" customFormat="1" ht="30" customHeight="1">
      <x:c r="A236" s="93" t="n">
        <x:v>228</x:v>
      </x:c>
      <x:c r="B236" s="94" t="inlineStr">
        <x:is>
          <x:t xml:space="preserve">Direction</x:t>
        </x:is>
      </x:c>
      <x:c r="C236" s="94" t="inlineStr">
        <x:is>
          <x:t xml:space="preserve">Submenu</x:t>
        </x:is>
      </x:c>
      <x:c r="D236" s="94" t="inlineStr">
        <x:is>
          <x:t xml:space="preserve">reads Direction.Provider context for submenu keyboard behavior</x:t>
        </x:is>
      </x:c>
      <x:c r="E236" s="93" t="inlineStr">
        <x:is>
          <x:t xml:space="preserve">yes</x:t>
        </x:is>
      </x:c>
      <x:c r="F236" s="93" t="inlineStr">
        <x:is>
          <x:t xml:space="preserve">yes</x:t>
        </x:is>
      </x:c>
      <x:c r="G236" s="93" t="inlineStr">
        <x:is>
          <x:t xml:space="preserve">pass</x:t>
        </x:is>
      </x:c>
      <x:c r="H236" s="93" t="inlineStr">
        <x:is>
          <x:t xml:space="preserve">covered</x:t>
        </x:is>
      </x:c>
      <x:c r="I236" s="94" t="inlineStr">
        <x:is>
          <x:t xml:space="preserve">DropdownMenu playground manual verification.</x:t>
        </x:is>
      </x:c>
      <x:c r="J236" s="94" t="n"/>
      <x:c r="K236" s="95" t="n">
        <x:f>IF(AND(E236="yes",F236="yes",H236="covered"),1,IF(H236="partial",0.5,0))</x:f>
        <x:v>1</x:v>
      </x:c>
    </x:row>
    <x:row r="237" s="51" customFormat="1" ht="30" customHeight="1">
      <x:c r="A237" s="93" t="n">
        <x:v>229</x:v>
      </x:c>
      <x:c r="B237" s="94" t="inlineStr">
        <x:is>
          <x:t xml:space="preserve">Direction</x:t>
        </x:is>
      </x:c>
      <x:c r="C237" s="94" t="inlineStr">
        <x:is>
          <x:t xml:space="preserve">Submenu</x:t>
        </x:is>
      </x:c>
      <x:c r="D237" s="94" t="inlineStr">
        <x:is>
          <x:t xml:space="preserve">RTL mirrors submenu ArrowLeft and ArrowRight open/close behavior</x:t>
        </x:is>
      </x:c>
      <x:c r="E237" s="93" t="inlineStr">
        <x:is>
          <x:t xml:space="preserve">yes</x:t>
        </x:is>
      </x:c>
      <x:c r="F237" s="93" t="inlineStr">
        <x:is>
          <x:t xml:space="preserve">yes</x:t>
        </x:is>
      </x:c>
      <x:c r="G237" s="93" t="inlineStr">
        <x:is>
          <x:t xml:space="preserve">pass</x:t>
        </x:is>
      </x:c>
      <x:c r="H237" s="93" t="inlineStr">
        <x:is>
          <x:t xml:space="preserve">covered</x:t>
        </x:is>
      </x:c>
      <x:c r="I237" s="94" t="inlineStr">
        <x:is>
          <x:t xml:space="preserve">DropdownMenu playground manual verification.</x:t>
        </x:is>
      </x:c>
      <x:c r="J237" s="94" t="n"/>
      <x:c r="K237" s="95" t="n">
        <x:f>IF(AND(E237="yes",F237="yes",H237="covered"),1,IF(H237="partial",0.5,0))</x:f>
        <x:v>1</x:v>
      </x:c>
    </x:row>
    <x:row r="238" s="51" customFormat="1" ht="30" customHeight="1">
      <x:c r="A238" s="93" t="n">
        <x:v>230</x:v>
      </x:c>
      <x:c r="B238" s="94" t="inlineStr">
        <x:is>
          <x:t xml:space="preserve">Playground</x:t>
        </x:is>
      </x:c>
      <x:c r="C238" s="94" t="inlineStr">
        <x:is>
          <x:t xml:space="preserve">Direction controls</x:t>
        </x:is>
      </x:c>
      <x:c r="D238" s="94" t="inlineStr">
        <x:is>
          <x:t xml:space="preserve">scenario exposes provider direction controls</x:t>
        </x:is>
      </x:c>
      <x:c r="E238" s="93" t="inlineStr">
        <x:is>
          <x:t xml:space="preserve">yes</x:t>
        </x:is>
      </x:c>
      <x:c r="F238" s="93" t="inlineStr">
        <x:is>
          <x:t xml:space="preserve">yes</x:t>
        </x:is>
      </x:c>
      <x:c r="G238" s="93" t="inlineStr">
        <x:is>
          <x:t xml:space="preserve">pass</x:t>
        </x:is>
      </x:c>
      <x:c r="H238" s="93" t="inlineStr">
        <x:is>
          <x:t xml:space="preserve">covered</x:t>
        </x:is>
      </x:c>
      <x:c r="I238" s="94" t="inlineStr">
        <x:is>
          <x:t xml:space="preserve">DropdownMenu playground manual verification.</x:t>
        </x:is>
      </x:c>
      <x:c r="J238" s="94" t="n"/>
      <x:c r="K238" s="95" t="n">
        <x:f>IF(AND(E238="yes",F238="yes",H238="covered"),1,IF(H238="partial",0.5,0))</x:f>
        <x:v>1</x:v>
      </x:c>
    </x:row>
    <x:row r="239" s="51" customFormat="1" ht="30" customHeight="1">
      <x:c r="A239" s="73" t="n">
        <x:v>231</x:v>
      </x:c>
      <x:c r="B239" s="84" t="inlineStr">
        <x:is>
          <x:t xml:space="preserve">Focus</x:t>
        </x:is>
      </x:c>
      <x:c r="C239" s="84" t="inlineStr">
        <x:is>
          <x:t xml:space="preserve">Trigger</x:t>
        </x:is>
      </x:c>
      <x:c r="D239" s="84" t="inlineStr">
        <x:is>
          <x:t xml:space="preserve">click, tap, Enter, Space, and ArrowDown open with real focus on the first item; ArrowUp focuses the last</x:t>
        </x:is>
      </x:c>
      <x:c r="E239" s="76" t="inlineStr">
        <x:is>
          <x:t xml:space="preserve">yes</x:t>
        </x:is>
      </x:c>
      <x:c r="F239" s="85" t="inlineStr">
        <x:is>
          <x:t xml:space="preserve">no</x:t>
        </x:is>
      </x:c>
      <x:c r="G239" s="73" t="inlineStr">
        <x:is>
          <x:t xml:space="preserve">automated tests pass; manual pending</x:t>
        </x:is>
      </x:c>
      <x:c r="H239" s="86" t="inlineStr">
        <x:is>
          <x:t xml:space="preserve">untested</x:t>
        </x:is>
      </x:c>
      <x:c r="I239" s="84" t="inlineStr">
        <x:is>
          <x:t xml:space="preserve">playground/.manual-tests/dropdown-menu.md (draft)</x:t>
        </x:is>
      </x:c>
      <x:c r="J239" s="84" t="inlineStr">
        <x:is>
          <x:t xml:space="preserve">Run the updated component Manual Test Protocol and named browser/device matrix.</x:t>
        </x:is>
      </x:c>
      <x:c r="K239" s="87" t="n">
        <x:f>IF(AND(E239="yes",F239="yes",H239="covered"),1,IF(H239="partial",0.5,0))</x:f>
        <x:v>0</x:v>
      </x:c>
    </x:row>
    <x:row r="240" s="51" customFormat="1" ht="30" customHeight="1">
      <x:c r="A240" s="73" t="n">
        <x:v>232</x:v>
      </x:c>
      <x:c r="B240" s="84" t="inlineStr">
        <x:is>
          <x:t xml:space="preserve">Focus</x:t>
        </x:is>
      </x:c>
      <x:c r="C240" s="84" t="inlineStr">
        <x:is>
          <x:t xml:space="preserve">Open And Close</x:t>
        </x:is>
      </x:c>
      <x:c r="D240" s="84" t="inlineStr">
        <x:is>
          <x:t xml:space="preserve">Shift+Tab closes every menu level and moves focus before the complete DropdownMenu owner boundary</x:t>
        </x:is>
      </x:c>
      <x:c r="E240" s="76" t="inlineStr">
        <x:is>
          <x:t xml:space="preserve">yes</x:t>
        </x:is>
      </x:c>
      <x:c r="F240" s="85" t="inlineStr">
        <x:is>
          <x:t xml:space="preserve">no</x:t>
        </x:is>
      </x:c>
      <x:c r="G240" s="73" t="inlineStr">
        <x:is>
          <x:t xml:space="preserve">automated tests pass; manual pending</x:t>
        </x:is>
      </x:c>
      <x:c r="H240" s="86" t="inlineStr">
        <x:is>
          <x:t xml:space="preserve">untested</x:t>
        </x:is>
      </x:c>
      <x:c r="I240" s="84" t="inlineStr">
        <x:is>
          <x:t xml:space="preserve">playground/.manual-tests/dropdown-menu.md (draft)</x:t>
        </x:is>
      </x:c>
      <x:c r="J240" s="84" t="inlineStr">
        <x:is>
          <x:t xml:space="preserve">Run the updated component Manual Test Protocol and named browser/device matrix.</x:t>
        </x:is>
      </x:c>
      <x:c r="K240" s="87" t="n">
        <x:f>IF(AND(E240="yes",F240="yes",H240="covered"),1,IF(H240="partial",0.5,0))</x:f>
        <x:v>0</x:v>
      </x:c>
    </x:row>
    <x:row r="241" s="51" customFormat="1" ht="30" customHeight="1">
      <x:c r="A241" s="73" t="n">
        <x:v>233</x:v>
      </x:c>
      <x:c r="B241" s="84" t="inlineStr">
        <x:is>
          <x:t xml:space="preserve">Shared Menu Integration</x:t>
        </x:is>
      </x:c>
      <x:c r="C241" s="84" t="inlineStr">
        <x:is>
          <x:t xml:space="preserve">Anatomy</x:t>
        </x:is>
      </x:c>
      <x:c r="D241" s="84" t="inlineStr">
        <x:is>
          <x:t xml:space="preserve">Portal, Arrow, Label, and ItemIndicator render with shared Menu semantics and geometry</x:t>
        </x:is>
      </x:c>
      <x:c r="E241" s="76" t="inlineStr">
        <x:is>
          <x:t xml:space="preserve">yes</x:t>
        </x:is>
      </x:c>
      <x:c r="F241" s="85" t="inlineStr">
        <x:is>
          <x:t xml:space="preserve">no</x:t>
        </x:is>
      </x:c>
      <x:c r="G241" s="73" t="inlineStr">
        <x:is>
          <x:t xml:space="preserve">automated tests pass; manual pending</x:t>
        </x:is>
      </x:c>
      <x:c r="H241" s="86" t="inlineStr">
        <x:is>
          <x:t xml:space="preserve">untested</x:t>
        </x:is>
      </x:c>
      <x:c r="I241" s="84" t="inlineStr">
        <x:is>
          <x:t xml:space="preserve">playground/.manual-tests/dropdown-menu.md (draft)</x:t>
        </x:is>
      </x:c>
      <x:c r="J241" s="84" t="inlineStr">
        <x:is>
          <x:t xml:space="preserve">Run the updated component Manual Test Protocol and named browser/device matrix.</x:t>
        </x:is>
      </x:c>
      <x:c r="K241" s="87" t="n">
        <x:f>IF(AND(E241="yes",F241="yes",H241="covered"),1,IF(H241="partial",0.5,0))</x:f>
        <x:v>0</x:v>
      </x:c>
    </x:row>
    <x:row r="242" s="51" customFormat="1" ht="30" customHeight="1">
      <x:c r="A242" s="73" t="n">
        <x:v>234</x:v>
      </x:c>
      <x:c r="B242" s="84" t="inlineStr">
        <x:is>
          <x:t xml:space="preserve">Shared Menu Integration</x:t>
        </x:is>
      </x:c>
      <x:c r="C242" s="84" t="inlineStr">
        <x:is>
          <x:t xml:space="preserve">Checkbox Item</x:t>
        </x:is>
      </x:c>
      <x:c r="D242" s="84" t="inlineStr">
        <x:is>
          <x:t xml:space="preserve">indeterminate checkbox exposes mixed ARIA state and a matching ItemIndicator</x:t>
        </x:is>
      </x:c>
      <x:c r="E242" s="76" t="inlineStr">
        <x:is>
          <x:t xml:space="preserve">yes</x:t>
        </x:is>
      </x:c>
      <x:c r="F242" s="85" t="inlineStr">
        <x:is>
          <x:t xml:space="preserve">no</x:t>
        </x:is>
      </x:c>
      <x:c r="G242" s="73" t="inlineStr">
        <x:is>
          <x:t xml:space="preserve">automated tests pass; manual pending</x:t>
        </x:is>
      </x:c>
      <x:c r="H242" s="86" t="inlineStr">
        <x:is>
          <x:t xml:space="preserve">untested</x:t>
        </x:is>
      </x:c>
      <x:c r="I242" s="84" t="inlineStr">
        <x:is>
          <x:t xml:space="preserve">playground/.manual-tests/dropdown-menu.md (draft)</x:t>
        </x:is>
      </x:c>
      <x:c r="J242" s="84" t="inlineStr">
        <x:is>
          <x:t xml:space="preserve">Run the updated component Manual Test Protocol and named browser/device matrix.</x:t>
        </x:is>
      </x:c>
      <x:c r="K242" s="87" t="n">
        <x:f>IF(AND(E242="yes",F242="yes",H242="covered"),1,IF(H242="partial",0.5,0))</x:f>
        <x:v>0</x:v>
      </x:c>
    </x:row>
    <x:row r="243" s="51" customFormat="1" ht="30" customHeight="1">
      <x:c r="A243" s="73" t="n">
        <x:v>235</x:v>
      </x:c>
      <x:c r="B243" s="84" t="inlineStr">
        <x:is>
          <x:t xml:space="preserve">Pointer</x:t>
        </x:is>
      </x:c>
      <x:c r="C243" s="84" t="inlineStr">
        <x:is>
          <x:t xml:space="preserve">Sub Trigger</x:t>
        </x:is>
      </x:c>
      <x:c r="D243" s="84" t="inlineStr">
        <x:is>
          <x:t xml:space="preserve">touch and pen contact cannot start mouse-hover submenu timers while click or tap remains usable</x:t>
        </x:is>
      </x:c>
      <x:c r="E243" s="76" t="inlineStr">
        <x:is>
          <x:t xml:space="preserve">yes</x:t>
        </x:is>
      </x:c>
      <x:c r="F243" s="85" t="inlineStr">
        <x:is>
          <x:t xml:space="preserve">no</x:t>
        </x:is>
      </x:c>
      <x:c r="G243" s="73" t="inlineStr">
        <x:is>
          <x:t xml:space="preserve">automated tests pass; manual pending</x:t>
        </x:is>
      </x:c>
      <x:c r="H243" s="86" t="inlineStr">
        <x:is>
          <x:t xml:space="preserve">untested</x:t>
        </x:is>
      </x:c>
      <x:c r="I243" s="84" t="inlineStr">
        <x:is>
          <x:t xml:space="preserve">playground/.manual-tests/dropdown-menu.md (draft)</x:t>
        </x:is>
      </x:c>
      <x:c r="J243" s="84" t="inlineStr">
        <x:is>
          <x:t xml:space="preserve">Run the updated component Manual Test Protocol and named browser/device matrix.</x:t>
        </x:is>
      </x:c>
      <x:c r="K243" s="87" t="n">
        <x:f>IF(AND(E243="yes",F243="yes",H243="covered"),1,IF(H243="partial",0.5,0))</x:f>
        <x:v>0</x:v>
      </x:c>
    </x:row>
    <x:row r="244" s="51" customFormat="1" ht="30" customHeight="1">
      <x:c r="A244" s="73" t="n">
        <x:v>236</x:v>
      </x:c>
      <x:c r="B244" s="84" t="inlineStr">
        <x:is>
          <x:t xml:space="preserve">Pointer</x:t>
        </x:is>
      </x:c>
      <x:c r="C244" s="84" t="inlineStr">
        <x:is>
          <x:t xml:space="preserve">Outside interaction</x:t>
        </x:is>
      </x:c>
      <x:c r="D244" s="84" t="inlineStr">
        <x:is>
          <x:t xml:space="preserve">touch and pen outside dismissal cancels on movement, scroll, pointer cancellation, or a second pointer</x:t>
        </x:is>
      </x:c>
      <x:c r="E244" s="76" t="inlineStr">
        <x:is>
          <x:t xml:space="preserve">yes</x:t>
        </x:is>
      </x:c>
      <x:c r="F244" s="85" t="inlineStr">
        <x:is>
          <x:t xml:space="preserve">no</x:t>
        </x:is>
      </x:c>
      <x:c r="G244" s="73" t="inlineStr">
        <x:is>
          <x:t xml:space="preserve">automated tests pass; manual pending</x:t>
        </x:is>
      </x:c>
      <x:c r="H244" s="86" t="inlineStr">
        <x:is>
          <x:t xml:space="preserve">untested</x:t>
        </x:is>
      </x:c>
      <x:c r="I244" s="84" t="inlineStr">
        <x:is>
          <x:t xml:space="preserve">playground/.manual-tests/dropdown-menu.md (draft)</x:t>
        </x:is>
      </x:c>
      <x:c r="J244" s="84" t="inlineStr">
        <x:is>
          <x:t xml:space="preserve">Run the updated component Manual Test Protocol and named browser/device matrix.</x:t>
        </x:is>
      </x:c>
      <x:c r="K244" s="87" t="n">
        <x:f>IF(AND(E244="yes",F244="yes",H244="covered"),1,IF(H244="partial",0.5,0))</x:f>
        <x:v>0</x:v>
      </x:c>
    </x:row>
    <x:row r="245" s="51" customFormat="1" ht="30" customHeight="1">
      <x:c r="A245" s="73" t="n">
        <x:v>237</x:v>
      </x:c>
      <x:c r="B245" s="84" t="inlineStr">
        <x:is>
          <x:t xml:space="preserve">Portal And Positioning</x:t>
        </x:is>
      </x:c>
      <x:c r="C245" s="84" t="inlineStr">
        <x:is>
          <x:t xml:space="preserve">Content</x:t>
        </x:is>
      </x:c>
      <x:c r="D245" s="84" t="inlineStr">
        <x:is>
          <x:t xml:space="preserve">Content and SubContent expose available-size, trigger-size, and transform-origin CSS variables</x:t>
        </x:is>
      </x:c>
      <x:c r="E245" s="76" t="inlineStr">
        <x:is>
          <x:t xml:space="preserve">yes</x:t>
        </x:is>
      </x:c>
      <x:c r="F245" s="85" t="inlineStr">
        <x:is>
          <x:t xml:space="preserve">no</x:t>
        </x:is>
      </x:c>
      <x:c r="G245" s="73" t="inlineStr">
        <x:is>
          <x:t xml:space="preserve">automated tests pass; manual pending</x:t>
        </x:is>
      </x:c>
      <x:c r="H245" s="86" t="inlineStr">
        <x:is>
          <x:t xml:space="preserve">untested</x:t>
        </x:is>
      </x:c>
      <x:c r="I245" s="84" t="inlineStr">
        <x:is>
          <x:t xml:space="preserve">playground/.manual-tests/dropdown-menu.md (draft)</x:t>
        </x:is>
      </x:c>
      <x:c r="J245" s="84" t="inlineStr">
        <x:is>
          <x:t xml:space="preserve">Run the updated component Manual Test Protocol and named browser/device matrix.</x:t>
        </x:is>
      </x:c>
      <x:c r="K245" s="87" t="n">
        <x:f>IF(AND(E245="yes",F245="yes",H245="covered"),1,IF(H245="partial",0.5,0))</x:f>
        <x:v>0</x:v>
      </x:c>
    </x:row>
    <x:row r="246" s="51" customFormat="1" ht="30" customHeight="1">
      <x:c r="A246" s="73" t="n">
        <x:v>238</x:v>
      </x:c>
      <x:c r="B246" s="84" t="inlineStr">
        <x:is>
          <x:t xml:space="preserve">Accessibility</x:t>
        </x:is>
      </x:c>
      <x:c r="C246" s="84" t="inlineStr">
        <x:is>
          <x:t xml:space="preserve">Layers</x:t>
        </x:is>
      </x:c>
      <x:c r="D246" s="84" t="inlineStr">
        <x:is>
          <x:t xml:space="preserve">modal DropdownMenu isolates and locks the background while owned nested portals stay interactive</x:t>
        </x:is>
      </x:c>
      <x:c r="E246" s="76" t="inlineStr">
        <x:is>
          <x:t xml:space="preserve">yes</x:t>
        </x:is>
      </x:c>
      <x:c r="F246" s="85" t="inlineStr">
        <x:is>
          <x:t xml:space="preserve">no</x:t>
        </x:is>
      </x:c>
      <x:c r="G246" s="73" t="inlineStr">
        <x:is>
          <x:t xml:space="preserve">automated tests pass; manual pending</x:t>
        </x:is>
      </x:c>
      <x:c r="H246" s="86" t="inlineStr">
        <x:is>
          <x:t xml:space="preserve">untested</x:t>
        </x:is>
      </x:c>
      <x:c r="I246" s="84" t="inlineStr">
        <x:is>
          <x:t xml:space="preserve">playground/.manual-tests/dropdown-menu.md (draft)</x:t>
        </x:is>
      </x:c>
      <x:c r="J246" s="84" t="inlineStr">
        <x:is>
          <x:t xml:space="preserve">Run the updated component Manual Test Protocol and named browser/device matrix.</x:t>
        </x:is>
      </x:c>
      <x:c r="K246" s="87" t="n">
        <x:f>IF(AND(E246="yes",F246="yes",H246="covered"),1,IF(H246="partial",0.5,0))</x:f>
        <x:v>0</x:v>
      </x:c>
    </x:row>
    <x:row r="247" s="51" customFormat="1" ht="30" customHeight="1">
      <x:c r="A247" s="73" t="n">
        <x:v>239</x:v>
      </x:c>
      <x:c r="B247" s="84" t="inlineStr">
        <x:is>
          <x:t xml:space="preserve">Composition</x:t>
        </x:is>
      </x:c>
      <x:c r="C247" s="84" t="inlineStr">
        <x:is>
          <x:t xml:space="preserve">Rendering</x:t>
        </x:is>
      </x:c>
      <x:c r="D247" s="84" t="inlineStr">
        <x:is>
          <x:t xml:space="preserve">the offered shared DOM parts preserve refs, native props, asChild, render, and custom slots</x:t>
        </x:is>
      </x:c>
      <x:c r="E247" s="76" t="inlineStr">
        <x:is>
          <x:t xml:space="preserve">yes</x:t>
        </x:is>
      </x:c>
      <x:c r="F247" s="85" t="inlineStr">
        <x:is>
          <x:t xml:space="preserve">no</x:t>
        </x:is>
      </x:c>
      <x:c r="G247" s="73" t="inlineStr">
        <x:is>
          <x:t xml:space="preserve">automated tests pass; manual pending</x:t>
        </x:is>
      </x:c>
      <x:c r="H247" s="86" t="inlineStr">
        <x:is>
          <x:t xml:space="preserve">untested</x:t>
        </x:is>
      </x:c>
      <x:c r="I247" s="84" t="inlineStr">
        <x:is>
          <x:t xml:space="preserve">playground/.manual-tests/dropdown-menu.md (draft)</x:t>
        </x:is>
      </x:c>
      <x:c r="J247" s="84" t="inlineStr">
        <x:is>
          <x:t xml:space="preserve">Run the updated component Manual Test Protocol and named browser/device matrix.</x:t>
        </x:is>
      </x:c>
      <x:c r="K247" s="87" t="n">
        <x:f>IF(AND(E247="yes",F247="yes",H247="covered"),1,IF(H247="partial",0.5,0))</x:f>
        <x:v>0</x:v>
      </x:c>
    </x:row>
    <x:row r="248" s="51" customFormat="1" ht="30" customHeight="1">
      <x:c r="A248" s="73" t="n">
        <x:v>240</x:v>
      </x:c>
      <x:c r="B248" s="84" t="inlineStr">
        <x:is>
          <x:t xml:space="preserve">Responsive</x:t>
        </x:is>
      </x:c>
      <x:c r="C248" s="84" t="inlineStr">
        <x:is>
          <x:t xml:space="preserve">Reflow</x:t>
        </x:is>
      </x:c>
      <x:c r="D248" s="84" t="inlineStr">
        <x:is>
          <x:t xml:space="preserve">real focused rows and long content remain reachable at 200%, 400%, and narrow viewport reflow</x:t>
        </x:is>
      </x:c>
      <x:c r="E248" s="76" t="inlineStr">
        <x:is>
          <x:t xml:space="preserve">yes</x:t>
        </x:is>
      </x:c>
      <x:c r="F248" s="85" t="inlineStr">
        <x:is>
          <x:t xml:space="preserve">no</x:t>
        </x:is>
      </x:c>
      <x:c r="G248" s="73" t="inlineStr">
        <x:is>
          <x:t xml:space="preserve">automated tests pass; manual pending</x:t>
        </x:is>
      </x:c>
      <x:c r="H248" s="86" t="inlineStr">
        <x:is>
          <x:t xml:space="preserve">untested</x:t>
        </x:is>
      </x:c>
      <x:c r="I248" s="84" t="inlineStr">
        <x:is>
          <x:t xml:space="preserve">playground/.manual-tests/dropdown-menu.md (draft)</x:t>
        </x:is>
      </x:c>
      <x:c r="J248" s="84" t="inlineStr">
        <x:is>
          <x:t xml:space="preserve">Run the updated component Manual Test Protocol and named browser/device matrix.</x:t>
        </x:is>
      </x:c>
      <x:c r="K248" s="87" t="n">
        <x:f>IF(AND(E248="yes",F248="yes",H248="covered"),1,IF(H248="partial",0.5,0))</x:f>
        <x:v>0</x:v>
      </x:c>
    </x:row>
    <x:row r="249" s="51" customFormat="1" ht="82" customHeight="1">
      <x:c r="A249" s="73" t="n">
        <x:v>241</x:v>
      </x:c>
      <x:c r="B249" s="84" t="inlineStr">
        <x:is>
          <x:t xml:space="preserve">Controller</x:t>
        </x:is>
      </x:c>
      <x:c r="C249" s="84" t="inlineStr">
        <x:is>
          <x:t xml:space="preserve">RootProvider / Context</x:t>
        </x:is>
      </x:c>
      <x:c r="D249" s="84" t="inlineStr">
        <x:is>
          <x:t xml:space="preserve">External controller opens, closes, highlights and shares state with the root.</x:t>
        </x:is>
      </x:c>
      <x:c r="E249" s="76" t="inlineStr">
        <x:is>
          <x:t xml:space="preserve">yes</x:t>
        </x:is>
      </x:c>
      <x:c r="F249" s="85" t="inlineStr">
        <x:is>
          <x:t xml:space="preserve">no</x:t>
        </x:is>
      </x:c>
      <x:c r="G249" s="73" t="inlineStr">
        <x:is>
          <x:t xml:space="preserve">Fixture implemented; automated regression qualified; manual not performed</x:t>
        </x:is>
      </x:c>
      <x:c r="H249" s="86" t="inlineStr">
        <x:is>
          <x:t xml:space="preserve">partial</x:t>
        </x:is>
      </x:c>
      <x:c r="I249" s="84" t="inlineStr">
        <x:is>
          <x:t xml:space="preserve">/__tests/menu-policies?owner=DropdownMenu; playground/manual-tests/menu-policies.md; test/browser/menu-policies.spec.ts</x:t>
        </x:is>
      </x:c>
      <x:c r="J249" s="84" t="inlineStr">
        <x:is>
          <x:t xml:space="preserve">Run complete owning protocol, screen-reader, physical-device and actual browser zoom checks.</x:t>
        </x:is>
      </x:c>
      <x:c r="K249" s="87" t="n">
        <x:f>IF(AND(E249="yes",F249="yes",H249="covered"),1,IF(H249="partial",0.5,0))</x:f>
        <x:v>0.5</x:v>
      </x:c>
    </x:row>
    <x:row r="250" s="51" customFormat="1" ht="82" customHeight="1">
      <x:c r="A250" s="73" t="n">
        <x:v>242</x:v>
      </x:c>
      <x:c r="B250" s="84" t="inlineStr">
        <x:is>
          <x:t xml:space="preserve">Selection</x:t>
        </x:is>
      </x:c>
      <x:c r="C250" s="84" t="inlineStr">
        <x:is>
          <x:t xml:space="preserve">Root / Item</x:t>
        </x:is>
      </x:c>
      <x:c r="D250" s="84" t="inlineStr">
        <x:is>
          <x:t xml:space="preserve">Root onSelect follows item callback; preventDefault leaves checkbox/radio state unchanged.</x:t>
        </x:is>
      </x:c>
      <x:c r="E250" s="76" t="inlineStr">
        <x:is>
          <x:t xml:space="preserve">yes</x:t>
        </x:is>
      </x:c>
      <x:c r="F250" s="85" t="inlineStr">
        <x:is>
          <x:t xml:space="preserve">no</x:t>
        </x:is>
      </x:c>
      <x:c r="G250" s="73" t="inlineStr">
        <x:is>
          <x:t xml:space="preserve">Fixture implemented; automated regression qualified; manual not performed</x:t>
        </x:is>
      </x:c>
      <x:c r="H250" s="86" t="inlineStr">
        <x:is>
          <x:t xml:space="preserve">partial</x:t>
        </x:is>
      </x:c>
      <x:c r="I250" s="84" t="inlineStr">
        <x:is>
          <x:t xml:space="preserve">/__tests/menu-policies?owner=DropdownMenu; playground/manual-tests/menu-policies.md; test/browser/menu-policies.spec.ts</x:t>
        </x:is>
      </x:c>
      <x:c r="J250" s="84" t="inlineStr">
        <x:is>
          <x:t xml:space="preserve">Run complete owning protocol, screen-reader, physical-device and actual browser zoom checks.</x:t>
        </x:is>
      </x:c>
      <x:c r="K250" s="87" t="n">
        <x:f>IF(AND(E250="yes",F250="yes",H250="covered"),1,IF(H250="partial",0.5,0))</x:f>
        <x:v>0.5</x:v>
      </x:c>
    </x:row>
    <x:row r="251" s="51" customFormat="1" ht="82" customHeight="1">
      <x:c r="A251" s="73" t="n">
        <x:v>243</x:v>
      </x:c>
      <x:c r="B251" s="84" t="inlineStr">
        <x:is>
          <x:t xml:space="preserve">Keyboard</x:t>
        </x:is>
      </x:c>
      <x:c r="C251" s="84" t="inlineStr">
        <x:is>
          <x:t xml:space="preserve">Root</x:t>
        </x:is>
      </x:c>
      <x:c r="D251" s="84" t="inlineStr">
        <x:is>
          <x:t xml:space="preserve">Controlled/default highlight, disabled typeahead, loop options preserve focus.</x:t>
        </x:is>
      </x:c>
      <x:c r="E251" s="76" t="inlineStr">
        <x:is>
          <x:t xml:space="preserve">yes</x:t>
        </x:is>
      </x:c>
      <x:c r="F251" s="85" t="inlineStr">
        <x:is>
          <x:t xml:space="preserve">no</x:t>
        </x:is>
      </x:c>
      <x:c r="G251" s="73" t="inlineStr">
        <x:is>
          <x:t xml:space="preserve">Fixture implemented; automated regression qualified; manual not performed</x:t>
        </x:is>
      </x:c>
      <x:c r="H251" s="86" t="inlineStr">
        <x:is>
          <x:t xml:space="preserve">partial</x:t>
        </x:is>
      </x:c>
      <x:c r="I251" s="84" t="inlineStr">
        <x:is>
          <x:t xml:space="preserve">/__tests/menu-policies?owner=DropdownMenu; playground/manual-tests/menu-policies.md; test/browser/menu-policies.spec.ts</x:t>
        </x:is>
      </x:c>
      <x:c r="J251" s="84" t="inlineStr">
        <x:is>
          <x:t xml:space="preserve">Run complete owning protocol, screen-reader, physical-device and actual browser zoom checks.</x:t>
        </x:is>
      </x:c>
      <x:c r="K251" s="87" t="n">
        <x:f>IF(AND(E251="yes",F251="yes",H251="covered"),1,IF(H251="partial",0.5,0))</x:f>
        <x:v>0.5</x:v>
      </x:c>
    </x:row>
    <x:row r="252" s="51" customFormat="1" ht="82" customHeight="1">
      <x:c r="A252" s="73" t="n">
        <x:v>244</x:v>
      </x:c>
      <x:c r="B252" s="84" t="inlineStr">
        <x:is>
          <x:t xml:space="preserve">Navigation</x:t>
        </x:is>
      </x:c>
      <x:c r="C252" s="84" t="inlineStr">
        <x:is>
          <x:t xml:space="preserve">Item</x:t>
        </x:is>
      </x:c>
      <x:c r="D252" s="84" t="inlineStr">
        <x:is>
          <x:t xml:space="preserve">Navigate hook handles ordinary native/router links without intercepting modified navigation.</x:t>
        </x:is>
      </x:c>
      <x:c r="E252" s="76" t="inlineStr">
        <x:is>
          <x:t xml:space="preserve">yes</x:t>
        </x:is>
      </x:c>
      <x:c r="F252" s="85" t="inlineStr">
        <x:is>
          <x:t xml:space="preserve">no</x:t>
        </x:is>
      </x:c>
      <x:c r="G252" s="73" t="inlineStr">
        <x:is>
          <x:t xml:space="preserve">Fixture implemented; automated regression qualified; manual not performed</x:t>
        </x:is>
      </x:c>
      <x:c r="H252" s="86" t="inlineStr">
        <x:is>
          <x:t xml:space="preserve">partial</x:t>
        </x:is>
      </x:c>
      <x:c r="I252" s="84" t="inlineStr">
        <x:is>
          <x:t xml:space="preserve">/__tests/menu-policies?owner=DropdownMenu; playground/manual-tests/menu-policies.md; test/browser/menu-policies.spec.ts</x:t>
        </x:is>
      </x:c>
      <x:c r="J252" s="84" t="inlineStr">
        <x:is>
          <x:t xml:space="preserve">Run complete owning protocol, screen-reader, physical-device and actual browser zoom checks.</x:t>
        </x:is>
      </x:c>
      <x:c r="K252" s="87" t="n">
        <x:f>IF(AND(E252="yes",F252="yes",H252="covered"),1,IF(H252="partial",0.5,0))</x:f>
        <x:v>0.5</x:v>
      </x:c>
    </x:row>
    <x:row r="253" s="51" customFormat="1" ht="82" customHeight="1">
      <x:c r="A253" s="73" t="n">
        <x:v>245</x:v>
      </x:c>
      <x:c r="B253" s="84" t="inlineStr">
        <x:is>
          <x:t xml:space="preserve">Lifecycle</x:t>
        </x:is>
      </x:c>
      <x:c r="C253" s="84" t="inlineStr">
        <x:is>
          <x:t xml:space="preserve">Content</x:t>
        </x:is>
      </x:c>
      <x:c r="D253" s="84" t="inlineStr">
        <x:is>
          <x:t xml:space="preserve">lazyMount, unmountOnExit, skipAnimationOnMount and exit completion preserve hidden/inert content.</x:t>
        </x:is>
      </x:c>
      <x:c r="E253" s="76" t="inlineStr">
        <x:is>
          <x:t xml:space="preserve">yes</x:t>
        </x:is>
      </x:c>
      <x:c r="F253" s="85" t="inlineStr">
        <x:is>
          <x:t xml:space="preserve">no</x:t>
        </x:is>
      </x:c>
      <x:c r="G253" s="73" t="inlineStr">
        <x:is>
          <x:t xml:space="preserve">Fixture implemented; automated regression qualified; manual not performed</x:t>
        </x:is>
      </x:c>
      <x:c r="H253" s="86" t="inlineStr">
        <x:is>
          <x:t xml:space="preserve">partial</x:t>
        </x:is>
      </x:c>
      <x:c r="I253" s="84" t="inlineStr">
        <x:is>
          <x:t xml:space="preserve">/__tests/menu-policies?owner=DropdownMenu; playground/manual-tests/menu-policies.md; test/browser/menu-policies.spec.ts</x:t>
        </x:is>
      </x:c>
      <x:c r="J253" s="84" t="inlineStr">
        <x:is>
          <x:t xml:space="preserve">Run complete owning protocol, screen-reader, physical-device and actual browser zoom checks.</x:t>
        </x:is>
      </x:c>
      <x:c r="K253" s="87" t="n">
        <x:f>IF(AND(E253="yes",F253="yes",H253="covered"),1,IF(H253="partial",0.5,0))</x:f>
        <x:v>0.5</x:v>
      </x:c>
    </x:row>
    <x:row r="254" s="51" customFormat="1" ht="82" customHeight="1">
      <x:c r="A254" s="73" t="n">
        <x:v>246</x:v>
      </x:c>
      <x:c r="B254" s="84" t="inlineStr">
        <x:is>
          <x:t xml:space="preserve">Positioning</x:t>
        </x:is>
      </x:c>
      <x:c r="C254" s="84" t="inlineStr">
        <x:is>
          <x:t xml:space="preserve">Content / SubContent</x:t>
        </x:is>
      </x:c>
      <x:c r="D254" s="84" t="inlineStr">
        <x:is>
          <x:t xml:space="preserve">Positioning options expose anchor, collision, sameWidth and fitViewport without unsolicited dimensions.</x:t>
        </x:is>
      </x:c>
      <x:c r="E254" s="76" t="inlineStr">
        <x:is>
          <x:t xml:space="preserve">yes</x:t>
        </x:is>
      </x:c>
      <x:c r="F254" s="85" t="inlineStr">
        <x:is>
          <x:t xml:space="preserve">no</x:t>
        </x:is>
      </x:c>
      <x:c r="G254" s="73" t="inlineStr">
        <x:is>
          <x:t xml:space="preserve">Fixture implemented; automated regression qualified; manual not performed</x:t>
        </x:is>
      </x:c>
      <x:c r="H254" s="86" t="inlineStr">
        <x:is>
          <x:t xml:space="preserve">partial</x:t>
        </x:is>
      </x:c>
      <x:c r="I254" s="84" t="inlineStr">
        <x:is>
          <x:t xml:space="preserve">/__tests/menu-policies?owner=DropdownMenu; playground/manual-tests/menu-policies.md; test/browser/menu-policies.spec.ts</x:t>
        </x:is>
      </x:c>
      <x:c r="J254" s="84" t="inlineStr">
        <x:is>
          <x:t xml:space="preserve">Run complete owning protocol, screen-reader, physical-device and actual browser zoom checks.</x:t>
        </x:is>
      </x:c>
      <x:c r="K254" s="87" t="n">
        <x:f>IF(AND(E254="yes",F254="yes",H254="covered"),1,IF(H254="partial",0.5,0))</x:f>
        <x:v>0.5</x:v>
      </x:c>
    </x:row>
    <x:row r="255" s="51" customFormat="1" ht="82" customHeight="1">
      <x:c r="A255" s="73" t="n">
        <x:v>247</x:v>
      </x:c>
      <x:c r="B255" s="84" t="inlineStr">
        <x:is>
          <x:t xml:space="preserve">Events</x:t>
        </x:is>
      </x:c>
      <x:c r="C255" s="84" t="inlineStr">
        <x:is>
          <x:t xml:space="preserve">Content</x:t>
        </x:is>
      </x:c>
      <x:c r="D255" s="84" t="inlineStr">
        <x:is>
          <x:t xml:space="preserve">Cancelable escape, outside interaction callbacks and focus return retain owner focus.</x:t>
        </x:is>
      </x:c>
      <x:c r="E255" s="76" t="inlineStr">
        <x:is>
          <x:t xml:space="preserve">yes</x:t>
        </x:is>
      </x:c>
      <x:c r="F255" s="85" t="inlineStr">
        <x:is>
          <x:t xml:space="preserve">no</x:t>
        </x:is>
      </x:c>
      <x:c r="G255" s="73" t="inlineStr">
        <x:is>
          <x:t xml:space="preserve">Fixture implemented; automated regression qualified; manual not performed</x:t>
        </x:is>
      </x:c>
      <x:c r="H255" s="86" t="inlineStr">
        <x:is>
          <x:t xml:space="preserve">partial</x:t>
        </x:is>
      </x:c>
      <x:c r="I255" s="84" t="inlineStr">
        <x:is>
          <x:t xml:space="preserve">/__tests/menu-policies?owner=DropdownMenu; playground/manual-tests/menu-policies.md; test/browser/menu-policies.spec.ts</x:t>
        </x:is>
      </x:c>
      <x:c r="J255" s="84" t="inlineStr">
        <x:is>
          <x:t xml:space="preserve">Run complete owning protocol, screen-reader, physical-device and actual browser zoom checks.</x:t>
        </x:is>
      </x:c>
      <x:c r="K255" s="87" t="n">
        <x:f>IF(AND(E255="yes",F255="yes",H255="covered"),1,IF(H255="partial",0.5,0))</x:f>
        <x:v>0.5</x:v>
      </x:c>
    </x:row>
    <x:row r="256" s="51" customFormat="1" ht="82" customHeight="1">
      <x:c r="A256" s="73" t="n">
        <x:v>248</x:v>
      </x:c>
      <x:c r="B256" s="84" t="inlineStr">
        <x:is>
          <x:t xml:space="preserve">Composition</x:t>
        </x:is>
      </x:c>
      <x:c r="C256" s="84" t="inlineStr">
        <x:is>
          <x:t xml:space="preserve">Context / Portal</x:t>
        </x:is>
      </x:c>
      <x:c r="D256" s="84" t="inlineStr">
        <x:is>
          <x:t xml:space="preserve">Context-derived state indicator and disabled Portal preserve caller-owned composition.</x:t>
        </x:is>
      </x:c>
      <x:c r="E256" s="76" t="inlineStr">
        <x:is>
          <x:t xml:space="preserve">yes</x:t>
        </x:is>
      </x:c>
      <x:c r="F256" s="85" t="inlineStr">
        <x:is>
          <x:t xml:space="preserve">no</x:t>
        </x:is>
      </x:c>
      <x:c r="G256" s="73" t="inlineStr">
        <x:is>
          <x:t xml:space="preserve">Fixture implemented; automated regression qualified; manual not performed</x:t>
        </x:is>
      </x:c>
      <x:c r="H256" s="86" t="inlineStr">
        <x:is>
          <x:t xml:space="preserve">partial</x:t>
        </x:is>
      </x:c>
      <x:c r="I256" s="84" t="inlineStr">
        <x:is>
          <x:t xml:space="preserve">/__tests/menu-policies?owner=DropdownMenu; playground/manual-tests/menu-policies.md; test/browser/menu-policies.spec.ts</x:t>
        </x:is>
      </x:c>
      <x:c r="J256" s="84" t="inlineStr">
        <x:is>
          <x:t xml:space="preserve">Run complete owning protocol, screen-reader, physical-device and actual browser zoom checks.</x:t>
        </x:is>
      </x:c>
      <x:c r="K256" s="87" t="n">
        <x:f>IF(AND(E256="yes",F256="yes",H256="covered"),1,IF(H256="partial",0.5,0))</x:f>
        <x:v>0.5</x:v>
      </x:c>
    </x:row>
    <x:row r="257" s="51" customFormat="1" ht="82" customHeight="1">
      <x:c r="A257" s="73" t="n">
        <x:v>249</x:v>
      </x:c>
      <x:c r="B257" s="84" t="inlineStr">
        <x:is>
          <x:t xml:space="preserve">Triggers</x:t>
        </x:is>
      </x:c>
      <x:c r="C257" s="84" t="inlineStr">
        <x:is>
          <x:t xml:space="preserve">Trigger</x:t>
        </x:is>
      </x:c>
      <x:c r="D257" s="84" t="inlineStr">
        <x:is>
          <x:t xml:space="preserve">Multiple valued triggers share content and restore focus to the invoking trigger.</x:t>
        </x:is>
      </x:c>
      <x:c r="E257" s="76" t="inlineStr">
        <x:is>
          <x:t xml:space="preserve">yes</x:t>
        </x:is>
      </x:c>
      <x:c r="F257" s="85" t="inlineStr">
        <x:is>
          <x:t xml:space="preserve">no</x:t>
        </x:is>
      </x:c>
      <x:c r="G257" s="73" t="inlineStr">
        <x:is>
          <x:t xml:space="preserve">Fixture implemented; automated regression qualified; manual not performed</x:t>
        </x:is>
      </x:c>
      <x:c r="H257" s="86" t="inlineStr">
        <x:is>
          <x:t xml:space="preserve">partial</x:t>
        </x:is>
      </x:c>
      <x:c r="I257" s="84" t="inlineStr">
        <x:is>
          <x:t xml:space="preserve">/__tests/menu-policies?owner=DropdownMenu; playground/manual-tests/menu-policies.md; test/browser/menu-policies.spec.ts</x:t>
        </x:is>
      </x:c>
      <x:c r="J257" s="84" t="inlineStr">
        <x:is>
          <x:t xml:space="preserve">Run complete owning protocol, screen-reader, physical-device and actual browser zoom checks.</x:t>
        </x:is>
      </x:c>
      <x:c r="K257" s="87" t="n">
        <x:f>IF(AND(E257="yes",F257="yes",H257="covered"),1,IF(H257="partial",0.5,0))</x:f>
        <x:v>0.5</x:v>
      </x:c>
    </x:row>
    <x:row r="258" s="51" customFormat="1" ht="82" customHeight="1">
      <x:c r="A258" s="73" t="n">
        <x:v>250</x:v>
      </x:c>
      <x:c r="B258" s="84" t="inlineStr">
        <x:is>
          <x:t xml:space="preserve">Browser geometry</x:t>
        </x:is>
      </x:c>
      <x:c r="C258" s="84" t="inlineStr">
        <x:is>
          <x:t xml:space="preserve">Content / Arrow</x:t>
        </x:is>
      </x:c>
      <x:c r="D258" s="84" t="inlineStr">
        <x:is>
          <x:t xml:space="preserve">LTR/RTL opening stays page-stable; Arrow remains outside scrolling content with inherited variables/currentColor.</x:t>
        </x:is>
      </x:c>
      <x:c r="E258" s="76" t="inlineStr">
        <x:is>
          <x:t xml:space="preserve">yes</x:t>
        </x:is>
      </x:c>
      <x:c r="F258" s="85" t="inlineStr">
        <x:is>
          <x:t xml:space="preserve">no</x:t>
        </x:is>
      </x:c>
      <x:c r="G258" s="73" t="inlineStr">
        <x:is>
          <x:t xml:space="preserve">Fixture implemented; automated regression qualified; manual not performed</x:t>
        </x:is>
      </x:c>
      <x:c r="H258" s="86" t="inlineStr">
        <x:is>
          <x:t xml:space="preserve">partial</x:t>
        </x:is>
      </x:c>
      <x:c r="I258" s="84" t="inlineStr">
        <x:is>
          <x:t xml:space="preserve">/__tests/menu-policies?owner=DropdownMenu; playground/manual-tests/menu-policies.md; test/browser/menu-policies.spec.ts</x:t>
        </x:is>
      </x:c>
      <x:c r="J258" s="84" t="inlineStr">
        <x:is>
          <x:t xml:space="preserve">Run complete owning protocol, screen-reader, physical-device and actual browser zoom checks.</x:t>
        </x:is>
      </x:c>
      <x:c r="K258" s="87" t="n">
        <x:f>IF(AND(E258="yes",F258="yes",H258="covered"),1,IF(H258="partial",0.5,0))</x:f>
        <x:v>0.5</x:v>
      </x:c>
    </x:row>
    <x:row r="259" s="51" customFormat="1" ht="82" customHeight="1">
      <x:c r="A259" s="73" t="n">
        <x:v>251</x:v>
      </x:c>
      <x:c r="B259" s="84" t="inlineStr">
        <x:is>
          <x:t xml:space="preserve">Environment</x:t>
        </x:is>
      </x:c>
      <x:c r="C259" s="84" t="inlineStr">
        <x:is>
          <x:t xml:space="preserve">Content / SubContent</x:t>
        </x:is>
      </x:c>
      <x:c r="D259" s="84" t="inlineStr">
        <x:is>
          <x:t xml:space="preserve">Iframe and explicit nested portals retain owner-document focus, return and real scroll refs.</x:t>
        </x:is>
      </x:c>
      <x:c r="E259" s="76" t="inlineStr">
        <x:is>
          <x:t xml:space="preserve">yes</x:t>
        </x:is>
      </x:c>
      <x:c r="F259" s="85" t="inlineStr">
        <x:is>
          <x:t xml:space="preserve">no</x:t>
        </x:is>
      </x:c>
      <x:c r="G259" s="73" t="inlineStr">
        <x:is>
          <x:t xml:space="preserve">Fixture implemented; automated regression qualified; manual not performed</x:t>
        </x:is>
      </x:c>
      <x:c r="H259" s="86" t="inlineStr">
        <x:is>
          <x:t xml:space="preserve">partial</x:t>
        </x:is>
      </x:c>
      <x:c r="I259" s="84" t="inlineStr">
        <x:is>
          <x:t xml:space="preserve">/__tests/menu-policies?owner=DropdownMenu; playground/manual-tests/menu-policies.md; test/browser/menu-policies.spec.ts</x:t>
        </x:is>
      </x:c>
      <x:c r="J259" s="84" t="inlineStr">
        <x:is>
          <x:t xml:space="preserve">Run complete owning protocol, screen-reader, physical-device and actual browser zoom checks.</x:t>
        </x:is>
      </x:c>
      <x:c r="K259" s="87" t="n">
        <x:f>IF(AND(E259="yes",F259="yes",H259="covered"),1,IF(H259="partial",0.5,0))</x:f>
        <x:v>0.5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Feed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53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Shared playground prop rule.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Shared playground prop rule.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Feed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Feed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Feed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Feed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Feed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Feed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Feed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Feed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Feed</x:t>
        </x:is>
      </x:c>
      <x:c r="D15" s="84" t="inlineStr">
        <x:is>
          <x:t xml:space="preserve">Implements `role="feed"` and `role="article"`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Feed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Feed</x:t>
        </x:is>
      </x:c>
      <x:c r="D16" s="84" t="inlineStr">
        <x:is>
          <x:t xml:space="preserve">Supports known and unknown feed sizes with `aria-setsize`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Feed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4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Feed</x:t>
        </x:is>
      </x:c>
      <x:c r="D17" s="84" t="inlineStr">
        <x:is>
          <x:t xml:space="preserve">Supports article position announcements with `aria-posinset`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Feed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Feed</x:t>
        </x:is>
      </x:c>
      <x:c r="D18" s="84" t="inlineStr">
        <x:is>
          <x:t xml:space="preserve">Supports feed loading state with `aria-busy`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Feed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Feed</x:t>
        </x:is>
      </x:c>
      <x:c r="D19" s="84" t="inlineStr">
        <x:is>
          <x:t xml:space="preserve">Implements Page Up, Page Down, Control/Command + Home, and Control/Command + End feed keyboard behavior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Feed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Feed</x:t>
        </x:is>
      </x:c>
      <x:c r="D20" s="84" t="inlineStr">
        <x:is>
          <x:t xml:space="preserve">Keeps layout, fetching, virtualization, and item rendering outside the primitive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verified by Source and Canvas boundaries</x:t>
        </x:is>
      </x:c>
      <x:c r="H20" s="86" t="inlineStr">
        <x:is>
          <x:t xml:space="preserve">covered</x:t>
        </x:is>
      </x:c>
      <x:c r="I20" s="84" t="inlineStr">
        <x:is>
          <x:t xml:space="preserve">Feed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Feed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Feed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Feed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Feed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Feed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Feed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Public API</x:t>
        </x:is>
      </x:c>
      <x:c r="C27" s="84" t="inlineStr">
        <x:is>
          <x:t xml:space="preserve">Root</x:t>
        </x:is>
      </x:c>
      <x:c r="D27" s="84" t="inlineStr">
        <x:is>
          <x:t xml:space="preserve">busy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Feed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Public API</x:t>
        </x:is>
      </x:c>
      <x:c r="C28" s="84" t="inlineStr">
        <x:is>
          <x:t xml:space="preserve">Root</x:t>
        </x:is>
      </x:c>
      <x:c r="D28" s="84" t="inlineStr">
        <x:is>
          <x:t xml:space="preserve">setSize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Feed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Composition</x:t>
        </x:is>
      </x:c>
      <x:c r="C29" s="84" t="inlineStr">
        <x:is>
          <x:t xml:space="preserve">Root</x:t>
        </x:is>
      </x:c>
      <x:c r="D29" s="84" t="inlineStr">
        <x:is>
          <x:t xml:space="preserve">asChild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Feed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Composition</x:t>
        </x:is>
      </x:c>
      <x:c r="C30" s="84" t="inlineStr">
        <x:is>
          <x:t xml:space="preserve">Root</x:t>
        </x:is>
      </x:c>
      <x:c r="D30" s="84" t="inlineStr">
        <x:is>
          <x:t xml:space="preserve">render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Feed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[data-slot]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Feed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[data-busy]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Feed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Anatomy</x:t>
        </x:is>
      </x:c>
      <x:c r="C33" s="84" t="inlineStr">
        <x:is>
          <x:t xml:space="preserve">Item</x:t>
        </x:is>
      </x:c>
      <x:c r="D33" s="84" t="inlineStr">
        <x:is>
          <x:t xml:space="preserve">renders correct part when expected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Feed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Anatomy</x:t>
        </x:is>
      </x:c>
      <x:c r="C34" s="84" t="inlineStr">
        <x:is>
          <x:t xml:space="preserve">Item</x:t>
        </x:is>
      </x:c>
      <x:c r="D34" s="84" t="inlineStr">
        <x:is>
          <x:t xml:space="preserve">appears in documented order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Feed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30" customHeight="1">
      <x:c r="A35" s="73" t="n">
        <x:v>27</x:v>
      </x:c>
      <x:c r="B35" s="84" t="inlineStr">
        <x:is>
          <x:t xml:space="preserve">Identity</x:t>
        </x:is>
      </x:c>
      <x:c r="C35" s="84" t="inlineStr">
        <x:is>
          <x:t xml:space="preserve">Item</x:t>
        </x:is>
      </x:c>
      <x:c r="D35" s="84" t="inlineStr">
        <x:is>
          <x:t xml:space="preserve">default tag is visible in Anatomy/Inspector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Feed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Identity</x:t>
        </x:is>
      </x:c>
      <x:c r="C36" s="84" t="inlineStr">
        <x:is>
          <x:t xml:space="preserve">Item</x:t>
        </x:is>
      </x:c>
      <x:c r="D36" s="84" t="inlineStr">
        <x:is>
          <x:t xml:space="preserve">data-slot is present and correct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Feed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Props</x:t>
        </x:is>
      </x:c>
      <x:c r="C37" s="84" t="inlineStr">
        <x:is>
          <x:t xml:space="preserve">Item</x:t>
        </x:is>
      </x:c>
      <x:c r="D37" s="84" t="inlineStr">
        <x:is>
          <x:t xml:space="preserve">non-Atom native props pass through with data-prop-check marker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Feed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Refs</x:t>
        </x:is>
      </x:c>
      <x:c r="C38" s="84" t="inlineStr">
        <x:is>
          <x:t xml:space="preserve">Item</x:t>
        </x:is>
      </x:c>
      <x:c r="D38" s="84" t="inlineStr">
        <x:is>
          <x:t xml:space="preserve">consumer ref receives the rendered element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Feed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Item</x:t>
        </x:is>
      </x:c>
      <x:c r="D39" s="84" t="inlineStr">
        <x:is>
          <x:t xml:space="preserve">position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Feed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Item</x:t>
        </x:is>
      </x:c>
      <x:c r="D40" s="84" t="inlineStr">
        <x:is>
          <x:t xml:space="preserve">index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Feed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Public API</x:t>
        </x:is>
      </x:c>
      <x:c r="C41" s="84" t="inlineStr">
        <x:is>
          <x:t xml:space="preserve">Item</x:t>
        </x:is>
      </x:c>
      <x:c r="D41" s="84" t="inlineStr">
        <x:is>
          <x:t xml:space="preserve">setSize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Feed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Composition</x:t>
        </x:is>
      </x:c>
      <x:c r="C42" s="84" t="inlineStr">
        <x:is>
          <x:t xml:space="preserve">Item</x:t>
        </x:is>
      </x:c>
      <x:c r="D42" s="84" t="inlineStr">
        <x:is>
          <x:t xml:space="preserve">asChild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Feed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Composition</x:t>
        </x:is>
      </x:c>
      <x:c r="C43" s="84" t="inlineStr">
        <x:is>
          <x:t xml:space="preserve">Item</x:t>
        </x:is>
      </x:c>
      <x:c r="D43" s="84" t="inlineStr">
        <x:is>
          <x:t xml:space="preserve">render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Feed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Item</x:t>
        </x:is>
      </x:c>
      <x:c r="D44" s="84" t="inlineStr">
        <x:is>
          <x:t xml:space="preserve">[data-slot]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Feed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Public API</x:t>
        </x:is>
      </x:c>
      <x:c r="C45" s="84" t="inlineStr">
        <x:is>
          <x:t xml:space="preserve">Item</x:t>
        </x:is>
      </x:c>
      <x:c r="D45" s="84" t="inlineStr">
        <x:is>
          <x:t xml:space="preserve">[data-position]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Feed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Item</x:t>
        </x:is>
      </x:c>
      <x:c r="D46" s="84" t="inlineStr">
        <x:is>
          <x:t xml:space="preserve">[data-setsize]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Feed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ARIA</x:t>
        </x:is>
      </x:c>
      <x:c r="C47" s="84" t="inlineStr">
        <x:is>
          <x:t xml:space="preserve">Live DOM</x:t>
        </x:is>
      </x:c>
      <x:c r="D47" s="84" t="inlineStr">
        <x:is>
          <x:t xml:space="preserve">aria-busy is present at the correct time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Feed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ARIA</x:t>
        </x:is>
      </x:c>
      <x:c r="C48" s="84" t="inlineStr">
        <x:is>
          <x:t xml:space="preserve">Live DOM</x:t>
        </x:is>
      </x:c>
      <x:c r="D48" s="84" t="inlineStr">
        <x:is>
          <x:t xml:space="preserve">aria-posinset is present at the correct time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Feed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ARIA</x:t>
        </x:is>
      </x:c>
      <x:c r="C49" s="84" t="inlineStr">
        <x:is>
          <x:t xml:space="preserve">Live DOM</x:t>
        </x:is>
      </x:c>
      <x:c r="D49" s="84" t="inlineStr">
        <x:is>
          <x:t xml:space="preserve">aria-setsize is present at the correct time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Feed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Data</x:t>
        </x:is>
      </x:c>
      <x:c r="C50" s="84" t="inlineStr">
        <x:is>
          <x:t xml:space="preserve">Live DOM</x:t>
        </x:is>
      </x:c>
      <x:c r="D50" s="84" t="inlineStr">
        <x:is>
          <x:t xml:space="preserve">data-busy is present at the correct time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Feed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Data</x:t>
        </x:is>
      </x:c>
      <x:c r="C51" s="84" t="inlineStr">
        <x:is>
          <x:t xml:space="preserve">Live DOM</x:t>
        </x:is>
      </x:c>
      <x:c r="D51" s="84" t="inlineStr">
        <x:is>
          <x:t xml:space="preserve">data-position is present at the correct time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Feed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Data</x:t>
        </x:is>
      </x:c>
      <x:c r="C52" s="84" t="inlineStr">
        <x:is>
          <x:t xml:space="preserve">Live DOM</x:t>
        </x:is>
      </x:c>
      <x:c r="D52" s="84" t="inlineStr">
        <x:is>
          <x:t xml:space="preserve">data-setsize is present at the correct time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Feed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Data</x:t>
        </x:is>
      </x:c>
      <x:c r="C53" s="84" t="inlineStr">
        <x:is>
          <x:t xml:space="preserve">Live DOM</x:t>
        </x:is>
      </x:c>
      <x:c r="D53" s="84" t="inlineStr">
        <x:is>
          <x:t xml:space="preserve">data-slot is present at the correct time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Feed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30" customHeight="1">
      <x:c r="A54" s="73" t="n">
        <x:v>46</x:v>
      </x:c>
      <x:c r="B54" s="84" t="inlineStr">
        <x:is>
          <x:t xml:space="preserve">Composition</x:t>
        </x:is>
      </x:c>
      <x:c r="C54" s="84" t="inlineStr">
        <x:is>
          <x:t xml:space="preserve">Feed</x:t>
        </x:is>
      </x:c>
      <x:c r="D54" s="84" t="inlineStr">
        <x:is>
          <x:t xml:space="preserve">asChild preserves child content without double nesting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Feed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Composition</x:t>
        </x:is>
      </x:c>
      <x:c r="C55" s="84" t="inlineStr">
        <x:is>
          <x:t xml:space="preserve">Feed</x:t>
        </x:is>
      </x:c>
      <x:c r="D55" s="84" t="inlineStr">
        <x:is>
          <x:t xml:space="preserve">asChild merges Atom props and consumer props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Feed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Composition</x:t>
        </x:is>
      </x:c>
      <x:c r="C56" s="84" t="inlineStr">
        <x:is>
          <x:t xml:space="preserve">Feed</x:t>
        </x:is>
      </x:c>
      <x:c r="D56" s="84" t="inlineStr">
        <x:is>
          <x:t xml:space="preserve">asChild lets preventDefault block Atom behavior where supported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Feed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Composition</x:t>
        </x:is>
      </x:c>
      <x:c r="C57" s="84" t="inlineStr">
        <x:is>
          <x:t xml:space="preserve">Feed</x:t>
        </x:is>
      </x:c>
      <x:c r="D57" s="84" t="inlineStr">
        <x:is>
          <x:t xml:space="preserve">render prop renders custom element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Feed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Composition</x:t>
        </x:is>
      </x:c>
      <x:c r="C58" s="84" t="inlineStr">
        <x:is>
          <x:t xml:space="preserve">Feed</x:t>
        </x:is>
      </x:c>
      <x:c r="D58" s="84" t="inlineStr">
        <x:is>
          <x:t xml:space="preserve">render prop preserves refs and behavior props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Feed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Keyboard</x:t>
        </x:is>
      </x:c>
      <x:c r="C59" s="84" t="inlineStr">
        <x:is>
          <x:t xml:space="preserve">Feed</x:t>
        </x:is>
      </x:c>
      <x:c r="D59" s="84" t="inlineStr">
        <x:is>
          <x:t xml:space="preserve">Ctrl/Cmd+End behavior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Feed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Keyboard</x:t>
        </x:is>
      </x:c>
      <x:c r="C60" s="84" t="inlineStr">
        <x:is>
          <x:t xml:space="preserve">Feed</x:t>
        </x:is>
      </x:c>
      <x:c r="D60" s="84" t="inlineStr">
        <x:is>
          <x:t xml:space="preserve">Ctrl/Cmd+Home behavior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Feed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Keyboard</x:t>
        </x:is>
      </x:c>
      <x:c r="C61" s="84" t="inlineStr">
        <x:is>
          <x:t xml:space="preserve">Feed</x:t>
        </x:is>
      </x:c>
      <x:c r="D61" s="84" t="inlineStr">
        <x:is>
          <x:t xml:space="preserve">PageDown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Feed playground scenario.</x:t>
        </x:is>
      </x:c>
      <x:c r="J61" s="84" t="n"/>
      <x:c r="K61" s="87" t="n">
        <x:f>IF(AND(E61="yes",F61="yes",H61="covered"),1,IF(H61="partial",0.5,0))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Field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0.970873786407767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100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3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Field playground Props menu implemented with conditional data-prop-check and custom data-slot toggles.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Field playground Props menu implemented with conditional data-prop-check and custom data-slot toggles.</x:t>
        </x:is>
      </x:c>
      <x:c r="J10" s="90" t="n"/>
      <x:c r="K10" s="91" t="n">
        <x:f>IF(H10="covered",1,IF(H10="partial",0.5,0))</x:f>
        <x:v>1</x:v>
      </x:c>
    </x:row>
    <x:row r="11" s="51" customFormat="1" ht="30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Field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</x:t>
        </x:is>
      </x:c>
      <x:c r="H11" s="86" t="inlineStr">
        <x:is>
          <x:t xml:space="preserve">covered</x:t>
        </x:is>
      </x:c>
      <x:c r="I11" s="84" t="inlineStr">
        <x:is>
          <x:t xml:space="preserve">Field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Field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</x:t>
        </x:is>
      </x:c>
      <x:c r="H12" s="86" t="inlineStr">
        <x:is>
          <x:t xml:space="preserve">covered</x:t>
        </x:is>
      </x:c>
      <x:c r="I12" s="84" t="inlineStr">
        <x:is>
          <x:t xml:space="preserve">Field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30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Field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</x:t>
        </x:is>
      </x:c>
      <x:c r="H13" s="86" t="inlineStr">
        <x:is>
          <x:t xml:space="preserve">covered</x:t>
        </x:is>
      </x:c>
      <x:c r="I13" s="84" t="inlineStr">
        <x:is>
          <x:t xml:space="preserve">Field playground page uses shared Canvas/Source, Anatomy, Inspector, and Log infrastructure.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30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Field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</x:t>
        </x:is>
      </x:c>
      <x:c r="H14" s="86" t="inlineStr">
        <x:is>
          <x:t xml:space="preserve">covered</x:t>
        </x:is>
      </x:c>
      <x:c r="I14" s="84" t="inlineStr">
        <x:is>
          <x:t xml:space="preserve">Field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Field</x:t>
        </x:is>
      </x:c>
      <x:c r="D15" s="84" t="inlineStr">
        <x:is>
          <x:t xml:space="preserve">Generates stable IDs for label, control, description, and error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</x:t>
        </x:is>
      </x:c>
      <x:c r="H15" s="86" t="inlineStr">
        <x:is>
          <x:t xml:space="preserve">covered</x:t>
        </x:is>
      </x:c>
      <x:c r="I15" s="84" t="inlineStr">
        <x:is>
          <x:t xml:space="preserve">Field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Field</x:t>
        </x:is>
      </x:c>
      <x:c r="D16" s="84" t="inlineStr">
        <x:is>
          <x:t xml:space="preserve">Wires Field-aware controls to descriptions and visible errors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</x:t>
        </x:is>
      </x:c>
      <x:c r="H16" s="86" t="inlineStr">
        <x:is>
          <x:t xml:space="preserve">covered</x:t>
        </x:is>
      </x:c>
      <x:c r="I16" s="84" t="inlineStr">
        <x:is>
          <x:t xml:space="preserve">Field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Field</x:t>
        </x:is>
      </x:c>
      <x:c r="D17" s="84" t="inlineStr">
        <x:is>
          <x:t xml:space="preserve">Shares disabled, required, readonly, and invalid state with child controls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</x:t>
        </x:is>
      </x:c>
      <x:c r="H17" s="86" t="inlineStr">
        <x:is>
          <x:t xml:space="preserve">covered</x:t>
        </x:is>
      </x:c>
      <x:c r="I17" s="84" t="inlineStr">
        <x:is>
          <x:t xml:space="preserve">Field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Field</x:t>
        </x:is>
      </x:c>
      <x:c r="D18" s="84" t="inlineStr">
        <x:is>
          <x:t xml:space="preserve">Supports required and optional label indicators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</x:t>
        </x:is>
      </x:c>
      <x:c r="H18" s="86" t="inlineStr">
        <x:is>
          <x:t xml:space="preserve">covered</x:t>
        </x:is>
      </x:c>
      <x:c r="I18" s="84" t="inlineStr">
        <x:is>
          <x:t xml:space="preserve">Field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4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Field</x:t>
        </x:is>
      </x:c>
      <x:c r="D19" s="84" t="inlineStr">
        <x:is>
          <x:t xml:space="preserve">Keeps layout outside Atom through `data-orientation`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</x:t>
        </x:is>
      </x:c>
      <x:c r="H19" s="86" t="inlineStr">
        <x:is>
          <x:t xml:space="preserve">covered</x:t>
        </x:is>
      </x:c>
      <x:c r="I19" s="84" t="inlineStr">
        <x:is>
          <x:t xml:space="preserve">Field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4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</x:t>
        </x:is>
      </x:c>
      <x:c r="H20" s="86" t="inlineStr">
        <x:is>
          <x:t xml:space="preserve">covered</x:t>
        </x:is>
      </x:c>
      <x:c r="I20" s="84" t="inlineStr">
        <x:is>
          <x:t xml:space="preserve">Field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</x:t>
        </x:is>
      </x:c>
      <x:c r="H21" s="86" t="inlineStr">
        <x:is>
          <x:t xml:space="preserve">covered</x:t>
        </x:is>
      </x:c>
      <x:c r="I21" s="84" t="inlineStr">
        <x:is>
          <x:t xml:space="preserve">Field form-field playground page exposes this part/prop in Anatomy, Inspector, Source, or toolbar controls.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</x:t>
        </x:is>
      </x:c>
      <x:c r="H22" s="86" t="inlineStr">
        <x:is>
          <x:t xml:space="preserve">covered</x:t>
        </x:is>
      </x:c>
      <x:c r="I22" s="84" t="inlineStr">
        <x:is>
          <x:t xml:space="preserve">Field source/anatomy documents whether Root renders DOM; Inspector verifies rendered descendants.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</x:t>
        </x:is>
      </x:c>
      <x:c r="H23" s="86" t="inlineStr">
        <x:is>
          <x:t xml:space="preserve">covered</x:t>
        </x:is>
      </x:c>
      <x:c r="I23" s="84" t="inlineStr">
        <x:is>
          <x:t xml:space="preserve">Field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4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</x:t>
        </x:is>
      </x:c>
      <x:c r="H24" s="86" t="inlineStr">
        <x:is>
          <x:t xml:space="preserve">covered</x:t>
        </x:is>
      </x:c>
      <x:c r="I24" s="84" t="inlineStr">
        <x:is>
          <x:t xml:space="preserve">Field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</x:t>
        </x:is>
      </x:c>
      <x:c r="H25" s="86" t="inlineStr">
        <x:is>
          <x:t xml:space="preserve">covered</x:t>
        </x:is>
      </x:c>
      <x:c r="I25" s="84" t="inlineStr">
        <x:is>
          <x:t xml:space="preserve">Field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Public API</x:t>
        </x:is>
      </x:c>
      <x:c r="C26" s="84" t="inlineStr">
        <x:is>
          <x:t xml:space="preserve">Root</x:t>
        </x:is>
      </x:c>
      <x:c r="D26" s="84" t="inlineStr">
        <x:is>
          <x:t xml:space="preserve">id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</x:t>
        </x:is>
      </x:c>
      <x:c r="H26" s="86" t="inlineStr">
        <x:is>
          <x:t xml:space="preserve">covered</x:t>
        </x:is>
      </x:c>
      <x:c r="I26" s="84" t="inlineStr">
        <x:is>
          <x:t xml:space="preserve">Field form-field playground page exposes this part/prop in Anatomy, Inspector, Source, or toolbar controls.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disabled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</x:t>
        </x:is>
      </x:c>
      <x:c r="H27" s="86" t="inlineStr">
        <x:is>
          <x:t xml:space="preserve">covered</x:t>
        </x:is>
      </x:c>
      <x:c r="I27" s="84" t="inlineStr">
        <x:is>
          <x:t xml:space="preserve">Field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required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</x:t>
        </x:is>
      </x:c>
      <x:c r="H28" s="86" t="inlineStr">
        <x:is>
          <x:t xml:space="preserve">covered</x:t>
        </x:is>
      </x:c>
      <x:c r="I28" s="84" t="inlineStr">
        <x:is>
          <x:t xml:space="preserve">Field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readOnly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</x:t>
        </x:is>
      </x:c>
      <x:c r="H29" s="86" t="inlineStr">
        <x:is>
          <x:t xml:space="preserve">covered</x:t>
        </x:is>
      </x:c>
      <x:c r="I29" s="84" t="inlineStr">
        <x:is>
          <x:t xml:space="preserve">Field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invalid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</x:t>
        </x:is>
      </x:c>
      <x:c r="H30" s="86" t="inlineStr">
        <x:is>
          <x:t xml:space="preserve">covered</x:t>
        </x:is>
      </x:c>
      <x:c r="I30" s="84" t="inlineStr">
        <x:is>
          <x:t xml:space="preserve">Field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orientation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</x:t>
        </x:is>
      </x:c>
      <x:c r="H31" s="86" t="inlineStr">
        <x:is>
          <x:t xml:space="preserve">covered</x:t>
        </x:is>
      </x:c>
      <x:c r="I31" s="84" t="inlineStr">
        <x:is>
          <x:t xml:space="preserve">Field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Composition</x:t>
        </x:is>
      </x:c>
      <x:c r="C32" s="84" t="inlineStr">
        <x:is>
          <x:t xml:space="preserve">Root</x:t>
        </x:is>
      </x:c>
      <x:c r="D32" s="84" t="inlineStr">
        <x:is>
          <x:t xml:space="preserve">asChild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</x:t>
        </x:is>
      </x:c>
      <x:c r="H32" s="86" t="inlineStr">
        <x:is>
          <x:t xml:space="preserve">covered</x:t>
        </x:is>
      </x:c>
      <x:c r="I32" s="84" t="inlineStr">
        <x:is>
          <x:t xml:space="preserve">Field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Composition</x:t>
        </x:is>
      </x:c>
      <x:c r="C33" s="84" t="inlineStr">
        <x:is>
          <x:t xml:space="preserve">Root</x:t>
        </x:is>
      </x:c>
      <x:c r="D33" s="84" t="inlineStr">
        <x:is>
          <x:t xml:space="preserve">render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</x:t>
        </x:is>
      </x:c>
      <x:c r="H33" s="86" t="inlineStr">
        <x:is>
          <x:t xml:space="preserve">covered</x:t>
        </x:is>
      </x:c>
      <x:c r="I33" s="84" t="inlineStr">
        <x:is>
          <x:t xml:space="preserve">Field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[data-slot]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</x:t>
        </x:is>
      </x:c>
      <x:c r="H34" s="86" t="inlineStr">
        <x:is>
          <x:t xml:space="preserve">covered</x:t>
        </x:is>
      </x:c>
      <x:c r="I34" s="84" t="inlineStr">
        <x:is>
          <x:t xml:space="preserve">Field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[data-orientation]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</x:t>
        </x:is>
      </x:c>
      <x:c r="H35" s="86" t="inlineStr">
        <x:is>
          <x:t xml:space="preserve">covered</x:t>
        </x:is>
      </x:c>
      <x:c r="I35" s="84" t="inlineStr">
        <x:is>
          <x:t xml:space="preserve">Field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State</x:t>
        </x:is>
      </x:c>
      <x:c r="C36" s="84" t="inlineStr">
        <x:is>
          <x:t xml:space="preserve">Root</x:t>
        </x:is>
      </x:c>
      <x:c r="D36" s="84" t="inlineStr">
        <x:is>
          <x:t xml:space="preserve">[data-disabled]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</x:t>
        </x:is>
      </x:c>
      <x:c r="H36" s="86" t="inlineStr">
        <x:is>
          <x:t xml:space="preserve">covered</x:t>
        </x:is>
      </x:c>
      <x:c r="I36" s="84" t="inlineStr">
        <x:is>
          <x:t xml:space="preserve">Field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Root</x:t>
        </x:is>
      </x:c>
      <x:c r="D37" s="84" t="inlineStr">
        <x:is>
          <x:t xml:space="preserve">[data-required]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</x:t>
        </x:is>
      </x:c>
      <x:c r="H37" s="86" t="inlineStr">
        <x:is>
          <x:t xml:space="preserve">covered</x:t>
        </x:is>
      </x:c>
      <x:c r="I37" s="84" t="inlineStr">
        <x:is>
          <x:t xml:space="preserve">Field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State</x:t>
        </x:is>
      </x:c>
      <x:c r="C38" s="84" t="inlineStr">
        <x:is>
          <x:t xml:space="preserve">Root</x:t>
        </x:is>
      </x:c>
      <x:c r="D38" s="84" t="inlineStr">
        <x:is>
          <x:t xml:space="preserve">[data-readonly]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</x:t>
        </x:is>
      </x:c>
      <x:c r="H38" s="86" t="inlineStr">
        <x:is>
          <x:t xml:space="preserve">covered</x:t>
        </x:is>
      </x:c>
      <x:c r="I38" s="84" t="inlineStr">
        <x:is>
          <x:t xml:space="preserve">Field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45" customHeight="1">
      <x:c r="A39" s="73" t="n">
        <x:v>31</x:v>
      </x:c>
      <x:c r="B39" s="84" t="inlineStr">
        <x:is>
          <x:t xml:space="preserve">State</x:t>
        </x:is>
      </x:c>
      <x:c r="C39" s="84" t="inlineStr">
        <x:is>
          <x:t xml:space="preserve">Root</x:t>
        </x:is>
      </x:c>
      <x:c r="D39" s="84" t="inlineStr">
        <x:is>
          <x:t xml:space="preserve">[data-invalid]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</x:t>
        </x:is>
      </x:c>
      <x:c r="H39" s="86" t="inlineStr">
        <x:is>
          <x:t xml:space="preserve">covered</x:t>
        </x:is>
      </x:c>
      <x:c r="I39" s="84" t="inlineStr">
        <x:is>
          <x:t xml:space="preserve">Field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45" customHeight="1">
      <x:c r="A40" s="73" t="n">
        <x:v>32</x:v>
      </x:c>
      <x:c r="B40" s="84" t="inlineStr">
        <x:is>
          <x:t xml:space="preserve">Anatomy</x:t>
        </x:is>
      </x:c>
      <x:c r="C40" s="84" t="inlineStr">
        <x:is>
          <x:t xml:space="preserve">Label</x:t>
        </x:is>
      </x:c>
      <x:c r="D40" s="84" t="inlineStr">
        <x:is>
          <x:t xml:space="preserve">renders correct part when expected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</x:t>
        </x:is>
      </x:c>
      <x:c r="H40" s="86" t="inlineStr">
        <x:is>
          <x:t xml:space="preserve">covered</x:t>
        </x:is>
      </x:c>
      <x:c r="I40" s="84" t="inlineStr">
        <x:is>
          <x:t xml:space="preserve">Field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Anatomy</x:t>
        </x:is>
      </x:c>
      <x:c r="C41" s="84" t="inlineStr">
        <x:is>
          <x:t xml:space="preserve">Label</x:t>
        </x:is>
      </x:c>
      <x:c r="D41" s="84" t="inlineStr">
        <x:is>
          <x:t xml:space="preserve">appears in documented order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</x:t>
        </x:is>
      </x:c>
      <x:c r="H41" s="86" t="inlineStr">
        <x:is>
          <x:t xml:space="preserve">covered</x:t>
        </x:is>
      </x:c>
      <x:c r="I41" s="84" t="inlineStr">
        <x:is>
          <x:t xml:space="preserve">Field form-field playground page exposes this part/prop in Anatomy, Inspector, Source, or toolbar controls.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30" customHeight="1">
      <x:c r="A42" s="73" t="n">
        <x:v>34</x:v>
      </x:c>
      <x:c r="B42" s="84" t="inlineStr">
        <x:is>
          <x:t xml:space="preserve">Identity</x:t>
        </x:is>
      </x:c>
      <x:c r="C42" s="84" t="inlineStr">
        <x:is>
          <x:t xml:space="preserve">Label</x:t>
        </x:is>
      </x:c>
      <x:c r="D42" s="84" t="inlineStr">
        <x:is>
          <x:t xml:space="preserve">default tag is visible in Anatomy/Inspector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</x:t>
        </x:is>
      </x:c>
      <x:c r="H42" s="86" t="inlineStr">
        <x:is>
          <x:t xml:space="preserve">covered</x:t>
        </x:is>
      </x:c>
      <x:c r="I42" s="84" t="inlineStr">
        <x:is>
          <x:t xml:space="preserve">Field form-field playground page exposes this part/prop in Anatomy, Inspector, Source, or toolbar controls.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Identity</x:t>
        </x:is>
      </x:c>
      <x:c r="C43" s="84" t="inlineStr">
        <x:is>
          <x:t xml:space="preserve">Label</x:t>
        </x:is>
      </x:c>
      <x:c r="D43" s="84" t="inlineStr">
        <x:is>
          <x:t xml:space="preserve">data-slot is present and correct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</x:t>
        </x:is>
      </x:c>
      <x:c r="H43" s="86" t="inlineStr">
        <x:is>
          <x:t xml:space="preserve">covered</x:t>
        </x:is>
      </x:c>
      <x:c r="I43" s="84" t="inlineStr">
        <x:is>
          <x:t xml:space="preserve">Field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Props</x:t>
        </x:is>
      </x:c>
      <x:c r="C44" s="84" t="inlineStr">
        <x:is>
          <x:t xml:space="preserve">Label</x:t>
        </x:is>
      </x:c>
      <x:c r="D44" s="84" t="inlineStr">
        <x:is>
          <x:t xml:space="preserve">non-Atom native props pass through with data-prop-check marker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</x:t>
        </x:is>
      </x:c>
      <x:c r="H44" s="86" t="inlineStr">
        <x:is>
          <x:t xml:space="preserve">covered</x:t>
        </x:is>
      </x:c>
      <x:c r="I44" s="84" t="inlineStr">
        <x:is>
          <x:t xml:space="preserve">Field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45" customHeight="1">
      <x:c r="A45" s="73" t="n">
        <x:v>37</x:v>
      </x:c>
      <x:c r="B45" s="84" t="inlineStr">
        <x:is>
          <x:t xml:space="preserve">Refs</x:t>
        </x:is>
      </x:c>
      <x:c r="C45" s="84" t="inlineStr">
        <x:is>
          <x:t xml:space="preserve">Label</x:t>
        </x:is>
      </x:c>
      <x:c r="D45" s="84" t="inlineStr">
        <x:is>
          <x:t xml:space="preserve">consumer ref receives the rendered element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</x:t>
        </x:is>
      </x:c>
      <x:c r="H45" s="86" t="inlineStr">
        <x:is>
          <x:t xml:space="preserve">covered</x:t>
        </x:is>
      </x:c>
      <x:c r="I45" s="84" t="inlineStr">
        <x:is>
          <x:t xml:space="preserve">Field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State</x:t>
        </x:is>
      </x:c>
      <x:c r="C46" s="84" t="inlineStr">
        <x:is>
          <x:t xml:space="preserve">Label</x:t>
        </x:is>
      </x:c>
      <x:c r="D46" s="84" t="inlineStr">
        <x:is>
          <x:t xml:space="preserve">requiredIndicator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</x:t>
        </x:is>
      </x:c>
      <x:c r="H46" s="86" t="inlineStr">
        <x:is>
          <x:t xml:space="preserve">covered</x:t>
        </x:is>
      </x:c>
      <x:c r="I46" s="84" t="inlineStr">
        <x:is>
          <x:t xml:space="preserve">Field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Public API</x:t>
        </x:is>
      </x:c>
      <x:c r="C47" s="84" t="inlineStr">
        <x:is>
          <x:t xml:space="preserve">Label</x:t>
        </x:is>
      </x:c>
      <x:c r="D47" s="84" t="inlineStr">
        <x:is>
          <x:t xml:space="preserve">optionalIndicator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</x:t>
        </x:is>
      </x:c>
      <x:c r="H47" s="86" t="inlineStr">
        <x:is>
          <x:t xml:space="preserve">covered</x:t>
        </x:is>
      </x:c>
      <x:c r="I47" s="84" t="inlineStr">
        <x:is>
          <x:t xml:space="preserve">Field form-field playground page exposes this part/prop in Anatomy, Inspector, Source, or toolbar controls.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State</x:t>
        </x:is>
      </x:c>
      <x:c r="C48" s="84" t="inlineStr">
        <x:is>
          <x:t xml:space="preserve">Label</x:t>
        </x:is>
      </x:c>
      <x:c r="D48" s="84" t="inlineStr">
        <x:is>
          <x:t xml:space="preserve">disabled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</x:t>
        </x:is>
      </x:c>
      <x:c r="H48" s="86" t="inlineStr">
        <x:is>
          <x:t xml:space="preserve">covered</x:t>
        </x:is>
      </x:c>
      <x:c r="I48" s="84" t="inlineStr">
        <x:is>
          <x:t xml:space="preserve">Field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State</x:t>
        </x:is>
      </x:c>
      <x:c r="C49" s="84" t="inlineStr">
        <x:is>
          <x:t xml:space="preserve">Label</x:t>
        </x:is>
      </x:c>
      <x:c r="D49" s="84" t="inlineStr">
        <x:is>
          <x:t xml:space="preserve">required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</x:t>
        </x:is>
      </x:c>
      <x:c r="H49" s="86" t="inlineStr">
        <x:is>
          <x:t xml:space="preserve">covered</x:t>
        </x:is>
      </x:c>
      <x:c r="I49" s="84" t="inlineStr">
        <x:is>
          <x:t xml:space="preserve">Field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State</x:t>
        </x:is>
      </x:c>
      <x:c r="C50" s="84" t="inlineStr">
        <x:is>
          <x:t xml:space="preserve">Label</x:t>
        </x:is>
      </x:c>
      <x:c r="D50" s="84" t="inlineStr">
        <x:is>
          <x:t xml:space="preserve">readOnly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</x:t>
        </x:is>
      </x:c>
      <x:c r="H50" s="86" t="inlineStr">
        <x:is>
          <x:t xml:space="preserve">covered</x:t>
        </x:is>
      </x:c>
      <x:c r="I50" s="84" t="inlineStr">
        <x:is>
          <x:t xml:space="preserve">Field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State</x:t>
        </x:is>
      </x:c>
      <x:c r="C51" s="84" t="inlineStr">
        <x:is>
          <x:t xml:space="preserve">Label</x:t>
        </x:is>
      </x:c>
      <x:c r="D51" s="84" t="inlineStr">
        <x:is>
          <x:t xml:space="preserve">invalid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</x:t>
        </x:is>
      </x:c>
      <x:c r="H51" s="86" t="inlineStr">
        <x:is>
          <x:t xml:space="preserve">covered</x:t>
        </x:is>
      </x:c>
      <x:c r="I51" s="84" t="inlineStr">
        <x:is>
          <x:t xml:space="preserve">Field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Composition</x:t>
        </x:is>
      </x:c>
      <x:c r="C52" s="84" t="inlineStr">
        <x:is>
          <x:t xml:space="preserve">Label</x:t>
        </x:is>
      </x:c>
      <x:c r="D52" s="84" t="inlineStr">
        <x:is>
          <x:t xml:space="preserve">asChild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</x:t>
        </x:is>
      </x:c>
      <x:c r="H52" s="86" t="inlineStr">
        <x:is>
          <x:t xml:space="preserve">covered</x:t>
        </x:is>
      </x:c>
      <x:c r="I52" s="84" t="inlineStr">
        <x:is>
          <x:t xml:space="preserve">Field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Composition</x:t>
        </x:is>
      </x:c>
      <x:c r="C53" s="84" t="inlineStr">
        <x:is>
          <x:t xml:space="preserve">Label</x:t>
        </x:is>
      </x:c>
      <x:c r="D53" s="84" t="inlineStr">
        <x:is>
          <x:t xml:space="preserve">render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</x:t>
        </x:is>
      </x:c>
      <x:c r="H53" s="86" t="inlineStr">
        <x:is>
          <x:t xml:space="preserve">covered</x:t>
        </x:is>
      </x:c>
      <x:c r="I53" s="84" t="inlineStr">
        <x:is>
          <x:t xml:space="preserve">Field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Label</x:t>
        </x:is>
      </x:c>
      <x:c r="D54" s="84" t="inlineStr">
        <x:is>
          <x:t xml:space="preserve">[data-slot]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</x:t>
        </x:is>
      </x:c>
      <x:c r="H54" s="86" t="inlineStr">
        <x:is>
          <x:t xml:space="preserve">covered</x:t>
        </x:is>
      </x:c>
      <x:c r="I54" s="84" t="inlineStr">
        <x:is>
          <x:t xml:space="preserve">Field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State</x:t>
        </x:is>
      </x:c>
      <x:c r="C55" s="84" t="inlineStr">
        <x:is>
          <x:t xml:space="preserve">Label</x:t>
        </x:is>
      </x:c>
      <x:c r="D55" s="84" t="inlineStr">
        <x:is>
          <x:t xml:space="preserve">[data-disabled]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</x:t>
        </x:is>
      </x:c>
      <x:c r="H55" s="86" t="inlineStr">
        <x:is>
          <x:t xml:space="preserve">covered</x:t>
        </x:is>
      </x:c>
      <x:c r="I55" s="84" t="inlineStr">
        <x:is>
          <x:t xml:space="preserve">Field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State</x:t>
        </x:is>
      </x:c>
      <x:c r="C56" s="84" t="inlineStr">
        <x:is>
          <x:t xml:space="preserve">Label</x:t>
        </x:is>
      </x:c>
      <x:c r="D56" s="84" t="inlineStr">
        <x:is>
          <x:t xml:space="preserve">[data-required]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</x:t>
        </x:is>
      </x:c>
      <x:c r="H56" s="86" t="inlineStr">
        <x:is>
          <x:t xml:space="preserve">covered</x:t>
        </x:is>
      </x:c>
      <x:c r="I56" s="84" t="inlineStr">
        <x:is>
          <x:t xml:space="preserve">Field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State</x:t>
        </x:is>
      </x:c>
      <x:c r="C57" s="84" t="inlineStr">
        <x:is>
          <x:t xml:space="preserve">Label</x:t>
        </x:is>
      </x:c>
      <x:c r="D57" s="84" t="inlineStr">
        <x:is>
          <x:t xml:space="preserve">[data-readonly]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</x:t>
        </x:is>
      </x:c>
      <x:c r="H57" s="86" t="inlineStr">
        <x:is>
          <x:t xml:space="preserve">covered</x:t>
        </x:is>
      </x:c>
      <x:c r="I57" s="84" t="inlineStr">
        <x:is>
          <x:t xml:space="preserve">Field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45" customHeight="1">
      <x:c r="A58" s="73" t="n">
        <x:v>50</x:v>
      </x:c>
      <x:c r="B58" s="84" t="inlineStr">
        <x:is>
          <x:t xml:space="preserve">State</x:t>
        </x:is>
      </x:c>
      <x:c r="C58" s="84" t="inlineStr">
        <x:is>
          <x:t xml:space="preserve">Label</x:t>
        </x:is>
      </x:c>
      <x:c r="D58" s="84" t="inlineStr">
        <x:is>
          <x:t xml:space="preserve">[data-invalid]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</x:t>
        </x:is>
      </x:c>
      <x:c r="H58" s="86" t="inlineStr">
        <x:is>
          <x:t xml:space="preserve">covered</x:t>
        </x:is>
      </x:c>
      <x:c r="I58" s="84" t="inlineStr">
        <x:is>
          <x:t xml:space="preserve">Field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4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Description</x:t>
        </x:is>
      </x:c>
      <x:c r="D59" s="84" t="inlineStr">
        <x:is>
          <x:t xml:space="preserve">renders correct part when expected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</x:t>
        </x:is>
      </x:c>
      <x:c r="H59" s="86" t="inlineStr">
        <x:is>
          <x:t xml:space="preserve">covered</x:t>
        </x:is>
      </x:c>
      <x:c r="I59" s="84" t="inlineStr">
        <x:is>
          <x:t xml:space="preserve">Field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Anatomy</x:t>
        </x:is>
      </x:c>
      <x:c r="C60" s="84" t="inlineStr">
        <x:is>
          <x:t xml:space="preserve">Description</x:t>
        </x:is>
      </x:c>
      <x:c r="D60" s="84" t="inlineStr">
        <x:is>
          <x:t xml:space="preserve">appears in documented order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</x:t>
        </x:is>
      </x:c>
      <x:c r="H60" s="86" t="inlineStr">
        <x:is>
          <x:t xml:space="preserve">covered</x:t>
        </x:is>
      </x:c>
      <x:c r="I60" s="84" t="inlineStr">
        <x:is>
          <x:t xml:space="preserve">Field form-field playground page exposes this part/prop in Anatomy, Inspector, Source, or toolbar controls.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30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Description</x:t>
        </x:is>
      </x:c>
      <x:c r="D61" s="84" t="inlineStr">
        <x:is>
          <x:t xml:space="preserve">default tag is visible in Anatomy/Inspector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</x:t>
        </x:is>
      </x:c>
      <x:c r="H61" s="86" t="inlineStr">
        <x:is>
          <x:t xml:space="preserve">covered</x:t>
        </x:is>
      </x:c>
      <x:c r="I61" s="84" t="inlineStr">
        <x:is>
          <x:t xml:space="preserve">Field form-field playground page exposes this part/prop in Anatomy, Inspector, Source, or toolbar controls.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Identity</x:t>
        </x:is>
      </x:c>
      <x:c r="C62" s="84" t="inlineStr">
        <x:is>
          <x:t xml:space="preserve">Description</x:t>
        </x:is>
      </x:c>
      <x:c r="D62" s="84" t="inlineStr">
        <x:is>
          <x:t xml:space="preserve">data-slot is present and correct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</x:t>
        </x:is>
      </x:c>
      <x:c r="H62" s="86" t="inlineStr">
        <x:is>
          <x:t xml:space="preserve">covered</x:t>
        </x:is>
      </x:c>
      <x:c r="I62" s="84" t="inlineStr">
        <x:is>
          <x:t xml:space="preserve">Field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Props</x:t>
        </x:is>
      </x:c>
      <x:c r="C63" s="84" t="inlineStr">
        <x:is>
          <x:t xml:space="preserve">Description</x:t>
        </x:is>
      </x:c>
      <x:c r="D63" s="84" t="inlineStr">
        <x:is>
          <x:t xml:space="preserve">non-Atom native props pass through with data-prop-check marker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</x:t>
        </x:is>
      </x:c>
      <x:c r="H63" s="86" t="inlineStr">
        <x:is>
          <x:t xml:space="preserve">covered</x:t>
        </x:is>
      </x:c>
      <x:c r="I63" s="84" t="inlineStr">
        <x:is>
          <x:t xml:space="preserve">Field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Refs</x:t>
        </x:is>
      </x:c>
      <x:c r="C64" s="84" t="inlineStr">
        <x:is>
          <x:t xml:space="preserve">Description</x:t>
        </x:is>
      </x:c>
      <x:c r="D64" s="84" t="inlineStr">
        <x:is>
          <x:t xml:space="preserve">consumer ref receives the rendered element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</x:t>
        </x:is>
      </x:c>
      <x:c r="H64" s="86" t="inlineStr">
        <x:is>
          <x:t xml:space="preserve">covered</x:t>
        </x:is>
      </x:c>
      <x:c r="I64" s="84" t="inlineStr">
        <x:is>
          <x:t xml:space="preserve">Field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Composition</x:t>
        </x:is>
      </x:c>
      <x:c r="C65" s="84" t="inlineStr">
        <x:is>
          <x:t xml:space="preserve">Description</x:t>
        </x:is>
      </x:c>
      <x:c r="D65" s="84" t="inlineStr">
        <x:is>
          <x:t xml:space="preserve">asChild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</x:t>
        </x:is>
      </x:c>
      <x:c r="H65" s="86" t="inlineStr">
        <x:is>
          <x:t xml:space="preserve">covered</x:t>
        </x:is>
      </x:c>
      <x:c r="I65" s="84" t="inlineStr">
        <x:is>
          <x:t xml:space="preserve">Field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Composition</x:t>
        </x:is>
      </x:c>
      <x:c r="C66" s="84" t="inlineStr">
        <x:is>
          <x:t xml:space="preserve">Description</x:t>
        </x:is>
      </x:c>
      <x:c r="D66" s="84" t="inlineStr">
        <x:is>
          <x:t xml:space="preserve">render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</x:t>
        </x:is>
      </x:c>
      <x:c r="H66" s="86" t="inlineStr">
        <x:is>
          <x:t xml:space="preserve">covered</x:t>
        </x:is>
      </x:c>
      <x:c r="I66" s="84" t="inlineStr">
        <x:is>
          <x:t xml:space="preserve">Field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4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Description</x:t>
        </x:is>
      </x:c>
      <x:c r="D67" s="84" t="inlineStr">
        <x:is>
          <x:t xml:space="preserve">[data-slot]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</x:t>
        </x:is>
      </x:c>
      <x:c r="H67" s="86" t="inlineStr">
        <x:is>
          <x:t xml:space="preserve">covered</x:t>
        </x:is>
      </x:c>
      <x:c r="I67" s="84" t="inlineStr">
        <x:is>
          <x:t xml:space="preserve">Field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45" customHeight="1">
      <x:c r="A68" s="73" t="n">
        <x:v>60</x:v>
      </x:c>
      <x:c r="B68" s="84" t="inlineStr">
        <x:is>
          <x:t xml:space="preserve">Anatomy</x:t>
        </x:is>
      </x:c>
      <x:c r="C68" s="84" t="inlineStr">
        <x:is>
          <x:t xml:space="preserve">Error</x:t>
        </x:is>
      </x:c>
      <x:c r="D68" s="84" t="inlineStr">
        <x:is>
          <x:t xml:space="preserve">renders correct part when expected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</x:t>
        </x:is>
      </x:c>
      <x:c r="H68" s="86" t="inlineStr">
        <x:is>
          <x:t xml:space="preserve">covered</x:t>
        </x:is>
      </x:c>
      <x:c r="I68" s="84" t="inlineStr">
        <x:is>
          <x:t xml:space="preserve">Field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Anatomy</x:t>
        </x:is>
      </x:c>
      <x:c r="C69" s="84" t="inlineStr">
        <x:is>
          <x:t xml:space="preserve">Error</x:t>
        </x:is>
      </x:c>
      <x:c r="D69" s="84" t="inlineStr">
        <x:is>
          <x:t xml:space="preserve">appears in documented order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</x:t>
        </x:is>
      </x:c>
      <x:c r="H69" s="86" t="inlineStr">
        <x:is>
          <x:t xml:space="preserve">covered</x:t>
        </x:is>
      </x:c>
      <x:c r="I69" s="84" t="inlineStr">
        <x:is>
          <x:t xml:space="preserve">Field form-field playground page exposes this part/prop in Anatomy, Inspector, Source, or toolbar controls.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30" customHeight="1">
      <x:c r="A70" s="73" t="n">
        <x:v>62</x:v>
      </x:c>
      <x:c r="B70" s="84" t="inlineStr">
        <x:is>
          <x:t xml:space="preserve">Identity</x:t>
        </x:is>
      </x:c>
      <x:c r="C70" s="84" t="inlineStr">
        <x:is>
          <x:t xml:space="preserve">Error</x:t>
        </x:is>
      </x:c>
      <x:c r="D70" s="84" t="inlineStr">
        <x:is>
          <x:t xml:space="preserve">default tag is visible in Anatomy/Inspector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</x:t>
        </x:is>
      </x:c>
      <x:c r="H70" s="86" t="inlineStr">
        <x:is>
          <x:t xml:space="preserve">covered</x:t>
        </x:is>
      </x:c>
      <x:c r="I70" s="84" t="inlineStr">
        <x:is>
          <x:t xml:space="preserve">Field form-field playground page exposes this part/prop in Anatomy, Inspector, Source, or toolbar controls.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Identity</x:t>
        </x:is>
      </x:c>
      <x:c r="C71" s="84" t="inlineStr">
        <x:is>
          <x:t xml:space="preserve">Error</x:t>
        </x:is>
      </x:c>
      <x:c r="D71" s="84" t="inlineStr">
        <x:is>
          <x:t xml:space="preserve">data-slot is present and correct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</x:t>
        </x:is>
      </x:c>
      <x:c r="H71" s="86" t="inlineStr">
        <x:is>
          <x:t xml:space="preserve">covered</x:t>
        </x:is>
      </x:c>
      <x:c r="I71" s="84" t="inlineStr">
        <x:is>
          <x:t xml:space="preserve">Field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45" customHeight="1">
      <x:c r="A72" s="73" t="n">
        <x:v>64</x:v>
      </x:c>
      <x:c r="B72" s="84" t="inlineStr">
        <x:is>
          <x:t xml:space="preserve">Props</x:t>
        </x:is>
      </x:c>
      <x:c r="C72" s="84" t="inlineStr">
        <x:is>
          <x:t xml:space="preserve">Error</x:t>
        </x:is>
      </x:c>
      <x:c r="D72" s="84" t="inlineStr">
        <x:is>
          <x:t xml:space="preserve">non-Atom native props pass through with data-prop-check marker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</x:t>
        </x:is>
      </x:c>
      <x:c r="H72" s="86" t="inlineStr">
        <x:is>
          <x:t xml:space="preserve">covered</x:t>
        </x:is>
      </x:c>
      <x:c r="I72" s="84" t="inlineStr">
        <x:is>
          <x:t xml:space="preserve">Field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45" customHeight="1">
      <x:c r="A73" s="73" t="n">
        <x:v>65</x:v>
      </x:c>
      <x:c r="B73" s="84" t="inlineStr">
        <x:is>
          <x:t xml:space="preserve">Refs</x:t>
        </x:is>
      </x:c>
      <x:c r="C73" s="84" t="inlineStr">
        <x:is>
          <x:t xml:space="preserve">Error</x:t>
        </x:is>
      </x:c>
      <x:c r="D73" s="84" t="inlineStr">
        <x:is>
          <x:t xml:space="preserve">consumer ref receives the rendered element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</x:t>
        </x:is>
      </x:c>
      <x:c r="H73" s="86" t="inlineStr">
        <x:is>
          <x:t xml:space="preserve">covered</x:t>
        </x:is>
      </x:c>
      <x:c r="I73" s="84" t="inlineStr">
        <x:is>
          <x:t xml:space="preserve">Field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Public API</x:t>
        </x:is>
      </x:c>
      <x:c r="C74" s="84" t="inlineStr">
        <x:is>
          <x:t xml:space="preserve">Error</x:t>
        </x:is>
      </x:c>
      <x:c r="D74" s="84" t="inlineStr">
        <x:is>
          <x:t xml:space="preserve">match prop behavior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</x:t>
        </x:is>
      </x:c>
      <x:c r="H74" s="86" t="inlineStr">
        <x:is>
          <x:t xml:space="preserve">covered</x:t>
        </x:is>
      </x:c>
      <x:c r="I74" s="84" t="inlineStr">
        <x:is>
          <x:t xml:space="preserve">Field form-field playground page exposes this part/prop in Anatomy, Inspector, Source, or toolbar controls.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Public API</x:t>
        </x:is>
      </x:c>
      <x:c r="C75" s="84" t="inlineStr">
        <x:is>
          <x:t xml:space="preserve">Error</x:t>
        </x:is>
      </x:c>
      <x:c r="D75" s="84" t="inlineStr">
        <x:is>
          <x:t xml:space="preserve">forceMatch prop behavior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</x:t>
        </x:is>
      </x:c>
      <x:c r="H75" s="86" t="inlineStr">
        <x:is>
          <x:t xml:space="preserve">covered</x:t>
        </x:is>
      </x:c>
      <x:c r="I75" s="84" t="inlineStr">
        <x:is>
          <x:t xml:space="preserve">Field form-field playground page exposes this part/prop in Anatomy, Inspector, Source, or toolbar controls.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Composition</x:t>
        </x:is>
      </x:c>
      <x:c r="C76" s="84" t="inlineStr">
        <x:is>
          <x:t xml:space="preserve">Error</x:t>
        </x:is>
      </x:c>
      <x:c r="D76" s="84" t="inlineStr">
        <x:is>
          <x:t xml:space="preserve">asChild prop behavior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</x:t>
        </x:is>
      </x:c>
      <x:c r="H76" s="86" t="inlineStr">
        <x:is>
          <x:t xml:space="preserve">covered</x:t>
        </x:is>
      </x:c>
      <x:c r="I76" s="84" t="inlineStr">
        <x:is>
          <x:t xml:space="preserve">Field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Composition</x:t>
        </x:is>
      </x:c>
      <x:c r="C77" s="84" t="inlineStr">
        <x:is>
          <x:t xml:space="preserve">Error</x:t>
        </x:is>
      </x:c>
      <x:c r="D77" s="84" t="inlineStr">
        <x:is>
          <x:t xml:space="preserve">render prop behavior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</x:t>
        </x:is>
      </x:c>
      <x:c r="H77" s="86" t="inlineStr">
        <x:is>
          <x:t xml:space="preserve">covered</x:t>
        </x:is>
      </x:c>
      <x:c r="I77" s="84" t="inlineStr">
        <x:is>
          <x:t xml:space="preserve">Field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45" customHeight="1">
      <x:c r="A78" s="73" t="n">
        <x:v>70</x:v>
      </x:c>
      <x:c r="B78" s="84" t="inlineStr">
        <x:is>
          <x:t xml:space="preserve">Public API</x:t>
        </x:is>
      </x:c>
      <x:c r="C78" s="84" t="inlineStr">
        <x:is>
          <x:t xml:space="preserve">Error</x:t>
        </x:is>
      </x:c>
      <x:c r="D78" s="84" t="inlineStr">
        <x:is>
          <x:t xml:space="preserve">[data-slot] prop behavior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</x:t>
        </x:is>
      </x:c>
      <x:c r="H78" s="86" t="inlineStr">
        <x:is>
          <x:t xml:space="preserve">covered</x:t>
        </x:is>
      </x:c>
      <x:c r="I78" s="84" t="inlineStr">
        <x:is>
          <x:t xml:space="preserve">Field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45" customHeight="1">
      <x:c r="A79" s="73" t="n">
        <x:v>71</x:v>
      </x:c>
      <x:c r="B79" s="84" t="inlineStr">
        <x:is>
          <x:t xml:space="preserve">Anatomy</x:t>
        </x:is>
      </x:c>
      <x:c r="C79" s="84" t="inlineStr">
        <x:is>
          <x:t xml:space="preserve">RequiredIndicator</x:t>
        </x:is>
      </x:c>
      <x:c r="D79" s="84" t="inlineStr">
        <x:is>
          <x:t xml:space="preserve">renders correct part when expected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</x:t>
        </x:is>
      </x:c>
      <x:c r="H79" s="86" t="inlineStr">
        <x:is>
          <x:t xml:space="preserve">covered</x:t>
        </x:is>
      </x:c>
      <x:c r="I79" s="84" t="inlineStr">
        <x:is>
          <x:t xml:space="preserve">Field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Anatomy</x:t>
        </x:is>
      </x:c>
      <x:c r="C80" s="84" t="inlineStr">
        <x:is>
          <x:t xml:space="preserve">RequiredIndicator</x:t>
        </x:is>
      </x:c>
      <x:c r="D80" s="84" t="inlineStr">
        <x:is>
          <x:t xml:space="preserve">appears in documented order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</x:t>
        </x:is>
      </x:c>
      <x:c r="H80" s="86" t="inlineStr">
        <x:is>
          <x:t xml:space="preserve">covered</x:t>
        </x:is>
      </x:c>
      <x:c r="I80" s="84" t="inlineStr">
        <x:is>
          <x:t xml:space="preserve">Field form-field playground page exposes this part/prop in Anatomy, Inspector, Source, or toolbar controls.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30" customHeight="1">
      <x:c r="A81" s="73" t="n">
        <x:v>73</x:v>
      </x:c>
      <x:c r="B81" s="84" t="inlineStr">
        <x:is>
          <x:t xml:space="preserve">Identity</x:t>
        </x:is>
      </x:c>
      <x:c r="C81" s="84" t="inlineStr">
        <x:is>
          <x:t xml:space="preserve">RequiredIndicator</x:t>
        </x:is>
      </x:c>
      <x:c r="D81" s="84" t="inlineStr">
        <x:is>
          <x:t xml:space="preserve">default tag is visible in Anatomy/Inspector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</x:t>
        </x:is>
      </x:c>
      <x:c r="H81" s="86" t="inlineStr">
        <x:is>
          <x:t xml:space="preserve">covered</x:t>
        </x:is>
      </x:c>
      <x:c r="I81" s="84" t="inlineStr">
        <x:is>
          <x:t xml:space="preserve">Field form-field playground page exposes this part/prop in Anatomy, Inspector, Source, or toolbar controls.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Identity</x:t>
        </x:is>
      </x:c>
      <x:c r="C82" s="84" t="inlineStr">
        <x:is>
          <x:t xml:space="preserve">RequiredIndicator</x:t>
        </x:is>
      </x:c>
      <x:c r="D82" s="84" t="inlineStr">
        <x:is>
          <x:t xml:space="preserve">data-slot is present and correct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</x:t>
        </x:is>
      </x:c>
      <x:c r="H82" s="86" t="inlineStr">
        <x:is>
          <x:t xml:space="preserve">covered</x:t>
        </x:is>
      </x:c>
      <x:c r="I82" s="84" t="inlineStr">
        <x:is>
          <x:t xml:space="preserve">Field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45" customHeight="1">
      <x:c r="A83" s="73" t="n">
        <x:v>75</x:v>
      </x:c>
      <x:c r="B83" s="84" t="inlineStr">
        <x:is>
          <x:t xml:space="preserve">Props</x:t>
        </x:is>
      </x:c>
      <x:c r="C83" s="84" t="inlineStr">
        <x:is>
          <x:t xml:space="preserve">RequiredIndicator</x:t>
        </x:is>
      </x:c>
      <x:c r="D83" s="84" t="inlineStr">
        <x:is>
          <x:t xml:space="preserve">non-Atom native props pass through with data-prop-check marker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</x:t>
        </x:is>
      </x:c>
      <x:c r="H83" s="86" t="inlineStr">
        <x:is>
          <x:t xml:space="preserve">covered</x:t>
        </x:is>
      </x:c>
      <x:c r="I83" s="84" t="inlineStr">
        <x:is>
          <x:t xml:space="preserve">Field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Refs</x:t>
        </x:is>
      </x:c>
      <x:c r="C84" s="84" t="inlineStr">
        <x:is>
          <x:t xml:space="preserve">RequiredIndicator</x:t>
        </x:is>
      </x:c>
      <x:c r="D84" s="84" t="inlineStr">
        <x:is>
          <x:t xml:space="preserve">consumer ref receives the rendered element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</x:t>
        </x:is>
      </x:c>
      <x:c r="H84" s="86" t="inlineStr">
        <x:is>
          <x:t xml:space="preserve">covered</x:t>
        </x:is>
      </x:c>
      <x:c r="I84" s="84" t="inlineStr">
        <x:is>
          <x:t xml:space="preserve">Field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Public API</x:t>
        </x:is>
      </x:c>
      <x:c r="C85" s="84" t="inlineStr">
        <x:is>
          <x:t xml:space="preserve">RequiredIndicator</x:t>
        </x:is>
      </x:c>
      <x:c r="D85" s="84" t="inlineStr">
        <x:is>
          <x:t xml:space="preserve">fallback prop behavior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</x:t>
        </x:is>
      </x:c>
      <x:c r="H85" s="86" t="inlineStr">
        <x:is>
          <x:t xml:space="preserve">covered</x:t>
        </x:is>
      </x:c>
      <x:c r="I85" s="84" t="inlineStr">
        <x:is>
          <x:t xml:space="preserve">Field form-field playground page exposes this part/prop in Anatomy, Inspector, Source, or toolbar controls.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Composition</x:t>
        </x:is>
      </x:c>
      <x:c r="C86" s="84" t="inlineStr">
        <x:is>
          <x:t xml:space="preserve">RequiredIndicator</x:t>
        </x:is>
      </x:c>
      <x:c r="D86" s="84" t="inlineStr">
        <x:is>
          <x:t xml:space="preserve">asChild prop behavior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</x:t>
        </x:is>
      </x:c>
      <x:c r="H86" s="86" t="inlineStr">
        <x:is>
          <x:t xml:space="preserve">covered</x:t>
        </x:is>
      </x:c>
      <x:c r="I86" s="84" t="inlineStr">
        <x:is>
          <x:t xml:space="preserve">Field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30" customHeight="1">
      <x:c r="A87" s="73" t="n">
        <x:v>79</x:v>
      </x:c>
      <x:c r="B87" s="84" t="inlineStr">
        <x:is>
          <x:t xml:space="preserve">Composition</x:t>
        </x:is>
      </x:c>
      <x:c r="C87" s="84" t="inlineStr">
        <x:is>
          <x:t xml:space="preserve">RequiredIndicator</x:t>
        </x:is>
      </x:c>
      <x:c r="D87" s="84" t="inlineStr">
        <x:is>
          <x:t xml:space="preserve">render prop behavior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</x:t>
        </x:is>
      </x:c>
      <x:c r="H87" s="86" t="inlineStr">
        <x:is>
          <x:t xml:space="preserve">covered</x:t>
        </x:is>
      </x:c>
      <x:c r="I87" s="84" t="inlineStr">
        <x:is>
          <x:t xml:space="preserve">Field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Public API</x:t>
        </x:is>
      </x:c>
      <x:c r="C88" s="84" t="inlineStr">
        <x:is>
          <x:t xml:space="preserve">RequiredIndicator</x:t>
        </x:is>
      </x:c>
      <x:c r="D88" s="84" t="inlineStr">
        <x:is>
          <x:t xml:space="preserve">[data-slot] prop behavior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</x:t>
        </x:is>
      </x:c>
      <x:c r="H88" s="86" t="inlineStr">
        <x:is>
          <x:t xml:space="preserve">covered</x:t>
        </x:is>
      </x:c>
      <x:c r="I88" s="84" t="inlineStr">
        <x:is>
          <x:t xml:space="preserve">Field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ARIA</x:t>
        </x:is>
      </x:c>
      <x:c r="C89" s="84" t="inlineStr">
        <x:is>
          <x:t xml:space="preserve">Live DOM</x:t>
        </x:is>
      </x:c>
      <x:c r="D89" s="84" t="inlineStr">
        <x:is>
          <x:t xml:space="preserve">aria-hidden is present at the correct time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</x:t>
        </x:is>
      </x:c>
      <x:c r="H89" s="86" t="inlineStr">
        <x:is>
          <x:t xml:space="preserve">covered</x:t>
        </x:is>
      </x:c>
      <x:c r="I89" s="84" t="inlineStr">
        <x:is>
          <x:t xml:space="preserve">Shared Anatomy/Inspector expose live ARIA/data attributes for Field when the part is rendered.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Data</x:t>
        </x:is>
      </x:c>
      <x:c r="C90" s="84" t="inlineStr">
        <x:is>
          <x:t xml:space="preserve">Live DOM</x:t>
        </x:is>
      </x:c>
      <x:c r="D90" s="84" t="inlineStr">
        <x:is>
          <x:t xml:space="preserve">data-disabled is present at the correct time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</x:t>
        </x:is>
      </x:c>
      <x:c r="H90" s="86" t="inlineStr">
        <x:is>
          <x:t xml:space="preserve">covered</x:t>
        </x:is>
      </x:c>
      <x:c r="I90" s="84" t="inlineStr">
        <x:is>
          <x:t xml:space="preserve">Field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Data</x:t>
        </x:is>
      </x:c>
      <x:c r="C91" s="84" t="inlineStr">
        <x:is>
          <x:t xml:space="preserve">Live DOM</x:t>
        </x:is>
      </x:c>
      <x:c r="D91" s="84" t="inlineStr">
        <x:is>
          <x:t xml:space="preserve">data-invalid is present at the correct time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</x:t>
        </x:is>
      </x:c>
      <x:c r="H91" s="86" t="inlineStr">
        <x:is>
          <x:t xml:space="preserve">covered</x:t>
        </x:is>
      </x:c>
      <x:c r="I91" s="84" t="inlineStr">
        <x:is>
          <x:t xml:space="preserve">Field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Data</x:t>
        </x:is>
      </x:c>
      <x:c r="C92" s="84" t="inlineStr">
        <x:is>
          <x:t xml:space="preserve">Live DOM</x:t>
        </x:is>
      </x:c>
      <x:c r="D92" s="84" t="inlineStr">
        <x:is>
          <x:t xml:space="preserve">data-orientation is present at the correct time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</x:t>
        </x:is>
      </x:c>
      <x:c r="H92" s="86" t="inlineStr">
        <x:is>
          <x:t xml:space="preserve">covered</x:t>
        </x:is>
      </x:c>
      <x:c r="I92" s="84" t="inlineStr">
        <x:is>
          <x:t xml:space="preserve">Field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Data</x:t>
        </x:is>
      </x:c>
      <x:c r="C93" s="84" t="inlineStr">
        <x:is>
          <x:t xml:space="preserve">Live DOM</x:t>
        </x:is>
      </x:c>
      <x:c r="D93" s="84" t="inlineStr">
        <x:is>
          <x:t xml:space="preserve">data-readonly is present at the correct time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</x:t>
        </x:is>
      </x:c>
      <x:c r="H93" s="86" t="inlineStr">
        <x:is>
          <x:t xml:space="preserve">covered</x:t>
        </x:is>
      </x:c>
      <x:c r="I93" s="84" t="inlineStr">
        <x:is>
          <x:t xml:space="preserve">Field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Data</x:t>
        </x:is>
      </x:c>
      <x:c r="C94" s="84" t="inlineStr">
        <x:is>
          <x:t xml:space="preserve">Live DOM</x:t>
        </x:is>
      </x:c>
      <x:c r="D94" s="84" t="inlineStr">
        <x:is>
          <x:t xml:space="preserve">data-required is present at the correct time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</x:t>
        </x:is>
      </x:c>
      <x:c r="H94" s="86" t="inlineStr">
        <x:is>
          <x:t xml:space="preserve">covered</x:t>
        </x:is>
      </x:c>
      <x:c r="I94" s="84" t="inlineStr">
        <x:is>
          <x:t xml:space="preserve">Field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Data</x:t>
        </x:is>
      </x:c>
      <x:c r="C95" s="84" t="inlineStr">
        <x:is>
          <x:t xml:space="preserve">Live DOM</x:t>
        </x:is>
      </x:c>
      <x:c r="D95" s="84" t="inlineStr">
        <x:is>
          <x:t xml:space="preserve">data-slot is present at the correct time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</x:t>
        </x:is>
      </x:c>
      <x:c r="H95" s="86" t="inlineStr">
        <x:is>
          <x:t xml:space="preserve">covered</x:t>
        </x:is>
      </x:c>
      <x:c r="I95" s="84" t="inlineStr">
        <x:is>
          <x:t xml:space="preserve">Field playground scenario.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30" customHeight="1">
      <x:c r="A96" s="73" t="n">
        <x:v>88</x:v>
      </x:c>
      <x:c r="B96" s="84" t="inlineStr">
        <x:is>
          <x:t xml:space="preserve">Composition</x:t>
        </x:is>
      </x:c>
      <x:c r="C96" s="84" t="inlineStr">
        <x:is>
          <x:t xml:space="preserve">Field</x:t>
        </x:is>
      </x:c>
      <x:c r="D96" s="84" t="inlineStr">
        <x:is>
          <x:t xml:space="preserve">asChild preserves child content without double nesting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</x:t>
        </x:is>
      </x:c>
      <x:c r="H96" s="86" t="inlineStr">
        <x:is>
          <x:t xml:space="preserve">covered</x:t>
        </x:is>
      </x:c>
      <x:c r="I96" s="84" t="inlineStr">
        <x:is>
          <x:t xml:space="preserve">Field playground scenario.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Composition</x:t>
        </x:is>
      </x:c>
      <x:c r="C97" s="84" t="inlineStr">
        <x:is>
          <x:t xml:space="preserve">Field</x:t>
        </x:is>
      </x:c>
      <x:c r="D97" s="84" t="inlineStr">
        <x:is>
          <x:t xml:space="preserve">asChild merges Atom props and consumer props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</x:t>
        </x:is>
      </x:c>
      <x:c r="H97" s="86" t="inlineStr">
        <x:is>
          <x:t xml:space="preserve">covered</x:t>
        </x:is>
      </x:c>
      <x:c r="I97" s="84" t="inlineStr">
        <x:is>
          <x:t xml:space="preserve">Field playground scenario.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Composition</x:t>
        </x:is>
      </x:c>
      <x:c r="C98" s="84" t="inlineStr">
        <x:is>
          <x:t xml:space="preserve">Field</x:t>
        </x:is>
      </x:c>
      <x:c r="D98" s="84" t="inlineStr">
        <x:is>
          <x:t xml:space="preserve">asChild lets preventDefault block Atom behavior where supported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</x:t>
        </x:is>
      </x:c>
      <x:c r="H98" s="86" t="inlineStr">
        <x:is>
          <x:t xml:space="preserve">covered</x:t>
        </x:is>
      </x:c>
      <x:c r="I98" s="84" t="inlineStr">
        <x:is>
          <x:t xml:space="preserve">Field playground scenario.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30" customHeight="1">
      <x:c r="A99" s="73" t="n">
        <x:v>91</x:v>
      </x:c>
      <x:c r="B99" s="84" t="inlineStr">
        <x:is>
          <x:t xml:space="preserve">Composition</x:t>
        </x:is>
      </x:c>
      <x:c r="C99" s="84" t="inlineStr">
        <x:is>
          <x:t xml:space="preserve">Field</x:t>
        </x:is>
      </x:c>
      <x:c r="D99" s="84" t="inlineStr">
        <x:is>
          <x:t xml:space="preserve">render prop renders custom element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</x:t>
        </x:is>
      </x:c>
      <x:c r="H99" s="86" t="inlineStr">
        <x:is>
          <x:t xml:space="preserve">covered</x:t>
        </x:is>
      </x:c>
      <x:c r="I99" s="84" t="inlineStr">
        <x:is>
          <x:t xml:space="preserve">Field playground scenario.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30" customHeight="1">
      <x:c r="A100" s="73" t="n">
        <x:v>92</x:v>
      </x:c>
      <x:c r="B100" s="84" t="inlineStr">
        <x:is>
          <x:t xml:space="preserve">Composition</x:t>
        </x:is>
      </x:c>
      <x:c r="C100" s="84" t="inlineStr">
        <x:is>
          <x:t xml:space="preserve">Field</x:t>
        </x:is>
      </x:c>
      <x:c r="D100" s="84" t="inlineStr">
        <x:is>
          <x:t xml:space="preserve">render prop preserves refs and behavior props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</x:t>
        </x:is>
      </x:c>
      <x:c r="H100" s="86" t="inlineStr">
        <x:is>
          <x:t xml:space="preserve">covered</x:t>
        </x:is>
      </x:c>
      <x:c r="I100" s="84" t="inlineStr">
        <x:is>
          <x:t xml:space="preserve">Field playground scenario.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30" customHeight="1">
      <x:c r="A101" s="73" t="n">
        <x:v>93</x:v>
      </x:c>
      <x:c r="B101" s="84" t="inlineStr">
        <x:is>
          <x:t xml:space="preserve">State</x:t>
        </x:is>
      </x:c>
      <x:c r="C101" s="84" t="inlineStr">
        <x:is>
          <x:t xml:space="preserve">Field</x:t>
        </x:is>
      </x:c>
      <x:c r="D101" s="84" t="inlineStr">
        <x:is>
          <x:t xml:space="preserve">disabled state blocks or exposes behavior correctly where supported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</x:t>
        </x:is>
      </x:c>
      <x:c r="H101" s="86" t="inlineStr">
        <x:is>
          <x:t xml:space="preserve">covered</x:t>
        </x:is>
      </x:c>
      <x:c r="I101" s="84" t="inlineStr">
        <x:is>
          <x:t xml:space="preserve">Field playground scenario.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30" customHeight="1">
      <x:c r="A102" s="73" t="n">
        <x:v>94</x:v>
      </x:c>
      <x:c r="B102" s="84" t="inlineStr">
        <x:is>
          <x:t xml:space="preserve">State</x:t>
        </x:is>
      </x:c>
      <x:c r="C102" s="84" t="inlineStr">
        <x:is>
          <x:t xml:space="preserve">Field</x:t>
        </x:is>
      </x:c>
      <x:c r="D102" s="84" t="inlineStr">
        <x:is>
          <x:t xml:space="preserve">readonly/readOnly state blocks or exposes behavior correctly where supported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</x:t>
        </x:is>
      </x:c>
      <x:c r="H102" s="86" t="inlineStr">
        <x:is>
          <x:t xml:space="preserve">covered</x:t>
        </x:is>
      </x:c>
      <x:c r="I102" s="84" t="inlineStr">
        <x:is>
          <x:t xml:space="preserve">Field playground scenario.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State</x:t>
        </x:is>
      </x:c>
      <x:c r="C103" s="84" t="inlineStr">
        <x:is>
          <x:t xml:space="preserve">Field</x:t>
        </x:is>
      </x:c>
      <x:c r="D103" s="84" t="inlineStr">
        <x:is>
          <x:t xml:space="preserve">required state blocks or exposes behavior correctly where supported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</x:t>
        </x:is>
      </x:c>
      <x:c r="H103" s="86" t="inlineStr">
        <x:is>
          <x:t xml:space="preserve">covered</x:t>
        </x:is>
      </x:c>
      <x:c r="I103" s="84" t="inlineStr">
        <x:is>
          <x:t xml:space="preserve">Field playground scenario.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30" customHeight="1">
      <x:c r="A104" s="73" t="n">
        <x:v>96</x:v>
      </x:c>
      <x:c r="B104" s="84" t="inlineStr">
        <x:is>
          <x:t xml:space="preserve">State</x:t>
        </x:is>
      </x:c>
      <x:c r="C104" s="84" t="inlineStr">
        <x:is>
          <x:t xml:space="preserve">Field</x:t>
        </x:is>
      </x:c>
      <x:c r="D104" s="84" t="inlineStr">
        <x:is>
          <x:t xml:space="preserve">invalid state blocks or exposes behavior correctly where supported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</x:t>
        </x:is>
      </x:c>
      <x:c r="H104" s="86" t="inlineStr">
        <x:is>
          <x:t xml:space="preserve">covered</x:t>
        </x:is>
      </x:c>
      <x:c r="I104" s="84" t="inlineStr">
        <x:is>
          <x:t xml:space="preserve">Field playground scenario.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30" customHeight="1">
      <x:c r="A105" s="73" t="n">
        <x:v>97</x:v>
      </x:c>
      <x:c r="B105" s="84" t="inlineStr">
        <x:is>
          <x:t xml:space="preserve">Forms</x:t>
        </x:is>
      </x:c>
      <x:c r="C105" s="84" t="inlineStr">
        <x:is>
          <x:t xml:space="preserve">Field</x:t>
        </x:is>
      </x:c>
      <x:c r="D105" s="84" t="inlineStr">
        <x:is>
          <x:t xml:space="preserve">form value participates correctly where supported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</x:t>
        </x:is>
      </x:c>
      <x:c r="H105" s="86" t="inlineStr">
        <x:is>
          <x:t xml:space="preserve">covered</x:t>
        </x:is>
      </x:c>
      <x:c r="I105" s="84" t="inlineStr">
        <x:is>
          <x:t xml:space="preserve">Field playground scenario.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30" customHeight="1">
      <x:c r="A106" s="73" t="n">
        <x:v>98</x:v>
      </x:c>
      <x:c r="B106" s="84" t="inlineStr">
        <x:is>
          <x:t xml:space="preserve">Forms</x:t>
        </x:is>
      </x:c>
      <x:c r="C106" s="84" t="inlineStr">
        <x:is>
          <x:t xml:space="preserve">Field</x:t>
        </x:is>
      </x:c>
      <x:c r="D106" s="84" t="inlineStr">
        <x:is>
          <x:t xml:space="preserve">hidden input mirrors value/checked/disabled where supported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</x:t>
        </x:is>
      </x:c>
      <x:c r="H106" s="86" t="inlineStr">
        <x:is>
          <x:t xml:space="preserve">covered</x:t>
        </x:is>
      </x:c>
      <x:c r="I106" s="84" t="inlineStr">
        <x:is>
          <x:t xml:space="preserve">Field playground scenario.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3.5" customHeight="1">
      <x:c r="A107" s="50" t="n">
        <x:v>99</x:v>
      </x:c>
      <x:c r="B107" s="50" t="inlineStr">
        <x:is>
          <x:t xml:space="preserve">Integration</x:t>
        </x:is>
      </x:c>
      <x:c r="C107" s="50" t="inlineStr">
        <x:is>
          <x:t xml:space="preserve">Native control</x:t>
        </x:is>
      </x:c>
      <x:c r="D107" s="50" t="inlineStr">
        <x:is>
          <x:t xml:space="preserve">Field.Root wires Label, Description, Error, and state to a native input control</x:t>
        </x:is>
      </x:c>
      <x:c r="E107" s="50" t="inlineStr">
        <x:is>
          <x:t xml:space="preserve">yes</x:t>
        </x:is>
      </x:c>
      <x:c r="F107" s="50" t="inlineStr">
        <x:is>
          <x:t xml:space="preserve">yes</x:t>
        </x:is>
      </x:c>
      <x:c r="G107" s="50" t="inlineStr">
        <x:is>
          <x:t xml:space="preserve">tested</x:t>
        </x:is>
      </x:c>
      <x:c r="H107" s="50" t="inlineStr">
        <x:is>
          <x:t xml:space="preserve">covered</x:t>
        </x:is>
      </x:c>
      <x:c r="I107" s="50" t="inlineStr">
        <x:is>
          <x:t xml:space="preserve">Field Content &gt; Control: Native.</x:t>
        </x:is>
      </x:c>
      <x:c r="K107" s="50" t="n">
        <x:f>IF(AND(E107="yes",F107="yes",H107="covered"),1,IF(H107="partial",0.5,0))</x:f>
        <x:v>1</x:v>
      </x:c>
    </x:row>
    <x:row r="108" s="51" customFormat="1" ht="13.5" customHeight="1">
      <x:c r="A108" s="50" t="n">
        <x:v>100</x:v>
      </x:c>
      <x:c r="B108" s="50" t="inlineStr">
        <x:is>
          <x:t xml:space="preserve">Integration</x:t>
        </x:is>
      </x:c>
      <x:c r="C108" s="50" t="inlineStr">
        <x:is>
          <x:t xml:space="preserve">Atom control</x:t>
        </x:is>
      </x:c>
      <x:c r="D108" s="50" t="inlineStr">
        <x:is>
          <x:t xml:space="preserve">Field.Root wires Label, Description, Error, and state to Atom Input.Root</x:t>
        </x:is>
      </x:c>
      <x:c r="E108" s="50" t="inlineStr">
        <x:is>
          <x:t xml:space="preserve">yes</x:t>
        </x:is>
      </x:c>
      <x:c r="F108" s="50" t="inlineStr">
        <x:is>
          <x:t xml:space="preserve">yes</x:t>
        </x:is>
      </x:c>
      <x:c r="G108" s="50" t="inlineStr">
        <x:is>
          <x:t xml:space="preserve">tested</x:t>
        </x:is>
      </x:c>
      <x:c r="H108" s="50" t="inlineStr">
        <x:is>
          <x:t xml:space="preserve">covered</x:t>
        </x:is>
      </x:c>
      <x:c r="I108" s="50" t="inlineStr">
        <x:is>
          <x:t xml:space="preserve">Field Content &gt; Control: Atom.</x:t>
        </x:is>
      </x:c>
      <x:c r="K108" s="50" t="n">
        <x:f>IF(AND(E108="yes",F108="yes",H108="covered"),1,IF(H108="partial",0.5,0))</x:f>
        <x:v>1</x:v>
      </x:c>
    </x:row>
    <x:row r="109" s="51" customFormat="1" ht="13.5" customHeight="1">
      <x:c r="A109" s="50" t="n">
        <x:v>101</x:v>
      </x:c>
      <x:c r="B109" s="50" t="inlineStr">
        <x:is>
          <x:t xml:space="preserve">ARIA</x:t>
        </x:is>
      </x:c>
      <x:c r="C109" s="50" t="inlineStr">
        <x:is>
          <x:t xml:space="preserve">Root</x:t>
        </x:is>
      </x:c>
      <x:c r="D109" s="50" t="inlineStr">
        <x:is>
          <x:t xml:space="preserve">server markup and hydration keep stable description/error relationships</x:t>
        </x:is>
      </x:c>
      <x:c r="E109" s="50" t="inlineStr">
        <x:is>
          <x:t xml:space="preserve">yes</x:t>
        </x:is>
      </x:c>
      <x:c r="F109" s="50" t="inlineStr">
        <x:is>
          <x:t xml:space="preserve">no</x:t>
        </x:is>
      </x:c>
      <x:c r="G109" s="50" t="inlineStr">
        <x:is>
          <x:t xml:space="preserve">automated tests pass; manual pending</x:t>
        </x:is>
      </x:c>
      <x:c r="H109" s="50" t="inlineStr">
        <x:is>
          <x:t xml:space="preserve">untested</x:t>
        </x:is>
      </x:c>
      <x:c r="I109" s="50" t="inlineStr">
        <x:is>
          <x:t xml:space="preserve">Form &gt; Control: Foundation plus the component scenario and automated package tests.</x:t>
        </x:is>
      </x:c>
      <x:c r="J109" s="50" t="inlineStr">
        <x:is>
          <x:t xml:space="preserve">Run and review the form-foundation manual protocol.</x:t>
        </x:is>
      </x:c>
      <x:c r="K109" s="50" t="n">
        <x:f>IF(AND(E109="yes",F109="yes",H109="covered"),1,IF(H109="partial",0.5,0))</x:f>
        <x:v>0</x:v>
      </x:c>
    </x:row>
    <x:row r="110" s="51" customFormat="1" ht="13.5" customHeight="1">
      <x:c r="A110" s="50" t="n">
        <x:v>102</x:v>
      </x:c>
      <x:c r="B110" s="50" t="inlineStr">
        <x:is>
          <x:t xml:space="preserve">Accessibility</x:t>
        </x:is>
      </x:c>
      <x:c r="C110" s="50" t="inlineStr">
        <x:is>
          <x:t xml:space="preserve">Error</x:t>
        </x:is>
      </x:c>
      <x:c r="D110" s="50" t="inlineStr">
        <x:is>
          <x:t xml:space="preserve">does not force a live-region role; consumers opt in with native role or aria-live</x:t>
        </x:is>
      </x:c>
      <x:c r="E110" s="50" t="inlineStr">
        <x:is>
          <x:t xml:space="preserve">yes</x:t>
        </x:is>
      </x:c>
      <x:c r="F110" s="50" t="inlineStr">
        <x:is>
          <x:t xml:space="preserve">no</x:t>
        </x:is>
      </x:c>
      <x:c r="G110" s="50" t="inlineStr">
        <x:is>
          <x:t xml:space="preserve">automated tests pass; manual pending</x:t>
        </x:is>
      </x:c>
      <x:c r="H110" s="50" t="inlineStr">
        <x:is>
          <x:t xml:space="preserve">untested</x:t>
        </x:is>
      </x:c>
      <x:c r="I110" s="50" t="inlineStr">
        <x:is>
          <x:t xml:space="preserve">Form &gt; Control: Foundation plus the component scenario and automated package tests.</x:t>
        </x:is>
      </x:c>
      <x:c r="J110" s="50" t="inlineStr">
        <x:is>
          <x:t xml:space="preserve">Run and review the form-foundation manual protocol.</x:t>
        </x:is>
      </x:c>
      <x:c r="K110" s="50" t="n">
        <x:f>IF(AND(E110="yes",F110="yes",H110="covered"),1,IF(H110="partial",0.5,0))</x:f>
        <x:v>0</x:v>
      </x:c>
    </x:row>
    <x:row r="111" s="51" customFormat="1" ht="13.5" customHeight="1">
      <x:c r="A111" s="50" t="n">
        <x:v>103</x:v>
      </x:c>
      <x:c r="B111" s="50" t="inlineStr">
        <x:is>
          <x:t xml:space="preserve">Validation</x:t>
        </x:is>
      </x:c>
      <x:c r="C111" s="50" t="inlineStr">
        <x:is>
          <x:t xml:space="preserve">Root/Error</x:t>
        </x:is>
      </x:c>
      <x:c r="D111" s="50" t="inlineStr">
        <x:is>
          <x:t xml:space="preserve">native-invalid controls derive Field state and automatically reveal a compatible Error in inline mode</x:t>
        </x:is>
      </x:c>
      <x:c r="E111" s="50" t="inlineStr">
        <x:is>
          <x:t xml:space="preserve">yes</x:t>
        </x:is>
      </x:c>
      <x:c r="F111" s="50" t="inlineStr">
        <x:is>
          <x:t xml:space="preserve">no</x:t>
        </x:is>
      </x:c>
      <x:c r="G111" s="50" t="inlineStr">
        <x:is>
          <x:t xml:space="preserve">automated tests pass; manual pending</x:t>
        </x:is>
      </x:c>
      <x:c r="H111" s="50" t="inlineStr">
        <x:is>
          <x:t xml:space="preserve">untested</x:t>
        </x:is>
      </x:c>
      <x:c r="I111" s="50" t="inlineStr">
        <x:is>
          <x:t xml:space="preserve">Form &gt; Control: Foundation and automated Atom validation tests.</x:t>
        </x:is>
      </x:c>
      <x:c r="J111" s="50" t="inlineStr">
        <x:is>
          <x:t xml:space="preserve">Run and review the updated form-foundation validation steps.</x:t>
        </x:is>
      </x:c>
      <x:c r="K111" s="50" t="n">
        <x:f>IF(AND(E111="yes",F111="yes",H111="covered"),1,IF(H111="partial",0.5,0))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Fieldset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0.9605263157894737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73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3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Fieldset playground Props menu implemented with conditional data-prop-check and custom data-slot toggles.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Fieldset playground Props menu implemented with conditional data-prop-check and custom data-slot toggles.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Fieldset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</x:t>
        </x:is>
      </x:c>
      <x:c r="H11" s="86" t="inlineStr">
        <x:is>
          <x:t xml:space="preserve">covered</x:t>
        </x:is>
      </x:c>
      <x:c r="I11" s="84" t="inlineStr">
        <x:is>
          <x:t xml:space="preserve">Fieldset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Fieldset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</x:t>
        </x:is>
      </x:c>
      <x:c r="H12" s="86" t="inlineStr">
        <x:is>
          <x:t xml:space="preserve">covered</x:t>
        </x:is>
      </x:c>
      <x:c r="I12" s="84" t="inlineStr">
        <x:is>
          <x:t xml:space="preserve">Fieldset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Fieldset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</x:t>
        </x:is>
      </x:c>
      <x:c r="H13" s="86" t="inlineStr">
        <x:is>
          <x:t xml:space="preserve">covered</x:t>
        </x:is>
      </x:c>
      <x:c r="I13" s="84" t="inlineStr">
        <x:is>
          <x:t xml:space="preserve">Fieldset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30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Fieldset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</x:t>
        </x:is>
      </x:c>
      <x:c r="H14" s="86" t="inlineStr">
        <x:is>
          <x:t xml:space="preserve">covered</x:t>
        </x:is>
      </x:c>
      <x:c r="I14" s="84" t="inlineStr">
        <x:is>
          <x:t xml:space="preserve">Fieldset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Fieldset</x:t>
        </x:is>
      </x:c>
      <x:c r="D15" s="84" t="inlineStr">
        <x:is>
          <x:t xml:space="preserve">Renders native `&lt;fieldset&gt;` and `&lt;legend&gt;` semantics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</x:t>
        </x:is>
      </x:c>
      <x:c r="H15" s="86" t="inlineStr">
        <x:is>
          <x:t xml:space="preserve">covered</x:t>
        </x:is>
      </x:c>
      <x:c r="I15" s="84" t="inlineStr">
        <x:is>
          <x:t xml:space="preserve">Fieldset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Fieldset</x:t>
        </x:is>
      </x:c>
      <x:c r="D16" s="84" t="inlineStr">
        <x:is>
          <x:t xml:space="preserve">Shares disabled, required, and invalid state across grouped controls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</x:t>
        </x:is>
      </x:c>
      <x:c r="H16" s="86" t="inlineStr">
        <x:is>
          <x:t xml:space="preserve">covered</x:t>
        </x:is>
      </x:c>
      <x:c r="I16" s="84" t="inlineStr">
        <x:is>
          <x:t xml:space="preserve">Fieldset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4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Fieldset</x:t>
        </x:is>
      </x:c>
      <x:c r="D17" s="84" t="inlineStr">
        <x:is>
          <x:t xml:space="preserve">Wires description and visible error content with `aria-describedby`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</x:t>
        </x:is>
      </x:c>
      <x:c r="H17" s="86" t="inlineStr">
        <x:is>
          <x:t xml:space="preserve">covered</x:t>
        </x:is>
      </x:c>
      <x:c r="I17" s="84" t="inlineStr">
        <x:is>
          <x:t xml:space="preserve">Fieldset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Fieldset</x:t>
        </x:is>
      </x:c>
      <x:c r="D18" s="84" t="inlineStr">
        <x:is>
          <x:t xml:space="preserve">Supports required and optional legend indicators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</x:t>
        </x:is>
      </x:c>
      <x:c r="H18" s="86" t="inlineStr">
        <x:is>
          <x:t xml:space="preserve">covered</x:t>
        </x:is>
      </x:c>
      <x:c r="I18" s="84" t="inlineStr">
        <x:is>
          <x:t xml:space="preserve">Fieldset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4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Fieldset</x:t>
        </x:is>
      </x:c>
      <x:c r="D19" s="84" t="inlineStr">
        <x:is>
          <x:t xml:space="preserve">Keeps visual layout outside Atom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</x:t>
        </x:is>
      </x:c>
      <x:c r="H19" s="86" t="inlineStr">
        <x:is>
          <x:t xml:space="preserve">covered</x:t>
        </x:is>
      </x:c>
      <x:c r="I19" s="84" t="inlineStr">
        <x:is>
          <x:t xml:space="preserve">Fieldset form-field playground page exposes this part/prop in Anatomy, Inspector, Source, or toolbar controls.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4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</x:t>
        </x:is>
      </x:c>
      <x:c r="H20" s="86" t="inlineStr">
        <x:is>
          <x:t xml:space="preserve">covered</x:t>
        </x:is>
      </x:c>
      <x:c r="I20" s="84" t="inlineStr">
        <x:is>
          <x:t xml:space="preserve">Fieldset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</x:t>
        </x:is>
      </x:c>
      <x:c r="H21" s="86" t="inlineStr">
        <x:is>
          <x:t xml:space="preserve">covered</x:t>
        </x:is>
      </x:c>
      <x:c r="I21" s="84" t="inlineStr">
        <x:is>
          <x:t xml:space="preserve">Fieldset form-field playground page exposes this part/prop in Anatomy, Inspector, Source, or toolbar controls.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</x:t>
        </x:is>
      </x:c>
      <x:c r="H22" s="86" t="inlineStr">
        <x:is>
          <x:t xml:space="preserve">covered</x:t>
        </x:is>
      </x:c>
      <x:c r="I22" s="84" t="inlineStr">
        <x:is>
          <x:t xml:space="preserve">Fieldset source/anatomy documents whether Root renders DOM; Inspector verifies rendered descendants.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</x:t>
        </x:is>
      </x:c>
      <x:c r="H23" s="86" t="inlineStr">
        <x:is>
          <x:t xml:space="preserve">covered</x:t>
        </x:is>
      </x:c>
      <x:c r="I23" s="84" t="inlineStr">
        <x:is>
          <x:t xml:space="preserve">Fieldset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</x:t>
        </x:is>
      </x:c>
      <x:c r="H24" s="86" t="inlineStr">
        <x:is>
          <x:t xml:space="preserve">covered</x:t>
        </x:is>
      </x:c>
      <x:c r="I24" s="84" t="inlineStr">
        <x:is>
          <x:t xml:space="preserve">Fieldset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</x:t>
        </x:is>
      </x:c>
      <x:c r="H25" s="86" t="inlineStr">
        <x:is>
          <x:t xml:space="preserve">covered</x:t>
        </x:is>
      </x:c>
      <x:c r="I25" s="84" t="inlineStr">
        <x:is>
          <x:t xml:space="preserve">Fieldset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disabled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</x:t>
        </x:is>
      </x:c>
      <x:c r="H26" s="86" t="inlineStr">
        <x:is>
          <x:t xml:space="preserve">covered</x:t>
        </x:is>
      </x:c>
      <x:c r="I26" s="84" t="inlineStr">
        <x:is>
          <x:t xml:space="preserve">Fieldset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required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</x:t>
        </x:is>
      </x:c>
      <x:c r="H27" s="86" t="inlineStr">
        <x:is>
          <x:t xml:space="preserve">covered</x:t>
        </x:is>
      </x:c>
      <x:c r="I27" s="84" t="inlineStr">
        <x:is>
          <x:t xml:space="preserve">Fieldset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invalid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</x:t>
        </x:is>
      </x:c>
      <x:c r="H28" s="86" t="inlineStr">
        <x:is>
          <x:t xml:space="preserve">covered</x:t>
        </x:is>
      </x:c>
      <x:c r="I28" s="84" t="inlineStr">
        <x:is>
          <x:t xml:space="preserve">Fieldset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Composition</x:t>
        </x:is>
      </x:c>
      <x:c r="C29" s="84" t="inlineStr">
        <x:is>
          <x:t xml:space="preserve">Root</x:t>
        </x:is>
      </x:c>
      <x:c r="D29" s="84" t="inlineStr">
        <x:is>
          <x:t xml:space="preserve">asChild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</x:t>
        </x:is>
      </x:c>
      <x:c r="H29" s="86" t="inlineStr">
        <x:is>
          <x:t xml:space="preserve">covered</x:t>
        </x:is>
      </x:c>
      <x:c r="I29" s="84" t="inlineStr">
        <x:is>
          <x:t xml:space="preserve">Fieldset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Composition</x:t>
        </x:is>
      </x:c>
      <x:c r="C30" s="84" t="inlineStr">
        <x:is>
          <x:t xml:space="preserve">Root</x:t>
        </x:is>
      </x:c>
      <x:c r="D30" s="84" t="inlineStr">
        <x:is>
          <x:t xml:space="preserve">render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</x:t>
        </x:is>
      </x:c>
      <x:c r="H30" s="86" t="inlineStr">
        <x:is>
          <x:t xml:space="preserve">covered</x:t>
        </x:is>
      </x:c>
      <x:c r="I30" s="84" t="inlineStr">
        <x:is>
          <x:t xml:space="preserve">Fieldset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[data-slot]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</x:t>
        </x:is>
      </x:c>
      <x:c r="H31" s="86" t="inlineStr">
        <x:is>
          <x:t xml:space="preserve">covered</x:t>
        </x:is>
      </x:c>
      <x:c r="I31" s="84" t="inlineStr">
        <x:is>
          <x:t xml:space="preserve">Fieldset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[data-disabled]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</x:t>
        </x:is>
      </x:c>
      <x:c r="H32" s="86" t="inlineStr">
        <x:is>
          <x:t xml:space="preserve">covered</x:t>
        </x:is>
      </x:c>
      <x:c r="I32" s="84" t="inlineStr">
        <x:is>
          <x:t xml:space="preserve">Fieldset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[data-required]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</x:t>
        </x:is>
      </x:c>
      <x:c r="H33" s="86" t="inlineStr">
        <x:is>
          <x:t xml:space="preserve">covered</x:t>
        </x:is>
      </x:c>
      <x:c r="I33" s="84" t="inlineStr">
        <x:is>
          <x:t xml:space="preserve">Fieldset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4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[data-invalid]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</x:t>
        </x:is>
      </x:c>
      <x:c r="H34" s="86" t="inlineStr">
        <x:is>
          <x:t xml:space="preserve">covered</x:t>
        </x:is>
      </x:c>
      <x:c r="I34" s="84" t="inlineStr">
        <x:is>
          <x:t xml:space="preserve">Fieldset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45" customHeight="1">
      <x:c r="A35" s="73" t="n">
        <x:v>27</x:v>
      </x:c>
      <x:c r="B35" s="84" t="inlineStr">
        <x:is>
          <x:t xml:space="preserve">Anatomy</x:t>
        </x:is>
      </x:c>
      <x:c r="C35" s="84" t="inlineStr">
        <x:is>
          <x:t xml:space="preserve">Description</x:t>
        </x:is>
      </x:c>
      <x:c r="D35" s="84" t="inlineStr">
        <x:is>
          <x:t xml:space="preserve">renders correct part when expected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</x:t>
        </x:is>
      </x:c>
      <x:c r="H35" s="86" t="inlineStr">
        <x:is>
          <x:t xml:space="preserve">covered</x:t>
        </x:is>
      </x:c>
      <x:c r="I35" s="84" t="inlineStr">
        <x:is>
          <x:t xml:space="preserve">Fieldset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Anatomy</x:t>
        </x:is>
      </x:c>
      <x:c r="C36" s="84" t="inlineStr">
        <x:is>
          <x:t xml:space="preserve">Description</x:t>
        </x:is>
      </x:c>
      <x:c r="D36" s="84" t="inlineStr">
        <x:is>
          <x:t xml:space="preserve">appears in documented order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</x:t>
        </x:is>
      </x:c>
      <x:c r="H36" s="86" t="inlineStr">
        <x:is>
          <x:t xml:space="preserve">covered</x:t>
        </x:is>
      </x:c>
      <x:c r="I36" s="84" t="inlineStr">
        <x:is>
          <x:t xml:space="preserve">Fieldset form-field playground page exposes this part/prop in Anatomy, Inspector, Source, or toolbar controls.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30" customHeight="1">
      <x:c r="A37" s="73" t="n">
        <x:v>29</x:v>
      </x:c>
      <x:c r="B37" s="84" t="inlineStr">
        <x:is>
          <x:t xml:space="preserve">Identity</x:t>
        </x:is>
      </x:c>
      <x:c r="C37" s="84" t="inlineStr">
        <x:is>
          <x:t xml:space="preserve">Description</x:t>
        </x:is>
      </x:c>
      <x:c r="D37" s="84" t="inlineStr">
        <x:is>
          <x:t xml:space="preserve">default tag is visible in Anatomy/Inspector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</x:t>
        </x:is>
      </x:c>
      <x:c r="H37" s="86" t="inlineStr">
        <x:is>
          <x:t xml:space="preserve">covered</x:t>
        </x:is>
      </x:c>
      <x:c r="I37" s="84" t="inlineStr">
        <x:is>
          <x:t xml:space="preserve">Fieldset form-field playground page exposes this part/prop in Anatomy, Inspector, Source, or toolbar controls.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Identity</x:t>
        </x:is>
      </x:c>
      <x:c r="C38" s="84" t="inlineStr">
        <x:is>
          <x:t xml:space="preserve">Description</x:t>
        </x:is>
      </x:c>
      <x:c r="D38" s="84" t="inlineStr">
        <x:is>
          <x:t xml:space="preserve">data-slot is present and correct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</x:t>
        </x:is>
      </x:c>
      <x:c r="H38" s="86" t="inlineStr">
        <x:is>
          <x:t xml:space="preserve">covered</x:t>
        </x:is>
      </x:c>
      <x:c r="I38" s="84" t="inlineStr">
        <x:is>
          <x:t xml:space="preserve">Fieldset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Props</x:t>
        </x:is>
      </x:c>
      <x:c r="C39" s="84" t="inlineStr">
        <x:is>
          <x:t xml:space="preserve">Description</x:t>
        </x:is>
      </x:c>
      <x:c r="D39" s="84" t="inlineStr">
        <x:is>
          <x:t xml:space="preserve">non-Atom native props pass through with data-prop-check marker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</x:t>
        </x:is>
      </x:c>
      <x:c r="H39" s="86" t="inlineStr">
        <x:is>
          <x:t xml:space="preserve">covered</x:t>
        </x:is>
      </x:c>
      <x:c r="I39" s="84" t="inlineStr">
        <x:is>
          <x:t xml:space="preserve">Fieldset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Refs</x:t>
        </x:is>
      </x:c>
      <x:c r="C40" s="84" t="inlineStr">
        <x:is>
          <x:t xml:space="preserve">Description</x:t>
        </x:is>
      </x:c>
      <x:c r="D40" s="84" t="inlineStr">
        <x:is>
          <x:t xml:space="preserve">consumer ref receives the rendered element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</x:t>
        </x:is>
      </x:c>
      <x:c r="H40" s="86" t="inlineStr">
        <x:is>
          <x:t xml:space="preserve">covered</x:t>
        </x:is>
      </x:c>
      <x:c r="I40" s="84" t="inlineStr">
        <x:is>
          <x:t xml:space="preserve">Fieldset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Composition</x:t>
        </x:is>
      </x:c>
      <x:c r="C41" s="84" t="inlineStr">
        <x:is>
          <x:t xml:space="preserve">Description</x:t>
        </x:is>
      </x:c>
      <x:c r="D41" s="84" t="inlineStr">
        <x:is>
          <x:t xml:space="preserve">asChild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</x:t>
        </x:is>
      </x:c>
      <x:c r="H41" s="86" t="inlineStr">
        <x:is>
          <x:t xml:space="preserve">covered</x:t>
        </x:is>
      </x:c>
      <x:c r="I41" s="84" t="inlineStr">
        <x:is>
          <x:t xml:space="preserve">Fieldset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Composition</x:t>
        </x:is>
      </x:c>
      <x:c r="C42" s="84" t="inlineStr">
        <x:is>
          <x:t xml:space="preserve">Description</x:t>
        </x:is>
      </x:c>
      <x:c r="D42" s="84" t="inlineStr">
        <x:is>
          <x:t xml:space="preserve">render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</x:t>
        </x:is>
      </x:c>
      <x:c r="H42" s="86" t="inlineStr">
        <x:is>
          <x:t xml:space="preserve">covered</x:t>
        </x:is>
      </x:c>
      <x:c r="I42" s="84" t="inlineStr">
        <x:is>
          <x:t xml:space="preserve">Fieldset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4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Description</x:t>
        </x:is>
      </x:c>
      <x:c r="D43" s="84" t="inlineStr">
        <x:is>
          <x:t xml:space="preserve">[data-slot]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</x:t>
        </x:is>
      </x:c>
      <x:c r="H43" s="86" t="inlineStr">
        <x:is>
          <x:t xml:space="preserve">covered</x:t>
        </x:is>
      </x:c>
      <x:c r="I43" s="84" t="inlineStr">
        <x:is>
          <x:t xml:space="preserve">Fieldset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45" customHeight="1">
      <x:c r="A44" s="73" t="n">
        <x:v>36</x:v>
      </x:c>
      <x:c r="B44" s="84" t="inlineStr">
        <x:is>
          <x:t xml:space="preserve">Anatomy</x:t>
        </x:is>
      </x:c>
      <x:c r="C44" s="84" t="inlineStr">
        <x:is>
          <x:t xml:space="preserve">Error</x:t>
        </x:is>
      </x:c>
      <x:c r="D44" s="84" t="inlineStr">
        <x:is>
          <x:t xml:space="preserve">renders correct part when expected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</x:t>
        </x:is>
      </x:c>
      <x:c r="H44" s="86" t="inlineStr">
        <x:is>
          <x:t xml:space="preserve">covered</x:t>
        </x:is>
      </x:c>
      <x:c r="I44" s="84" t="inlineStr">
        <x:is>
          <x:t xml:space="preserve">Fieldset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Error</x:t>
        </x:is>
      </x:c>
      <x:c r="D45" s="84" t="inlineStr">
        <x:is>
          <x:t xml:space="preserve">appears in documented order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</x:t>
        </x:is>
      </x:c>
      <x:c r="H45" s="86" t="inlineStr">
        <x:is>
          <x:t xml:space="preserve">covered</x:t>
        </x:is>
      </x:c>
      <x:c r="I45" s="84" t="inlineStr">
        <x:is>
          <x:t xml:space="preserve">Fieldset form-field playground page exposes this part/prop in Anatomy, Inspector, Source, or toolbar controls.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30" customHeight="1">
      <x:c r="A46" s="73" t="n">
        <x:v>38</x:v>
      </x:c>
      <x:c r="B46" s="84" t="inlineStr">
        <x:is>
          <x:t xml:space="preserve">Identity</x:t>
        </x:is>
      </x:c>
      <x:c r="C46" s="84" t="inlineStr">
        <x:is>
          <x:t xml:space="preserve">Error</x:t>
        </x:is>
      </x:c>
      <x:c r="D46" s="84" t="inlineStr">
        <x:is>
          <x:t xml:space="preserve">default tag is visible in Anatomy/Inspector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</x:t>
        </x:is>
      </x:c>
      <x:c r="H46" s="86" t="inlineStr">
        <x:is>
          <x:t xml:space="preserve">covered</x:t>
        </x:is>
      </x:c>
      <x:c r="I46" s="84" t="inlineStr">
        <x:is>
          <x:t xml:space="preserve">Fieldset form-field playground page exposes this part/prop in Anatomy, Inspector, Source, or toolbar controls.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Error</x:t>
        </x:is>
      </x:c>
      <x:c r="D47" s="84" t="inlineStr">
        <x:is>
          <x:t xml:space="preserve">data-slot is present and correct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</x:t>
        </x:is>
      </x:c>
      <x:c r="H47" s="86" t="inlineStr">
        <x:is>
          <x:t xml:space="preserve">covered</x:t>
        </x:is>
      </x:c>
      <x:c r="I47" s="84" t="inlineStr">
        <x:is>
          <x:t xml:space="preserve">Fieldset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45" customHeight="1">
      <x:c r="A48" s="73" t="n">
        <x:v>40</x:v>
      </x:c>
      <x:c r="B48" s="84" t="inlineStr">
        <x:is>
          <x:t xml:space="preserve">Props</x:t>
        </x:is>
      </x:c>
      <x:c r="C48" s="84" t="inlineStr">
        <x:is>
          <x:t xml:space="preserve">Error</x:t>
        </x:is>
      </x:c>
      <x:c r="D48" s="84" t="inlineStr">
        <x:is>
          <x:t xml:space="preserve">non-Atom native props pass through with data-prop-check marker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</x:t>
        </x:is>
      </x:c>
      <x:c r="H48" s="86" t="inlineStr">
        <x:is>
          <x:t xml:space="preserve">covered</x:t>
        </x:is>
      </x:c>
      <x:c r="I48" s="84" t="inlineStr">
        <x:is>
          <x:t xml:space="preserve">Fieldset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Refs</x:t>
        </x:is>
      </x:c>
      <x:c r="C49" s="84" t="inlineStr">
        <x:is>
          <x:t xml:space="preserve">Error</x:t>
        </x:is>
      </x:c>
      <x:c r="D49" s="84" t="inlineStr">
        <x:is>
          <x:t xml:space="preserve">consumer ref receives the rendered element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</x:t>
        </x:is>
      </x:c>
      <x:c r="H49" s="86" t="inlineStr">
        <x:is>
          <x:t xml:space="preserve">covered</x:t>
        </x:is>
      </x:c>
      <x:c r="I49" s="84" t="inlineStr">
        <x:is>
          <x:t xml:space="preserve">Fieldset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Error</x:t>
        </x:is>
      </x:c>
      <x:c r="D50" s="84" t="inlineStr">
        <x:is>
          <x:t xml:space="preserve">forceMatch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</x:t>
        </x:is>
      </x:c>
      <x:c r="H50" s="86" t="inlineStr">
        <x:is>
          <x:t xml:space="preserve">covered</x:t>
        </x:is>
      </x:c>
      <x:c r="I50" s="84" t="inlineStr">
        <x:is>
          <x:t xml:space="preserve">Fieldset form-field playground page exposes this part/prop in Anatomy, Inspector, Source, or toolbar controls.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Composition</x:t>
        </x:is>
      </x:c>
      <x:c r="C51" s="84" t="inlineStr">
        <x:is>
          <x:t xml:space="preserve">Error</x:t>
        </x:is>
      </x:c>
      <x:c r="D51" s="84" t="inlineStr">
        <x:is>
          <x:t xml:space="preserve">asChild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</x:t>
        </x:is>
      </x:c>
      <x:c r="H51" s="86" t="inlineStr">
        <x:is>
          <x:t xml:space="preserve">covered</x:t>
        </x:is>
      </x:c>
      <x:c r="I51" s="84" t="inlineStr">
        <x:is>
          <x:t xml:space="preserve">Fieldset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Composition</x:t>
        </x:is>
      </x:c>
      <x:c r="C52" s="84" t="inlineStr">
        <x:is>
          <x:t xml:space="preserve">Error</x:t>
        </x:is>
      </x:c>
      <x:c r="D52" s="84" t="inlineStr">
        <x:is>
          <x:t xml:space="preserve">render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</x:t>
        </x:is>
      </x:c>
      <x:c r="H52" s="86" t="inlineStr">
        <x:is>
          <x:t xml:space="preserve">covered</x:t>
        </x:is>
      </x:c>
      <x:c r="I52" s="84" t="inlineStr">
        <x:is>
          <x:t xml:space="preserve">Fieldset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4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Error</x:t>
        </x:is>
      </x:c>
      <x:c r="D53" s="84" t="inlineStr">
        <x:is>
          <x:t xml:space="preserve">[data-slot]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</x:t>
        </x:is>
      </x:c>
      <x:c r="H53" s="86" t="inlineStr">
        <x:is>
          <x:t xml:space="preserve">covered</x:t>
        </x:is>
      </x:c>
      <x:c r="I53" s="84" t="inlineStr">
        <x:is>
          <x:t xml:space="preserve">Fieldset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45" customHeight="1">
      <x:c r="A54" s="73" t="n">
        <x:v>46</x:v>
      </x:c>
      <x:c r="B54" s="84" t="inlineStr">
        <x:is>
          <x:t xml:space="preserve">Anatomy</x:t>
        </x:is>
      </x:c>
      <x:c r="C54" s="84" t="inlineStr">
        <x:is>
          <x:t xml:space="preserve">Legend</x:t>
        </x:is>
      </x:c>
      <x:c r="D54" s="84" t="inlineStr">
        <x:is>
          <x:t xml:space="preserve">renders correct part when expected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</x:t>
        </x:is>
      </x:c>
      <x:c r="H54" s="86" t="inlineStr">
        <x:is>
          <x:t xml:space="preserve">covered</x:t>
        </x:is>
      </x:c>
      <x:c r="I54" s="84" t="inlineStr">
        <x:is>
          <x:t xml:space="preserve">Fieldset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Anatomy</x:t>
        </x:is>
      </x:c>
      <x:c r="C55" s="84" t="inlineStr">
        <x:is>
          <x:t xml:space="preserve">Legend</x:t>
        </x:is>
      </x:c>
      <x:c r="D55" s="84" t="inlineStr">
        <x:is>
          <x:t xml:space="preserve">appears in documented order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</x:t>
        </x:is>
      </x:c>
      <x:c r="H55" s="86" t="inlineStr">
        <x:is>
          <x:t xml:space="preserve">covered</x:t>
        </x:is>
      </x:c>
      <x:c r="I55" s="84" t="inlineStr">
        <x:is>
          <x:t xml:space="preserve">Fieldset form-field playground page exposes this part/prop in Anatomy, Inspector, Source, or toolbar controls.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30" customHeight="1">
      <x:c r="A56" s="73" t="n">
        <x:v>48</x:v>
      </x:c>
      <x:c r="B56" s="84" t="inlineStr">
        <x:is>
          <x:t xml:space="preserve">Identity</x:t>
        </x:is>
      </x:c>
      <x:c r="C56" s="84" t="inlineStr">
        <x:is>
          <x:t xml:space="preserve">Legend</x:t>
        </x:is>
      </x:c>
      <x:c r="D56" s="84" t="inlineStr">
        <x:is>
          <x:t xml:space="preserve">default tag is visible in Anatomy/Inspector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</x:t>
        </x:is>
      </x:c>
      <x:c r="H56" s="86" t="inlineStr">
        <x:is>
          <x:t xml:space="preserve">covered</x:t>
        </x:is>
      </x:c>
      <x:c r="I56" s="84" t="inlineStr">
        <x:is>
          <x:t xml:space="preserve">Fieldset form-field playground page exposes this part/prop in Anatomy, Inspector, Source, or toolbar controls.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Identity</x:t>
        </x:is>
      </x:c>
      <x:c r="C57" s="84" t="inlineStr">
        <x:is>
          <x:t xml:space="preserve">Legend</x:t>
        </x:is>
      </x:c>
      <x:c r="D57" s="84" t="inlineStr">
        <x:is>
          <x:t xml:space="preserve">data-slot is present and correct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</x:t>
        </x:is>
      </x:c>
      <x:c r="H57" s="86" t="inlineStr">
        <x:is>
          <x:t xml:space="preserve">covered</x:t>
        </x:is>
      </x:c>
      <x:c r="I57" s="84" t="inlineStr">
        <x:is>
          <x:t xml:space="preserve">Fieldset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Props</x:t>
        </x:is>
      </x:c>
      <x:c r="C58" s="84" t="inlineStr">
        <x:is>
          <x:t xml:space="preserve">Legend</x:t>
        </x:is>
      </x:c>
      <x:c r="D58" s="84" t="inlineStr">
        <x:is>
          <x:t xml:space="preserve">non-Atom native props pass through with data-prop-check marker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</x:t>
        </x:is>
      </x:c>
      <x:c r="H58" s="86" t="inlineStr">
        <x:is>
          <x:t xml:space="preserve">covered</x:t>
        </x:is>
      </x:c>
      <x:c r="I58" s="84" t="inlineStr">
        <x:is>
          <x:t xml:space="preserve">Fieldset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45" customHeight="1">
      <x:c r="A59" s="73" t="n">
        <x:v>51</x:v>
      </x:c>
      <x:c r="B59" s="84" t="inlineStr">
        <x:is>
          <x:t xml:space="preserve">Refs</x:t>
        </x:is>
      </x:c>
      <x:c r="C59" s="84" t="inlineStr">
        <x:is>
          <x:t xml:space="preserve">Legend</x:t>
        </x:is>
      </x:c>
      <x:c r="D59" s="84" t="inlineStr">
        <x:is>
          <x:t xml:space="preserve">consumer ref receives the rendered element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</x:t>
        </x:is>
      </x:c>
      <x:c r="H59" s="86" t="inlineStr">
        <x:is>
          <x:t xml:space="preserve">covered</x:t>
        </x:is>
      </x:c>
      <x:c r="I59" s="84" t="inlineStr">
        <x:is>
          <x:t xml:space="preserve">Fieldset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State</x:t>
        </x:is>
      </x:c>
      <x:c r="C60" s="84" t="inlineStr">
        <x:is>
          <x:t xml:space="preserve">Legend</x:t>
        </x:is>
      </x:c>
      <x:c r="D60" s="84" t="inlineStr">
        <x:is>
          <x:t xml:space="preserve">requiredIndicator prop behavior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</x:t>
        </x:is>
      </x:c>
      <x:c r="H60" s="86" t="inlineStr">
        <x:is>
          <x:t xml:space="preserve">covered</x:t>
        </x:is>
      </x:c>
      <x:c r="I60" s="84" t="inlineStr">
        <x:is>
          <x:t xml:space="preserve">Fieldset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Public API</x:t>
        </x:is>
      </x:c>
      <x:c r="C61" s="84" t="inlineStr">
        <x:is>
          <x:t xml:space="preserve">Legend</x:t>
        </x:is>
      </x:c>
      <x:c r="D61" s="84" t="inlineStr">
        <x:is>
          <x:t xml:space="preserve">optionalIndicator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</x:t>
        </x:is>
      </x:c>
      <x:c r="H61" s="86" t="inlineStr">
        <x:is>
          <x:t xml:space="preserve">covered</x:t>
        </x:is>
      </x:c>
      <x:c r="I61" s="84" t="inlineStr">
        <x:is>
          <x:t xml:space="preserve">Fieldset form-field playground page exposes this part/prop in Anatomy, Inspector, Source, or toolbar controls.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Composition</x:t>
        </x:is>
      </x:c>
      <x:c r="C62" s="84" t="inlineStr">
        <x:is>
          <x:t xml:space="preserve">Legend</x:t>
        </x:is>
      </x:c>
      <x:c r="D62" s="84" t="inlineStr">
        <x:is>
          <x:t xml:space="preserve">asChild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</x:t>
        </x:is>
      </x:c>
      <x:c r="H62" s="86" t="inlineStr">
        <x:is>
          <x:t xml:space="preserve">covered</x:t>
        </x:is>
      </x:c>
      <x:c r="I62" s="84" t="inlineStr">
        <x:is>
          <x:t xml:space="preserve">Fieldset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Composition</x:t>
        </x:is>
      </x:c>
      <x:c r="C63" s="84" t="inlineStr">
        <x:is>
          <x:t xml:space="preserve">Legend</x:t>
        </x:is>
      </x:c>
      <x:c r="D63" s="84" t="inlineStr">
        <x:is>
          <x:t xml:space="preserve">render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</x:t>
        </x:is>
      </x:c>
      <x:c r="H63" s="86" t="inlineStr">
        <x:is>
          <x:t xml:space="preserve">covered</x:t>
        </x:is>
      </x:c>
      <x:c r="I63" s="84" t="inlineStr">
        <x:is>
          <x:t xml:space="preserve">Fieldset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Legend</x:t>
        </x:is>
      </x:c>
      <x:c r="D64" s="84" t="inlineStr">
        <x:is>
          <x:t xml:space="preserve">[data-slot]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</x:t>
        </x:is>
      </x:c>
      <x:c r="H64" s="86" t="inlineStr">
        <x:is>
          <x:t xml:space="preserve">covered</x:t>
        </x:is>
      </x:c>
      <x:c r="I64" s="84" t="inlineStr">
        <x:is>
          <x:t xml:space="preserve">Fieldset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State</x:t>
        </x:is>
      </x:c>
      <x:c r="C65" s="84" t="inlineStr">
        <x:is>
          <x:t xml:space="preserve">Legend</x:t>
        </x:is>
      </x:c>
      <x:c r="D65" s="84" t="inlineStr">
        <x:is>
          <x:t xml:space="preserve">[data-disabled]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</x:t>
        </x:is>
      </x:c>
      <x:c r="H65" s="86" t="inlineStr">
        <x:is>
          <x:t xml:space="preserve">covered</x:t>
        </x:is>
      </x:c>
      <x:c r="I65" s="84" t="inlineStr">
        <x:is>
          <x:t xml:space="preserve">Fieldset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30" customHeight="1">
      <x:c r="A66" s="73" t="n">
        <x:v>58</x:v>
      </x:c>
      <x:c r="B66" s="84" t="inlineStr">
        <x:is>
          <x:t xml:space="preserve">State</x:t>
        </x:is>
      </x:c>
      <x:c r="C66" s="84" t="inlineStr">
        <x:is>
          <x:t xml:space="preserve">Legend</x:t>
        </x:is>
      </x:c>
      <x:c r="D66" s="84" t="inlineStr">
        <x:is>
          <x:t xml:space="preserve">[data-required]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</x:t>
        </x:is>
      </x:c>
      <x:c r="H66" s="86" t="inlineStr">
        <x:is>
          <x:t xml:space="preserve">covered</x:t>
        </x:is>
      </x:c>
      <x:c r="I66" s="84" t="inlineStr">
        <x:is>
          <x:t xml:space="preserve">Fieldset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ARIA</x:t>
        </x:is>
      </x:c>
      <x:c r="C67" s="84" t="inlineStr">
        <x:is>
          <x:t xml:space="preserve">Live DOM</x:t>
        </x:is>
      </x:c>
      <x:c r="D67" s="84" t="inlineStr">
        <x:is>
          <x:t xml:space="preserve">aria-describedby is present at the correct time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</x:t>
        </x:is>
      </x:c>
      <x:c r="H67" s="86" t="inlineStr">
        <x:is>
          <x:t xml:space="preserve">covered</x:t>
        </x:is>
      </x:c>
      <x:c r="I67" s="84" t="inlineStr">
        <x:is>
          <x:t xml:space="preserve">Fieldset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ARIA</x:t>
        </x:is>
      </x:c>
      <x:c r="C68" s="84" t="inlineStr">
        <x:is>
          <x:t xml:space="preserve">Live DOM</x:t>
        </x:is>
      </x:c>
      <x:c r="D68" s="84" t="inlineStr">
        <x:is>
          <x:t xml:space="preserve">aria-hidden is present at the correct time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</x:t>
        </x:is>
      </x:c>
      <x:c r="H68" s="86" t="inlineStr">
        <x:is>
          <x:t xml:space="preserve">covered</x:t>
        </x:is>
      </x:c>
      <x:c r="I68" s="84" t="inlineStr">
        <x:is>
          <x:t xml:space="preserve">Shared Anatomy/Inspector expose live ARIA/data attributes for Fieldset when the part is rendered.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ARIA</x:t>
        </x:is>
      </x:c>
      <x:c r="C69" s="84" t="inlineStr">
        <x:is>
          <x:t xml:space="preserve">Live DOM</x:t>
        </x:is>
      </x:c>
      <x:c r="D69" s="84" t="inlineStr">
        <x:is>
          <x:t xml:space="preserve">aria-invalid is present at the correct time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</x:t>
        </x:is>
      </x:c>
      <x:c r="H69" s="86" t="inlineStr">
        <x:is>
          <x:t xml:space="preserve">covered</x:t>
        </x:is>
      </x:c>
      <x:c r="I69" s="84" t="inlineStr">
        <x:is>
          <x:t xml:space="preserve">Fieldset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ARIA</x:t>
        </x:is>
      </x:c>
      <x:c r="C70" s="84" t="inlineStr">
        <x:is>
          <x:t xml:space="preserve">Live DOM</x:t>
        </x:is>
      </x:c>
      <x:c r="D70" s="84" t="inlineStr">
        <x:is>
          <x:t xml:space="preserve">aria-required is absent from Fieldset.Root when required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</x:t>
        </x:is>
      </x:c>
      <x:c r="H70" s="86" t="inlineStr">
        <x:is>
          <x:t xml:space="preserve">covered</x:t>
        </x:is>
      </x:c>
      <x:c r="I70" s="84" t="inlineStr">
        <x:is>
          <x:t xml:space="preserve">Fieldset required toggle, Inspector, and axe verification.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Data</x:t>
        </x:is>
      </x:c>
      <x:c r="C71" s="84" t="inlineStr">
        <x:is>
          <x:t xml:space="preserve">Live DOM</x:t>
        </x:is>
      </x:c>
      <x:c r="D71" s="84" t="inlineStr">
        <x:is>
          <x:t xml:space="preserve">data-disabled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</x:t>
        </x:is>
      </x:c>
      <x:c r="H71" s="86" t="inlineStr">
        <x:is>
          <x:t xml:space="preserve">covered</x:t>
        </x:is>
      </x:c>
      <x:c r="I71" s="84" t="inlineStr">
        <x:is>
          <x:t xml:space="preserve">Fieldset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Data</x:t>
        </x:is>
      </x:c>
      <x:c r="C72" s="84" t="inlineStr">
        <x:is>
          <x:t xml:space="preserve">Live DOM</x:t>
        </x:is>
      </x:c>
      <x:c r="D72" s="84" t="inlineStr">
        <x:is>
          <x:t xml:space="preserve">data-invalid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</x:t>
        </x:is>
      </x:c>
      <x:c r="H72" s="86" t="inlineStr">
        <x:is>
          <x:t xml:space="preserve">covered</x:t>
        </x:is>
      </x:c>
      <x:c r="I72" s="84" t="inlineStr">
        <x:is>
          <x:t xml:space="preserve">Fieldset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Data</x:t>
        </x:is>
      </x:c>
      <x:c r="C73" s="84" t="inlineStr">
        <x:is>
          <x:t xml:space="preserve">Live DOM</x:t>
        </x:is>
      </x:c>
      <x:c r="D73" s="84" t="inlineStr">
        <x:is>
          <x:t xml:space="preserve">data-required is present at the correct time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</x:t>
        </x:is>
      </x:c>
      <x:c r="H73" s="86" t="inlineStr">
        <x:is>
          <x:t xml:space="preserve">covered</x:t>
        </x:is>
      </x:c>
      <x:c r="I73" s="84" t="inlineStr">
        <x:is>
          <x:t xml:space="preserve">Fieldset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Data</x:t>
        </x:is>
      </x:c>
      <x:c r="C74" s="84" t="inlineStr">
        <x:is>
          <x:t xml:space="preserve">Live DOM</x:t>
        </x:is>
      </x:c>
      <x:c r="D74" s="84" t="inlineStr">
        <x:is>
          <x:t xml:space="preserve">data-slot is present at the correct time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</x:t>
        </x:is>
      </x:c>
      <x:c r="H74" s="86" t="inlineStr">
        <x:is>
          <x:t xml:space="preserve">covered</x:t>
        </x:is>
      </x:c>
      <x:c r="I74" s="84" t="inlineStr">
        <x:is>
          <x:t xml:space="preserve">Fieldset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30" customHeight="1">
      <x:c r="A75" s="73" t="n">
        <x:v>67</x:v>
      </x:c>
      <x:c r="B75" s="84" t="inlineStr">
        <x:is>
          <x:t xml:space="preserve">Composition</x:t>
        </x:is>
      </x:c>
      <x:c r="C75" s="84" t="inlineStr">
        <x:is>
          <x:t xml:space="preserve">Fieldset</x:t>
        </x:is>
      </x:c>
      <x:c r="D75" s="84" t="inlineStr">
        <x:is>
          <x:t xml:space="preserve">asChild preserves child content without double nesting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</x:t>
        </x:is>
      </x:c>
      <x:c r="H75" s="86" t="inlineStr">
        <x:is>
          <x:t xml:space="preserve">covered</x:t>
        </x:is>
      </x:c>
      <x:c r="I75" s="84" t="inlineStr">
        <x:is>
          <x:t xml:space="preserve">Fieldset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Composition</x:t>
        </x:is>
      </x:c>
      <x:c r="C76" s="84" t="inlineStr">
        <x:is>
          <x:t xml:space="preserve">Fieldset</x:t>
        </x:is>
      </x:c>
      <x:c r="D76" s="84" t="inlineStr">
        <x:is>
          <x:t xml:space="preserve">asChild merges Atom props and consumer props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</x:t>
        </x:is>
      </x:c>
      <x:c r="H76" s="86" t="inlineStr">
        <x:is>
          <x:t xml:space="preserve">covered</x:t>
        </x:is>
      </x:c>
      <x:c r="I76" s="84" t="inlineStr">
        <x:is>
          <x:t xml:space="preserve">Fieldset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Composition</x:t>
        </x:is>
      </x:c>
      <x:c r="C77" s="84" t="inlineStr">
        <x:is>
          <x:t xml:space="preserve">Fieldset</x:t>
        </x:is>
      </x:c>
      <x:c r="D77" s="84" t="inlineStr">
        <x:is>
          <x:t xml:space="preserve">render prop renders custom element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</x:t>
        </x:is>
      </x:c>
      <x:c r="H77" s="86" t="inlineStr">
        <x:is>
          <x:t xml:space="preserve">covered</x:t>
        </x:is>
      </x:c>
      <x:c r="I77" s="84" t="inlineStr">
        <x:is>
          <x:t xml:space="preserve">Fieldset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30" customHeight="1">
      <x:c r="A78" s="73" t="n">
        <x:v>70</x:v>
      </x:c>
      <x:c r="B78" s="84" t="inlineStr">
        <x:is>
          <x:t xml:space="preserve">Composition</x:t>
        </x:is>
      </x:c>
      <x:c r="C78" s="84" t="inlineStr">
        <x:is>
          <x:t xml:space="preserve">Fieldset</x:t>
        </x:is>
      </x:c>
      <x:c r="D78" s="84" t="inlineStr">
        <x:is>
          <x:t xml:space="preserve">render prop preserves refs and behavior props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</x:t>
        </x:is>
      </x:c>
      <x:c r="H78" s="86" t="inlineStr">
        <x:is>
          <x:t xml:space="preserve">covered</x:t>
        </x:is>
      </x:c>
      <x:c r="I78" s="84" t="inlineStr">
        <x:is>
          <x:t xml:space="preserve">Fieldset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30" customHeight="1">
      <x:c r="A79" s="73" t="n">
        <x:v>71</x:v>
      </x:c>
      <x:c r="B79" s="84" t="inlineStr">
        <x:is>
          <x:t xml:space="preserve">Integration</x:t>
        </x:is>
      </x:c>
      <x:c r="C79" s="84" t="inlineStr">
        <x:is>
          <x:t xml:space="preserve">Native controls</x:t>
        </x:is>
      </x:c>
      <x:c r="D79" s="84" t="inlineStr">
        <x:is>
          <x:t xml:space="preserve">native radio controls work inside Fieldset with shared required, invalid, and disabled state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</x:t>
        </x:is>
      </x:c>
      <x:c r="H79" s="86" t="inlineStr">
        <x:is>
          <x:t xml:space="preserve">covered</x:t>
        </x:is>
      </x:c>
      <x:c r="I79" s="84" t="inlineStr">
        <x:is>
          <x:t xml:space="preserve">Fieldset Content &gt; Controls: Native.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30" customHeight="1">
      <x:c r="A80" s="73" t="n">
        <x:v>72</x:v>
      </x:c>
      <x:c r="B80" s="84" t="inlineStr">
        <x:is>
          <x:t xml:space="preserve">Integration</x:t>
        </x:is>
      </x:c>
      <x:c r="C80" s="84" t="inlineStr">
        <x:is>
          <x:t xml:space="preserve">Atom controls</x:t>
        </x:is>
      </x:c>
      <x:c r="D80" s="84" t="inlineStr">
        <x:is>
          <x:t xml:space="preserve">Atom RadioGroup works inside Fieldset with shared required, invalid, and disabled state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</x:t>
        </x:is>
      </x:c>
      <x:c r="H80" s="86" t="inlineStr">
        <x:is>
          <x:t xml:space="preserve">covered</x:t>
        </x:is>
      </x:c>
      <x:c r="I80" s="84" t="inlineStr">
        <x:is>
          <x:t xml:space="preserve">Fieldset Content &gt; Controls: Atom.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30" customHeight="1">
      <x:c r="A81" s="73" t="n">
        <x:v>73</x:v>
      </x:c>
      <x:c r="B81" s="84" t="inlineStr">
        <x:is>
          <x:t xml:space="preserve">State</x:t>
        </x:is>
      </x:c>
      <x:c r="C81" s="84" t="inlineStr">
        <x:is>
          <x:t xml:space="preserve">Fieldset</x:t>
        </x:is>
      </x:c>
      <x:c r="D81" s="84" t="inlineStr">
        <x:is>
          <x:t xml:space="preserve">invalid state blocks or exposes behavior correctly where supported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</x:t>
        </x:is>
      </x:c>
      <x:c r="H81" s="86" t="inlineStr">
        <x:is>
          <x:t xml:space="preserve">covered</x:t>
        </x:is>
      </x:c>
      <x:c r="I81" s="84" t="inlineStr">
        <x:is>
          <x:t xml:space="preserve">Fieldset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30" customHeight="1">
      <x:c r="A82" s="73" t="n">
        <x:v>74</x:v>
      </x:c>
      <x:c r="B82" s="84" t="inlineStr">
        <x:is>
          <x:t xml:space="preserve">ARIA</x:t>
        </x:is>
      </x:c>
      <x:c r="C82" s="84" t="inlineStr">
        <x:is>
          <x:t xml:space="preserve">Root</x:t>
        </x:is>
      </x:c>
      <x:c r="D82" s="84" t="inlineStr">
        <x:is>
          <x:t xml:space="preserve">server markup and hydration keep stable legend/description/error relationships</x:t>
        </x:is>
      </x:c>
      <x:c r="E82" s="76" t="inlineStr">
        <x:is>
          <x:t xml:space="preserve">yes</x:t>
        </x:is>
      </x:c>
      <x:c r="F82" s="85" t="inlineStr">
        <x:is>
          <x:t xml:space="preserve">no</x:t>
        </x:is>
      </x:c>
      <x:c r="G82" s="73" t="inlineStr">
        <x:is>
          <x:t xml:space="preserve">automated tests pass; manual pending</x:t>
        </x:is>
      </x:c>
      <x:c r="H82" s="86" t="inlineStr">
        <x:is>
          <x:t xml:space="preserve">untested</x:t>
        </x:is>
      </x:c>
      <x:c r="I82" s="84" t="inlineStr">
        <x:is>
          <x:t xml:space="preserve">Form &gt; Control: Foundation plus the component scenario and automated package tests.</x:t>
        </x:is>
      </x:c>
      <x:c r="J82" s="84" t="inlineStr">
        <x:is>
          <x:t xml:space="preserve">Run and review the form-foundation manual protocol.</x:t>
        </x:is>
      </x:c>
      <x:c r="K82" s="87" t="n">
        <x:f>IF(AND(E82="yes",F82="yes",H82="covered"),1,IF(H82="partial",0.5,0))</x:f>
        <x:v>0</x:v>
      </x:c>
    </x:row>
    <x:row r="83" s="51" customFormat="1" ht="30" customHeight="1">
      <x:c r="A83" s="73" t="n">
        <x:v>75</x:v>
      </x:c>
      <x:c r="B83" s="84" t="inlineStr">
        <x:is>
          <x:t xml:space="preserve">Accessibility</x:t>
        </x:is>
      </x:c>
      <x:c r="C83" s="84" t="inlineStr">
        <x:is>
          <x:t xml:space="preserve">Error</x:t>
        </x:is>
      </x:c>
      <x:c r="D83" s="84" t="inlineStr">
        <x:is>
          <x:t xml:space="preserve">does not force a live-region role; consumers opt in with native role or aria-live</x:t>
        </x:is>
      </x:c>
      <x:c r="E83" s="76" t="inlineStr">
        <x:is>
          <x:t xml:space="preserve">yes</x:t>
        </x:is>
      </x:c>
      <x:c r="F83" s="85" t="inlineStr">
        <x:is>
          <x:t xml:space="preserve">no</x:t>
        </x:is>
      </x:c>
      <x:c r="G83" s="73" t="inlineStr">
        <x:is>
          <x:t xml:space="preserve">automated tests pass; manual pending</x:t>
        </x:is>
      </x:c>
      <x:c r="H83" s="86" t="inlineStr">
        <x:is>
          <x:t xml:space="preserve">untested</x:t>
        </x:is>
      </x:c>
      <x:c r="I83" s="84" t="inlineStr">
        <x:is>
          <x:t xml:space="preserve">Form &gt; Control: Foundation plus the component scenario and automated package tests.</x:t>
        </x:is>
      </x:c>
      <x:c r="J83" s="84" t="inlineStr">
        <x:is>
          <x:t xml:space="preserve">Run and review the form-foundation manual protocol.</x:t>
        </x:is>
      </x:c>
      <x:c r="K83" s="87" t="n">
        <x:f>IF(AND(E83="yes",F83="yes",H83="covered"),1,IF(H83="partial",0.5,0))</x:f>
        <x:v>0</x:v>
      </x:c>
    </x:row>
    <x:row r="84" s="51" customFormat="1" ht="30" customHeight="1">
      <x:c r="A84" s="73" t="n">
        <x:v>76</x:v>
      </x:c>
      <x:c r="B84" s="84" t="inlineStr">
        <x:is>
          <x:t xml:space="preserve">Validation</x:t>
        </x:is>
      </x:c>
      <x:c r="C84" s="84" t="inlineStr">
        <x:is>
          <x:t xml:space="preserve">Root/Error</x:t>
        </x:is>
      </x:c>
      <x:c r="D84" s="84" t="inlineStr">
        <x:is>
          <x:t xml:space="preserve">group native-invalid state derives Fieldset state and automatically reveals one compatible Error</x:t>
        </x:is>
      </x:c>
      <x:c r="E84" s="76" t="inlineStr">
        <x:is>
          <x:t xml:space="preserve">yes</x:t>
        </x:is>
      </x:c>
      <x:c r="F84" s="85" t="inlineStr">
        <x:is>
          <x:t xml:space="preserve">no</x:t>
        </x:is>
      </x:c>
      <x:c r="G84" s="73" t="inlineStr">
        <x:is>
          <x:t xml:space="preserve">automated tests pass; manual pending</x:t>
        </x:is>
      </x:c>
      <x:c r="H84" s="86" t="inlineStr">
        <x:is>
          <x:t xml:space="preserve">untested</x:t>
        </x:is>
      </x:c>
      <x:c r="I84" s="84" t="inlineStr">
        <x:is>
          <x:t xml:space="preserve">Form &gt; Control: Foundation and automated Atom validation tests.</x:t>
        </x:is>
      </x:c>
      <x:c r="J84" s="84" t="inlineStr">
        <x:is>
          <x:t xml:space="preserve">Run and review the updated form-foundation validation steps.</x:t>
        </x:is>
      </x:c>
      <x:c r="K84" s="87" t="n">
        <x:f>IF(AND(E84="yes",F84="yes",H84="covered"),1,IF(H84="partial",0.5,0))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FileUpload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0.967032967032967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176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6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</x:t>
        </x:is>
      </x:c>
      <x:c r="H9" s="86" t="inlineStr">
        <x:is>
          <x:t xml:space="preserve">covered</x:t>
        </x:is>
      </x:c>
      <x:c r="I9" s="84" t="inlineStr">
        <x:is>
          <x:t xml:space="preserve">FileUpload playground scenario.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</x:t>
        </x:is>
      </x:c>
      <x:c r="H10" s="86" t="inlineStr">
        <x:is>
          <x:t xml:space="preserve">covered</x:t>
        </x:is>
      </x:c>
      <x:c r="I10" s="84" t="inlineStr">
        <x:is>
          <x:t xml:space="preserve">FileUpload playground scenario.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FileUpload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</x:t>
        </x:is>
      </x:c>
      <x:c r="H11" s="86" t="inlineStr">
        <x:is>
          <x:t xml:space="preserve">covered</x:t>
        </x:is>
      </x:c>
      <x:c r="I11" s="84" t="inlineStr">
        <x:is>
          <x:t xml:space="preserve">FileUpload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FileUpload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</x:t>
        </x:is>
      </x:c>
      <x:c r="H12" s="86" t="inlineStr">
        <x:is>
          <x:t xml:space="preserve">covered</x:t>
        </x:is>
      </x:c>
      <x:c r="I12" s="84" t="inlineStr">
        <x:is>
          <x:t xml:space="preserve">FileUpload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FileUpload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</x:t>
        </x:is>
      </x:c>
      <x:c r="H13" s="86" t="inlineStr">
        <x:is>
          <x:t xml:space="preserve">covered</x:t>
        </x:is>
      </x:c>
      <x:c r="I13" s="84" t="inlineStr">
        <x:is>
          <x:t xml:space="preserve">FileUpload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FileUpload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</x:t>
        </x:is>
      </x:c>
      <x:c r="H14" s="86" t="inlineStr">
        <x:is>
          <x:t xml:space="preserve">covered</x:t>
        </x:is>
      </x:c>
      <x:c r="I14" s="84" t="inlineStr">
        <x:is>
          <x:t xml:space="preserve">FileUpload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FileUpload</x:t>
        </x:is>
      </x:c>
      <x:c r="D15" s="84" t="inlineStr">
        <x:is>
          <x:t xml:space="preserve">Controlled and uncontrolled file list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</x:t>
        </x:is>
      </x:c>
      <x:c r="H15" s="86" t="inlineStr">
        <x:is>
          <x:t xml:space="preserve">covered</x:t>
        </x:is>
      </x:c>
      <x:c r="I15" s="84" t="inlineStr">
        <x:is>
          <x:t xml:space="preserve">FileUpload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FileUpload</x:t>
        </x:is>
      </x:c>
      <x:c r="D16" s="84" t="inlineStr">
        <x:is>
          <x:t xml:space="preserve">Native hidden file input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</x:t>
        </x:is>
      </x:c>
      <x:c r="H16" s="86" t="inlineStr">
        <x:is>
          <x:t xml:space="preserve">covered</x:t>
        </x:is>
      </x:c>
      <x:c r="I16" s="84" t="inlineStr">
        <x:is>
          <x:t xml:space="preserve">FileUpload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FileUpload</x:t>
        </x:is>
      </x:c>
      <x:c r="D17" s="84" t="inlineStr">
        <x:is>
          <x:t xml:space="preserve">Picker trigger and drag-and-drop dropzone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</x:t>
        </x:is>
      </x:c>
      <x:c r="H17" s="86" t="inlineStr">
        <x:is>
          <x:t xml:space="preserve">covered</x:t>
        </x:is>
      </x:c>
      <x:c r="I17" s="84" t="inlineStr">
        <x:is>
          <x:t xml:space="preserve">FileUpload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FileUpload</x:t>
        </x:is>
      </x:c>
      <x:c r="D18" s="84" t="inlineStr">
        <x:is>
          <x:t xml:space="preserve">Accept, max file count, max file size, and custom file validation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</x:t>
        </x:is>
      </x:c>
      <x:c r="H18" s="86" t="inlineStr">
        <x:is>
          <x:t xml:space="preserve">covered</x:t>
        </x:is>
      </x:c>
      <x:c r="I18" s="84" t="inlineStr">
        <x:is>
          <x:t xml:space="preserve">FileUpload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FileUpload</x:t>
        </x:is>
      </x:c>
      <x:c r="D19" s="84" t="inlineStr">
        <x:is>
          <x:t xml:space="preserve">Multiple-file append or replace behavior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</x:t>
        </x:is>
      </x:c>
      <x:c r="H19" s="86" t="inlineStr">
        <x:is>
          <x:t xml:space="preserve">covered</x:t>
        </x:is>
      </x:c>
      <x:c r="I19" s="84" t="inlineStr">
        <x:is>
          <x:t xml:space="preserve">FileUpload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30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FileUpload</x:t>
        </x:is>
      </x:c>
      <x:c r="D20" s="84" t="inlineStr">
        <x:is>
          <x:t xml:space="preserve">Rejected file reporting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</x:t>
        </x:is>
      </x:c>
      <x:c r="H20" s="86" t="inlineStr">
        <x:is>
          <x:t xml:space="preserve">covered</x:t>
        </x:is>
      </x:c>
      <x:c r="I20" s="84" t="inlineStr">
        <x:is>
          <x:t xml:space="preserve">FileUpload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30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FileUpload</x:t>
        </x:is>
      </x:c>
      <x:c r="D21" s="84" t="inlineStr">
        <x:is>
          <x:t xml:space="preserve">Item group and item metadata parts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</x:t>
        </x:is>
      </x:c>
      <x:c r="H21" s="86" t="inlineStr">
        <x:is>
          <x:t xml:space="preserve">covered</x:t>
        </x:is>
      </x:c>
      <x:c r="I21" s="84" t="inlineStr">
        <x:is>
          <x:t xml:space="preserve">FileUpload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Feature</x:t>
        </x:is>
      </x:c>
      <x:c r="C22" s="84" t="inlineStr">
        <x:is>
          <x:t xml:space="preserve">FileUpload</x:t>
        </x:is>
      </x:c>
      <x:c r="D22" s="84" t="inlineStr">
        <x:is>
          <x:t xml:space="preserve">Same-file re-selection support after removing or clearing files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</x:t>
        </x:is>
      </x:c>
      <x:c r="H22" s="86" t="inlineStr">
        <x:is>
          <x:t xml:space="preserve">covered</x:t>
        </x:is>
      </x:c>
      <x:c r="I22" s="84" t="inlineStr">
        <x:is>
          <x:t xml:space="preserve">FileUpload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Feature</x:t>
        </x:is>
      </x:c>
      <x:c r="C23" s="84" t="inlineStr">
        <x:is>
          <x:t xml:space="preserve">FileUpload</x:t>
        </x:is>
      </x:c>
      <x:c r="D23" s="84" t="inlineStr">
        <x:is>
          <x:t xml:space="preserve">Field context integration for ID, description, required, disabled, read-only, and invalid state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</x:t>
        </x:is>
      </x:c>
      <x:c r="H23" s="86" t="inlineStr">
        <x:is>
          <x:t xml:space="preserve">covered</x:t>
        </x:is>
      </x:c>
      <x:c r="I23" s="84" t="inlineStr">
        <x:is>
          <x:t xml:space="preserve">FileUpload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Anatomy</x:t>
        </x:is>
      </x:c>
      <x:c r="C24" s="84" t="inlineStr">
        <x:is>
          <x:t xml:space="preserve">Root</x:t>
        </x:is>
      </x:c>
      <x:c r="D24" s="84" t="inlineStr">
        <x:is>
          <x:t xml:space="preserve">renders correct part when expected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</x:t>
        </x:is>
      </x:c>
      <x:c r="H24" s="86" t="inlineStr">
        <x:is>
          <x:t xml:space="preserve">covered</x:t>
        </x:is>
      </x:c>
      <x:c r="I24" s="84" t="inlineStr">
        <x:is>
          <x:t xml:space="preserve">FileUpload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Anatomy</x:t>
        </x:is>
      </x:c>
      <x:c r="C25" s="84" t="inlineStr">
        <x:is>
          <x:t xml:space="preserve">Root</x:t>
        </x:is>
      </x:c>
      <x:c r="D25" s="84" t="inlineStr">
        <x:is>
          <x:t xml:space="preserve">appears in documented order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</x:t>
        </x:is>
      </x:c>
      <x:c r="H25" s="86" t="inlineStr">
        <x:is>
          <x:t xml:space="preserve">covered</x:t>
        </x:is>
      </x:c>
      <x:c r="I25" s="84" t="inlineStr">
        <x:is>
          <x:t xml:space="preserve">FileUpload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30" customHeight="1">
      <x:c r="A26" s="73" t="n">
        <x:v>18</x:v>
      </x:c>
      <x:c r="B26" s="84" t="inlineStr">
        <x:is>
          <x:t xml:space="preserve">Identity</x:t>
        </x:is>
      </x:c>
      <x:c r="C26" s="84" t="inlineStr">
        <x:is>
          <x:t xml:space="preserve">Root</x:t>
        </x:is>
      </x:c>
      <x:c r="D26" s="84" t="inlineStr">
        <x:is>
          <x:t xml:space="preserve">default tag is visible in Anatomy/Inspector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</x:t>
        </x:is>
      </x:c>
      <x:c r="H26" s="86" t="inlineStr">
        <x:is>
          <x:t xml:space="preserve">covered</x:t>
        </x:is>
      </x:c>
      <x:c r="I26" s="84" t="inlineStr">
        <x:is>
          <x:t xml:space="preserve">FileUpload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Identity</x:t>
        </x:is>
      </x:c>
      <x:c r="C27" s="84" t="inlineStr">
        <x:is>
          <x:t xml:space="preserve">Root</x:t>
        </x:is>
      </x:c>
      <x:c r="D27" s="84" t="inlineStr">
        <x:is>
          <x:t xml:space="preserve">data-slot is present and correct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</x:t>
        </x:is>
      </x:c>
      <x:c r="H27" s="86" t="inlineStr">
        <x:is>
          <x:t xml:space="preserve">covered</x:t>
        </x:is>
      </x:c>
      <x:c r="I27" s="84" t="inlineStr">
        <x:is>
          <x:t xml:space="preserve">FileUpload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Props</x:t>
        </x:is>
      </x:c>
      <x:c r="C28" s="84" t="inlineStr">
        <x:is>
          <x:t xml:space="preserve">Root</x:t>
        </x:is>
      </x:c>
      <x:c r="D28" s="84" t="inlineStr">
        <x:is>
          <x:t xml:space="preserve">non-Atom native props pass through with data-prop-check marker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</x:t>
        </x:is>
      </x:c>
      <x:c r="H28" s="86" t="inlineStr">
        <x:is>
          <x:t xml:space="preserve">covered</x:t>
        </x:is>
      </x:c>
      <x:c r="I28" s="84" t="inlineStr">
        <x:is>
          <x:t xml:space="preserve">FileUpload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Refs</x:t>
        </x:is>
      </x:c>
      <x:c r="C29" s="84" t="inlineStr">
        <x:is>
          <x:t xml:space="preserve">Root</x:t>
        </x:is>
      </x:c>
      <x:c r="D29" s="84" t="inlineStr">
        <x:is>
          <x:t xml:space="preserve">consumer ref receives the rendered element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</x:t>
        </x:is>
      </x:c>
      <x:c r="H29" s="86" t="inlineStr">
        <x:is>
          <x:t xml:space="preserve">covered</x:t>
        </x:is>
      </x:c>
      <x:c r="I29" s="84" t="inlineStr">
        <x:is>
          <x:t xml:space="preserve">FileUpload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files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</x:t>
        </x:is>
      </x:c>
      <x:c r="H30" s="86" t="inlineStr">
        <x:is>
          <x:t xml:space="preserve">covered</x:t>
        </x:is>
      </x:c>
      <x:c r="I30" s="84" t="inlineStr">
        <x:is>
          <x:t xml:space="preserve">FileUpload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defaultFiles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</x:t>
        </x:is>
      </x:c>
      <x:c r="H31" s="86" t="inlineStr">
        <x:is>
          <x:t xml:space="preserve">covered</x:t>
        </x:is>
      </x:c>
      <x:c r="I31" s="84" t="inlineStr">
        <x:is>
          <x:t xml:space="preserve">FileUpload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onFilesChange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</x:t>
        </x:is>
      </x:c>
      <x:c r="H32" s="86" t="inlineStr">
        <x:is>
          <x:t xml:space="preserve">covered</x:t>
        </x:is>
      </x:c>
      <x:c r="I32" s="84" t="inlineStr">
        <x:is>
          <x:t xml:space="preserve">FileUpload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onRejectedFilesChange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</x:t>
        </x:is>
      </x:c>
      <x:c r="H33" s="86" t="inlineStr">
        <x:is>
          <x:t xml:space="preserve">covered</x:t>
        </x:is>
      </x:c>
      <x:c r="I33" s="84" t="inlineStr">
        <x:is>
          <x:t xml:space="preserve">FileUpload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accept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</x:t>
        </x:is>
      </x:c>
      <x:c r="H34" s="86" t="inlineStr">
        <x:is>
          <x:t xml:space="preserve">covered</x:t>
        </x:is>
      </x:c>
      <x:c r="I34" s="84" t="inlineStr">
        <x:is>
          <x:t xml:space="preserve">FileUpload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multiple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</x:t>
        </x:is>
      </x:c>
      <x:c r="H35" s="86" t="inlineStr">
        <x:is>
          <x:t xml:space="preserve">covered</x:t>
        </x:is>
      </x:c>
      <x:c r="I35" s="84" t="inlineStr">
        <x:is>
          <x:t xml:space="preserve">FileUpload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appendFiles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</x:t>
        </x:is>
      </x:c>
      <x:c r="H36" s="86" t="inlineStr">
        <x:is>
          <x:t xml:space="preserve">covered</x:t>
        </x:is>
      </x:c>
      <x:c r="I36" s="84" t="inlineStr">
        <x:is>
          <x:t xml:space="preserve">FileUpload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Root</x:t>
        </x:is>
      </x:c>
      <x:c r="D37" s="84" t="inlineStr">
        <x:is>
          <x:t xml:space="preserve">maxFiles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</x:t>
        </x:is>
      </x:c>
      <x:c r="H37" s="86" t="inlineStr">
        <x:is>
          <x:t xml:space="preserve">covered</x:t>
        </x:is>
      </x:c>
      <x:c r="I37" s="84" t="inlineStr">
        <x:is>
          <x:t xml:space="preserve">FileUpload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maxSize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</x:t>
        </x:is>
      </x:c>
      <x:c r="H38" s="86" t="inlineStr">
        <x:is>
          <x:t xml:space="preserve">covered</x:t>
        </x:is>
      </x:c>
      <x:c r="I38" s="84" t="inlineStr">
        <x:is>
          <x:t xml:space="preserve">FileUpload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validateFile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</x:t>
        </x:is>
      </x:c>
      <x:c r="H39" s="86" t="inlineStr">
        <x:is>
          <x:t xml:space="preserve">covered</x:t>
        </x:is>
      </x:c>
      <x:c r="I39" s="84" t="inlineStr">
        <x:is>
          <x:t xml:space="preserve">FileUpload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name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</x:t>
        </x:is>
      </x:c>
      <x:c r="H40" s="86" t="inlineStr">
        <x:is>
          <x:t xml:space="preserve">covered</x:t>
        </x:is>
      </x:c>
      <x:c r="I40" s="84" t="inlineStr">
        <x:is>
          <x:t xml:space="preserve">FileUpload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Public API</x:t>
        </x:is>
      </x:c>
      <x:c r="C41" s="84" t="inlineStr">
        <x:is>
          <x:t xml:space="preserve">Root</x:t>
        </x:is>
      </x:c>
      <x:c r="D41" s="84" t="inlineStr">
        <x:is>
          <x:t xml:space="preserve">form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</x:t>
        </x:is>
      </x:c>
      <x:c r="H41" s="86" t="inlineStr">
        <x:is>
          <x:t xml:space="preserve">covered</x:t>
        </x:is>
      </x:c>
      <x:c r="I41" s="84" t="inlineStr">
        <x:is>
          <x:t xml:space="preserve">FileUpload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Root</x:t>
        </x:is>
      </x:c>
      <x:c r="D42" s="84" t="inlineStr">
        <x:is>
          <x:t xml:space="preserve">disabled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</x:t>
        </x:is>
      </x:c>
      <x:c r="H42" s="86" t="inlineStr">
        <x:is>
          <x:t xml:space="preserve">covered</x:t>
        </x:is>
      </x:c>
      <x:c r="I42" s="84" t="inlineStr">
        <x:is>
          <x:t xml:space="preserve">FileUpload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Root</x:t>
        </x:is>
      </x:c>
      <x:c r="D43" s="84" t="inlineStr">
        <x:is>
          <x:t xml:space="preserve">required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</x:t>
        </x:is>
      </x:c>
      <x:c r="H43" s="86" t="inlineStr">
        <x:is>
          <x:t xml:space="preserve">covered</x:t>
        </x:is>
      </x:c>
      <x:c r="I43" s="84" t="inlineStr">
        <x:is>
          <x:t xml:space="preserve">FileUpload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State</x:t>
        </x:is>
      </x:c>
      <x:c r="C44" s="84" t="inlineStr">
        <x:is>
          <x:t xml:space="preserve">Root</x:t>
        </x:is>
      </x:c>
      <x:c r="D44" s="84" t="inlineStr">
        <x:is>
          <x:t xml:space="preserve">readOnly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</x:t>
        </x:is>
      </x:c>
      <x:c r="H44" s="86" t="inlineStr">
        <x:is>
          <x:t xml:space="preserve">covered</x:t>
        </x:is>
      </x:c>
      <x:c r="I44" s="84" t="inlineStr">
        <x:is>
          <x:t xml:space="preserve">FileUpload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State</x:t>
        </x:is>
      </x:c>
      <x:c r="C45" s="84" t="inlineStr">
        <x:is>
          <x:t xml:space="preserve">Root</x:t>
        </x:is>
      </x:c>
      <x:c r="D45" s="84" t="inlineStr">
        <x:is>
          <x:t xml:space="preserve">invalid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</x:t>
        </x:is>
      </x:c>
      <x:c r="H45" s="86" t="inlineStr">
        <x:is>
          <x:t xml:space="preserve">covered</x:t>
        </x:is>
      </x:c>
      <x:c r="I45" s="84" t="inlineStr">
        <x:is>
          <x:t xml:space="preserve">FileUpload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Composition</x:t>
        </x:is>
      </x:c>
      <x:c r="C46" s="84" t="inlineStr">
        <x:is>
          <x:t xml:space="preserve">Root</x:t>
        </x:is>
      </x:c>
      <x:c r="D46" s="84" t="inlineStr">
        <x:is>
          <x:t xml:space="preserve">asChild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</x:t>
        </x:is>
      </x:c>
      <x:c r="H46" s="86" t="inlineStr">
        <x:is>
          <x:t xml:space="preserve">covered</x:t>
        </x:is>
      </x:c>
      <x:c r="I46" s="84" t="inlineStr">
        <x:is>
          <x:t xml:space="preserve">FileUpload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Composition</x:t>
        </x:is>
      </x:c>
      <x:c r="C47" s="84" t="inlineStr">
        <x:is>
          <x:t xml:space="preserve">Root</x:t>
        </x:is>
      </x:c>
      <x:c r="D47" s="84" t="inlineStr">
        <x:is>
          <x:t xml:space="preserve">render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</x:t>
        </x:is>
      </x:c>
      <x:c r="H47" s="86" t="inlineStr">
        <x:is>
          <x:t xml:space="preserve">covered</x:t>
        </x:is>
      </x:c>
      <x:c r="I47" s="84" t="inlineStr">
        <x:is>
          <x:t xml:space="preserve">FileUpload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Public API</x:t>
        </x:is>
      </x:c>
      <x:c r="C48" s="84" t="inlineStr">
        <x:is>
          <x:t xml:space="preserve">Root</x:t>
        </x:is>
      </x:c>
      <x:c r="D48" s="84" t="inlineStr">
        <x:is>
          <x:t xml:space="preserve">data-slot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</x:t>
        </x:is>
      </x:c>
      <x:c r="H48" s="86" t="inlineStr">
        <x:is>
          <x:t xml:space="preserve">covered</x:t>
        </x:is>
      </x:c>
      <x:c r="I48" s="84" t="inlineStr">
        <x:is>
          <x:t xml:space="preserve">FileUpload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Public API</x:t>
        </x:is>
      </x:c>
      <x:c r="C49" s="84" t="inlineStr">
        <x:is>
          <x:t xml:space="preserve">Root</x:t>
        </x:is>
      </x:c>
      <x:c r="D49" s="84" t="inlineStr">
        <x:is>
          <x:t xml:space="preserve">[data-slot]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</x:t>
        </x:is>
      </x:c>
      <x:c r="H49" s="86" t="inlineStr">
        <x:is>
          <x:t xml:space="preserve">covered</x:t>
        </x:is>
      </x:c>
      <x:c r="I49" s="84" t="inlineStr">
        <x:is>
          <x:t xml:space="preserve">FileUpload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Root</x:t>
        </x:is>
      </x:c>
      <x:c r="D50" s="84" t="inlineStr">
        <x:is>
          <x:t xml:space="preserve">[data-state]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</x:t>
        </x:is>
      </x:c>
      <x:c r="H50" s="86" t="inlineStr">
        <x:is>
          <x:t xml:space="preserve">covered</x:t>
        </x:is>
      </x:c>
      <x:c r="I50" s="84" t="inlineStr">
        <x:is>
          <x:t xml:space="preserve">FileUpload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Public API</x:t>
        </x:is>
      </x:c>
      <x:c r="C51" s="84" t="inlineStr">
        <x:is>
          <x:t xml:space="preserve">Root</x:t>
        </x:is>
      </x:c>
      <x:c r="D51" s="84" t="inlineStr">
        <x:is>
          <x:t xml:space="preserve">[data-drag]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</x:t>
        </x:is>
      </x:c>
      <x:c r="H51" s="86" t="inlineStr">
        <x:is>
          <x:t xml:space="preserve">covered</x:t>
        </x:is>
      </x:c>
      <x:c r="I51" s="84" t="inlineStr">
        <x:is>
          <x:t xml:space="preserve">FileUpload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Root</x:t>
        </x:is>
      </x:c>
      <x:c r="D52" s="84" t="inlineStr">
        <x:is>
          <x:t xml:space="preserve">[data-filled]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</x:t>
        </x:is>
      </x:c>
      <x:c r="H52" s="86" t="inlineStr">
        <x:is>
          <x:t xml:space="preserve">covered</x:t>
        </x:is>
      </x:c>
      <x:c r="I52" s="84" t="inlineStr">
        <x:is>
          <x:t xml:space="preserve">FileUpload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Root</x:t>
        </x:is>
      </x:c>
      <x:c r="D53" s="84" t="inlineStr">
        <x:is>
          <x:t xml:space="preserve">[data-rejected]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</x:t>
        </x:is>
      </x:c>
      <x:c r="H53" s="86" t="inlineStr">
        <x:is>
          <x:t xml:space="preserve">covered</x:t>
        </x:is>
      </x:c>
      <x:c r="I53" s="84" t="inlineStr">
        <x:is>
          <x:t xml:space="preserve">FileUpload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State</x:t>
        </x:is>
      </x:c>
      <x:c r="C54" s="84" t="inlineStr">
        <x:is>
          <x:t xml:space="preserve">Root</x:t>
        </x:is>
      </x:c>
      <x:c r="D54" s="84" t="inlineStr">
        <x:is>
          <x:t xml:space="preserve">[data-disabled]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</x:t>
        </x:is>
      </x:c>
      <x:c r="H54" s="86" t="inlineStr">
        <x:is>
          <x:t xml:space="preserve">covered</x:t>
        </x:is>
      </x:c>
      <x:c r="I54" s="84" t="inlineStr">
        <x:is>
          <x:t xml:space="preserve">FileUpload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State</x:t>
        </x:is>
      </x:c>
      <x:c r="C55" s="84" t="inlineStr">
        <x:is>
          <x:t xml:space="preserve">Root</x:t>
        </x:is>
      </x:c>
      <x:c r="D55" s="84" t="inlineStr">
        <x:is>
          <x:t xml:space="preserve">[data-readonly]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</x:t>
        </x:is>
      </x:c>
      <x:c r="H55" s="86" t="inlineStr">
        <x:is>
          <x:t xml:space="preserve">covered</x:t>
        </x:is>
      </x:c>
      <x:c r="I55" s="84" t="inlineStr">
        <x:is>
          <x:t xml:space="preserve">FileUpload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State</x:t>
        </x:is>
      </x:c>
      <x:c r="C56" s="84" t="inlineStr">
        <x:is>
          <x:t xml:space="preserve">Root</x:t>
        </x:is>
      </x:c>
      <x:c r="D56" s="84" t="inlineStr">
        <x:is>
          <x:t xml:space="preserve">[data-required]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</x:t>
        </x:is>
      </x:c>
      <x:c r="H56" s="86" t="inlineStr">
        <x:is>
          <x:t xml:space="preserve">covered</x:t>
        </x:is>
      </x:c>
      <x:c r="I56" s="84" t="inlineStr">
        <x:is>
          <x:t xml:space="preserve">FileUpload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State</x:t>
        </x:is>
      </x:c>
      <x:c r="C57" s="84" t="inlineStr">
        <x:is>
          <x:t xml:space="preserve">Root</x:t>
        </x:is>
      </x:c>
      <x:c r="D57" s="84" t="inlineStr">
        <x:is>
          <x:t xml:space="preserve">[data-invalid]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</x:t>
        </x:is>
      </x:c>
      <x:c r="H57" s="86" t="inlineStr">
        <x:is>
          <x:t xml:space="preserve">covered</x:t>
        </x:is>
      </x:c>
      <x:c r="I57" s="84" t="inlineStr">
        <x:is>
          <x:t xml:space="preserve">FileUpload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Anatomy</x:t>
        </x:is>
      </x:c>
      <x:c r="C58" s="84" t="inlineStr">
        <x:is>
          <x:t xml:space="preserve">Trigger</x:t>
        </x:is>
      </x:c>
      <x:c r="D58" s="84" t="inlineStr">
        <x:is>
          <x:t xml:space="preserve">renders correct part when expected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</x:t>
        </x:is>
      </x:c>
      <x:c r="H58" s="86" t="inlineStr">
        <x:is>
          <x:t xml:space="preserve">covered</x:t>
        </x:is>
      </x:c>
      <x:c r="I58" s="84" t="inlineStr">
        <x:is>
          <x:t xml:space="preserve">FileUpload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Trigger</x:t>
        </x:is>
      </x:c>
      <x:c r="D59" s="84" t="inlineStr">
        <x:is>
          <x:t xml:space="preserve">appears in documented order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</x:t>
        </x:is>
      </x:c>
      <x:c r="H59" s="86" t="inlineStr">
        <x:is>
          <x:t xml:space="preserve">covered</x:t>
        </x:is>
      </x:c>
      <x:c r="I59" s="84" t="inlineStr">
        <x:is>
          <x:t xml:space="preserve">FileUpload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30" customHeight="1">
      <x:c r="A60" s="73" t="n">
        <x:v>52</x:v>
      </x:c>
      <x:c r="B60" s="84" t="inlineStr">
        <x:is>
          <x:t xml:space="preserve">Identity</x:t>
        </x:is>
      </x:c>
      <x:c r="C60" s="84" t="inlineStr">
        <x:is>
          <x:t xml:space="preserve">Trigger</x:t>
        </x:is>
      </x:c>
      <x:c r="D60" s="84" t="inlineStr">
        <x:is>
          <x:t xml:space="preserve">default tag is visible in Anatomy/Inspector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</x:t>
        </x:is>
      </x:c>
      <x:c r="H60" s="86" t="inlineStr">
        <x:is>
          <x:t xml:space="preserve">covered</x:t>
        </x:is>
      </x:c>
      <x:c r="I60" s="84" t="inlineStr">
        <x:is>
          <x:t xml:space="preserve">FileUpload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Trigger</x:t>
        </x:is>
      </x:c>
      <x:c r="D61" s="84" t="inlineStr">
        <x:is>
          <x:t xml:space="preserve">data-slot is present and correct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</x:t>
        </x:is>
      </x:c>
      <x:c r="H61" s="86" t="inlineStr">
        <x:is>
          <x:t xml:space="preserve">covered</x:t>
        </x:is>
      </x:c>
      <x:c r="I61" s="84" t="inlineStr">
        <x:is>
          <x:t xml:space="preserve">FileUpload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Props</x:t>
        </x:is>
      </x:c>
      <x:c r="C62" s="84" t="inlineStr">
        <x:is>
          <x:t xml:space="preserve">Trigger</x:t>
        </x:is>
      </x:c>
      <x:c r="D62" s="84" t="inlineStr">
        <x:is>
          <x:t xml:space="preserve">non-Atom native props pass through with data-prop-check marker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</x:t>
        </x:is>
      </x:c>
      <x:c r="H62" s="86" t="inlineStr">
        <x:is>
          <x:t xml:space="preserve">covered</x:t>
        </x:is>
      </x:c>
      <x:c r="I62" s="84" t="inlineStr">
        <x:is>
          <x:t xml:space="preserve">FileUpload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Refs</x:t>
        </x:is>
      </x:c>
      <x:c r="C63" s="84" t="inlineStr">
        <x:is>
          <x:t xml:space="preserve">Trigger</x:t>
        </x:is>
      </x:c>
      <x:c r="D63" s="84" t="inlineStr">
        <x:is>
          <x:t xml:space="preserve">consumer ref receives the rendered element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</x:t>
        </x:is>
      </x:c>
      <x:c r="H63" s="86" t="inlineStr">
        <x:is>
          <x:t xml:space="preserve">covered</x:t>
        </x:is>
      </x:c>
      <x:c r="I63" s="84" t="inlineStr">
        <x:is>
          <x:t xml:space="preserve">FileUpload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Composition</x:t>
        </x:is>
      </x:c>
      <x:c r="C64" s="84" t="inlineStr">
        <x:is>
          <x:t xml:space="preserve">Trigger</x:t>
        </x:is>
      </x:c>
      <x:c r="D64" s="84" t="inlineStr">
        <x:is>
          <x:t xml:space="preserve">asChild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</x:t>
        </x:is>
      </x:c>
      <x:c r="H64" s="86" t="inlineStr">
        <x:is>
          <x:t xml:space="preserve">covered</x:t>
        </x:is>
      </x:c>
      <x:c r="I64" s="84" t="inlineStr">
        <x:is>
          <x:t xml:space="preserve">FileUpload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Composition</x:t>
        </x:is>
      </x:c>
      <x:c r="C65" s="84" t="inlineStr">
        <x:is>
          <x:t xml:space="preserve">Trigger</x:t>
        </x:is>
      </x:c>
      <x:c r="D65" s="84" t="inlineStr">
        <x:is>
          <x:t xml:space="preserve">render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</x:t>
        </x:is>
      </x:c>
      <x:c r="H65" s="86" t="inlineStr">
        <x:is>
          <x:t xml:space="preserve">covered</x:t>
        </x:is>
      </x:c>
      <x:c r="I65" s="84" t="inlineStr">
        <x:is>
          <x:t xml:space="preserve">FileUpload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Public API</x:t>
        </x:is>
      </x:c>
      <x:c r="C66" s="84" t="inlineStr">
        <x:is>
          <x:t xml:space="preserve">Trigger</x:t>
        </x:is>
      </x:c>
      <x:c r="D66" s="84" t="inlineStr">
        <x:is>
          <x:t xml:space="preserve">data-slot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</x:t>
        </x:is>
      </x:c>
      <x:c r="H66" s="86" t="inlineStr">
        <x:is>
          <x:t xml:space="preserve">covered</x:t>
        </x:is>
      </x:c>
      <x:c r="I66" s="84" t="inlineStr">
        <x:is>
          <x:t xml:space="preserve">FileUpload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Trigger</x:t>
        </x:is>
      </x:c>
      <x:c r="D67" s="84" t="inlineStr">
        <x:is>
          <x:t xml:space="preserve">[data-slot]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</x:t>
        </x:is>
      </x:c>
      <x:c r="H67" s="86" t="inlineStr">
        <x:is>
          <x:t xml:space="preserve">covered</x:t>
        </x:is>
      </x:c>
      <x:c r="I67" s="84" t="inlineStr">
        <x:is>
          <x:t xml:space="preserve">FileUpload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State</x:t>
        </x:is>
      </x:c>
      <x:c r="C68" s="84" t="inlineStr">
        <x:is>
          <x:t xml:space="preserve">Trigger</x:t>
        </x:is>
      </x:c>
      <x:c r="D68" s="84" t="inlineStr">
        <x:is>
          <x:t xml:space="preserve">[data-disabled]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</x:t>
        </x:is>
      </x:c>
      <x:c r="H68" s="86" t="inlineStr">
        <x:is>
          <x:t xml:space="preserve">covered</x:t>
        </x:is>
      </x:c>
      <x:c r="I68" s="84" t="inlineStr">
        <x:is>
          <x:t xml:space="preserve">FileUpload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State</x:t>
        </x:is>
      </x:c>
      <x:c r="C69" s="84" t="inlineStr">
        <x:is>
          <x:t xml:space="preserve">Trigger</x:t>
        </x:is>
      </x:c>
      <x:c r="D69" s="84" t="inlineStr">
        <x:is>
          <x:t xml:space="preserve">[data-readonly]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</x:t>
        </x:is>
      </x:c>
      <x:c r="H69" s="86" t="inlineStr">
        <x:is>
          <x:t xml:space="preserve">covered</x:t>
        </x:is>
      </x:c>
      <x:c r="I69" s="84" t="inlineStr">
        <x:is>
          <x:t xml:space="preserve">FileUpload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Content</x:t>
        </x:is>
      </x:c>
      <x:c r="C70" s="84" t="inlineStr">
        <x:is>
          <x:t xml:space="preserve">Trigger</x:t>
        </x:is>
      </x:c>
      <x:c r="D70" s="84" t="inlineStr">
        <x:is>
          <x:t xml:space="preserve">visible trigger text is shown in Anatomy and Inspector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</x:t>
        </x:is>
      </x:c>
      <x:c r="H70" s="86" t="inlineStr">
        <x:is>
          <x:t xml:space="preserve">covered</x:t>
        </x:is>
      </x:c>
      <x:c r="I70" s="84" t="inlineStr">
        <x:is>
          <x:t xml:space="preserve">FileUpload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Anatomy</x:t>
        </x:is>
      </x:c>
      <x:c r="C71" s="84" t="inlineStr">
        <x:is>
          <x:t xml:space="preserve">Item</x:t>
        </x:is>
      </x:c>
      <x:c r="D71" s="84" t="inlineStr">
        <x:is>
          <x:t xml:space="preserve">renders correct part when expected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</x:t>
        </x:is>
      </x:c>
      <x:c r="H71" s="86" t="inlineStr">
        <x:is>
          <x:t xml:space="preserve">covered</x:t>
        </x:is>
      </x:c>
      <x:c r="I71" s="84" t="inlineStr">
        <x:is>
          <x:t xml:space="preserve">FileUpload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30" customHeight="1">
      <x:c r="A72" s="73" t="n">
        <x:v>64</x:v>
      </x:c>
      <x:c r="B72" s="84" t="inlineStr">
        <x:is>
          <x:t xml:space="preserve">Anatomy</x:t>
        </x:is>
      </x:c>
      <x:c r="C72" s="84" t="inlineStr">
        <x:is>
          <x:t xml:space="preserve">Item</x:t>
        </x:is>
      </x:c>
      <x:c r="D72" s="84" t="inlineStr">
        <x:is>
          <x:t xml:space="preserve">appears in documented order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</x:t>
        </x:is>
      </x:c>
      <x:c r="H72" s="86" t="inlineStr">
        <x:is>
          <x:t xml:space="preserve">covered</x:t>
        </x:is>
      </x:c>
      <x:c r="I72" s="84" t="inlineStr">
        <x:is>
          <x:t xml:space="preserve">FileUpload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Identity</x:t>
        </x:is>
      </x:c>
      <x:c r="C73" s="84" t="inlineStr">
        <x:is>
          <x:t xml:space="preserve">Item</x:t>
        </x:is>
      </x:c>
      <x:c r="D73" s="84" t="inlineStr">
        <x:is>
          <x:t xml:space="preserve">default tag is visible in Anatomy/Inspector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</x:t>
        </x:is>
      </x:c>
      <x:c r="H73" s="86" t="inlineStr">
        <x:is>
          <x:t xml:space="preserve">covered</x:t>
        </x:is>
      </x:c>
      <x:c r="I73" s="84" t="inlineStr">
        <x:is>
          <x:t xml:space="preserve">FileUpload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Identity</x:t>
        </x:is>
      </x:c>
      <x:c r="C74" s="84" t="inlineStr">
        <x:is>
          <x:t xml:space="preserve">Item</x:t>
        </x:is>
      </x:c>
      <x:c r="D74" s="84" t="inlineStr">
        <x:is>
          <x:t xml:space="preserve">data-slot is present and correct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</x:t>
        </x:is>
      </x:c>
      <x:c r="H74" s="86" t="inlineStr">
        <x:is>
          <x:t xml:space="preserve">covered</x:t>
        </x:is>
      </x:c>
      <x:c r="I74" s="84" t="inlineStr">
        <x:is>
          <x:t xml:space="preserve">FileUpload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Props</x:t>
        </x:is>
      </x:c>
      <x:c r="C75" s="84" t="inlineStr">
        <x:is>
          <x:t xml:space="preserve">Item</x:t>
        </x:is>
      </x:c>
      <x:c r="D75" s="84" t="inlineStr">
        <x:is>
          <x:t xml:space="preserve">non-Atom native props pass through with data-prop-check marker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</x:t>
        </x:is>
      </x:c>
      <x:c r="H75" s="86" t="inlineStr">
        <x:is>
          <x:t xml:space="preserve">covered</x:t>
        </x:is>
      </x:c>
      <x:c r="I75" s="84" t="inlineStr">
        <x:is>
          <x:t xml:space="preserve">FileUpload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Refs</x:t>
        </x:is>
      </x:c>
      <x:c r="C76" s="84" t="inlineStr">
        <x:is>
          <x:t xml:space="preserve">Item</x:t>
        </x:is>
      </x:c>
      <x:c r="D76" s="84" t="inlineStr">
        <x:is>
          <x:t xml:space="preserve">consumer ref receives the rendered element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</x:t>
        </x:is>
      </x:c>
      <x:c r="H76" s="86" t="inlineStr">
        <x:is>
          <x:t xml:space="preserve">covered</x:t>
        </x:is>
      </x:c>
      <x:c r="I76" s="84" t="inlineStr">
        <x:is>
          <x:t xml:space="preserve">FileUpload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Public API</x:t>
        </x:is>
      </x:c>
      <x:c r="C77" s="84" t="inlineStr">
        <x:is>
          <x:t xml:space="preserve">Item</x:t>
        </x:is>
      </x:c>
      <x:c r="D77" s="84" t="inlineStr">
        <x:is>
          <x:t xml:space="preserve">file prop behavior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</x:t>
        </x:is>
      </x:c>
      <x:c r="H77" s="86" t="inlineStr">
        <x:is>
          <x:t xml:space="preserve">covered</x:t>
        </x:is>
      </x:c>
      <x:c r="I77" s="84" t="inlineStr">
        <x:is>
          <x:t xml:space="preserve">FileUpload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Composition</x:t>
        </x:is>
      </x:c>
      <x:c r="C78" s="84" t="inlineStr">
        <x:is>
          <x:t xml:space="preserve">Item</x:t>
        </x:is>
      </x:c>
      <x:c r="D78" s="84" t="inlineStr">
        <x:is>
          <x:t xml:space="preserve">asChild prop behavior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</x:t>
        </x:is>
      </x:c>
      <x:c r="H78" s="86" t="inlineStr">
        <x:is>
          <x:t xml:space="preserve">covered</x:t>
        </x:is>
      </x:c>
      <x:c r="I78" s="84" t="inlineStr">
        <x:is>
          <x:t xml:space="preserve">FileUpload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Composition</x:t>
        </x:is>
      </x:c>
      <x:c r="C79" s="84" t="inlineStr">
        <x:is>
          <x:t xml:space="preserve">Item</x:t>
        </x:is>
      </x:c>
      <x:c r="D79" s="84" t="inlineStr">
        <x:is>
          <x:t xml:space="preserve">render prop behavior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</x:t>
        </x:is>
      </x:c>
      <x:c r="H79" s="86" t="inlineStr">
        <x:is>
          <x:t xml:space="preserve">covered</x:t>
        </x:is>
      </x:c>
      <x:c r="I79" s="84" t="inlineStr">
        <x:is>
          <x:t xml:space="preserve">FileUpload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Public API</x:t>
        </x:is>
      </x:c>
      <x:c r="C80" s="84" t="inlineStr">
        <x:is>
          <x:t xml:space="preserve">Item</x:t>
        </x:is>
      </x:c>
      <x:c r="D80" s="84" t="inlineStr">
        <x:is>
          <x:t xml:space="preserve">data-slot prop behavior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</x:t>
        </x:is>
      </x:c>
      <x:c r="H80" s="86" t="inlineStr">
        <x:is>
          <x:t xml:space="preserve">covered</x:t>
        </x:is>
      </x:c>
      <x:c r="I80" s="84" t="inlineStr">
        <x:is>
          <x:t xml:space="preserve">FileUpload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Public API</x:t>
        </x:is>
      </x:c>
      <x:c r="C81" s="84" t="inlineStr">
        <x:is>
          <x:t xml:space="preserve">Item</x:t>
        </x:is>
      </x:c>
      <x:c r="D81" s="84" t="inlineStr">
        <x:is>
          <x:t xml:space="preserve">[data-slot] prop behavior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</x:t>
        </x:is>
      </x:c>
      <x:c r="H81" s="86" t="inlineStr">
        <x:is>
          <x:t xml:space="preserve">covered</x:t>
        </x:is>
      </x:c>
      <x:c r="I81" s="84" t="inlineStr">
        <x:is>
          <x:t xml:space="preserve">FileUpload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Public API</x:t>
        </x:is>
      </x:c>
      <x:c r="C82" s="84" t="inlineStr">
        <x:is>
          <x:t xml:space="preserve">Item</x:t>
        </x:is>
      </x:c>
      <x:c r="D82" s="84" t="inlineStr">
        <x:is>
          <x:t xml:space="preserve">[data-name] prop behavior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</x:t>
        </x:is>
      </x:c>
      <x:c r="H82" s="86" t="inlineStr">
        <x:is>
          <x:t xml:space="preserve">covered</x:t>
        </x:is>
      </x:c>
      <x:c r="I82" s="84" t="inlineStr">
        <x:is>
          <x:t xml:space="preserve">FileUpload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Public API</x:t>
        </x:is>
      </x:c>
      <x:c r="C83" s="84" t="inlineStr">
        <x:is>
          <x:t xml:space="preserve">Item</x:t>
        </x:is>
      </x:c>
      <x:c r="D83" s="84" t="inlineStr">
        <x:is>
          <x:t xml:space="preserve">[data-size] prop behavior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</x:t>
        </x:is>
      </x:c>
      <x:c r="H83" s="86" t="inlineStr">
        <x:is>
          <x:t xml:space="preserve">covered</x:t>
        </x:is>
      </x:c>
      <x:c r="I83" s="84" t="inlineStr">
        <x:is>
          <x:t xml:space="preserve">FileUpload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Anatomy</x:t>
        </x:is>
      </x:c>
      <x:c r="C84" s="84" t="inlineStr">
        <x:is>
          <x:t xml:space="preserve">Dropzone</x:t>
        </x:is>
      </x:c>
      <x:c r="D84" s="84" t="inlineStr">
        <x:is>
          <x:t xml:space="preserve">renders correct part when expected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</x:t>
        </x:is>
      </x:c>
      <x:c r="H84" s="86" t="inlineStr">
        <x:is>
          <x:t xml:space="preserve">covered</x:t>
        </x:is>
      </x:c>
      <x:c r="I84" s="84" t="inlineStr">
        <x:is>
          <x:t xml:space="preserve">FileUpload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30" customHeight="1">
      <x:c r="A85" s="73" t="n">
        <x:v>77</x:v>
      </x:c>
      <x:c r="B85" s="84" t="inlineStr">
        <x:is>
          <x:t xml:space="preserve">Anatomy</x:t>
        </x:is>
      </x:c>
      <x:c r="C85" s="84" t="inlineStr">
        <x:is>
          <x:t xml:space="preserve">Dropzone</x:t>
        </x:is>
      </x:c>
      <x:c r="D85" s="84" t="inlineStr">
        <x:is>
          <x:t xml:space="preserve">appears in documented order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</x:t>
        </x:is>
      </x:c>
      <x:c r="H85" s="86" t="inlineStr">
        <x:is>
          <x:t xml:space="preserve">covered</x:t>
        </x:is>
      </x:c>
      <x:c r="I85" s="84" t="inlineStr">
        <x:is>
          <x:t xml:space="preserve">FileUpload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Identity</x:t>
        </x:is>
      </x:c>
      <x:c r="C86" s="84" t="inlineStr">
        <x:is>
          <x:t xml:space="preserve">Dropzone</x:t>
        </x:is>
      </x:c>
      <x:c r="D86" s="84" t="inlineStr">
        <x:is>
          <x:t xml:space="preserve">default tag is visible in Anatomy/Inspector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</x:t>
        </x:is>
      </x:c>
      <x:c r="H86" s="86" t="inlineStr">
        <x:is>
          <x:t xml:space="preserve">covered</x:t>
        </x:is>
      </x:c>
      <x:c r="I86" s="84" t="inlineStr">
        <x:is>
          <x:t xml:space="preserve">FileUpload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Identity</x:t>
        </x:is>
      </x:c>
      <x:c r="C87" s="84" t="inlineStr">
        <x:is>
          <x:t xml:space="preserve">Dropzone</x:t>
        </x:is>
      </x:c>
      <x:c r="D87" s="84" t="inlineStr">
        <x:is>
          <x:t xml:space="preserve">data-slot is present and correct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</x:t>
        </x:is>
      </x:c>
      <x:c r="H87" s="86" t="inlineStr">
        <x:is>
          <x:t xml:space="preserve">covered</x:t>
        </x:is>
      </x:c>
      <x:c r="I87" s="84" t="inlineStr">
        <x:is>
          <x:t xml:space="preserve">FileUpload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Props</x:t>
        </x:is>
      </x:c>
      <x:c r="C88" s="84" t="inlineStr">
        <x:is>
          <x:t xml:space="preserve">Dropzone</x:t>
        </x:is>
      </x:c>
      <x:c r="D88" s="84" t="inlineStr">
        <x:is>
          <x:t xml:space="preserve">non-Atom native props pass through with data-prop-check marker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</x:t>
        </x:is>
      </x:c>
      <x:c r="H88" s="86" t="inlineStr">
        <x:is>
          <x:t xml:space="preserve">covered</x:t>
        </x:is>
      </x:c>
      <x:c r="I88" s="84" t="inlineStr">
        <x:is>
          <x:t xml:space="preserve">FileUpload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Refs</x:t>
        </x:is>
      </x:c>
      <x:c r="C89" s="84" t="inlineStr">
        <x:is>
          <x:t xml:space="preserve">Dropzone</x:t>
        </x:is>
      </x:c>
      <x:c r="D89" s="84" t="inlineStr">
        <x:is>
          <x:t xml:space="preserve">consumer ref receives the rendered element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</x:t>
        </x:is>
      </x:c>
      <x:c r="H89" s="86" t="inlineStr">
        <x:is>
          <x:t xml:space="preserve">covered</x:t>
        </x:is>
      </x:c>
      <x:c r="I89" s="84" t="inlineStr">
        <x:is>
          <x:t xml:space="preserve">FileUpload playground scenario.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Content</x:t>
        </x:is>
      </x:c>
      <x:c r="C90" s="84" t="inlineStr">
        <x:is>
          <x:t xml:space="preserve">Dropzone</x:t>
        </x:is>
      </x:c>
      <x:c r="D90" s="84" t="inlineStr">
        <x:is>
          <x:t xml:space="preserve">visible dropzone text is shown in Anatomy and Inspector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</x:t>
        </x:is>
      </x:c>
      <x:c r="H90" s="86" t="inlineStr">
        <x:is>
          <x:t xml:space="preserve">covered</x:t>
        </x:is>
      </x:c>
      <x:c r="I90" s="84" t="inlineStr">
        <x:is>
          <x:t xml:space="preserve">FileUpload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Public API</x:t>
        </x:is>
      </x:c>
      <x:c r="C91" s="84" t="inlineStr">
        <x:is>
          <x:t xml:space="preserve">Dropzone</x:t>
        </x:is>
      </x:c>
      <x:c r="D91" s="84" t="inlineStr">
        <x:is>
          <x:t xml:space="preserve">Enter prop behavior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</x:t>
        </x:is>
      </x:c>
      <x:c r="H91" s="86" t="inlineStr">
        <x:is>
          <x:t xml:space="preserve">covered</x:t>
        </x:is>
      </x:c>
      <x:c r="I91" s="84" t="inlineStr">
        <x:is>
          <x:t xml:space="preserve">FileUpload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Public API</x:t>
        </x:is>
      </x:c>
      <x:c r="C92" s="84" t="inlineStr">
        <x:is>
          <x:t xml:space="preserve">Dropzone</x:t>
        </x:is>
      </x:c>
      <x:c r="D92" s="84" t="inlineStr">
        <x:is>
          <x:t xml:space="preserve">Space prop behavior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</x:t>
        </x:is>
      </x:c>
      <x:c r="H92" s="86" t="inlineStr">
        <x:is>
          <x:t xml:space="preserve">covered</x:t>
        </x:is>
      </x:c>
      <x:c r="I92" s="84" t="inlineStr">
        <x:is>
          <x:t xml:space="preserve">FileUpload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Public API</x:t>
        </x:is>
      </x:c>
      <x:c r="C93" s="84" t="inlineStr">
        <x:is>
          <x:t xml:space="preserve">Dropzone</x:t>
        </x:is>
      </x:c>
      <x:c r="D93" s="84" t="inlineStr">
        <x:is>
          <x:t xml:space="preserve">Tab prop behavior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</x:t>
        </x:is>
      </x:c>
      <x:c r="H93" s="86" t="inlineStr">
        <x:is>
          <x:t xml:space="preserve">covered</x:t>
        </x:is>
      </x:c>
      <x:c r="I93" s="84" t="inlineStr">
        <x:is>
          <x:t xml:space="preserve">FileUpload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30" customHeight="1">
      <x:c r="A94" s="73" t="n">
        <x:v>86</x:v>
      </x:c>
      <x:c r="B94" s="84" t="inlineStr">
        <x:is>
          <x:t xml:space="preserve">Anatomy</x:t>
        </x:is>
      </x:c>
      <x:c r="C94" s="84" t="inlineStr">
        <x:is>
          <x:t xml:space="preserve">HiddenInput</x:t>
        </x:is>
      </x:c>
      <x:c r="D94" s="84" t="inlineStr">
        <x:is>
          <x:t xml:space="preserve">renders correct part when expected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</x:t>
        </x:is>
      </x:c>
      <x:c r="H94" s="86" t="inlineStr">
        <x:is>
          <x:t xml:space="preserve">covered</x:t>
        </x:is>
      </x:c>
      <x:c r="I94" s="84" t="inlineStr">
        <x:is>
          <x:t xml:space="preserve">FileUpload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Anatomy</x:t>
        </x:is>
      </x:c>
      <x:c r="C95" s="84" t="inlineStr">
        <x:is>
          <x:t xml:space="preserve">HiddenInput</x:t>
        </x:is>
      </x:c>
      <x:c r="D95" s="84" t="inlineStr">
        <x:is>
          <x:t xml:space="preserve">appears in documented order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</x:t>
        </x:is>
      </x:c>
      <x:c r="H95" s="86" t="inlineStr">
        <x:is>
          <x:t xml:space="preserve">covered</x:t>
        </x:is>
      </x:c>
      <x:c r="I95" s="84" t="inlineStr">
        <x:is>
          <x:t xml:space="preserve">FileUpload playground scenario.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Identity</x:t>
        </x:is>
      </x:c>
      <x:c r="C96" s="84" t="inlineStr">
        <x:is>
          <x:t xml:space="preserve">HiddenInput</x:t>
        </x:is>
      </x:c>
      <x:c r="D96" s="84" t="inlineStr">
        <x:is>
          <x:t xml:space="preserve">default tag is visible in Anatomy/Inspector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</x:t>
        </x:is>
      </x:c>
      <x:c r="H96" s="86" t="inlineStr">
        <x:is>
          <x:t xml:space="preserve">covered</x:t>
        </x:is>
      </x:c>
      <x:c r="I96" s="84" t="inlineStr">
        <x:is>
          <x:t xml:space="preserve">FileUpload playground scenario.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Identity</x:t>
        </x:is>
      </x:c>
      <x:c r="C97" s="84" t="inlineStr">
        <x:is>
          <x:t xml:space="preserve">HiddenInput</x:t>
        </x:is>
      </x:c>
      <x:c r="D97" s="84" t="inlineStr">
        <x:is>
          <x:t xml:space="preserve">data-slot is present and correct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</x:t>
        </x:is>
      </x:c>
      <x:c r="H97" s="86" t="inlineStr">
        <x:is>
          <x:t xml:space="preserve">covered</x:t>
        </x:is>
      </x:c>
      <x:c r="I97" s="84" t="inlineStr">
        <x:is>
          <x:t xml:space="preserve">FileUpload playground scenario.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Props</x:t>
        </x:is>
      </x:c>
      <x:c r="C98" s="84" t="inlineStr">
        <x:is>
          <x:t xml:space="preserve">HiddenInput</x:t>
        </x:is>
      </x:c>
      <x:c r="D98" s="84" t="inlineStr">
        <x:is>
          <x:t xml:space="preserve">non-Atom native props pass through with data-prop-check marker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</x:t>
        </x:is>
      </x:c>
      <x:c r="H98" s="86" t="inlineStr">
        <x:is>
          <x:t xml:space="preserve">covered</x:t>
        </x:is>
      </x:c>
      <x:c r="I98" s="84" t="inlineStr">
        <x:is>
          <x:t xml:space="preserve">FileUpload playground scenario.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Refs</x:t>
        </x:is>
      </x:c>
      <x:c r="C99" s="84" t="inlineStr">
        <x:is>
          <x:t xml:space="preserve">HiddenInput</x:t>
        </x:is>
      </x:c>
      <x:c r="D99" s="84" t="inlineStr">
        <x:is>
          <x:t xml:space="preserve">consumer ref receives the rendered element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</x:t>
        </x:is>
      </x:c>
      <x:c r="H99" s="86" t="inlineStr">
        <x:is>
          <x:t xml:space="preserve">covered</x:t>
        </x:is>
      </x:c>
      <x:c r="I99" s="84" t="inlineStr">
        <x:is>
          <x:t xml:space="preserve">FileUpload playground scenario.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Native Attrs</x:t>
        </x:is>
      </x:c>
      <x:c r="C100" s="84" t="inlineStr">
        <x:is>
          <x:t xml:space="preserve">HiddenInput</x:t>
        </x:is>
      </x:c>
      <x:c r="D100" s="84" t="inlineStr">
        <x:is>
          <x:t xml:space="preserve">accept mirrors Root accept on the native file input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</x:t>
        </x:is>
      </x:c>
      <x:c r="H100" s="86" t="inlineStr">
        <x:is>
          <x:t xml:space="preserve">covered</x:t>
        </x:is>
      </x:c>
      <x:c r="I100" s="84" t="inlineStr">
        <x:is>
          <x:t xml:space="preserve">FileUpload playground scenario.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30" customHeight="1">
      <x:c r="A101" s="73" t="n">
        <x:v>93</x:v>
      </x:c>
      <x:c r="B101" s="84" t="inlineStr">
        <x:is>
          <x:t xml:space="preserve">Native Attrs</x:t>
        </x:is>
      </x:c>
      <x:c r="C101" s="84" t="inlineStr">
        <x:is>
          <x:t xml:space="preserve">HiddenInput</x:t>
        </x:is>
      </x:c>
      <x:c r="D101" s="84" t="inlineStr">
        <x:is>
          <x:t xml:space="preserve">multiple mirrors Root multiple on the native file input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</x:t>
        </x:is>
      </x:c>
      <x:c r="H101" s="86" t="inlineStr">
        <x:is>
          <x:t xml:space="preserve">covered</x:t>
        </x:is>
      </x:c>
      <x:c r="I101" s="84" t="inlineStr">
        <x:is>
          <x:t xml:space="preserve">FileUpload playground scenario.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Native Attrs</x:t>
        </x:is>
      </x:c>
      <x:c r="C102" s="84" t="inlineStr">
        <x:is>
          <x:t xml:space="preserve">HiddenInput</x:t>
        </x:is>
      </x:c>
      <x:c r="D102" s="84" t="inlineStr">
        <x:is>
          <x:t xml:space="preserve">name mirrors Root name on the native file input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</x:t>
        </x:is>
      </x:c>
      <x:c r="H102" s="86" t="inlineStr">
        <x:is>
          <x:t xml:space="preserve">covered</x:t>
        </x:is>
      </x:c>
      <x:c r="I102" s="84" t="inlineStr">
        <x:is>
          <x:t xml:space="preserve">FileUpload playground scenario.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Native Attrs</x:t>
        </x:is>
      </x:c>
      <x:c r="C103" s="84" t="inlineStr">
        <x:is>
          <x:t xml:space="preserve">HiddenInput</x:t>
        </x:is>
      </x:c>
      <x:c r="D103" s="84" t="inlineStr">
        <x:is>
          <x:t xml:space="preserve">form mirrors Root form on the native file input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</x:t>
        </x:is>
      </x:c>
      <x:c r="H103" s="86" t="inlineStr">
        <x:is>
          <x:t xml:space="preserve">covered</x:t>
        </x:is>
      </x:c>
      <x:c r="I103" s="84" t="inlineStr">
        <x:is>
          <x:t xml:space="preserve">FileUpload playground scenario.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Native Attrs</x:t>
        </x:is>
      </x:c>
      <x:c r="C104" s="84" t="inlineStr">
        <x:is>
          <x:t xml:space="preserve">HiddenInput</x:t>
        </x:is>
      </x:c>
      <x:c r="D104" s="84" t="inlineStr">
        <x:is>
          <x:t xml:space="preserve">required mirrors Root or Field required on the native file input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</x:t>
        </x:is>
      </x:c>
      <x:c r="H104" s="86" t="inlineStr">
        <x:is>
          <x:t xml:space="preserve">covered</x:t>
        </x:is>
      </x:c>
      <x:c r="I104" s="84" t="inlineStr">
        <x:is>
          <x:t xml:space="preserve">FileUpload playground scenario.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Native Attrs</x:t>
        </x:is>
      </x:c>
      <x:c r="C105" s="84" t="inlineStr">
        <x:is>
          <x:t xml:space="preserve">HiddenInput</x:t>
        </x:is>
      </x:c>
      <x:c r="D105" s="84" t="inlineStr">
        <x:is>
          <x:t xml:space="preserve">disabled mirrors Root or Field disabled on the native file input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</x:t>
        </x:is>
      </x:c>
      <x:c r="H105" s="86" t="inlineStr">
        <x:is>
          <x:t xml:space="preserve">covered</x:t>
        </x:is>
      </x:c>
      <x:c r="I105" s="84" t="inlineStr">
        <x:is>
          <x:t xml:space="preserve">FileUpload playground scenario.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ARIA</x:t>
        </x:is>
      </x:c>
      <x:c r="C106" s="84" t="inlineStr">
        <x:is>
          <x:t xml:space="preserve">HiddenInput</x:t>
        </x:is>
      </x:c>
      <x:c r="D106" s="84" t="inlineStr">
        <x:is>
          <x:t xml:space="preserve">aria-describedby mirrors Field description and error ids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</x:t>
        </x:is>
      </x:c>
      <x:c r="H106" s="86" t="inlineStr">
        <x:is>
          <x:t xml:space="preserve">covered</x:t>
        </x:is>
      </x:c>
      <x:c r="I106" s="84" t="inlineStr">
        <x:is>
          <x:t xml:space="preserve">FileUpload playground scenario.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ARIA</x:t>
        </x:is>
      </x:c>
      <x:c r="C107" s="84" t="inlineStr">
        <x:is>
          <x:t xml:space="preserve">HiddenInput</x:t>
        </x:is>
      </x:c>
      <x:c r="D107" s="84" t="inlineStr">
        <x:is>
          <x:t xml:space="preserve">aria-invalid mirrors Root or Field invalid state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</x:t>
        </x:is>
      </x:c>
      <x:c r="H107" s="86" t="inlineStr">
        <x:is>
          <x:t xml:space="preserve">covered</x:t>
        </x:is>
      </x:c>
      <x:c r="I107" s="84" t="inlineStr">
        <x:is>
          <x:t xml:space="preserve">FileUpload playground scenario.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Public API</x:t>
        </x:is>
      </x:c>
      <x:c r="C108" s="84" t="inlineStr">
        <x:is>
          <x:t xml:space="preserve">HiddenInput</x:t>
        </x:is>
      </x:c>
      <x:c r="D108" s="84" t="inlineStr">
        <x:is>
          <x:t xml:space="preserve">data-slot prop behavior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</x:t>
        </x:is>
      </x:c>
      <x:c r="H108" s="86" t="inlineStr">
        <x:is>
          <x:t xml:space="preserve">covered</x:t>
        </x:is>
      </x:c>
      <x:c r="I108" s="84" t="inlineStr">
        <x:is>
          <x:t xml:space="preserve">FileUpload playground scenario.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Anatomy</x:t>
        </x:is>
      </x:c>
      <x:c r="C109" s="84" t="inlineStr">
        <x:is>
          <x:t xml:space="preserve">ItemDeleteTrigger</x:t>
        </x:is>
      </x:c>
      <x:c r="D109" s="84" t="inlineStr">
        <x:is>
          <x:t xml:space="preserve">renders correct part when expected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</x:t>
        </x:is>
      </x:c>
      <x:c r="H109" s="86" t="inlineStr">
        <x:is>
          <x:t xml:space="preserve">covered</x:t>
        </x:is>
      </x:c>
      <x:c r="I109" s="84" t="inlineStr">
        <x:is>
          <x:t xml:space="preserve">FileUpload playground scenario.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Anatomy</x:t>
        </x:is>
      </x:c>
      <x:c r="C110" s="84" t="inlineStr">
        <x:is>
          <x:t xml:space="preserve">ItemDeleteTrigger</x:t>
        </x:is>
      </x:c>
      <x:c r="D110" s="84" t="inlineStr">
        <x:is>
          <x:t xml:space="preserve">appears in documented order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</x:t>
        </x:is>
      </x:c>
      <x:c r="H110" s="86" t="inlineStr">
        <x:is>
          <x:t xml:space="preserve">covered</x:t>
        </x:is>
      </x:c>
      <x:c r="I110" s="84" t="inlineStr">
        <x:is>
          <x:t xml:space="preserve">FileUpload playground scenario.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Identity</x:t>
        </x:is>
      </x:c>
      <x:c r="C111" s="84" t="inlineStr">
        <x:is>
          <x:t xml:space="preserve">ItemDeleteTrigger</x:t>
        </x:is>
      </x:c>
      <x:c r="D111" s="84" t="inlineStr">
        <x:is>
          <x:t xml:space="preserve">default tag is visible in Anatomy/Inspector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</x:t>
        </x:is>
      </x:c>
      <x:c r="H111" s="86" t="inlineStr">
        <x:is>
          <x:t xml:space="preserve">covered</x:t>
        </x:is>
      </x:c>
      <x:c r="I111" s="84" t="inlineStr">
        <x:is>
          <x:t xml:space="preserve">FileUpload playground scenario.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Identity</x:t>
        </x:is>
      </x:c>
      <x:c r="C112" s="84" t="inlineStr">
        <x:is>
          <x:t xml:space="preserve">ItemDeleteTrigger</x:t>
        </x:is>
      </x:c>
      <x:c r="D112" s="84" t="inlineStr">
        <x:is>
          <x:t xml:space="preserve">data-slot is present and correct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</x:t>
        </x:is>
      </x:c>
      <x:c r="H112" s="86" t="inlineStr">
        <x:is>
          <x:t xml:space="preserve">covered</x:t>
        </x:is>
      </x:c>
      <x:c r="I112" s="84" t="inlineStr">
        <x:is>
          <x:t xml:space="preserve">FileUpload playground scenario.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15" customHeight="1">
      <x:c r="A113" s="73" t="n">
        <x:v>105</x:v>
      </x:c>
      <x:c r="B113" s="84" t="inlineStr">
        <x:is>
          <x:t xml:space="preserve">Props</x:t>
        </x:is>
      </x:c>
      <x:c r="C113" s="84" t="inlineStr">
        <x:is>
          <x:t xml:space="preserve">ItemDeleteTrigger</x:t>
        </x:is>
      </x:c>
      <x:c r="D113" s="84" t="inlineStr">
        <x:is>
          <x:t xml:space="preserve">non-Atom native props pass through with data-prop-check marker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</x:t>
        </x:is>
      </x:c>
      <x:c r="H113" s="86" t="inlineStr">
        <x:is>
          <x:t xml:space="preserve">covered</x:t>
        </x:is>
      </x:c>
      <x:c r="I113" s="84" t="inlineStr">
        <x:is>
          <x:t xml:space="preserve">FileUpload playground scenario.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30" customHeight="1">
      <x:c r="A114" s="73" t="n">
        <x:v>106</x:v>
      </x:c>
      <x:c r="B114" s="84" t="inlineStr">
        <x:is>
          <x:t xml:space="preserve">Refs</x:t>
        </x:is>
      </x:c>
      <x:c r="C114" s="84" t="inlineStr">
        <x:is>
          <x:t xml:space="preserve">ItemDeleteTrigger</x:t>
        </x:is>
      </x:c>
      <x:c r="D114" s="84" t="inlineStr">
        <x:is>
          <x:t xml:space="preserve">consumer ref receives the rendered element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</x:t>
        </x:is>
      </x:c>
      <x:c r="H114" s="86" t="inlineStr">
        <x:is>
          <x:t xml:space="preserve">covered</x:t>
        </x:is>
      </x:c>
      <x:c r="I114" s="84" t="inlineStr">
        <x:is>
          <x:t xml:space="preserve">FileUpload playground scenario.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15" customHeight="1">
      <x:c r="A115" s="73" t="n">
        <x:v>107</x:v>
      </x:c>
      <x:c r="B115" s="84" t="inlineStr">
        <x:is>
          <x:t xml:space="preserve">Composition</x:t>
        </x:is>
      </x:c>
      <x:c r="C115" s="84" t="inlineStr">
        <x:is>
          <x:t xml:space="preserve">ItemDeleteTrigger</x:t>
        </x:is>
      </x:c>
      <x:c r="D115" s="84" t="inlineStr">
        <x:is>
          <x:t xml:space="preserve">asChild prop behavior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</x:t>
        </x:is>
      </x:c>
      <x:c r="H115" s="86" t="inlineStr">
        <x:is>
          <x:t xml:space="preserve">covered</x:t>
        </x:is>
      </x:c>
      <x:c r="I115" s="84" t="inlineStr">
        <x:is>
          <x:t xml:space="preserve">FileUpload playground scenario.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Composition</x:t>
        </x:is>
      </x:c>
      <x:c r="C116" s="84" t="inlineStr">
        <x:is>
          <x:t xml:space="preserve">ItemDeleteTrigger</x:t>
        </x:is>
      </x:c>
      <x:c r="D116" s="84" t="inlineStr">
        <x:is>
          <x:t xml:space="preserve">render prop behavior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</x:t>
        </x:is>
      </x:c>
      <x:c r="H116" s="86" t="inlineStr">
        <x:is>
          <x:t xml:space="preserve">covered</x:t>
        </x:is>
      </x:c>
      <x:c r="I116" s="84" t="inlineStr">
        <x:is>
          <x:t xml:space="preserve">FileUpload playground scenario.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Accessibility</x:t>
        </x:is>
      </x:c>
      <x:c r="C117" s="84" t="inlineStr">
        <x:is>
          <x:t xml:space="preserve">ItemDeleteTrigger</x:t>
        </x:is>
      </x:c>
      <x:c r="D117" s="84" t="inlineStr">
        <x:is>
          <x:t xml:space="preserve">aria-label prop behavior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</x:t>
        </x:is>
      </x:c>
      <x:c r="H117" s="86" t="inlineStr">
        <x:is>
          <x:t xml:space="preserve">covered</x:t>
        </x:is>
      </x:c>
      <x:c r="I117" s="84" t="inlineStr">
        <x:is>
          <x:t xml:space="preserve">FileUpload playground scenario.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15" customHeight="1">
      <x:c r="A118" s="73" t="n">
        <x:v>110</x:v>
      </x:c>
      <x:c r="B118" s="84" t="inlineStr">
        <x:is>
          <x:t xml:space="preserve">Public API</x:t>
        </x:is>
      </x:c>
      <x:c r="C118" s="84" t="inlineStr">
        <x:is>
          <x:t xml:space="preserve">ItemDeleteTrigger</x:t>
        </x:is>
      </x:c>
      <x:c r="D118" s="84" t="inlineStr">
        <x:is>
          <x:t xml:space="preserve">data-slot prop behavior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</x:t>
        </x:is>
      </x:c>
      <x:c r="H118" s="86" t="inlineStr">
        <x:is>
          <x:t xml:space="preserve">covered</x:t>
        </x:is>
      </x:c>
      <x:c r="I118" s="84" t="inlineStr">
        <x:is>
          <x:t xml:space="preserve">FileUpload playground scenario.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15" customHeight="1">
      <x:c r="A119" s="73" t="n">
        <x:v>111</x:v>
      </x:c>
      <x:c r="B119" s="84" t="inlineStr">
        <x:is>
          <x:t xml:space="preserve">Public API</x:t>
        </x:is>
      </x:c>
      <x:c r="C119" s="84" t="inlineStr">
        <x:is>
          <x:t xml:space="preserve">ItemDeleteTrigger</x:t>
        </x:is>
      </x:c>
      <x:c r="D119" s="84" t="inlineStr">
        <x:is>
          <x:t xml:space="preserve">[data-slot] prop behavior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</x:t>
        </x:is>
      </x:c>
      <x:c r="H119" s="86" t="inlineStr">
        <x:is>
          <x:t xml:space="preserve">covered</x:t>
        </x:is>
      </x:c>
      <x:c r="I119" s="84" t="inlineStr">
        <x:is>
          <x:t xml:space="preserve">FileUpload playground scenario.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15" customHeight="1">
      <x:c r="A120" s="73" t="n">
        <x:v>112</x:v>
      </x:c>
      <x:c r="B120" s="84" t="inlineStr">
        <x:is>
          <x:t xml:space="preserve">State</x:t>
        </x:is>
      </x:c>
      <x:c r="C120" s="84" t="inlineStr">
        <x:is>
          <x:t xml:space="preserve">ItemDeleteTrigger</x:t>
        </x:is>
      </x:c>
      <x:c r="D120" s="84" t="inlineStr">
        <x:is>
          <x:t xml:space="preserve">[data-disabled] prop behavior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</x:t>
        </x:is>
      </x:c>
      <x:c r="H120" s="86" t="inlineStr">
        <x:is>
          <x:t xml:space="preserve">covered</x:t>
        </x:is>
      </x:c>
      <x:c r="I120" s="84" t="inlineStr">
        <x:is>
          <x:t xml:space="preserve">FileUpload playground scenario.</x:t>
        </x:is>
      </x:c>
      <x:c r="J120" s="84" t="n"/>
      <x:c r="K120" s="87" t="n">
        <x:f>IF(AND(E120="yes",F120="yes",H120="covered"),1,IF(H120="partial",0.5,0))</x:f>
        <x:v>1</x:v>
      </x:c>
    </x:row>
    <x:row r="121" s="51" customFormat="1" ht="15" customHeight="1">
      <x:c r="A121" s="73" t="n">
        <x:v>113</x:v>
      </x:c>
      <x:c r="B121" s="84" t="inlineStr">
        <x:is>
          <x:t xml:space="preserve">State</x:t>
        </x:is>
      </x:c>
      <x:c r="C121" s="84" t="inlineStr">
        <x:is>
          <x:t xml:space="preserve">ItemDeleteTrigger</x:t>
        </x:is>
      </x:c>
      <x:c r="D121" s="84" t="inlineStr">
        <x:is>
          <x:t xml:space="preserve">[data-readonly] prop behavior</x:t>
        </x:is>
      </x:c>
      <x:c r="E121" s="76" t="inlineStr">
        <x:is>
          <x:t xml:space="preserve">yes</x:t>
        </x:is>
      </x:c>
      <x:c r="F121" s="85" t="inlineStr">
        <x:is>
          <x:t xml:space="preserve">yes</x:t>
        </x:is>
      </x:c>
      <x:c r="G121" s="73" t="inlineStr">
        <x:is>
          <x:t xml:space="preserve">passed</x:t>
        </x:is>
      </x:c>
      <x:c r="H121" s="86" t="inlineStr">
        <x:is>
          <x:t xml:space="preserve">covered</x:t>
        </x:is>
      </x:c>
      <x:c r="I121" s="84" t="inlineStr">
        <x:is>
          <x:t xml:space="preserve">FileUpload playground scenario.</x:t>
        </x:is>
      </x:c>
      <x:c r="J121" s="84" t="n"/>
      <x:c r="K121" s="87" t="n">
        <x:f>IF(AND(E121="yes",F121="yes",H121="covered"),1,IF(H121="partial",0.5,0))</x:f>
        <x:v>1</x:v>
      </x:c>
    </x:row>
    <x:row r="122" s="51" customFormat="1" ht="15" customHeight="1">
      <x:c r="A122" s="73" t="n">
        <x:v>114</x:v>
      </x:c>
      <x:c r="B122" s="84" t="inlineStr">
        <x:is>
          <x:t xml:space="preserve">Content</x:t>
        </x:is>
      </x:c>
      <x:c r="C122" s="84" t="inlineStr">
        <x:is>
          <x:t xml:space="preserve">ItemDeleteTrigger</x:t>
        </x:is>
      </x:c>
      <x:c r="D122" s="84" t="inlineStr">
        <x:is>
          <x:t xml:space="preserve">visible delete trigger text is shown in Anatomy and Inspector</x:t>
        </x:is>
      </x:c>
      <x:c r="E122" s="76" t="inlineStr">
        <x:is>
          <x:t xml:space="preserve">yes</x:t>
        </x:is>
      </x:c>
      <x:c r="F122" s="85" t="inlineStr">
        <x:is>
          <x:t xml:space="preserve">yes</x:t>
        </x:is>
      </x:c>
      <x:c r="G122" s="73" t="inlineStr">
        <x:is>
          <x:t xml:space="preserve">passed</x:t>
        </x:is>
      </x:c>
      <x:c r="H122" s="86" t="inlineStr">
        <x:is>
          <x:t xml:space="preserve">covered</x:t>
        </x:is>
      </x:c>
      <x:c r="I122" s="84" t="inlineStr">
        <x:is>
          <x:t xml:space="preserve">FileUpload playground scenario.</x:t>
        </x:is>
      </x:c>
      <x:c r="J122" s="84" t="n"/>
      <x:c r="K122" s="87" t="n">
        <x:f>IF(AND(E122="yes",F122="yes",H122="covered"),1,IF(H122="partial",0.5,0))</x:f>
        <x:v>1</x:v>
      </x:c>
    </x:row>
    <x:row r="123" s="51" customFormat="1" ht="15" customHeight="1">
      <x:c r="A123" s="73" t="n">
        <x:v>115</x:v>
      </x:c>
      <x:c r="B123" s="84" t="inlineStr">
        <x:is>
          <x:t xml:space="preserve">Anatomy</x:t>
        </x:is>
      </x:c>
      <x:c r="C123" s="84" t="inlineStr">
        <x:is>
          <x:t xml:space="preserve">ItemGroup</x:t>
        </x:is>
      </x:c>
      <x:c r="D123" s="84" t="inlineStr">
        <x:is>
          <x:t xml:space="preserve">renders correct part when expected</x:t>
        </x:is>
      </x:c>
      <x:c r="E123" s="76" t="inlineStr">
        <x:is>
          <x:t xml:space="preserve">yes</x:t>
        </x:is>
      </x:c>
      <x:c r="F123" s="85" t="inlineStr">
        <x:is>
          <x:t xml:space="preserve">yes</x:t>
        </x:is>
      </x:c>
      <x:c r="G123" s="73" t="inlineStr">
        <x:is>
          <x:t xml:space="preserve">passed</x:t>
        </x:is>
      </x:c>
      <x:c r="H123" s="86" t="inlineStr">
        <x:is>
          <x:t xml:space="preserve">covered</x:t>
        </x:is>
      </x:c>
      <x:c r="I123" s="84" t="inlineStr">
        <x:is>
          <x:t xml:space="preserve">FileUpload playground scenario.</x:t>
        </x:is>
      </x:c>
      <x:c r="J123" s="84" t="n"/>
      <x:c r="K123" s="87" t="n">
        <x:f>IF(AND(E123="yes",F123="yes",H123="covered"),1,IF(H123="partial",0.5,0))</x:f>
        <x:v>1</x:v>
      </x:c>
    </x:row>
    <x:row r="124" s="51" customFormat="1" ht="15" customHeight="1">
      <x:c r="A124" s="73" t="n">
        <x:v>116</x:v>
      </x:c>
      <x:c r="B124" s="84" t="inlineStr">
        <x:is>
          <x:t xml:space="preserve">Anatomy</x:t>
        </x:is>
      </x:c>
      <x:c r="C124" s="84" t="inlineStr">
        <x:is>
          <x:t xml:space="preserve">ItemGroup</x:t>
        </x:is>
      </x:c>
      <x:c r="D124" s="84" t="inlineStr">
        <x:is>
          <x:t xml:space="preserve">appears in documented order</x:t>
        </x:is>
      </x:c>
      <x:c r="E124" s="76" t="inlineStr">
        <x:is>
          <x:t xml:space="preserve">yes</x:t>
        </x:is>
      </x:c>
      <x:c r="F124" s="85" t="inlineStr">
        <x:is>
          <x:t xml:space="preserve">yes</x:t>
        </x:is>
      </x:c>
      <x:c r="G124" s="73" t="inlineStr">
        <x:is>
          <x:t xml:space="preserve">passed</x:t>
        </x:is>
      </x:c>
      <x:c r="H124" s="86" t="inlineStr">
        <x:is>
          <x:t xml:space="preserve">covered</x:t>
        </x:is>
      </x:c>
      <x:c r="I124" s="84" t="inlineStr">
        <x:is>
          <x:t xml:space="preserve">FileUpload playground scenario.</x:t>
        </x:is>
      </x:c>
      <x:c r="J124" s="84" t="n"/>
      <x:c r="K124" s="87" t="n">
        <x:f>IF(AND(E124="yes",F124="yes",H124="covered"),1,IF(H124="partial",0.5,0))</x:f>
        <x:v>1</x:v>
      </x:c>
    </x:row>
    <x:row r="125" s="51" customFormat="1" ht="30" customHeight="1">
      <x:c r="A125" s="73" t="n">
        <x:v>117</x:v>
      </x:c>
      <x:c r="B125" s="84" t="inlineStr">
        <x:is>
          <x:t xml:space="preserve">Identity</x:t>
        </x:is>
      </x:c>
      <x:c r="C125" s="84" t="inlineStr">
        <x:is>
          <x:t xml:space="preserve">ItemGroup</x:t>
        </x:is>
      </x:c>
      <x:c r="D125" s="84" t="inlineStr">
        <x:is>
          <x:t xml:space="preserve">default tag is visible in Anatomy/Inspector</x:t>
        </x:is>
      </x:c>
      <x:c r="E125" s="76" t="inlineStr">
        <x:is>
          <x:t xml:space="preserve">yes</x:t>
        </x:is>
      </x:c>
      <x:c r="F125" s="85" t="inlineStr">
        <x:is>
          <x:t xml:space="preserve">yes</x:t>
        </x:is>
      </x:c>
      <x:c r="G125" s="73" t="inlineStr">
        <x:is>
          <x:t xml:space="preserve">passed</x:t>
        </x:is>
      </x:c>
      <x:c r="H125" s="86" t="inlineStr">
        <x:is>
          <x:t xml:space="preserve">covered</x:t>
        </x:is>
      </x:c>
      <x:c r="I125" s="84" t="inlineStr">
        <x:is>
          <x:t xml:space="preserve">FileUpload playground scenario.</x:t>
        </x:is>
      </x:c>
      <x:c r="J125" s="84" t="n"/>
      <x:c r="K125" s="87" t="n">
        <x:f>IF(AND(E125="yes",F125="yes",H125="covered"),1,IF(H125="partial",0.5,0))</x:f>
        <x:v>1</x:v>
      </x:c>
    </x:row>
    <x:row r="126" s="51" customFormat="1" ht="15" customHeight="1">
      <x:c r="A126" s="73" t="n">
        <x:v>118</x:v>
      </x:c>
      <x:c r="B126" s="84" t="inlineStr">
        <x:is>
          <x:t xml:space="preserve">Identity</x:t>
        </x:is>
      </x:c>
      <x:c r="C126" s="84" t="inlineStr">
        <x:is>
          <x:t xml:space="preserve">ItemGroup</x:t>
        </x:is>
      </x:c>
      <x:c r="D126" s="84" t="inlineStr">
        <x:is>
          <x:t xml:space="preserve">data-slot is present and correct</x:t>
        </x:is>
      </x:c>
      <x:c r="E126" s="76" t="inlineStr">
        <x:is>
          <x:t xml:space="preserve">yes</x:t>
        </x:is>
      </x:c>
      <x:c r="F126" s="85" t="inlineStr">
        <x:is>
          <x:t xml:space="preserve">yes</x:t>
        </x:is>
      </x:c>
      <x:c r="G126" s="73" t="inlineStr">
        <x:is>
          <x:t xml:space="preserve">passed</x:t>
        </x:is>
      </x:c>
      <x:c r="H126" s="86" t="inlineStr">
        <x:is>
          <x:t xml:space="preserve">covered</x:t>
        </x:is>
      </x:c>
      <x:c r="I126" s="84" t="inlineStr">
        <x:is>
          <x:t xml:space="preserve">FileUpload playground scenario.</x:t>
        </x:is>
      </x:c>
      <x:c r="J126" s="84" t="n"/>
      <x:c r="K126" s="87" t="n">
        <x:f>IF(AND(E126="yes",F126="yes",H126="covered"),1,IF(H126="partial",0.5,0))</x:f>
        <x:v>1</x:v>
      </x:c>
    </x:row>
    <x:row r="127" s="51" customFormat="1" ht="15" customHeight="1">
      <x:c r="A127" s="73" t="n">
        <x:v>119</x:v>
      </x:c>
      <x:c r="B127" s="84" t="inlineStr">
        <x:is>
          <x:t xml:space="preserve">Props</x:t>
        </x:is>
      </x:c>
      <x:c r="C127" s="84" t="inlineStr">
        <x:is>
          <x:t xml:space="preserve">ItemGroup</x:t>
        </x:is>
      </x:c>
      <x:c r="D127" s="84" t="inlineStr">
        <x:is>
          <x:t xml:space="preserve">non-Atom native props pass through with data-prop-check marker</x:t>
        </x:is>
      </x:c>
      <x:c r="E127" s="76" t="inlineStr">
        <x:is>
          <x:t xml:space="preserve">yes</x:t>
        </x:is>
      </x:c>
      <x:c r="F127" s="85" t="inlineStr">
        <x:is>
          <x:t xml:space="preserve">yes</x:t>
        </x:is>
      </x:c>
      <x:c r="G127" s="73" t="inlineStr">
        <x:is>
          <x:t xml:space="preserve">passed</x:t>
        </x:is>
      </x:c>
      <x:c r="H127" s="86" t="inlineStr">
        <x:is>
          <x:t xml:space="preserve">covered</x:t>
        </x:is>
      </x:c>
      <x:c r="I127" s="84" t="inlineStr">
        <x:is>
          <x:t xml:space="preserve">FileUpload playground scenario.</x:t>
        </x:is>
      </x:c>
      <x:c r="J127" s="84" t="n"/>
      <x:c r="K127" s="87" t="n">
        <x:f>IF(AND(E127="yes",F127="yes",H127="covered"),1,IF(H127="partial",0.5,0))</x:f>
        <x:v>1</x:v>
      </x:c>
    </x:row>
    <x:row r="128" s="51" customFormat="1" ht="15" customHeight="1">
      <x:c r="A128" s="73" t="n">
        <x:v>120</x:v>
      </x:c>
      <x:c r="B128" s="84" t="inlineStr">
        <x:is>
          <x:t xml:space="preserve">Refs</x:t>
        </x:is>
      </x:c>
      <x:c r="C128" s="84" t="inlineStr">
        <x:is>
          <x:t xml:space="preserve">ItemGroup</x:t>
        </x:is>
      </x:c>
      <x:c r="D128" s="84" t="inlineStr">
        <x:is>
          <x:t xml:space="preserve">consumer ref receives the rendered element</x:t>
        </x:is>
      </x:c>
      <x:c r="E128" s="76" t="inlineStr">
        <x:is>
          <x:t xml:space="preserve">yes</x:t>
        </x:is>
      </x:c>
      <x:c r="F128" s="85" t="inlineStr">
        <x:is>
          <x:t xml:space="preserve">yes</x:t>
        </x:is>
      </x:c>
      <x:c r="G128" s="73" t="inlineStr">
        <x:is>
          <x:t xml:space="preserve">passed</x:t>
        </x:is>
      </x:c>
      <x:c r="H128" s="86" t="inlineStr">
        <x:is>
          <x:t xml:space="preserve">covered</x:t>
        </x:is>
      </x:c>
      <x:c r="I128" s="84" t="inlineStr">
        <x:is>
          <x:t xml:space="preserve">FileUpload playground scenario.</x:t>
        </x:is>
      </x:c>
      <x:c r="J128" s="84" t="n"/>
      <x:c r="K128" s="87" t="n">
        <x:f>IF(AND(E128="yes",F128="yes",H128="covered"),1,IF(H128="partial",0.5,0))</x:f>
        <x:v>1</x:v>
      </x:c>
    </x:row>
    <x:row r="129" s="51" customFormat="1" ht="15" customHeight="1">
      <x:c r="A129" s="73" t="n">
        <x:v>121</x:v>
      </x:c>
      <x:c r="B129" s="84" t="inlineStr">
        <x:is>
          <x:t xml:space="preserve">Composition</x:t>
        </x:is>
      </x:c>
      <x:c r="C129" s="84" t="inlineStr">
        <x:is>
          <x:t xml:space="preserve">ItemGroup</x:t>
        </x:is>
      </x:c>
      <x:c r="D129" s="84" t="inlineStr">
        <x:is>
          <x:t xml:space="preserve">asChild prop behavior</x:t>
        </x:is>
      </x:c>
      <x:c r="E129" s="76" t="inlineStr">
        <x:is>
          <x:t xml:space="preserve">yes</x:t>
        </x:is>
      </x:c>
      <x:c r="F129" s="85" t="inlineStr">
        <x:is>
          <x:t xml:space="preserve">yes</x:t>
        </x:is>
      </x:c>
      <x:c r="G129" s="73" t="inlineStr">
        <x:is>
          <x:t xml:space="preserve">passed</x:t>
        </x:is>
      </x:c>
      <x:c r="H129" s="86" t="inlineStr">
        <x:is>
          <x:t xml:space="preserve">covered</x:t>
        </x:is>
      </x:c>
      <x:c r="I129" s="84" t="inlineStr">
        <x:is>
          <x:t xml:space="preserve">FileUpload playground scenario.</x:t>
        </x:is>
      </x:c>
      <x:c r="J129" s="84" t="n"/>
      <x:c r="K129" s="87" t="n">
        <x:f>IF(AND(E129="yes",F129="yes",H129="covered"),1,IF(H129="partial",0.5,0))</x:f>
        <x:v>1</x:v>
      </x:c>
    </x:row>
    <x:row r="130" s="51" customFormat="1" ht="15" customHeight="1">
      <x:c r="A130" s="73" t="n">
        <x:v>122</x:v>
      </x:c>
      <x:c r="B130" s="84" t="inlineStr">
        <x:is>
          <x:t xml:space="preserve">Composition</x:t>
        </x:is>
      </x:c>
      <x:c r="C130" s="84" t="inlineStr">
        <x:is>
          <x:t xml:space="preserve">ItemGroup</x:t>
        </x:is>
      </x:c>
      <x:c r="D130" s="84" t="inlineStr">
        <x:is>
          <x:t xml:space="preserve">render prop behavior</x:t>
        </x:is>
      </x:c>
      <x:c r="E130" s="76" t="inlineStr">
        <x:is>
          <x:t xml:space="preserve">yes</x:t>
        </x:is>
      </x:c>
      <x:c r="F130" s="85" t="inlineStr">
        <x:is>
          <x:t xml:space="preserve">yes</x:t>
        </x:is>
      </x:c>
      <x:c r="G130" s="73" t="inlineStr">
        <x:is>
          <x:t xml:space="preserve">passed</x:t>
        </x:is>
      </x:c>
      <x:c r="H130" s="86" t="inlineStr">
        <x:is>
          <x:t xml:space="preserve">covered</x:t>
        </x:is>
      </x:c>
      <x:c r="I130" s="84" t="inlineStr">
        <x:is>
          <x:t xml:space="preserve">FileUpload playground scenario.</x:t>
        </x:is>
      </x:c>
      <x:c r="J130" s="84" t="n"/>
      <x:c r="K130" s="87" t="n">
        <x:f>IF(AND(E130="yes",F130="yes",H130="covered"),1,IF(H130="partial",0.5,0))</x:f>
        <x:v>1</x:v>
      </x:c>
    </x:row>
    <x:row r="131" s="51" customFormat="1" ht="15" customHeight="1">
      <x:c r="A131" s="73" t="n">
        <x:v>123</x:v>
      </x:c>
      <x:c r="B131" s="84" t="inlineStr">
        <x:is>
          <x:t xml:space="preserve">Public API</x:t>
        </x:is>
      </x:c>
      <x:c r="C131" s="84" t="inlineStr">
        <x:is>
          <x:t xml:space="preserve">ItemGroup</x:t>
        </x:is>
      </x:c>
      <x:c r="D131" s="84" t="inlineStr">
        <x:is>
          <x:t xml:space="preserve">data-slot prop behavior</x:t>
        </x:is>
      </x:c>
      <x:c r="E131" s="76" t="inlineStr">
        <x:is>
          <x:t xml:space="preserve">yes</x:t>
        </x:is>
      </x:c>
      <x:c r="F131" s="85" t="inlineStr">
        <x:is>
          <x:t xml:space="preserve">yes</x:t>
        </x:is>
      </x:c>
      <x:c r="G131" s="73" t="inlineStr">
        <x:is>
          <x:t xml:space="preserve">passed</x:t>
        </x:is>
      </x:c>
      <x:c r="H131" s="86" t="inlineStr">
        <x:is>
          <x:t xml:space="preserve">covered</x:t>
        </x:is>
      </x:c>
      <x:c r="I131" s="84" t="inlineStr">
        <x:is>
          <x:t xml:space="preserve">FileUpload playground scenario.</x:t>
        </x:is>
      </x:c>
      <x:c r="J131" s="84" t="n"/>
      <x:c r="K131" s="87" t="n">
        <x:f>IF(AND(E131="yes",F131="yes",H131="covered"),1,IF(H131="partial",0.5,0))</x:f>
        <x:v>1</x:v>
      </x:c>
    </x:row>
    <x:row r="132" s="51" customFormat="1" ht="30" customHeight="1">
      <x:c r="A132" s="73" t="n">
        <x:v>124</x:v>
      </x:c>
      <x:c r="B132" s="84" t="inlineStr">
        <x:is>
          <x:t xml:space="preserve">Public API</x:t>
        </x:is>
      </x:c>
      <x:c r="C132" s="84" t="inlineStr">
        <x:is>
          <x:t xml:space="preserve">ItemGroup</x:t>
        </x:is>
      </x:c>
      <x:c r="D132" s="84" t="inlineStr">
        <x:is>
          <x:t xml:space="preserve">[data-slot] prop behavior</x:t>
        </x:is>
      </x:c>
      <x:c r="E132" s="76" t="inlineStr">
        <x:is>
          <x:t xml:space="preserve">yes</x:t>
        </x:is>
      </x:c>
      <x:c r="F132" s="85" t="inlineStr">
        <x:is>
          <x:t xml:space="preserve">yes</x:t>
        </x:is>
      </x:c>
      <x:c r="G132" s="73" t="inlineStr">
        <x:is>
          <x:t xml:space="preserve">passed</x:t>
        </x:is>
      </x:c>
      <x:c r="H132" s="86" t="inlineStr">
        <x:is>
          <x:t xml:space="preserve">covered</x:t>
        </x:is>
      </x:c>
      <x:c r="I132" s="84" t="inlineStr">
        <x:is>
          <x:t xml:space="preserve">FileUpload playground scenario.</x:t>
        </x:is>
      </x:c>
      <x:c r="J132" s="84" t="n"/>
      <x:c r="K132" s="87" t="n">
        <x:f>IF(AND(E132="yes",F132="yes",H132="covered"),1,IF(H132="partial",0.5,0))</x:f>
        <x:v>1</x:v>
      </x:c>
    </x:row>
    <x:row r="133" s="51" customFormat="1" ht="15" customHeight="1">
      <x:c r="A133" s="73" t="n">
        <x:v>125</x:v>
      </x:c>
      <x:c r="B133" s="84" t="inlineStr">
        <x:is>
          <x:t xml:space="preserve">Public API</x:t>
        </x:is>
      </x:c>
      <x:c r="C133" s="84" t="inlineStr">
        <x:is>
          <x:t xml:space="preserve">ItemGroup</x:t>
        </x:is>
      </x:c>
      <x:c r="D133" s="84" t="inlineStr">
        <x:is>
          <x:t xml:space="preserve">[data-count] prop behavior</x:t>
        </x:is>
      </x:c>
      <x:c r="E133" s="76" t="inlineStr">
        <x:is>
          <x:t xml:space="preserve">yes</x:t>
        </x:is>
      </x:c>
      <x:c r="F133" s="85" t="inlineStr">
        <x:is>
          <x:t xml:space="preserve">yes</x:t>
        </x:is>
      </x:c>
      <x:c r="G133" s="73" t="inlineStr">
        <x:is>
          <x:t xml:space="preserve">passed</x:t>
        </x:is>
      </x:c>
      <x:c r="H133" s="86" t="inlineStr">
        <x:is>
          <x:t xml:space="preserve">covered</x:t>
        </x:is>
      </x:c>
      <x:c r="I133" s="84" t="inlineStr">
        <x:is>
          <x:t xml:space="preserve">FileUpload playground scenario.</x:t>
        </x:is>
      </x:c>
      <x:c r="J133" s="84" t="n"/>
      <x:c r="K133" s="87" t="n">
        <x:f>IF(AND(E133="yes",F133="yes",H133="covered"),1,IF(H133="partial",0.5,0))</x:f>
        <x:v>1</x:v>
      </x:c>
    </x:row>
    <x:row r="134" s="51" customFormat="1" ht="15" customHeight="1">
      <x:c r="A134" s="73" t="n">
        <x:v>126</x:v>
      </x:c>
      <x:c r="B134" s="84" t="inlineStr">
        <x:is>
          <x:t xml:space="preserve">Anatomy</x:t>
        </x:is>
      </x:c>
      <x:c r="C134" s="84" t="inlineStr">
        <x:is>
          <x:t xml:space="preserve">ItemName</x:t>
        </x:is>
      </x:c>
      <x:c r="D134" s="84" t="inlineStr">
        <x:is>
          <x:t xml:space="preserve">renders correct part when expected</x:t>
        </x:is>
      </x:c>
      <x:c r="E134" s="76" t="inlineStr">
        <x:is>
          <x:t xml:space="preserve">yes</x:t>
        </x:is>
      </x:c>
      <x:c r="F134" s="85" t="inlineStr">
        <x:is>
          <x:t xml:space="preserve">yes</x:t>
        </x:is>
      </x:c>
      <x:c r="G134" s="73" t="inlineStr">
        <x:is>
          <x:t xml:space="preserve">passed</x:t>
        </x:is>
      </x:c>
      <x:c r="H134" s="86" t="inlineStr">
        <x:is>
          <x:t xml:space="preserve">covered</x:t>
        </x:is>
      </x:c>
      <x:c r="I134" s="84" t="inlineStr">
        <x:is>
          <x:t xml:space="preserve">FileUpload playground scenario.</x:t>
        </x:is>
      </x:c>
      <x:c r="J134" s="84" t="n"/>
      <x:c r="K134" s="87" t="n">
        <x:f>IF(AND(E134="yes",F134="yes",H134="covered"),1,IF(H134="partial",0.5,0))</x:f>
        <x:v>1</x:v>
      </x:c>
    </x:row>
    <x:row r="135" s="51" customFormat="1" ht="15" customHeight="1">
      <x:c r="A135" s="73" t="n">
        <x:v>127</x:v>
      </x:c>
      <x:c r="B135" s="84" t="inlineStr">
        <x:is>
          <x:t xml:space="preserve">Anatomy</x:t>
        </x:is>
      </x:c>
      <x:c r="C135" s="84" t="inlineStr">
        <x:is>
          <x:t xml:space="preserve">ItemName</x:t>
        </x:is>
      </x:c>
      <x:c r="D135" s="84" t="inlineStr">
        <x:is>
          <x:t xml:space="preserve">appears in documented order</x:t>
        </x:is>
      </x:c>
      <x:c r="E135" s="76" t="inlineStr">
        <x:is>
          <x:t xml:space="preserve">yes</x:t>
        </x:is>
      </x:c>
      <x:c r="F135" s="85" t="inlineStr">
        <x:is>
          <x:t xml:space="preserve">yes</x:t>
        </x:is>
      </x:c>
      <x:c r="G135" s="73" t="inlineStr">
        <x:is>
          <x:t xml:space="preserve">passed</x:t>
        </x:is>
      </x:c>
      <x:c r="H135" s="86" t="inlineStr">
        <x:is>
          <x:t xml:space="preserve">covered</x:t>
        </x:is>
      </x:c>
      <x:c r="I135" s="84" t="inlineStr">
        <x:is>
          <x:t xml:space="preserve">FileUpload playground scenario.</x:t>
        </x:is>
      </x:c>
      <x:c r="J135" s="84" t="n"/>
      <x:c r="K135" s="87" t="n">
        <x:f>IF(AND(E135="yes",F135="yes",H135="covered"),1,IF(H135="partial",0.5,0))</x:f>
        <x:v>1</x:v>
      </x:c>
    </x:row>
    <x:row r="136" s="51" customFormat="1" ht="15" customHeight="1">
      <x:c r="A136" s="73" t="n">
        <x:v>128</x:v>
      </x:c>
      <x:c r="B136" s="84" t="inlineStr">
        <x:is>
          <x:t xml:space="preserve">Identity</x:t>
        </x:is>
      </x:c>
      <x:c r="C136" s="84" t="inlineStr">
        <x:is>
          <x:t xml:space="preserve">ItemName</x:t>
        </x:is>
      </x:c>
      <x:c r="D136" s="84" t="inlineStr">
        <x:is>
          <x:t xml:space="preserve">default tag is visible in Anatomy/Inspector</x:t>
        </x:is>
      </x:c>
      <x:c r="E136" s="76" t="inlineStr">
        <x:is>
          <x:t xml:space="preserve">yes</x:t>
        </x:is>
      </x:c>
      <x:c r="F136" s="85" t="inlineStr">
        <x:is>
          <x:t xml:space="preserve">yes</x:t>
        </x:is>
      </x:c>
      <x:c r="G136" s="73" t="inlineStr">
        <x:is>
          <x:t xml:space="preserve">passed</x:t>
        </x:is>
      </x:c>
      <x:c r="H136" s="86" t="inlineStr">
        <x:is>
          <x:t xml:space="preserve">covered</x:t>
        </x:is>
      </x:c>
      <x:c r="I136" s="84" t="inlineStr">
        <x:is>
          <x:t xml:space="preserve">FileUpload playground scenario.</x:t>
        </x:is>
      </x:c>
      <x:c r="J136" s="84" t="n"/>
      <x:c r="K136" s="87" t="n">
        <x:f>IF(AND(E136="yes",F136="yes",H136="covered"),1,IF(H136="partial",0.5,0))</x:f>
        <x:v>1</x:v>
      </x:c>
    </x:row>
    <x:row r="137" s="51" customFormat="1" ht="15" customHeight="1">
      <x:c r="A137" s="73" t="n">
        <x:v>129</x:v>
      </x:c>
      <x:c r="B137" s="84" t="inlineStr">
        <x:is>
          <x:t xml:space="preserve">Identity</x:t>
        </x:is>
      </x:c>
      <x:c r="C137" s="84" t="inlineStr">
        <x:is>
          <x:t xml:space="preserve">ItemName</x:t>
        </x:is>
      </x:c>
      <x:c r="D137" s="84" t="inlineStr">
        <x:is>
          <x:t xml:space="preserve">data-slot is present and correct</x:t>
        </x:is>
      </x:c>
      <x:c r="E137" s="76" t="inlineStr">
        <x:is>
          <x:t xml:space="preserve">yes</x:t>
        </x:is>
      </x:c>
      <x:c r="F137" s="85" t="inlineStr">
        <x:is>
          <x:t xml:space="preserve">yes</x:t>
        </x:is>
      </x:c>
      <x:c r="G137" s="73" t="inlineStr">
        <x:is>
          <x:t xml:space="preserve">passed</x:t>
        </x:is>
      </x:c>
      <x:c r="H137" s="86" t="inlineStr">
        <x:is>
          <x:t xml:space="preserve">covered</x:t>
        </x:is>
      </x:c>
      <x:c r="I137" s="84" t="inlineStr">
        <x:is>
          <x:t xml:space="preserve">FileUpload playground scenario.</x:t>
        </x:is>
      </x:c>
      <x:c r="J137" s="84" t="n"/>
      <x:c r="K137" s="87" t="n">
        <x:f>IF(AND(E137="yes",F137="yes",H137="covered"),1,IF(H137="partial",0.5,0))</x:f>
        <x:v>1</x:v>
      </x:c>
    </x:row>
    <x:row r="138" s="51" customFormat="1" ht="15" customHeight="1">
      <x:c r="A138" s="73" t="n">
        <x:v>130</x:v>
      </x:c>
      <x:c r="B138" s="84" t="inlineStr">
        <x:is>
          <x:t xml:space="preserve">Props</x:t>
        </x:is>
      </x:c>
      <x:c r="C138" s="84" t="inlineStr">
        <x:is>
          <x:t xml:space="preserve">ItemName</x:t>
        </x:is>
      </x:c>
      <x:c r="D138" s="84" t="inlineStr">
        <x:is>
          <x:t xml:space="preserve">non-Atom native props pass through with data-prop-check marker</x:t>
        </x:is>
      </x:c>
      <x:c r="E138" s="76" t="inlineStr">
        <x:is>
          <x:t xml:space="preserve">yes</x:t>
        </x:is>
      </x:c>
      <x:c r="F138" s="85" t="inlineStr">
        <x:is>
          <x:t xml:space="preserve">yes</x:t>
        </x:is>
      </x:c>
      <x:c r="G138" s="73" t="inlineStr">
        <x:is>
          <x:t xml:space="preserve">passed</x:t>
        </x:is>
      </x:c>
      <x:c r="H138" s="86" t="inlineStr">
        <x:is>
          <x:t xml:space="preserve">covered</x:t>
        </x:is>
      </x:c>
      <x:c r="I138" s="84" t="inlineStr">
        <x:is>
          <x:t xml:space="preserve">FileUpload playground scenario.</x:t>
        </x:is>
      </x:c>
      <x:c r="J138" s="84" t="n"/>
      <x:c r="K138" s="87" t="n">
        <x:f>IF(AND(E138="yes",F138="yes",H138="covered"),1,IF(H138="partial",0.5,0))</x:f>
        <x:v>1</x:v>
      </x:c>
    </x:row>
    <x:row r="139" s="51" customFormat="1" ht="30" customHeight="1">
      <x:c r="A139" s="73" t="n">
        <x:v>131</x:v>
      </x:c>
      <x:c r="B139" s="84" t="inlineStr">
        <x:is>
          <x:t xml:space="preserve">Refs</x:t>
        </x:is>
      </x:c>
      <x:c r="C139" s="84" t="inlineStr">
        <x:is>
          <x:t xml:space="preserve">ItemName</x:t>
        </x:is>
      </x:c>
      <x:c r="D139" s="84" t="inlineStr">
        <x:is>
          <x:t xml:space="preserve">consumer ref receives the rendered element</x:t>
        </x:is>
      </x:c>
      <x:c r="E139" s="76" t="inlineStr">
        <x:is>
          <x:t xml:space="preserve">yes</x:t>
        </x:is>
      </x:c>
      <x:c r="F139" s="85" t="inlineStr">
        <x:is>
          <x:t xml:space="preserve">yes</x:t>
        </x:is>
      </x:c>
      <x:c r="G139" s="73" t="inlineStr">
        <x:is>
          <x:t xml:space="preserve">passed</x:t>
        </x:is>
      </x:c>
      <x:c r="H139" s="86" t="inlineStr">
        <x:is>
          <x:t xml:space="preserve">covered</x:t>
        </x:is>
      </x:c>
      <x:c r="I139" s="84" t="inlineStr">
        <x:is>
          <x:t xml:space="preserve">FileUpload playground scenario.</x:t>
        </x:is>
      </x:c>
      <x:c r="J139" s="84" t="n"/>
      <x:c r="K139" s="87" t="n">
        <x:f>IF(AND(E139="yes",F139="yes",H139="covered"),1,IF(H139="partial",0.5,0))</x:f>
        <x:v>1</x:v>
      </x:c>
    </x:row>
    <x:row r="140" s="51" customFormat="1" ht="15" customHeight="1">
      <x:c r="A140" s="73" t="n">
        <x:v>132</x:v>
      </x:c>
      <x:c r="B140" s="84" t="inlineStr">
        <x:is>
          <x:t xml:space="preserve">Public API</x:t>
        </x:is>
      </x:c>
      <x:c r="C140" s="84" t="inlineStr">
        <x:is>
          <x:t xml:space="preserve">ItemName</x:t>
        </x:is>
      </x:c>
      <x:c r="D140" s="84" t="inlineStr">
        <x:is>
          <x:t xml:space="preserve">[data-slot] prop behavior</x:t>
        </x:is>
      </x:c>
      <x:c r="E140" s="76" t="inlineStr">
        <x:is>
          <x:t xml:space="preserve">yes</x:t>
        </x:is>
      </x:c>
      <x:c r="F140" s="85" t="inlineStr">
        <x:is>
          <x:t xml:space="preserve">yes</x:t>
        </x:is>
      </x:c>
      <x:c r="G140" s="73" t="inlineStr">
        <x:is>
          <x:t xml:space="preserve">passed</x:t>
        </x:is>
      </x:c>
      <x:c r="H140" s="86" t="inlineStr">
        <x:is>
          <x:t xml:space="preserve">covered</x:t>
        </x:is>
      </x:c>
      <x:c r="I140" s="84" t="inlineStr">
        <x:is>
          <x:t xml:space="preserve">FileUpload playground scenario.</x:t>
        </x:is>
      </x:c>
      <x:c r="J140" s="84" t="n"/>
      <x:c r="K140" s="87" t="n">
        <x:f>IF(AND(E140="yes",F140="yes",H140="covered"),1,IF(H140="partial",0.5,0))</x:f>
        <x:v>1</x:v>
      </x:c>
    </x:row>
    <x:row r="141" s="51" customFormat="1" ht="15" customHeight="1">
      <x:c r="A141" s="73" t="n">
        <x:v>133</x:v>
      </x:c>
      <x:c r="B141" s="84" t="inlineStr">
        <x:is>
          <x:t xml:space="preserve">Anatomy</x:t>
        </x:is>
      </x:c>
      <x:c r="C141" s="84" t="inlineStr">
        <x:is>
          <x:t xml:space="preserve">ItemSize</x:t>
        </x:is>
      </x:c>
      <x:c r="D141" s="84" t="inlineStr">
        <x:is>
          <x:t xml:space="preserve">renders correct part when expected</x:t>
        </x:is>
      </x:c>
      <x:c r="E141" s="76" t="inlineStr">
        <x:is>
          <x:t xml:space="preserve">yes</x:t>
        </x:is>
      </x:c>
      <x:c r="F141" s="85" t="inlineStr">
        <x:is>
          <x:t xml:space="preserve">yes</x:t>
        </x:is>
      </x:c>
      <x:c r="G141" s="73" t="inlineStr">
        <x:is>
          <x:t xml:space="preserve">passed</x:t>
        </x:is>
      </x:c>
      <x:c r="H141" s="86" t="inlineStr">
        <x:is>
          <x:t xml:space="preserve">covered</x:t>
        </x:is>
      </x:c>
      <x:c r="I141" s="84" t="inlineStr">
        <x:is>
          <x:t xml:space="preserve">FileUpload playground scenario.</x:t>
        </x:is>
      </x:c>
      <x:c r="J141" s="84" t="n"/>
      <x:c r="K141" s="87" t="n">
        <x:f>IF(AND(E141="yes",F141="yes",H141="covered"),1,IF(H141="partial",0.5,0))</x:f>
        <x:v>1</x:v>
      </x:c>
    </x:row>
    <x:row r="142" s="51" customFormat="1" ht="15" customHeight="1">
      <x:c r="A142" s="73" t="n">
        <x:v>134</x:v>
      </x:c>
      <x:c r="B142" s="84" t="inlineStr">
        <x:is>
          <x:t xml:space="preserve">Anatomy</x:t>
        </x:is>
      </x:c>
      <x:c r="C142" s="84" t="inlineStr">
        <x:is>
          <x:t xml:space="preserve">ItemSize</x:t>
        </x:is>
      </x:c>
      <x:c r="D142" s="84" t="inlineStr">
        <x:is>
          <x:t xml:space="preserve">appears in documented order</x:t>
        </x:is>
      </x:c>
      <x:c r="E142" s="76" t="inlineStr">
        <x:is>
          <x:t xml:space="preserve">yes</x:t>
        </x:is>
      </x:c>
      <x:c r="F142" s="85" t="inlineStr">
        <x:is>
          <x:t xml:space="preserve">yes</x:t>
        </x:is>
      </x:c>
      <x:c r="G142" s="73" t="inlineStr">
        <x:is>
          <x:t xml:space="preserve">passed</x:t>
        </x:is>
      </x:c>
      <x:c r="H142" s="86" t="inlineStr">
        <x:is>
          <x:t xml:space="preserve">covered</x:t>
        </x:is>
      </x:c>
      <x:c r="I142" s="84" t="inlineStr">
        <x:is>
          <x:t xml:space="preserve">FileUpload playground scenario.</x:t>
        </x:is>
      </x:c>
      <x:c r="J142" s="84" t="n"/>
      <x:c r="K142" s="87" t="n">
        <x:f>IF(AND(E142="yes",F142="yes",H142="covered"),1,IF(H142="partial",0.5,0))</x:f>
        <x:v>1</x:v>
      </x:c>
    </x:row>
    <x:row r="143" s="51" customFormat="1" ht="15" customHeight="1">
      <x:c r="A143" s="73" t="n">
        <x:v>135</x:v>
      </x:c>
      <x:c r="B143" s="84" t="inlineStr">
        <x:is>
          <x:t xml:space="preserve">Identity</x:t>
        </x:is>
      </x:c>
      <x:c r="C143" s="84" t="inlineStr">
        <x:is>
          <x:t xml:space="preserve">ItemSize</x:t>
        </x:is>
      </x:c>
      <x:c r="D143" s="84" t="inlineStr">
        <x:is>
          <x:t xml:space="preserve">default tag is visible in Anatomy/Inspector</x:t>
        </x:is>
      </x:c>
      <x:c r="E143" s="76" t="inlineStr">
        <x:is>
          <x:t xml:space="preserve">yes</x:t>
        </x:is>
      </x:c>
      <x:c r="F143" s="85" t="inlineStr">
        <x:is>
          <x:t xml:space="preserve">yes</x:t>
        </x:is>
      </x:c>
      <x:c r="G143" s="73" t="inlineStr">
        <x:is>
          <x:t xml:space="preserve">passed</x:t>
        </x:is>
      </x:c>
      <x:c r="H143" s="86" t="inlineStr">
        <x:is>
          <x:t xml:space="preserve">covered</x:t>
        </x:is>
      </x:c>
      <x:c r="I143" s="84" t="inlineStr">
        <x:is>
          <x:t xml:space="preserve">FileUpload playground scenario.</x:t>
        </x:is>
      </x:c>
      <x:c r="J143" s="84" t="n"/>
      <x:c r="K143" s="87" t="n">
        <x:f>IF(AND(E143="yes",F143="yes",H143="covered"),1,IF(H143="partial",0.5,0))</x:f>
        <x:v>1</x:v>
      </x:c>
    </x:row>
    <x:row r="144" s="51" customFormat="1" ht="15" customHeight="1">
      <x:c r="A144" s="73" t="n">
        <x:v>136</x:v>
      </x:c>
      <x:c r="B144" s="84" t="inlineStr">
        <x:is>
          <x:t xml:space="preserve">Identity</x:t>
        </x:is>
      </x:c>
      <x:c r="C144" s="84" t="inlineStr">
        <x:is>
          <x:t xml:space="preserve">ItemSize</x:t>
        </x:is>
      </x:c>
      <x:c r="D144" s="84" t="inlineStr">
        <x:is>
          <x:t xml:space="preserve">data-slot is present and correct</x:t>
        </x:is>
      </x:c>
      <x:c r="E144" s="76" t="inlineStr">
        <x:is>
          <x:t xml:space="preserve">yes</x:t>
        </x:is>
      </x:c>
      <x:c r="F144" s="85" t="inlineStr">
        <x:is>
          <x:t xml:space="preserve">yes</x:t>
        </x:is>
      </x:c>
      <x:c r="G144" s="73" t="inlineStr">
        <x:is>
          <x:t xml:space="preserve">passed</x:t>
        </x:is>
      </x:c>
      <x:c r="H144" s="86" t="inlineStr">
        <x:is>
          <x:t xml:space="preserve">covered</x:t>
        </x:is>
      </x:c>
      <x:c r="I144" s="84" t="inlineStr">
        <x:is>
          <x:t xml:space="preserve">FileUpload playground scenario.</x:t>
        </x:is>
      </x:c>
      <x:c r="J144" s="84" t="n"/>
      <x:c r="K144" s="87" t="n">
        <x:f>IF(AND(E144="yes",F144="yes",H144="covered"),1,IF(H144="partial",0.5,0))</x:f>
        <x:v>1</x:v>
      </x:c>
    </x:row>
    <x:row r="145" s="51" customFormat="1" ht="30" customHeight="1">
      <x:c r="A145" s="73" t="n">
        <x:v>137</x:v>
      </x:c>
      <x:c r="B145" s="84" t="inlineStr">
        <x:is>
          <x:t xml:space="preserve">Props</x:t>
        </x:is>
      </x:c>
      <x:c r="C145" s="84" t="inlineStr">
        <x:is>
          <x:t xml:space="preserve">ItemSize</x:t>
        </x:is>
      </x:c>
      <x:c r="D145" s="84" t="inlineStr">
        <x:is>
          <x:t xml:space="preserve">non-Atom native props pass through with data-prop-check marker</x:t>
        </x:is>
      </x:c>
      <x:c r="E145" s="76" t="inlineStr">
        <x:is>
          <x:t xml:space="preserve">yes</x:t>
        </x:is>
      </x:c>
      <x:c r="F145" s="85" t="inlineStr">
        <x:is>
          <x:t xml:space="preserve">yes</x:t>
        </x:is>
      </x:c>
      <x:c r="G145" s="73" t="inlineStr">
        <x:is>
          <x:t xml:space="preserve">passed</x:t>
        </x:is>
      </x:c>
      <x:c r="H145" s="86" t="inlineStr">
        <x:is>
          <x:t xml:space="preserve">covered</x:t>
        </x:is>
      </x:c>
      <x:c r="I145" s="84" t="inlineStr">
        <x:is>
          <x:t xml:space="preserve">FileUpload playground scenario.</x:t>
        </x:is>
      </x:c>
      <x:c r="J145" s="84" t="n"/>
      <x:c r="K145" s="87" t="n">
        <x:f>IF(AND(E145="yes",F145="yes",H145="covered"),1,IF(H145="partial",0.5,0))</x:f>
        <x:v>1</x:v>
      </x:c>
    </x:row>
    <x:row r="146" s="51" customFormat="1" ht="15" customHeight="1">
      <x:c r="A146" s="73" t="n">
        <x:v>138</x:v>
      </x:c>
      <x:c r="B146" s="84" t="inlineStr">
        <x:is>
          <x:t xml:space="preserve">Refs</x:t>
        </x:is>
      </x:c>
      <x:c r="C146" s="84" t="inlineStr">
        <x:is>
          <x:t xml:space="preserve">ItemSize</x:t>
        </x:is>
      </x:c>
      <x:c r="D146" s="84" t="inlineStr">
        <x:is>
          <x:t xml:space="preserve">consumer ref receives the rendered element</x:t>
        </x:is>
      </x:c>
      <x:c r="E146" s="76" t="inlineStr">
        <x:is>
          <x:t xml:space="preserve">yes</x:t>
        </x:is>
      </x:c>
      <x:c r="F146" s="85" t="inlineStr">
        <x:is>
          <x:t xml:space="preserve">yes</x:t>
        </x:is>
      </x:c>
      <x:c r="G146" s="73" t="inlineStr">
        <x:is>
          <x:t xml:space="preserve">passed</x:t>
        </x:is>
      </x:c>
      <x:c r="H146" s="86" t="inlineStr">
        <x:is>
          <x:t xml:space="preserve">covered</x:t>
        </x:is>
      </x:c>
      <x:c r="I146" s="84" t="inlineStr">
        <x:is>
          <x:t xml:space="preserve">FileUpload playground scenario.</x:t>
        </x:is>
      </x:c>
      <x:c r="J146" s="84" t="n"/>
      <x:c r="K146" s="87" t="n">
        <x:f>IF(AND(E146="yes",F146="yes",H146="covered"),1,IF(H146="partial",0.5,0))</x:f>
        <x:v>1</x:v>
      </x:c>
    </x:row>
    <x:row r="147" s="51" customFormat="1" ht="15" customHeight="1">
      <x:c r="A147" s="73" t="n">
        <x:v>139</x:v>
      </x:c>
      <x:c r="B147" s="84" t="inlineStr">
        <x:is>
          <x:t xml:space="preserve">Public API</x:t>
        </x:is>
      </x:c>
      <x:c r="C147" s="84" t="inlineStr">
        <x:is>
          <x:t xml:space="preserve">ItemSize</x:t>
        </x:is>
      </x:c>
      <x:c r="D147" s="84" t="inlineStr">
        <x:is>
          <x:t xml:space="preserve">[data-slot] prop behavior</x:t>
        </x:is>
      </x:c>
      <x:c r="E147" s="76" t="inlineStr">
        <x:is>
          <x:t xml:space="preserve">yes</x:t>
        </x:is>
      </x:c>
      <x:c r="F147" s="85" t="inlineStr">
        <x:is>
          <x:t xml:space="preserve">yes</x:t>
        </x:is>
      </x:c>
      <x:c r="G147" s="73" t="inlineStr">
        <x:is>
          <x:t xml:space="preserve">passed</x:t>
        </x:is>
      </x:c>
      <x:c r="H147" s="86" t="inlineStr">
        <x:is>
          <x:t xml:space="preserve">covered</x:t>
        </x:is>
      </x:c>
      <x:c r="I147" s="84" t="inlineStr">
        <x:is>
          <x:t xml:space="preserve">FileUpload playground scenario.</x:t>
        </x:is>
      </x:c>
      <x:c r="J147" s="84" t="n"/>
      <x:c r="K147" s="87" t="n">
        <x:f>IF(AND(E147="yes",F147="yes",H147="covered"),1,IF(H147="partial",0.5,0))</x:f>
        <x:v>1</x:v>
      </x:c>
    </x:row>
    <x:row r="148" s="51" customFormat="1" ht="15" customHeight="1">
      <x:c r="A148" s="73" t="n">
        <x:v>140</x:v>
      </x:c>
      <x:c r="B148" s="84" t="inlineStr">
        <x:is>
          <x:t xml:space="preserve">ARIA</x:t>
        </x:is>
      </x:c>
      <x:c r="C148" s="84" t="inlineStr">
        <x:is>
          <x:t xml:space="preserve">Live DOM</x:t>
        </x:is>
      </x:c>
      <x:c r="D148" s="84" t="inlineStr">
        <x:is>
          <x:t xml:space="preserve">aria-describedby is present at the correct time</x:t>
        </x:is>
      </x:c>
      <x:c r="E148" s="76" t="inlineStr">
        <x:is>
          <x:t xml:space="preserve">yes</x:t>
        </x:is>
      </x:c>
      <x:c r="F148" s="85" t="inlineStr">
        <x:is>
          <x:t xml:space="preserve">yes</x:t>
        </x:is>
      </x:c>
      <x:c r="G148" s="73" t="inlineStr">
        <x:is>
          <x:t xml:space="preserve">passed</x:t>
        </x:is>
      </x:c>
      <x:c r="H148" s="86" t="inlineStr">
        <x:is>
          <x:t xml:space="preserve">covered</x:t>
        </x:is>
      </x:c>
      <x:c r="I148" s="84" t="inlineStr">
        <x:is>
          <x:t xml:space="preserve">FileUpload playground scenario.</x:t>
        </x:is>
      </x:c>
      <x:c r="J148" s="84" t="n"/>
      <x:c r="K148" s="87" t="n">
        <x:f>IF(AND(E148="yes",F148="yes",H148="covered"),1,IF(H148="partial",0.5,0))</x:f>
        <x:v>1</x:v>
      </x:c>
    </x:row>
    <x:row r="149" s="51" customFormat="1" ht="15" customHeight="1">
      <x:c r="A149" s="73" t="n">
        <x:v>141</x:v>
      </x:c>
      <x:c r="B149" s="84" t="inlineStr">
        <x:is>
          <x:t xml:space="preserve">ARIA</x:t>
        </x:is>
      </x:c>
      <x:c r="C149" s="84" t="inlineStr">
        <x:is>
          <x:t xml:space="preserve">Live DOM</x:t>
        </x:is>
      </x:c>
      <x:c r="D149" s="84" t="inlineStr">
        <x:is>
          <x:t xml:space="preserve">aria-disabled is present at the correct time</x:t>
        </x:is>
      </x:c>
      <x:c r="E149" s="76" t="inlineStr">
        <x:is>
          <x:t xml:space="preserve">yes</x:t>
        </x:is>
      </x:c>
      <x:c r="F149" s="85" t="inlineStr">
        <x:is>
          <x:t xml:space="preserve">yes</x:t>
        </x:is>
      </x:c>
      <x:c r="G149" s="73" t="inlineStr">
        <x:is>
          <x:t xml:space="preserve">passed</x:t>
        </x:is>
      </x:c>
      <x:c r="H149" s="86" t="inlineStr">
        <x:is>
          <x:t xml:space="preserve">covered</x:t>
        </x:is>
      </x:c>
      <x:c r="I149" s="84" t="inlineStr">
        <x:is>
          <x:t xml:space="preserve">FileUpload playground scenario.</x:t>
        </x:is>
      </x:c>
      <x:c r="J149" s="84" t="n"/>
      <x:c r="K149" s="87" t="n">
        <x:f>IF(AND(E149="yes",F149="yes",H149="covered"),1,IF(H149="partial",0.5,0))</x:f>
        <x:v>1</x:v>
      </x:c>
    </x:row>
    <x:row r="150" s="51" customFormat="1" ht="15" customHeight="1">
      <x:c r="A150" s="73" t="n">
        <x:v>142</x:v>
      </x:c>
      <x:c r="B150" s="84" t="inlineStr">
        <x:is>
          <x:t xml:space="preserve">ARIA</x:t>
        </x:is>
      </x:c>
      <x:c r="C150" s="84" t="inlineStr">
        <x:is>
          <x:t xml:space="preserve">Live DOM</x:t>
        </x:is>
      </x:c>
      <x:c r="D150" s="84" t="inlineStr">
        <x:is>
          <x:t xml:space="preserve">aria-invalid is present at the correct time</x:t>
        </x:is>
      </x:c>
      <x:c r="E150" s="76" t="inlineStr">
        <x:is>
          <x:t xml:space="preserve">yes</x:t>
        </x:is>
      </x:c>
      <x:c r="F150" s="85" t="inlineStr">
        <x:is>
          <x:t xml:space="preserve">yes</x:t>
        </x:is>
      </x:c>
      <x:c r="G150" s="73" t="inlineStr">
        <x:is>
          <x:t xml:space="preserve">passed</x:t>
        </x:is>
      </x:c>
      <x:c r="H150" s="86" t="inlineStr">
        <x:is>
          <x:t xml:space="preserve">covered</x:t>
        </x:is>
      </x:c>
      <x:c r="I150" s="84" t="inlineStr">
        <x:is>
          <x:t xml:space="preserve">FileUpload playground scenario.</x:t>
        </x:is>
      </x:c>
      <x:c r="J150" s="84" t="n"/>
      <x:c r="K150" s="87" t="n">
        <x:f>IF(AND(E150="yes",F150="yes",H150="covered"),1,IF(H150="partial",0.5,0))</x:f>
        <x:v>1</x:v>
      </x:c>
    </x:row>
    <x:row r="151" s="51" customFormat="1" ht="30" customHeight="1">
      <x:c r="A151" s="73" t="n">
        <x:v>143</x:v>
      </x:c>
      <x:c r="B151" s="84" t="inlineStr">
        <x:is>
          <x:t xml:space="preserve">ARIA</x:t>
        </x:is>
      </x:c>
      <x:c r="C151" s="84" t="inlineStr">
        <x:is>
          <x:t xml:space="preserve">Live DOM</x:t>
        </x:is>
      </x:c>
      <x:c r="D151" s="84" t="inlineStr">
        <x:is>
          <x:t xml:space="preserve">aria-label is present at the correct time</x:t>
        </x:is>
      </x:c>
      <x:c r="E151" s="76" t="inlineStr">
        <x:is>
          <x:t xml:space="preserve">yes</x:t>
        </x:is>
      </x:c>
      <x:c r="F151" s="85" t="inlineStr">
        <x:is>
          <x:t xml:space="preserve">yes</x:t>
        </x:is>
      </x:c>
      <x:c r="G151" s="73" t="inlineStr">
        <x:is>
          <x:t xml:space="preserve">passed</x:t>
        </x:is>
      </x:c>
      <x:c r="H151" s="86" t="inlineStr">
        <x:is>
          <x:t xml:space="preserve">covered</x:t>
        </x:is>
      </x:c>
      <x:c r="I151" s="84" t="inlineStr">
        <x:is>
          <x:t xml:space="preserve">FileUpload playground scenario.</x:t>
        </x:is>
      </x:c>
      <x:c r="J151" s="84" t="n"/>
      <x:c r="K151" s="87" t="n">
        <x:f>IF(AND(E151="yes",F151="yes",H151="covered"),1,IF(H151="partial",0.5,0))</x:f>
        <x:v>1</x:v>
      </x:c>
    </x:row>
    <x:row r="152" s="51" customFormat="1" ht="15" customHeight="1">
      <x:c r="A152" s="73" t="n">
        <x:v>144</x:v>
      </x:c>
      <x:c r="B152" s="84" t="inlineStr">
        <x:is>
          <x:t xml:space="preserve">Data</x:t>
        </x:is>
      </x:c>
      <x:c r="C152" s="84" t="inlineStr">
        <x:is>
          <x:t xml:space="preserve">Live DOM</x:t>
        </x:is>
      </x:c>
      <x:c r="D152" s="84" t="inlineStr">
        <x:is>
          <x:t xml:space="preserve">data-count is present at the correct time</x:t>
        </x:is>
      </x:c>
      <x:c r="E152" s="76" t="inlineStr">
        <x:is>
          <x:t xml:space="preserve">yes</x:t>
        </x:is>
      </x:c>
      <x:c r="F152" s="85" t="inlineStr">
        <x:is>
          <x:t xml:space="preserve">yes</x:t>
        </x:is>
      </x:c>
      <x:c r="G152" s="73" t="inlineStr">
        <x:is>
          <x:t xml:space="preserve">passed</x:t>
        </x:is>
      </x:c>
      <x:c r="H152" s="86" t="inlineStr">
        <x:is>
          <x:t xml:space="preserve">covered</x:t>
        </x:is>
      </x:c>
      <x:c r="I152" s="84" t="inlineStr">
        <x:is>
          <x:t xml:space="preserve">FileUpload playground scenario.</x:t>
        </x:is>
      </x:c>
      <x:c r="J152" s="84" t="n"/>
      <x:c r="K152" s="87" t="n">
        <x:f>IF(AND(E152="yes",F152="yes",H152="covered"),1,IF(H152="partial",0.5,0))</x:f>
        <x:v>1</x:v>
      </x:c>
    </x:row>
    <x:row r="153" s="51" customFormat="1" ht="15" customHeight="1">
      <x:c r="A153" s="73" t="n">
        <x:v>145</x:v>
      </x:c>
      <x:c r="B153" s="84" t="inlineStr">
        <x:is>
          <x:t xml:space="preserve">Data</x:t>
        </x:is>
      </x:c>
      <x:c r="C153" s="84" t="inlineStr">
        <x:is>
          <x:t xml:space="preserve">Live DOM</x:t>
        </x:is>
      </x:c>
      <x:c r="D153" s="84" t="inlineStr">
        <x:is>
          <x:t xml:space="preserve">data-disabled is present at the correct time</x:t>
        </x:is>
      </x:c>
      <x:c r="E153" s="76" t="inlineStr">
        <x:is>
          <x:t xml:space="preserve">yes</x:t>
        </x:is>
      </x:c>
      <x:c r="F153" s="85" t="inlineStr">
        <x:is>
          <x:t xml:space="preserve">yes</x:t>
        </x:is>
      </x:c>
      <x:c r="G153" s="73" t="inlineStr">
        <x:is>
          <x:t xml:space="preserve">passed</x:t>
        </x:is>
      </x:c>
      <x:c r="H153" s="86" t="inlineStr">
        <x:is>
          <x:t xml:space="preserve">covered</x:t>
        </x:is>
      </x:c>
      <x:c r="I153" s="84" t="inlineStr">
        <x:is>
          <x:t xml:space="preserve">FileUpload playground scenario.</x:t>
        </x:is>
      </x:c>
      <x:c r="J153" s="84" t="n"/>
      <x:c r="K153" s="87" t="n">
        <x:f>IF(AND(E153="yes",F153="yes",H153="covered"),1,IF(H153="partial",0.5,0))</x:f>
        <x:v>1</x:v>
      </x:c>
    </x:row>
    <x:row r="154" s="51" customFormat="1" ht="15" customHeight="1">
      <x:c r="A154" s="73" t="n">
        <x:v>146</x:v>
      </x:c>
      <x:c r="B154" s="84" t="inlineStr">
        <x:is>
          <x:t xml:space="preserve">Data</x:t>
        </x:is>
      </x:c>
      <x:c r="C154" s="84" t="inlineStr">
        <x:is>
          <x:t xml:space="preserve">Live DOM</x:t>
        </x:is>
      </x:c>
      <x:c r="D154" s="84" t="inlineStr">
        <x:is>
          <x:t xml:space="preserve">data-drag is present at the correct time</x:t>
        </x:is>
      </x:c>
      <x:c r="E154" s="76" t="inlineStr">
        <x:is>
          <x:t xml:space="preserve">yes</x:t>
        </x:is>
      </x:c>
      <x:c r="F154" s="85" t="inlineStr">
        <x:is>
          <x:t xml:space="preserve">yes</x:t>
        </x:is>
      </x:c>
      <x:c r="G154" s="73" t="inlineStr">
        <x:is>
          <x:t xml:space="preserve">passed</x:t>
        </x:is>
      </x:c>
      <x:c r="H154" s="86" t="inlineStr">
        <x:is>
          <x:t xml:space="preserve">covered</x:t>
        </x:is>
      </x:c>
      <x:c r="I154" s="84" t="inlineStr">
        <x:is>
          <x:t xml:space="preserve">FileUpload playground scenario.</x:t>
        </x:is>
      </x:c>
      <x:c r="J154" s="84" t="n"/>
      <x:c r="K154" s="87" t="n">
        <x:f>IF(AND(E154="yes",F154="yes",H154="covered"),1,IF(H154="partial",0.5,0))</x:f>
        <x:v>1</x:v>
      </x:c>
    </x:row>
    <x:row r="155" s="51" customFormat="1" ht="15" customHeight="1">
      <x:c r="A155" s="73" t="n">
        <x:v>147</x:v>
      </x:c>
      <x:c r="B155" s="84" t="inlineStr">
        <x:is>
          <x:t xml:space="preserve">Data</x:t>
        </x:is>
      </x:c>
      <x:c r="C155" s="84" t="inlineStr">
        <x:is>
          <x:t xml:space="preserve">Live DOM</x:t>
        </x:is>
      </x:c>
      <x:c r="D155" s="84" t="inlineStr">
        <x:is>
          <x:t xml:space="preserve">data-filled is present at the correct time</x:t>
        </x:is>
      </x:c>
      <x:c r="E155" s="76" t="inlineStr">
        <x:is>
          <x:t xml:space="preserve">yes</x:t>
        </x:is>
      </x:c>
      <x:c r="F155" s="85" t="inlineStr">
        <x:is>
          <x:t xml:space="preserve">yes</x:t>
        </x:is>
      </x:c>
      <x:c r="G155" s="73" t="inlineStr">
        <x:is>
          <x:t xml:space="preserve">passed</x:t>
        </x:is>
      </x:c>
      <x:c r="H155" s="86" t="inlineStr">
        <x:is>
          <x:t xml:space="preserve">covered</x:t>
        </x:is>
      </x:c>
      <x:c r="I155" s="84" t="inlineStr">
        <x:is>
          <x:t xml:space="preserve">FileUpload playground scenario.</x:t>
        </x:is>
      </x:c>
      <x:c r="J155" s="84" t="n"/>
      <x:c r="K155" s="87" t="n">
        <x:f>IF(AND(E155="yes",F155="yes",H155="covered"),1,IF(H155="partial",0.5,0))</x:f>
        <x:v>1</x:v>
      </x:c>
    </x:row>
    <x:row r="156" s="51" customFormat="1" ht="15" customHeight="1">
      <x:c r="A156" s="73" t="n">
        <x:v>148</x:v>
      </x:c>
      <x:c r="B156" s="84" t="inlineStr">
        <x:is>
          <x:t xml:space="preserve">Data</x:t>
        </x:is>
      </x:c>
      <x:c r="C156" s="84" t="inlineStr">
        <x:is>
          <x:t xml:space="preserve">Live DOM</x:t>
        </x:is>
      </x:c>
      <x:c r="D156" s="84" t="inlineStr">
        <x:is>
          <x:t xml:space="preserve">data-invalid is present at the correct time</x:t>
        </x:is>
      </x:c>
      <x:c r="E156" s="76" t="inlineStr">
        <x:is>
          <x:t xml:space="preserve">yes</x:t>
        </x:is>
      </x:c>
      <x:c r="F156" s="85" t="inlineStr">
        <x:is>
          <x:t xml:space="preserve">yes</x:t>
        </x:is>
      </x:c>
      <x:c r="G156" s="73" t="inlineStr">
        <x:is>
          <x:t xml:space="preserve">passed</x:t>
        </x:is>
      </x:c>
      <x:c r="H156" s="86" t="inlineStr">
        <x:is>
          <x:t xml:space="preserve">covered</x:t>
        </x:is>
      </x:c>
      <x:c r="I156" s="84" t="inlineStr">
        <x:is>
          <x:t xml:space="preserve">FileUpload playground scenario.</x:t>
        </x:is>
      </x:c>
      <x:c r="J156" s="84" t="n"/>
      <x:c r="K156" s="87" t="n">
        <x:f>IF(AND(E156="yes",F156="yes",H156="covered"),1,IF(H156="partial",0.5,0))</x:f>
        <x:v>1</x:v>
      </x:c>
    </x:row>
    <x:row r="157" s="51" customFormat="1" ht="30" customHeight="1">
      <x:c r="A157" s="73" t="n">
        <x:v>149</x:v>
      </x:c>
      <x:c r="B157" s="84" t="inlineStr">
        <x:is>
          <x:t xml:space="preserve">Data</x:t>
        </x:is>
      </x:c>
      <x:c r="C157" s="84" t="inlineStr">
        <x:is>
          <x:t xml:space="preserve">Live DOM</x:t>
        </x:is>
      </x:c>
      <x:c r="D157" s="84" t="inlineStr">
        <x:is>
          <x:t xml:space="preserve">data-name is present at the correct time</x:t>
        </x:is>
      </x:c>
      <x:c r="E157" s="76" t="inlineStr">
        <x:is>
          <x:t xml:space="preserve">yes</x:t>
        </x:is>
      </x:c>
      <x:c r="F157" s="85" t="inlineStr">
        <x:is>
          <x:t xml:space="preserve">yes</x:t>
        </x:is>
      </x:c>
      <x:c r="G157" s="73" t="inlineStr">
        <x:is>
          <x:t xml:space="preserve">passed</x:t>
        </x:is>
      </x:c>
      <x:c r="H157" s="86" t="inlineStr">
        <x:is>
          <x:t xml:space="preserve">covered</x:t>
        </x:is>
      </x:c>
      <x:c r="I157" s="84" t="inlineStr">
        <x:is>
          <x:t xml:space="preserve">FileUpload playground scenario.</x:t>
        </x:is>
      </x:c>
      <x:c r="J157" s="84" t="n"/>
      <x:c r="K157" s="87" t="n">
        <x:f>IF(AND(E157="yes",F157="yes",H157="covered"),1,IF(H157="partial",0.5,0))</x:f>
        <x:v>1</x:v>
      </x:c>
    </x:row>
    <x:row r="158" s="51" customFormat="1" ht="15" customHeight="1">
      <x:c r="A158" s="73" t="n">
        <x:v>150</x:v>
      </x:c>
      <x:c r="B158" s="84" t="inlineStr">
        <x:is>
          <x:t xml:space="preserve">Data</x:t>
        </x:is>
      </x:c>
      <x:c r="C158" s="84" t="inlineStr">
        <x:is>
          <x:t xml:space="preserve">Live DOM</x:t>
        </x:is>
      </x:c>
      <x:c r="D158" s="84" t="inlineStr">
        <x:is>
          <x:t xml:space="preserve">data-readonly is present at the correct time</x:t>
        </x:is>
      </x:c>
      <x:c r="E158" s="76" t="inlineStr">
        <x:is>
          <x:t xml:space="preserve">yes</x:t>
        </x:is>
      </x:c>
      <x:c r="F158" s="85" t="inlineStr">
        <x:is>
          <x:t xml:space="preserve">yes</x:t>
        </x:is>
      </x:c>
      <x:c r="G158" s="73" t="inlineStr">
        <x:is>
          <x:t xml:space="preserve">passed</x:t>
        </x:is>
      </x:c>
      <x:c r="H158" s="86" t="inlineStr">
        <x:is>
          <x:t xml:space="preserve">covered</x:t>
        </x:is>
      </x:c>
      <x:c r="I158" s="84" t="inlineStr">
        <x:is>
          <x:t xml:space="preserve">FileUpload playground scenario.</x:t>
        </x:is>
      </x:c>
      <x:c r="J158" s="84" t="n"/>
      <x:c r="K158" s="87" t="n">
        <x:f>IF(AND(E158="yes",F158="yes",H158="covered"),1,IF(H158="partial",0.5,0))</x:f>
        <x:v>1</x:v>
      </x:c>
    </x:row>
    <x:row r="159" s="51" customFormat="1" ht="15" customHeight="1">
      <x:c r="A159" s="73" t="n">
        <x:v>151</x:v>
      </x:c>
      <x:c r="B159" s="84" t="inlineStr">
        <x:is>
          <x:t xml:space="preserve">Data</x:t>
        </x:is>
      </x:c>
      <x:c r="C159" s="84" t="inlineStr">
        <x:is>
          <x:t xml:space="preserve">Live DOM</x:t>
        </x:is>
      </x:c>
      <x:c r="D159" s="84" t="inlineStr">
        <x:is>
          <x:t xml:space="preserve">data-rejected is present at the correct time</x:t>
        </x:is>
      </x:c>
      <x:c r="E159" s="76" t="inlineStr">
        <x:is>
          <x:t xml:space="preserve">yes</x:t>
        </x:is>
      </x:c>
      <x:c r="F159" s="85" t="inlineStr">
        <x:is>
          <x:t xml:space="preserve">yes</x:t>
        </x:is>
      </x:c>
      <x:c r="G159" s="73" t="inlineStr">
        <x:is>
          <x:t xml:space="preserve">passed</x:t>
        </x:is>
      </x:c>
      <x:c r="H159" s="86" t="inlineStr">
        <x:is>
          <x:t xml:space="preserve">covered</x:t>
        </x:is>
      </x:c>
      <x:c r="I159" s="84" t="inlineStr">
        <x:is>
          <x:t xml:space="preserve">FileUpload playground scenario.</x:t>
        </x:is>
      </x:c>
      <x:c r="J159" s="84" t="n"/>
      <x:c r="K159" s="87" t="n">
        <x:f>IF(AND(E159="yes",F159="yes",H159="covered"),1,IF(H159="partial",0.5,0))</x:f>
        <x:v>1</x:v>
      </x:c>
    </x:row>
    <x:row r="160" s="51" customFormat="1" ht="15" customHeight="1">
      <x:c r="A160" s="73" t="n">
        <x:v>152</x:v>
      </x:c>
      <x:c r="B160" s="84" t="inlineStr">
        <x:is>
          <x:t xml:space="preserve">Data</x:t>
        </x:is>
      </x:c>
      <x:c r="C160" s="84" t="inlineStr">
        <x:is>
          <x:t xml:space="preserve">Live DOM</x:t>
        </x:is>
      </x:c>
      <x:c r="D160" s="84" t="inlineStr">
        <x:is>
          <x:t xml:space="preserve">data-required is present at the correct time</x:t>
        </x:is>
      </x:c>
      <x:c r="E160" s="76" t="inlineStr">
        <x:is>
          <x:t xml:space="preserve">yes</x:t>
        </x:is>
      </x:c>
      <x:c r="F160" s="85" t="inlineStr">
        <x:is>
          <x:t xml:space="preserve">yes</x:t>
        </x:is>
      </x:c>
      <x:c r="G160" s="73" t="inlineStr">
        <x:is>
          <x:t xml:space="preserve">passed</x:t>
        </x:is>
      </x:c>
      <x:c r="H160" s="86" t="inlineStr">
        <x:is>
          <x:t xml:space="preserve">covered</x:t>
        </x:is>
      </x:c>
      <x:c r="I160" s="84" t="inlineStr">
        <x:is>
          <x:t xml:space="preserve">FileUpload playground scenario.</x:t>
        </x:is>
      </x:c>
      <x:c r="J160" s="84" t="n"/>
      <x:c r="K160" s="87" t="n">
        <x:f>IF(AND(E160="yes",F160="yes",H160="covered"),1,IF(H160="partial",0.5,0))</x:f>
        <x:v>1</x:v>
      </x:c>
    </x:row>
    <x:row r="161" s="51" customFormat="1" ht="15" customHeight="1">
      <x:c r="A161" s="73" t="n">
        <x:v>153</x:v>
      </x:c>
      <x:c r="B161" s="84" t="inlineStr">
        <x:is>
          <x:t xml:space="preserve">Data</x:t>
        </x:is>
      </x:c>
      <x:c r="C161" s="84" t="inlineStr">
        <x:is>
          <x:t xml:space="preserve">Live DOM</x:t>
        </x:is>
      </x:c>
      <x:c r="D161" s="84" t="inlineStr">
        <x:is>
          <x:t xml:space="preserve">data-size is present at the correct time</x:t>
        </x:is>
      </x:c>
      <x:c r="E161" s="76" t="inlineStr">
        <x:is>
          <x:t xml:space="preserve">yes</x:t>
        </x:is>
      </x:c>
      <x:c r="F161" s="85" t="inlineStr">
        <x:is>
          <x:t xml:space="preserve">yes</x:t>
        </x:is>
      </x:c>
      <x:c r="G161" s="73" t="inlineStr">
        <x:is>
          <x:t xml:space="preserve">passed</x:t>
        </x:is>
      </x:c>
      <x:c r="H161" s="86" t="inlineStr">
        <x:is>
          <x:t xml:space="preserve">covered</x:t>
        </x:is>
      </x:c>
      <x:c r="I161" s="84" t="inlineStr">
        <x:is>
          <x:t xml:space="preserve">FileUpload playground scenario.</x:t>
        </x:is>
      </x:c>
      <x:c r="J161" s="84" t="n"/>
      <x:c r="K161" s="87" t="n">
        <x:f>IF(AND(E161="yes",F161="yes",H161="covered"),1,IF(H161="partial",0.5,0))</x:f>
        <x:v>1</x:v>
      </x:c>
    </x:row>
    <x:row r="162" s="51" customFormat="1" ht="15" customHeight="1">
      <x:c r="A162" s="73" t="n">
        <x:v>154</x:v>
      </x:c>
      <x:c r="B162" s="84" t="inlineStr">
        <x:is>
          <x:t xml:space="preserve">Data</x:t>
        </x:is>
      </x:c>
      <x:c r="C162" s="84" t="inlineStr">
        <x:is>
          <x:t xml:space="preserve">Live DOM</x:t>
        </x:is>
      </x:c>
      <x:c r="D162" s="84" t="inlineStr">
        <x:is>
          <x:t xml:space="preserve">data-slot is present at the correct time</x:t>
        </x:is>
      </x:c>
      <x:c r="E162" s="76" t="inlineStr">
        <x:is>
          <x:t xml:space="preserve">yes</x:t>
        </x:is>
      </x:c>
      <x:c r="F162" s="85" t="inlineStr">
        <x:is>
          <x:t xml:space="preserve">yes</x:t>
        </x:is>
      </x:c>
      <x:c r="G162" s="73" t="inlineStr">
        <x:is>
          <x:t xml:space="preserve">passed</x:t>
        </x:is>
      </x:c>
      <x:c r="H162" s="86" t="inlineStr">
        <x:is>
          <x:t xml:space="preserve">covered</x:t>
        </x:is>
      </x:c>
      <x:c r="I162" s="84" t="inlineStr">
        <x:is>
          <x:t xml:space="preserve">FileUpload playground scenario.</x:t>
        </x:is>
      </x:c>
      <x:c r="J162" s="84" t="n"/>
      <x:c r="K162" s="87" t="n">
        <x:f>IF(AND(E162="yes",F162="yes",H162="covered"),1,IF(H162="partial",0.5,0))</x:f>
        <x:v>1</x:v>
      </x:c>
    </x:row>
    <x:row r="163" s="51" customFormat="1" ht="30" customHeight="1">
      <x:c r="A163" s="73" t="n">
        <x:v>155</x:v>
      </x:c>
      <x:c r="B163" s="84" t="inlineStr">
        <x:is>
          <x:t xml:space="preserve">Data</x:t>
        </x:is>
      </x:c>
      <x:c r="C163" s="84" t="inlineStr">
        <x:is>
          <x:t xml:space="preserve">Live DOM</x:t>
        </x:is>
      </x:c>
      <x:c r="D163" s="84" t="inlineStr">
        <x:is>
          <x:t xml:space="preserve">data-state is present at the correct time</x:t>
        </x:is>
      </x:c>
      <x:c r="E163" s="76" t="inlineStr">
        <x:is>
          <x:t xml:space="preserve">yes</x:t>
        </x:is>
      </x:c>
      <x:c r="F163" s="85" t="inlineStr">
        <x:is>
          <x:t xml:space="preserve">yes</x:t>
        </x:is>
      </x:c>
      <x:c r="G163" s="73" t="inlineStr">
        <x:is>
          <x:t xml:space="preserve">passed</x:t>
        </x:is>
      </x:c>
      <x:c r="H163" s="86" t="inlineStr">
        <x:is>
          <x:t xml:space="preserve">covered</x:t>
        </x:is>
      </x:c>
      <x:c r="I163" s="84" t="inlineStr">
        <x:is>
          <x:t xml:space="preserve">FileUpload playground scenario.</x:t>
        </x:is>
      </x:c>
      <x:c r="J163" s="84" t="n"/>
      <x:c r="K163" s="87" t="n">
        <x:f>IF(AND(E163="yes",F163="yes",H163="covered"),1,IF(H163="partial",0.5,0))</x:f>
        <x:v>1</x:v>
      </x:c>
    </x:row>
    <x:row r="164" s="51" customFormat="1" ht="15" customHeight="1">
      <x:c r="A164" s="73" t="n">
        <x:v>156</x:v>
      </x:c>
      <x:c r="B164" s="84" t="inlineStr">
        <x:is>
          <x:t xml:space="preserve">Composition</x:t>
        </x:is>
      </x:c>
      <x:c r="C164" s="84" t="inlineStr">
        <x:is>
          <x:t xml:space="preserve">FileUpload</x:t>
        </x:is>
      </x:c>
      <x:c r="D164" s="84" t="inlineStr">
        <x:is>
          <x:t xml:space="preserve">asChild preserves child content without double nesting</x:t>
        </x:is>
      </x:c>
      <x:c r="E164" s="76" t="inlineStr">
        <x:is>
          <x:t xml:space="preserve">yes</x:t>
        </x:is>
      </x:c>
      <x:c r="F164" s="85" t="inlineStr">
        <x:is>
          <x:t xml:space="preserve">yes</x:t>
        </x:is>
      </x:c>
      <x:c r="G164" s="73" t="inlineStr">
        <x:is>
          <x:t xml:space="preserve">passed</x:t>
        </x:is>
      </x:c>
      <x:c r="H164" s="86" t="inlineStr">
        <x:is>
          <x:t xml:space="preserve">covered</x:t>
        </x:is>
      </x:c>
      <x:c r="I164" s="84" t="inlineStr">
        <x:is>
          <x:t xml:space="preserve">FileUpload playground scenario.</x:t>
        </x:is>
      </x:c>
      <x:c r="J164" s="84" t="n"/>
      <x:c r="K164" s="87" t="n">
        <x:f>IF(AND(E164="yes",F164="yes",H164="covered"),1,IF(H164="partial",0.5,0))</x:f>
        <x:v>1</x:v>
      </x:c>
    </x:row>
    <x:row r="165" s="51" customFormat="1" ht="15" customHeight="1">
      <x:c r="A165" s="73" t="n">
        <x:v>157</x:v>
      </x:c>
      <x:c r="B165" s="84" t="inlineStr">
        <x:is>
          <x:t xml:space="preserve">Composition</x:t>
        </x:is>
      </x:c>
      <x:c r="C165" s="84" t="inlineStr">
        <x:is>
          <x:t xml:space="preserve">FileUpload</x:t>
        </x:is>
      </x:c>
      <x:c r="D165" s="84" t="inlineStr">
        <x:is>
          <x:t xml:space="preserve">asChild merges Atom props and consumer props</x:t>
        </x:is>
      </x:c>
      <x:c r="E165" s="76" t="inlineStr">
        <x:is>
          <x:t xml:space="preserve">yes</x:t>
        </x:is>
      </x:c>
      <x:c r="F165" s="85" t="inlineStr">
        <x:is>
          <x:t xml:space="preserve">yes</x:t>
        </x:is>
      </x:c>
      <x:c r="G165" s="73" t="inlineStr">
        <x:is>
          <x:t xml:space="preserve">passed</x:t>
        </x:is>
      </x:c>
      <x:c r="H165" s="86" t="inlineStr">
        <x:is>
          <x:t xml:space="preserve">covered</x:t>
        </x:is>
      </x:c>
      <x:c r="I165" s="84" t="inlineStr">
        <x:is>
          <x:t xml:space="preserve">FileUpload playground scenario.</x:t>
        </x:is>
      </x:c>
      <x:c r="J165" s="84" t="n"/>
      <x:c r="K165" s="87" t="n">
        <x:f>IF(AND(E165="yes",F165="yes",H165="covered"),1,IF(H165="partial",0.5,0))</x:f>
        <x:v>1</x:v>
      </x:c>
    </x:row>
    <x:row r="166" s="51" customFormat="1" ht="15" customHeight="1">
      <x:c r="A166" s="73" t="n">
        <x:v>158</x:v>
      </x:c>
      <x:c r="B166" s="84" t="inlineStr">
        <x:is>
          <x:t xml:space="preserve">Composition</x:t>
        </x:is>
      </x:c>
      <x:c r="C166" s="84" t="inlineStr">
        <x:is>
          <x:t xml:space="preserve">FileUpload</x:t>
        </x:is>
      </x:c>
      <x:c r="D166" s="84" t="inlineStr">
        <x:is>
          <x:t xml:space="preserve">asChild lets preventDefault block Atom behavior where supported</x:t>
        </x:is>
      </x:c>
      <x:c r="E166" s="76" t="inlineStr">
        <x:is>
          <x:t xml:space="preserve">yes</x:t>
        </x:is>
      </x:c>
      <x:c r="F166" s="85" t="inlineStr">
        <x:is>
          <x:t xml:space="preserve">yes</x:t>
        </x:is>
      </x:c>
      <x:c r="G166" s="73" t="inlineStr">
        <x:is>
          <x:t xml:space="preserve">passed</x:t>
        </x:is>
      </x:c>
      <x:c r="H166" s="86" t="inlineStr">
        <x:is>
          <x:t xml:space="preserve">covered</x:t>
        </x:is>
      </x:c>
      <x:c r="I166" s="84" t="inlineStr">
        <x:is>
          <x:t xml:space="preserve">FileUpload playground scenario.</x:t>
        </x:is>
      </x:c>
      <x:c r="J166" s="84" t="n"/>
      <x:c r="K166" s="87" t="n">
        <x:f>IF(AND(E166="yes",F166="yes",H166="covered"),1,IF(H166="partial",0.5,0))</x:f>
        <x:v>1</x:v>
      </x:c>
    </x:row>
    <x:row r="167" s="51" customFormat="1" ht="15" customHeight="1">
      <x:c r="A167" s="73" t="n">
        <x:v>159</x:v>
      </x:c>
      <x:c r="B167" s="84" t="inlineStr">
        <x:is>
          <x:t xml:space="preserve">Composition</x:t>
        </x:is>
      </x:c>
      <x:c r="C167" s="84" t="inlineStr">
        <x:is>
          <x:t xml:space="preserve">FileUpload</x:t>
        </x:is>
      </x:c>
      <x:c r="D167" s="84" t="inlineStr">
        <x:is>
          <x:t xml:space="preserve">render prop renders custom element</x:t>
        </x:is>
      </x:c>
      <x:c r="E167" s="76" t="inlineStr">
        <x:is>
          <x:t xml:space="preserve">yes</x:t>
        </x:is>
      </x:c>
      <x:c r="F167" s="85" t="inlineStr">
        <x:is>
          <x:t xml:space="preserve">yes</x:t>
        </x:is>
      </x:c>
      <x:c r="G167" s="73" t="inlineStr">
        <x:is>
          <x:t xml:space="preserve">passed</x:t>
        </x:is>
      </x:c>
      <x:c r="H167" s="86" t="inlineStr">
        <x:is>
          <x:t xml:space="preserve">covered</x:t>
        </x:is>
      </x:c>
      <x:c r="I167" s="84" t="inlineStr">
        <x:is>
          <x:t xml:space="preserve">FileUpload playground scenario.</x:t>
        </x:is>
      </x:c>
      <x:c r="J167" s="84" t="n"/>
      <x:c r="K167" s="87" t="n">
        <x:f>IF(AND(E167="yes",F167="yes",H167="covered"),1,IF(H167="partial",0.5,0))</x:f>
        <x:v>1</x:v>
      </x:c>
    </x:row>
    <x:row r="168" s="51" customFormat="1" ht="15" customHeight="1">
      <x:c r="A168" s="73" t="n">
        <x:v>160</x:v>
      </x:c>
      <x:c r="B168" s="84" t="inlineStr">
        <x:is>
          <x:t xml:space="preserve">Composition</x:t>
        </x:is>
      </x:c>
      <x:c r="C168" s="84" t="inlineStr">
        <x:is>
          <x:t xml:space="preserve">FileUpload</x:t>
        </x:is>
      </x:c>
      <x:c r="D168" s="84" t="inlineStr">
        <x:is>
          <x:t xml:space="preserve">render prop preserves refs and behavior props</x:t>
        </x:is>
      </x:c>
      <x:c r="E168" s="76" t="inlineStr">
        <x:is>
          <x:t xml:space="preserve">yes</x:t>
        </x:is>
      </x:c>
      <x:c r="F168" s="85" t="inlineStr">
        <x:is>
          <x:t xml:space="preserve">yes</x:t>
        </x:is>
      </x:c>
      <x:c r="G168" s="73" t="inlineStr">
        <x:is>
          <x:t xml:space="preserve">passed</x:t>
        </x:is>
      </x:c>
      <x:c r="H168" s="86" t="inlineStr">
        <x:is>
          <x:t xml:space="preserve">covered</x:t>
        </x:is>
      </x:c>
      <x:c r="I168" s="84" t="inlineStr">
        <x:is>
          <x:t xml:space="preserve">FileUpload playground scenario.</x:t>
        </x:is>
      </x:c>
      <x:c r="J168" s="84" t="n"/>
      <x:c r="K168" s="87" t="n">
        <x:f>IF(AND(E168="yes",F168="yes",H168="covered"),1,IF(H168="partial",0.5,0))</x:f>
        <x:v>1</x:v>
      </x:c>
    </x:row>
    <x:row r="169" s="51" customFormat="1" ht="30" customHeight="1">
      <x:c r="A169" s="73" t="n">
        <x:v>161</x:v>
      </x:c>
      <x:c r="B169" s="84" t="inlineStr">
        <x:is>
          <x:t xml:space="preserve">State</x:t>
        </x:is>
      </x:c>
      <x:c r="C169" s="84" t="inlineStr">
        <x:is>
          <x:t xml:space="preserve">Root</x:t>
        </x:is>
      </x:c>
      <x:c r="D169" s="84" t="inlineStr">
        <x:is>
          <x:t xml:space="preserve">controlled state path</x:t>
        </x:is>
      </x:c>
      <x:c r="E169" s="76" t="inlineStr">
        <x:is>
          <x:t xml:space="preserve">yes</x:t>
        </x:is>
      </x:c>
      <x:c r="F169" s="85" t="inlineStr">
        <x:is>
          <x:t xml:space="preserve">yes</x:t>
        </x:is>
      </x:c>
      <x:c r="G169" s="73" t="inlineStr">
        <x:is>
          <x:t xml:space="preserve">passed</x:t>
        </x:is>
      </x:c>
      <x:c r="H169" s="86" t="inlineStr">
        <x:is>
          <x:t xml:space="preserve">covered</x:t>
        </x:is>
      </x:c>
      <x:c r="I169" s="84" t="inlineStr">
        <x:is>
          <x:t xml:space="preserve">FileUpload playground scenario.</x:t>
        </x:is>
      </x:c>
      <x:c r="J169" s="84" t="n"/>
      <x:c r="K169" s="87" t="n">
        <x:f>IF(AND(E169="yes",F169="yes",H169="covered"),1,IF(H169="partial",0.5,0))</x:f>
        <x:v>1</x:v>
      </x:c>
    </x:row>
    <x:row r="170" s="51" customFormat="1" ht="15" customHeight="1">
      <x:c r="A170" s="73" t="n">
        <x:v>162</x:v>
      </x:c>
      <x:c r="B170" s="84" t="inlineStr">
        <x:is>
          <x:t xml:space="preserve">State</x:t>
        </x:is>
      </x:c>
      <x:c r="C170" s="84" t="inlineStr">
        <x:is>
          <x:t xml:space="preserve">Root</x:t>
        </x:is>
      </x:c>
      <x:c r="D170" s="84" t="inlineStr">
        <x:is>
          <x:t xml:space="preserve">uncontrolled default state path</x:t>
        </x:is>
      </x:c>
      <x:c r="E170" s="76" t="inlineStr">
        <x:is>
          <x:t xml:space="preserve">yes</x:t>
        </x:is>
      </x:c>
      <x:c r="F170" s="85" t="inlineStr">
        <x:is>
          <x:t xml:space="preserve">yes</x:t>
        </x:is>
      </x:c>
      <x:c r="G170" s="73" t="inlineStr">
        <x:is>
          <x:t xml:space="preserve">passed</x:t>
        </x:is>
      </x:c>
      <x:c r="H170" s="86" t="inlineStr">
        <x:is>
          <x:t xml:space="preserve">covered</x:t>
        </x:is>
      </x:c>
      <x:c r="I170" s="84" t="inlineStr">
        <x:is>
          <x:t xml:space="preserve">FileUpload playground scenario.</x:t>
        </x:is>
      </x:c>
      <x:c r="J170" s="84" t="n"/>
      <x:c r="K170" s="87" t="n">
        <x:f>IF(AND(E170="yes",F170="yes",H170="covered"),1,IF(H170="partial",0.5,0))</x:f>
        <x:v>1</x:v>
      </x:c>
    </x:row>
    <x:row r="171" s="51" customFormat="1" ht="15" customHeight="1">
      <x:c r="A171" s="73" t="n">
        <x:v>163</x:v>
      </x:c>
      <x:c r="B171" s="84" t="inlineStr">
        <x:is>
          <x:t xml:space="preserve">State</x:t>
        </x:is>
      </x:c>
      <x:c r="C171" s="84" t="inlineStr">
        <x:is>
          <x:t xml:space="preserve">Root</x:t>
        </x:is>
      </x:c>
      <x:c r="D171" s="84" t="inlineStr">
        <x:is>
          <x:t xml:space="preserve">state change callback fires once with correct value</x:t>
        </x:is>
      </x:c>
      <x:c r="E171" s="76" t="inlineStr">
        <x:is>
          <x:t xml:space="preserve">yes</x:t>
        </x:is>
      </x:c>
      <x:c r="F171" s="85" t="inlineStr">
        <x:is>
          <x:t xml:space="preserve">yes</x:t>
        </x:is>
      </x:c>
      <x:c r="G171" s="73" t="inlineStr">
        <x:is>
          <x:t xml:space="preserve">passed</x:t>
        </x:is>
      </x:c>
      <x:c r="H171" s="86" t="inlineStr">
        <x:is>
          <x:t xml:space="preserve">covered</x:t>
        </x:is>
      </x:c>
      <x:c r="I171" s="84" t="inlineStr">
        <x:is>
          <x:t xml:space="preserve">FileUpload playground scenario.</x:t>
        </x:is>
      </x:c>
      <x:c r="J171" s="84" t="n"/>
      <x:c r="K171" s="87" t="n">
        <x:f>IF(AND(E171="yes",F171="yes",H171="covered"),1,IF(H171="partial",0.5,0))</x:f>
        <x:v>1</x:v>
      </x:c>
    </x:row>
    <x:row r="172" s="51" customFormat="1" ht="15" customHeight="1">
      <x:c r="A172" s="73" t="n">
        <x:v>164</x:v>
      </x:c>
      <x:c r="B172" s="84" t="inlineStr">
        <x:is>
          <x:t xml:space="preserve">State</x:t>
        </x:is>
      </x:c>
      <x:c r="C172" s="84" t="inlineStr">
        <x:is>
          <x:t xml:space="preserve">FileUpload</x:t>
        </x:is>
      </x:c>
      <x:c r="D172" s="84" t="inlineStr">
        <x:is>
          <x:t xml:space="preserve">disabled state blocks or exposes behavior correctly where supported</x:t>
        </x:is>
      </x:c>
      <x:c r="E172" s="76" t="inlineStr">
        <x:is>
          <x:t xml:space="preserve">yes</x:t>
        </x:is>
      </x:c>
      <x:c r="F172" s="85" t="inlineStr">
        <x:is>
          <x:t xml:space="preserve">yes</x:t>
        </x:is>
      </x:c>
      <x:c r="G172" s="73" t="inlineStr">
        <x:is>
          <x:t xml:space="preserve">passed</x:t>
        </x:is>
      </x:c>
      <x:c r="H172" s="86" t="inlineStr">
        <x:is>
          <x:t xml:space="preserve">covered</x:t>
        </x:is>
      </x:c>
      <x:c r="I172" s="84" t="inlineStr">
        <x:is>
          <x:t xml:space="preserve">FileUpload playground scenario.</x:t>
        </x:is>
      </x:c>
      <x:c r="J172" s="84" t="n"/>
      <x:c r="K172" s="87" t="n">
        <x:f>IF(AND(E172="yes",F172="yes",H172="covered"),1,IF(H172="partial",0.5,0))</x:f>
        <x:v>1</x:v>
      </x:c>
    </x:row>
    <x:row r="173" s="51" customFormat="1" ht="15" customHeight="1">
      <x:c r="A173" s="73" t="n">
        <x:v>165</x:v>
      </x:c>
      <x:c r="B173" s="84" t="inlineStr">
        <x:is>
          <x:t xml:space="preserve">State</x:t>
        </x:is>
      </x:c>
      <x:c r="C173" s="84" t="inlineStr">
        <x:is>
          <x:t xml:space="preserve">FileUpload</x:t>
        </x:is>
      </x:c>
      <x:c r="D173" s="84" t="inlineStr">
        <x:is>
          <x:t xml:space="preserve">readonly/readOnly state blocks or exposes behavior correctly where supported</x:t>
        </x:is>
      </x:c>
      <x:c r="E173" s="76" t="inlineStr">
        <x:is>
          <x:t xml:space="preserve">yes</x:t>
        </x:is>
      </x:c>
      <x:c r="F173" s="85" t="inlineStr">
        <x:is>
          <x:t xml:space="preserve">yes</x:t>
        </x:is>
      </x:c>
      <x:c r="G173" s="73" t="inlineStr">
        <x:is>
          <x:t xml:space="preserve">passed</x:t>
        </x:is>
      </x:c>
      <x:c r="H173" s="86" t="inlineStr">
        <x:is>
          <x:t xml:space="preserve">covered</x:t>
        </x:is>
      </x:c>
      <x:c r="I173" s="84" t="inlineStr">
        <x:is>
          <x:t xml:space="preserve">FileUpload playground scenario.</x:t>
        </x:is>
      </x:c>
      <x:c r="J173" s="84" t="n"/>
      <x:c r="K173" s="87" t="n">
        <x:f>IF(AND(E173="yes",F173="yes",H173="covered"),1,IF(H173="partial",0.5,0))</x:f>
        <x:v>1</x:v>
      </x:c>
    </x:row>
    <x:row r="174" s="51" customFormat="1" ht="15" customHeight="1">
      <x:c r="A174" s="73" t="n">
        <x:v>166</x:v>
      </x:c>
      <x:c r="B174" s="84" t="inlineStr">
        <x:is>
          <x:t xml:space="preserve">State</x:t>
        </x:is>
      </x:c>
      <x:c r="C174" s="84" t="inlineStr">
        <x:is>
          <x:t xml:space="preserve">FileUpload</x:t>
        </x:is>
      </x:c>
      <x:c r="D174" s="84" t="inlineStr">
        <x:is>
          <x:t xml:space="preserve">required state blocks or exposes behavior correctly where supported</x:t>
        </x:is>
      </x:c>
      <x:c r="E174" s="76" t="inlineStr">
        <x:is>
          <x:t xml:space="preserve">yes</x:t>
        </x:is>
      </x:c>
      <x:c r="F174" s="85" t="inlineStr">
        <x:is>
          <x:t xml:space="preserve">yes</x:t>
        </x:is>
      </x:c>
      <x:c r="G174" s="73" t="inlineStr">
        <x:is>
          <x:t xml:space="preserve">passed</x:t>
        </x:is>
      </x:c>
      <x:c r="H174" s="86" t="inlineStr">
        <x:is>
          <x:t xml:space="preserve">covered</x:t>
        </x:is>
      </x:c>
      <x:c r="I174" s="84" t="inlineStr">
        <x:is>
          <x:t xml:space="preserve">FileUpload playground scenario.</x:t>
        </x:is>
      </x:c>
      <x:c r="J174" s="84" t="n"/>
      <x:c r="K174" s="87" t="n">
        <x:f>IF(AND(E174="yes",F174="yes",H174="covered"),1,IF(H174="partial",0.5,0))</x:f>
        <x:v>1</x:v>
      </x:c>
    </x:row>
    <x:row r="175" s="51" customFormat="1" ht="30" customHeight="1">
      <x:c r="A175" s="73" t="n">
        <x:v>167</x:v>
      </x:c>
      <x:c r="B175" s="84" t="inlineStr">
        <x:is>
          <x:t xml:space="preserve">State</x:t>
        </x:is>
      </x:c>
      <x:c r="C175" s="84" t="inlineStr">
        <x:is>
          <x:t xml:space="preserve">FileUpload</x:t>
        </x:is>
      </x:c>
      <x:c r="D175" s="84" t="inlineStr">
        <x:is>
          <x:t xml:space="preserve">invalid state blocks or exposes behavior correctly where supported</x:t>
        </x:is>
      </x:c>
      <x:c r="E175" s="76" t="inlineStr">
        <x:is>
          <x:t xml:space="preserve">yes</x:t>
        </x:is>
      </x:c>
      <x:c r="F175" s="85" t="inlineStr">
        <x:is>
          <x:t xml:space="preserve">yes</x:t>
        </x:is>
      </x:c>
      <x:c r="G175" s="73" t="inlineStr">
        <x:is>
          <x:t xml:space="preserve">passed</x:t>
        </x:is>
      </x:c>
      <x:c r="H175" s="86" t="inlineStr">
        <x:is>
          <x:t xml:space="preserve">covered</x:t>
        </x:is>
      </x:c>
      <x:c r="I175" s="84" t="inlineStr">
        <x:is>
          <x:t xml:space="preserve">FileUpload playground scenario.</x:t>
        </x:is>
      </x:c>
      <x:c r="J175" s="84" t="n"/>
      <x:c r="K175" s="87" t="n">
        <x:f>IF(AND(E175="yes",F175="yes",H175="covered"),1,IF(H175="partial",0.5,0))</x:f>
        <x:v>1</x:v>
      </x:c>
    </x:row>
    <x:row r="176" s="51" customFormat="1" ht="15" customHeight="1">
      <x:c r="A176" s="73" t="n">
        <x:v>168</x:v>
      </x:c>
      <x:c r="B176" s="84" t="inlineStr">
        <x:is>
          <x:t xml:space="preserve">Forms</x:t>
        </x:is>
      </x:c>
      <x:c r="C176" s="84" t="inlineStr">
        <x:is>
          <x:t xml:space="preserve">FileUpload</x:t>
        </x:is>
      </x:c>
      <x:c r="D176" s="84" t="inlineStr">
        <x:is>
          <x:t xml:space="preserve">form value participates correctly where supported</x:t>
        </x:is>
      </x:c>
      <x:c r="E176" s="76" t="inlineStr">
        <x:is>
          <x:t xml:space="preserve">yes</x:t>
        </x:is>
      </x:c>
      <x:c r="F176" s="85" t="inlineStr">
        <x:is>
          <x:t xml:space="preserve">yes</x:t>
        </x:is>
      </x:c>
      <x:c r="G176" s="73" t="inlineStr">
        <x:is>
          <x:t xml:space="preserve">passed</x:t>
        </x:is>
      </x:c>
      <x:c r="H176" s="86" t="inlineStr">
        <x:is>
          <x:t xml:space="preserve">covered</x:t>
        </x:is>
      </x:c>
      <x:c r="I176" s="84" t="inlineStr">
        <x:is>
          <x:t xml:space="preserve">FileUpload playground scenario.</x:t>
        </x:is>
      </x:c>
      <x:c r="J176" s="84" t="n"/>
      <x:c r="K176" s="87" t="n">
        <x:f>IF(AND(E176="yes",F176="yes",H176="covered"),1,IF(H176="partial",0.5,0))</x:f>
        <x:v>1</x:v>
      </x:c>
    </x:row>
    <x:row r="177" s="51" customFormat="1" ht="15" customHeight="1">
      <x:c r="A177" s="73" t="n">
        <x:v>169</x:v>
      </x:c>
      <x:c r="B177" s="84" t="inlineStr">
        <x:is>
          <x:t xml:space="preserve">Forms</x:t>
        </x:is>
      </x:c>
      <x:c r="C177" s="84" t="inlineStr">
        <x:is>
          <x:t xml:space="preserve">FileUpload</x:t>
        </x:is>
      </x:c>
      <x:c r="D177" s="84" t="inlineStr">
        <x:is>
          <x:t xml:space="preserve">hidden input mirrors value/checked/disabled where supported</x:t>
        </x:is>
      </x:c>
      <x:c r="E177" s="76" t="inlineStr">
        <x:is>
          <x:t xml:space="preserve">yes</x:t>
        </x:is>
      </x:c>
      <x:c r="F177" s="85" t="inlineStr">
        <x:is>
          <x:t xml:space="preserve">yes</x:t>
        </x:is>
      </x:c>
      <x:c r="G177" s="73" t="inlineStr">
        <x:is>
          <x:t xml:space="preserve">passed</x:t>
        </x:is>
      </x:c>
      <x:c r="H177" s="86" t="inlineStr">
        <x:is>
          <x:t xml:space="preserve">covered</x:t>
        </x:is>
      </x:c>
      <x:c r="I177" s="84" t="inlineStr">
        <x:is>
          <x:t xml:space="preserve">FileUpload playground scenario.</x:t>
        </x:is>
      </x:c>
      <x:c r="J177" s="84" t="n"/>
      <x:c r="K177" s="87" t="n">
        <x:f>IF(AND(E177="yes",F177="yes",H177="covered"),1,IF(H177="partial",0.5,0))</x:f>
        <x:v>1</x:v>
      </x:c>
    </x:row>
    <x:row r="178" s="51" customFormat="1" ht="15" customHeight="1">
      <x:c r="A178" s="73" t="n">
        <x:v>170</x:v>
      </x:c>
      <x:c r="B178" s="84" t="inlineStr">
        <x:is>
          <x:t xml:space="preserve">Interaction</x:t>
        </x:is>
      </x:c>
      <x:c r="C178" s="84" t="inlineStr">
        <x:is>
          <x:t xml:space="preserve">Trigger</x:t>
        </x:is>
      </x:c>
      <x:c r="D178" s="84" t="inlineStr">
        <x:is>
          <x:t xml:space="preserve">mouse click or pointer activation</x:t>
        </x:is>
      </x:c>
      <x:c r="E178" s="76" t="inlineStr">
        <x:is>
          <x:t xml:space="preserve">yes</x:t>
        </x:is>
      </x:c>
      <x:c r="F178" s="85" t="inlineStr">
        <x:is>
          <x:t xml:space="preserve">yes</x:t>
        </x:is>
      </x:c>
      <x:c r="G178" s="73" t="inlineStr">
        <x:is>
          <x:t xml:space="preserve">passed</x:t>
        </x:is>
      </x:c>
      <x:c r="H178" s="86" t="inlineStr">
        <x:is>
          <x:t xml:space="preserve">covered</x:t>
        </x:is>
      </x:c>
      <x:c r="I178" s="84" t="inlineStr">
        <x:is>
          <x:t xml:space="preserve">FileUpload playground scenario.</x:t>
        </x:is>
      </x:c>
      <x:c r="J178" s="84" t="n"/>
      <x:c r="K178" s="87" t="n">
        <x:f>IF(AND(E178="yes",F178="yes",H178="covered"),1,IF(H178="partial",0.5,0))</x:f>
        <x:v>1</x:v>
      </x:c>
    </x:row>
    <x:row r="179" s="51" customFormat="1" ht="15" customHeight="1">
      <x:c r="A179" s="73" t="n">
        <x:v>171</x:v>
      </x:c>
      <x:c r="B179" s="84" t="inlineStr">
        <x:is>
          <x:t xml:space="preserve">Interaction</x:t>
        </x:is>
      </x:c>
      <x:c r="C179" s="84" t="inlineStr">
        <x:is>
          <x:t xml:space="preserve">Trigger</x:t>
        </x:is>
      </x:c>
      <x:c r="D179" s="84" t="inlineStr">
        <x:is>
          <x:t xml:space="preserve">Enter key activation</x:t>
        </x:is>
      </x:c>
      <x:c r="E179" s="76" t="inlineStr">
        <x:is>
          <x:t xml:space="preserve">yes</x:t>
        </x:is>
      </x:c>
      <x:c r="F179" s="85" t="inlineStr">
        <x:is>
          <x:t xml:space="preserve">yes</x:t>
        </x:is>
      </x:c>
      <x:c r="G179" s="73" t="inlineStr">
        <x:is>
          <x:t xml:space="preserve">passed</x:t>
        </x:is>
      </x:c>
      <x:c r="H179" s="86" t="inlineStr">
        <x:is>
          <x:t xml:space="preserve">covered</x:t>
        </x:is>
      </x:c>
      <x:c r="I179" s="84" t="inlineStr">
        <x:is>
          <x:t xml:space="preserve">FileUpload playground scenario.</x:t>
        </x:is>
      </x:c>
      <x:c r="J179" s="84" t="n"/>
      <x:c r="K179" s="87" t="n">
        <x:f>IF(AND(E179="yes",F179="yes",H179="covered"),1,IF(H179="partial",0.5,0))</x:f>
        <x:v>1</x:v>
      </x:c>
    </x:row>
    <x:row r="180" s="51" customFormat="1" ht="15" customHeight="1">
      <x:c r="A180" s="73" t="n">
        <x:v>172</x:v>
      </x:c>
      <x:c r="B180" s="84" t="inlineStr">
        <x:is>
          <x:t xml:space="preserve">Interaction</x:t>
        </x:is>
      </x:c>
      <x:c r="C180" s="84" t="inlineStr">
        <x:is>
          <x:t xml:space="preserve">Trigger</x:t>
        </x:is>
      </x:c>
      <x:c r="D180" s="84" t="inlineStr">
        <x:is>
          <x:t xml:space="preserve">Space key activation</x:t>
        </x:is>
      </x:c>
      <x:c r="E180" s="76" t="inlineStr">
        <x:is>
          <x:t xml:space="preserve">yes</x:t>
        </x:is>
      </x:c>
      <x:c r="F180" s="85" t="inlineStr">
        <x:is>
          <x:t xml:space="preserve">yes</x:t>
        </x:is>
      </x:c>
      <x:c r="G180" s="73" t="inlineStr">
        <x:is>
          <x:t xml:space="preserve">passed</x:t>
        </x:is>
      </x:c>
      <x:c r="H180" s="86" t="inlineStr">
        <x:is>
          <x:t xml:space="preserve">covered</x:t>
        </x:is>
      </x:c>
      <x:c r="I180" s="84" t="inlineStr">
        <x:is>
          <x:t xml:space="preserve">FileUpload playground scenario.</x:t>
        </x:is>
      </x:c>
      <x:c r="J180" s="84" t="n"/>
      <x:c r="K180" s="87" t="n">
        <x:f>IF(AND(E180="yes",F180="yes",H180="covered"),1,IF(H180="partial",0.5,0))</x:f>
        <x:v>1</x:v>
      </x:c>
    </x:row>
    <x:row r="181" s="51" customFormat="1" ht="30" customHeight="1">
      <x:c r="A181" s="73" t="n">
        <x:v>173</x:v>
      </x:c>
      <x:c r="B181" s="84" t="inlineStr">
        <x:is>
          <x:t xml:space="preserve">Interaction</x:t>
        </x:is>
      </x:c>
      <x:c r="C181" s="84" t="inlineStr">
        <x:is>
          <x:t xml:space="preserve">Trigger</x:t>
        </x:is>
      </x:c>
      <x:c r="D181" s="84" t="inlineStr">
        <x:is>
          <x:t xml:space="preserve">disabled trigger blocks pointer and keyboard</x:t>
        </x:is>
      </x:c>
      <x:c r="E181" s="76" t="inlineStr">
        <x:is>
          <x:t xml:space="preserve">yes</x:t>
        </x:is>
      </x:c>
      <x:c r="F181" s="85" t="inlineStr">
        <x:is>
          <x:t xml:space="preserve">yes</x:t>
        </x:is>
      </x:c>
      <x:c r="G181" s="73" t="inlineStr">
        <x:is>
          <x:t xml:space="preserve">passed</x:t>
        </x:is>
      </x:c>
      <x:c r="H181" s="86" t="inlineStr">
        <x:is>
          <x:t xml:space="preserve">covered</x:t>
        </x:is>
      </x:c>
      <x:c r="I181" s="84" t="inlineStr">
        <x:is>
          <x:t xml:space="preserve">FileUpload playground scenario.</x:t>
        </x:is>
      </x:c>
      <x:c r="J181" s="84" t="n"/>
      <x:c r="K181" s="87" t="n">
        <x:f>IF(AND(E181="yes",F181="yes",H181="covered"),1,IF(H181="partial",0.5,0))</x:f>
        <x:v>1</x:v>
      </x:c>
    </x:row>
    <x:row r="182" s="51" customFormat="1" ht="15" customHeight="1">
      <x:c r="A182" s="73" t="n">
        <x:v>174</x:v>
      </x:c>
      <x:c r="B182" s="84" t="inlineStr">
        <x:is>
          <x:t xml:space="preserve">Focus</x:t>
        </x:is>
      </x:c>
      <x:c r="C182" s="84" t="inlineStr">
        <x:is>
          <x:t xml:space="preserve">Trigger</x:t>
        </x:is>
      </x:c>
      <x:c r="D182" s="84" t="inlineStr">
        <x:is>
          <x:t xml:space="preserve">focus ring and focus restoration are correct</x:t>
        </x:is>
      </x:c>
      <x:c r="E182" s="76" t="inlineStr">
        <x:is>
          <x:t xml:space="preserve">yes</x:t>
        </x:is>
      </x:c>
      <x:c r="F182" s="85" t="inlineStr">
        <x:is>
          <x:t xml:space="preserve">yes</x:t>
        </x:is>
      </x:c>
      <x:c r="G182" s="73" t="inlineStr">
        <x:is>
          <x:t xml:space="preserve">passed</x:t>
        </x:is>
      </x:c>
      <x:c r="H182" s="86" t="inlineStr">
        <x:is>
          <x:t xml:space="preserve">covered</x:t>
        </x:is>
      </x:c>
      <x:c r="I182" s="84" t="inlineStr">
        <x:is>
          <x:t xml:space="preserve">FileUpload playground scenario.</x:t>
        </x:is>
      </x:c>
      <x:c r="J182" s="84" t="n"/>
      <x:c r="K182" s="87" t="n">
        <x:f>IF(AND(E182="yes",F182="yes",H182="covered"),1,IF(H182="partial",0.5,0))</x:f>
        <x:v>1</x:v>
      </x:c>
    </x:row>
    <x:row r="183" s="51" customFormat="1" ht="15" customHeight="1">
      <x:c r="A183" s="73" t="n">
        <x:v>175</x:v>
      </x:c>
      <x:c r="B183" s="84" t="inlineStr">
        <x:is>
          <x:t xml:space="preserve">Keyboard</x:t>
        </x:is>
      </x:c>
      <x:c r="C183" s="84" t="inlineStr">
        <x:is>
          <x:t xml:space="preserve">FileUpload</x:t>
        </x:is>
      </x:c>
      <x:c r="D183" s="84" t="inlineStr">
        <x:is>
          <x:t xml:space="preserve">  behavior</x:t>
        </x:is>
      </x:c>
      <x:c r="E183" s="76" t="inlineStr">
        <x:is>
          <x:t xml:space="preserve">yes</x:t>
        </x:is>
      </x:c>
      <x:c r="F183" s="85" t="inlineStr">
        <x:is>
          <x:t xml:space="preserve">yes</x:t>
        </x:is>
      </x:c>
      <x:c r="G183" s="73" t="inlineStr">
        <x:is>
          <x:t xml:space="preserve">passed</x:t>
        </x:is>
      </x:c>
      <x:c r="H183" s="86" t="inlineStr">
        <x:is>
          <x:t xml:space="preserve">covered</x:t>
        </x:is>
      </x:c>
      <x:c r="I183" s="84" t="inlineStr">
        <x:is>
          <x:t xml:space="preserve">FileUpload playground scenario.</x:t>
        </x:is>
      </x:c>
      <x:c r="J183" s="84" t="n"/>
      <x:c r="K183" s="87" t="n">
        <x:f>IF(AND(E183="yes",F183="yes",H183="covered"),1,IF(H183="partial",0.5,0))</x:f>
        <x:v>1</x:v>
      </x:c>
    </x:row>
    <x:row r="184" s="51" customFormat="1" ht="15" customHeight="1">
      <x:c r="A184" s="73" t="n">
        <x:v>176</x:v>
      </x:c>
      <x:c r="B184" s="84" t="inlineStr">
        <x:is>
          <x:t xml:space="preserve">Keyboard</x:t>
        </x:is>
      </x:c>
      <x:c r="C184" s="84" t="inlineStr">
        <x:is>
          <x:t xml:space="preserve">FileUpload</x:t>
        </x:is>
      </x:c>
      <x:c r="D184" s="84" t="inlineStr">
        <x:is>
          <x:t xml:space="preserve">Enter behavior</x:t>
        </x:is>
      </x:c>
      <x:c r="E184" s="76" t="inlineStr">
        <x:is>
          <x:t xml:space="preserve">yes</x:t>
        </x:is>
      </x:c>
      <x:c r="F184" s="85" t="inlineStr">
        <x:is>
          <x:t xml:space="preserve">yes</x:t>
        </x:is>
      </x:c>
      <x:c r="G184" s="73" t="inlineStr">
        <x:is>
          <x:t xml:space="preserve">passed</x:t>
        </x:is>
      </x:c>
      <x:c r="H184" s="86" t="inlineStr">
        <x:is>
          <x:t xml:space="preserve">covered</x:t>
        </x:is>
      </x:c>
      <x:c r="I184" s="84" t="inlineStr">
        <x:is>
          <x:t xml:space="preserve">FileUpload playground scenario.</x:t>
        </x:is>
      </x:c>
      <x:c r="J184" s="84" t="n"/>
      <x:c r="K184" s="87" t="n">
        <x:f>IF(AND(E184="yes",F184="yes",H184="covered"),1,IF(H184="partial",0.5,0))</x:f>
        <x:v>1</x:v>
      </x:c>
    </x:row>
    <x:row r="185" s="51" customFormat="1" ht="15" customHeight="1">
      <x:c r="A185" s="73" t="n">
        <x:v>177</x:v>
      </x:c>
      <x:c r="B185" s="84" t="inlineStr">
        <x:is>
          <x:t xml:space="preserve">Forms</x:t>
        </x:is>
      </x:c>
      <x:c r="C185" s="84" t="inlineStr">
        <x:is>
          <x:t xml:space="preserve">Root/HiddenInput</x:t>
        </x:is>
      </x:c>
      <x:c r="D185" s="84" t="inlineStr">
        <x:is>
          <x:t xml:space="preserve">Field inheritance and native form reset clear files, rejections, and drag state</x:t>
        </x:is>
      </x:c>
      <x:c r="E185" s="76" t="inlineStr">
        <x:is>
          <x:t xml:space="preserve">yes</x:t>
        </x:is>
      </x:c>
      <x:c r="F185" s="85" t="inlineStr">
        <x:is>
          <x:t xml:space="preserve">no</x:t>
        </x:is>
      </x:c>
      <x:c r="G185" s="73" t="inlineStr">
        <x:is>
          <x:t xml:space="preserve">automated tests pass; manual pending</x:t>
        </x:is>
      </x:c>
      <x:c r="H185" s="86" t="inlineStr">
        <x:is>
          <x:t xml:space="preserve">untested</x:t>
        </x:is>
      </x:c>
      <x:c r="I185" s="84" t="inlineStr">
        <x:is>
          <x:t xml:space="preserve">Form &gt; Control: Foundation plus the component scenario and automated package tests.</x:t>
        </x:is>
      </x:c>
      <x:c r="J185" s="84" t="inlineStr">
        <x:is>
          <x:t xml:space="preserve">Run and review the form-foundation manual protocol.</x:t>
        </x:is>
      </x:c>
      <x:c r="K185" s="87" t="n">
        <x:f>IF(AND(E185="yes",F185="yes",H185="covered"),1,IF(H185="partial",0.5,0))</x:f>
        <x:v>0</x:v>
      </x:c>
    </x:row>
    <x:row r="186" s="51" customFormat="1" ht="15" customHeight="1">
      <x:c r="A186" s="73" t="n">
        <x:v>178</x:v>
      </x:c>
      <x:c r="B186" s="84" t="inlineStr">
        <x:is>
          <x:t xml:space="preserve">Validation</x:t>
        </x:is>
      </x:c>
      <x:c r="C186" s="84" t="inlineStr">
        <x:is>
          <x:t xml:space="preserve">Root/HiddenInput</x:t>
        </x:is>
      </x:c>
      <x:c r="D186" s="84" t="inlineStr">
        <x:is>
          <x:t xml:space="preserve">HiddenInput invalidity mirrors to the visible upload surface, Field, Error, and Form</x:t>
        </x:is>
      </x:c>
      <x:c r="E186" s="76" t="inlineStr">
        <x:is>
          <x:t xml:space="preserve">yes</x:t>
        </x:is>
      </x:c>
      <x:c r="F186" s="85" t="inlineStr">
        <x:is>
          <x:t xml:space="preserve">no</x:t>
        </x:is>
      </x:c>
      <x:c r="G186" s="73" t="inlineStr">
        <x:is>
          <x:t xml:space="preserve">automated tests pass; manual pending</x:t>
        </x:is>
      </x:c>
      <x:c r="H186" s="86" t="inlineStr">
        <x:is>
          <x:t xml:space="preserve">untested</x:t>
        </x:is>
      </x:c>
      <x:c r="I186" s="84" t="inlineStr">
        <x:is>
          <x:t xml:space="preserve">Form &gt; Control: Foundation and automated Atom validation tests.</x:t>
        </x:is>
      </x:c>
      <x:c r="J186" s="84" t="inlineStr">
        <x:is>
          <x:t xml:space="preserve">Run and review the updated form-foundation validation steps.</x:t>
        </x:is>
      </x:c>
      <x:c r="K186" s="87" t="n">
        <x:f>IF(AND(E186="yes",F186="yes",H186="covered"),1,IF(H186="partial",0.5,0))</x:f>
        <x:v>0</x:v>
      </x:c>
    </x:row>
    <x:row r="187" s="51" customFormat="1" ht="15" customHeight="1">
      <x:c r="A187" s="73" t="n">
        <x:v>179</x:v>
      </x:c>
      <x:c r="B187" s="84" t="inlineStr">
        <x:is>
          <x:t xml:space="preserve">Actions</x:t>
        </x:is>
      </x:c>
      <x:c r="C187" s="84" t="inlineStr">
        <x:is>
          <x:t xml:space="preserve">Trigger/Clear/Delete</x:t>
        </x:is>
      </x:c>
      <x:c r="D187" s="84" t="inlineStr">
        <x:is>
          <x:t xml:space="preserve">Composed keyboard and cancellation preserve exactly-once activation.</x:t>
        </x:is>
      </x:c>
      <x:c r="E187" s="76" t="inlineStr">
        <x:is>
          <x:t xml:space="preserve">yes</x:t>
        </x:is>
      </x:c>
      <x:c r="F187" s="85" t="inlineStr">
        <x:is>
          <x:t xml:space="preserve">no</x:t>
        </x:is>
      </x:c>
      <x:c r="G187" s="73" t="inlineStr">
        <x:is>
          <x:t xml:space="preserve">automated coverage added; manual pending</x:t>
        </x:is>
      </x:c>
      <x:c r="H187" s="86" t="inlineStr">
        <x:is>
          <x:t xml:space="preserve">untested</x:t>
        </x:is>
      </x:c>
      <x:c r="I187" s="84" t="inlineStr">
        <x:is>
          <x:t xml:space="preserve">FileUpload interaction regression tests.</x:t>
        </x:is>
      </x:c>
      <x:c r="J187" s="84" t="inlineStr">
        <x:is>
          <x:t xml:space="preserve">Complete manual device and assistive-technology qualification.</x:t>
        </x:is>
      </x:c>
      <x:c r="K187" s="87" t="n">
        <x:f>IF(AND(E187="yes",F187="yes",H187="covered"),1,IF(H187="partial",0.5,0))</x:f>
        <x:v>0</x:v>
      </x:c>
    </x:row>
    <x:row r="188" s="51" customFormat="1" ht="15" customHeight="1">
      <x:c r="A188" s="73" t="n">
        <x:v>180</x:v>
      </x:c>
      <x:c r="B188" s="84" t="inlineStr">
        <x:is>
          <x:t xml:space="preserve">Selection</x:t>
        </x:is>
      </x:c>
      <x:c r="C188" s="84" t="inlineStr">
        <x:is>
          <x:t xml:space="preserve">Controller</x:t>
        </x:is>
      </x:c>
      <x:c r="D188" s="84" t="inlineStr">
        <x:is>
          <x:t xml:space="preserve">Controller/provider, validation and cancel-safe transforms preserve file state.</x:t>
        </x:is>
      </x:c>
      <x:c r="E188" s="76" t="inlineStr">
        <x:is>
          <x:t xml:space="preserve">yes</x:t>
        </x:is>
      </x:c>
      <x:c r="F188" s="85" t="inlineStr">
        <x:is>
          <x:t xml:space="preserve">no</x:t>
        </x:is>
      </x:c>
      <x:c r="G188" s="73" t="inlineStr">
        <x:is>
          <x:t xml:space="preserve">automated coverage added; manual pending</x:t>
        </x:is>
      </x:c>
      <x:c r="H188" s="86" t="inlineStr">
        <x:is>
          <x:t xml:space="preserve">untested</x:t>
        </x:is>
      </x:c>
      <x:c r="I188" s="84" t="inlineStr">
        <x:is>
          <x:t xml:space="preserve">FileUpload interaction regression tests.</x:t>
        </x:is>
      </x:c>
      <x:c r="J188" s="84" t="inlineStr">
        <x:is>
          <x:t xml:space="preserve">Complete manual device and assistive-technology qualification.</x:t>
        </x:is>
      </x:c>
      <x:c r="K188" s="87" t="n">
        <x:f>IF(AND(E188="yes",F188="yes",H188="covered"),1,IF(H188="partial",0.5,0))</x:f>
        <x:v>0</x:v>
      </x:c>
    </x:row>
    <x:row r="189" s="51" customFormat="1" ht="15" customHeight="1">
      <x:c r="A189" s="73" t="n">
        <x:v>181</x:v>
      </x:c>
      <x:c r="B189" s="84" t="inlineStr">
        <x:is>
          <x:t xml:space="preserve">Files</x:t>
        </x:is>
      </x:c>
      <x:c r="C189" s="84" t="inlineStr">
        <x:is>
          <x:t xml:space="preserve">Directory/Capture/Paste</x:t>
        </x:is>
      </x:c>
      <x:c r="D189" s="84" t="inlineStr">
        <x:is>
          <x:t xml:space="preserve">Native folder/camera/clipboard workflows work on physical devices.</x:t>
        </x:is>
      </x:c>
      <x:c r="E189" s="76" t="inlineStr">
        <x:is>
          <x:t xml:space="preserve">yes</x:t>
        </x:is>
      </x:c>
      <x:c r="F189" s="85" t="inlineStr">
        <x:is>
          <x:t xml:space="preserve">no</x:t>
        </x:is>
      </x:c>
      <x:c r="G189" s="73" t="inlineStr">
        <x:is>
          <x:t xml:space="preserve">automated coverage added; manual pending</x:t>
        </x:is>
      </x:c>
      <x:c r="H189" s="86" t="inlineStr">
        <x:is>
          <x:t xml:space="preserve">untested</x:t>
        </x:is>
      </x:c>
      <x:c r="I189" s="84" t="inlineStr">
        <x:is>
          <x:t xml:space="preserve">FileUpload interaction regression tests.</x:t>
        </x:is>
      </x:c>
      <x:c r="J189" s="84" t="inlineStr">
        <x:is>
          <x:t xml:space="preserve">Complete manual device and assistive-technology qualification.</x:t>
        </x:is>
      </x:c>
      <x:c r="K189" s="87" t="n">
        <x:f>IF(AND(E189="yes",F189="yes",H189="covered"),1,IF(H189="partial",0.5,0))</x:f>
        <x:v>0</x:v>
      </x:c>
    </x:row>
    <x:row r="190" s="51" customFormat="1" ht="15" customHeight="1">
      <x:c r="A190" s="73" t="n">
        <x:v>182</x:v>
      </x:c>
      <x:c r="B190" s="84" t="inlineStr">
        <x:is>
          <x:t xml:space="preserve">Preview</x:t>
        </x:is>
      </x:c>
      <x:c r="C190" s="84" t="inlineStr">
        <x:is>
          <x:t xml:space="preserve">ItemPreviewImage</x:t>
        </x:is>
      </x:c>
      <x:c r="D190" s="84" t="inlineStr">
        <x:is>
          <x:t xml:space="preserve">Preview URL cleanup and owner-window synchronization preserve iframe behavior.</x:t>
        </x:is>
      </x:c>
      <x:c r="E190" s="76" t="inlineStr">
        <x:is>
          <x:t xml:space="preserve">yes</x:t>
        </x:is>
      </x:c>
      <x:c r="F190" s="85" t="inlineStr">
        <x:is>
          <x:t xml:space="preserve">no</x:t>
        </x:is>
      </x:c>
      <x:c r="G190" s="73" t="inlineStr">
        <x:is>
          <x:t xml:space="preserve">automated coverage added; manual pending</x:t>
        </x:is>
      </x:c>
      <x:c r="H190" s="86" t="inlineStr">
        <x:is>
          <x:t xml:space="preserve">untested</x:t>
        </x:is>
      </x:c>
      <x:c r="I190" s="84" t="inlineStr">
        <x:is>
          <x:t xml:space="preserve">FileUpload interaction regression tests.</x:t>
        </x:is>
      </x:c>
      <x:c r="J190" s="84" t="inlineStr">
        <x:is>
          <x:t xml:space="preserve">Complete manual device and assistive-technology qualification.</x:t>
        </x:is>
      </x:c>
      <x:c r="K190" s="87" t="n">
        <x:f>IF(AND(E190="yes",F190="yes",H190="covered"),1,IF(H190="partial",0.5,0))</x:f>
        <x:v>0</x:v>
      </x:c>
    </x:row>
    <x:row r="191" s="51" customFormat="1" ht="15" customHeight="1"/>
    <x:row r="192" s="51" customFormat="1" ht="15" customHeight="1"/>
    <x:row r="193" s="51" customFormat="1" ht="15" customHeight="1"/>
    <x:row r="194" s="51" customFormat="1" ht="15" customHeight="1"/>
    <x:row r="195" s="51" customFormat="1" ht="15" customHeight="1"/>
    <x:row r="196" s="51" customFormat="1" ht="15" customHeight="1"/>
    <x:row r="197" s="51" customFormat="1" ht="15" customHeight="1"/>
    <x:row r="198" s="51" customFormat="1" ht="15" customHeight="1"/>
    <x:row r="199" s="51" customFormat="1" ht="15" customHeight="1"/>
    <x:row r="200" s="51" customFormat="1" ht="15" customHeight="1"/>
    <x:row r="201" s="51" customFormat="1" ht="15" customHeight="1"/>
    <x:row r="202" s="51" customFormat="1" ht="15" customHeight="1"/>
    <x:row r="203" s="51" customFormat="1" ht="15" customHeight="1"/>
    <x:row r="204" s="51" customFormat="1" ht="30" customHeight="1"/>
    <x:row r="205" s="51" customFormat="1" ht="15" customHeight="1"/>
    <x:row r="206" s="51" customFormat="1" ht="15" customHeight="1"/>
    <x:row r="207" s="51" customFormat="1" ht="15" customHeight="1"/>
    <x:row r="208" s="51" customFormat="1" ht="15" customHeight="1"/>
    <x:row r="209" s="51" customFormat="1" ht="15" customHeight="1"/>
    <x:row r="210" s="51" customFormat="1" ht="30" customHeight="1"/>
    <x:row r="211" s="51" customFormat="1" ht="30" customHeight="1"/>
    <x:row r="212" s="51" customFormat="1" ht="30" customHeight="1"/>
    <x:row r="213" s="51" customFormat="1" ht="30" customHeight="1"/>
    <x:row r="214" s="51" customFormat="1" ht="15" customHeight="1"/>
    <x:row r="215" s="51" customFormat="1" ht="30" customHeight="1"/>
    <x:row r="216" s="51" customFormat="1" ht="15" customHeight="1"/>
    <x:row r="217" s="51" customFormat="1" ht="15" customHeight="1"/>
    <x:row r="218" s="51" customFormat="1" ht="15" customHeight="1"/>
    <x:row r="219" s="51" customFormat="1" ht="15" customHeight="1"/>
    <x:row r="220" s="51" customFormat="1" ht="15" customHeight="1"/>
    <x:row r="221" s="51" customFormat="1" ht="15" customHeight="1"/>
    <x:row r="222" s="51" customFormat="1" ht="1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Form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0.8913043478260869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41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5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Form playground Props menu implemented with conditional data-prop-check and custom data-slot toggles.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Form playground Props menu implemented with conditional data-prop-check and custom data-slot toggles.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Form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</x:t>
        </x:is>
      </x:c>
      <x:c r="H11" s="86" t="inlineStr">
        <x:is>
          <x:t xml:space="preserve">covered</x:t>
        </x:is>
      </x:c>
      <x:c r="I11" s="84" t="inlineStr">
        <x:is>
          <x:t xml:space="preserve">Form playground manual verification.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Form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</x:t>
        </x:is>
      </x:c>
      <x:c r="H12" s="86" t="inlineStr">
        <x:is>
          <x:t xml:space="preserve">covered</x:t>
        </x:is>
      </x:c>
      <x:c r="I12" s="84" t="inlineStr">
        <x:is>
          <x:t xml:space="preserve">Form playground manual verification.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Form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</x:t>
        </x:is>
      </x:c>
      <x:c r="H13" s="86" t="inlineStr">
        <x:is>
          <x:t xml:space="preserve">covered</x:t>
        </x:is>
      </x:c>
      <x:c r="I13" s="84" t="inlineStr">
        <x:is>
          <x:t xml:space="preserve">Form playground manual verification.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Form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</x:t>
        </x:is>
      </x:c>
      <x:c r="H14" s="86" t="inlineStr">
        <x:is>
          <x:t xml:space="preserve">covered</x:t>
        </x:is>
      </x:c>
      <x:c r="I14" s="84" t="inlineStr">
        <x:is>
          <x:t xml:space="preserve">Form playground manual verification.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Root</x:t>
        </x:is>
      </x:c>
      <x:c r="D15" s="84" t="inlineStr">
        <x:is>
          <x:t xml:space="preserve">renders a native form by default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</x:t>
        </x:is>
      </x:c>
      <x:c r="H15" s="86" t="inlineStr">
        <x:is>
          <x:t xml:space="preserve">covered</x:t>
        </x:is>
      </x:c>
      <x:c r="I15" s="84" t="inlineStr">
        <x:is>
          <x:t xml:space="preserve">Form playground manual verification.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Root</x:t>
        </x:is>
      </x:c>
      <x:c r="D16" s="84" t="inlineStr">
        <x:is>
          <x:t xml:space="preserve">composes native onSubmit and onReset handlers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</x:t>
        </x:is>
      </x:c>
      <x:c r="H16" s="86" t="inlineStr">
        <x:is>
          <x:t xml:space="preserve">covered</x:t>
        </x:is>
      </x:c>
      <x:c r="I16" s="84" t="inlineStr">
        <x:is>
          <x:t xml:space="preserve">Form playground manual verification.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Root</x:t>
        </x:is>
      </x:c>
      <x:c r="D17" s="84" t="inlineStr">
        <x:is>
          <x:t xml:space="preserve">supports optional preventDefaultOnSubmit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</x:t>
        </x:is>
      </x:c>
      <x:c r="H17" s="86" t="inlineStr">
        <x:is>
          <x:t xml:space="preserve">covered</x:t>
        </x:is>
      </x:c>
      <x:c r="I17" s="84" t="inlineStr">
        <x:is>
          <x:t xml:space="preserve">Form playground manual verification.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Root</x:t>
        </x:is>
      </x:c>
      <x:c r="D18" s="84" t="inlineStr">
        <x:is>
          <x:t xml:space="preserve">supports no validation, passing validation, and failing validation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</x:t>
        </x:is>
      </x:c>
      <x:c r="H18" s="86" t="inlineStr">
        <x:is>
          <x:t xml:space="preserve">covered</x:t>
        </x:is>
      </x:c>
      <x:c r="I18" s="84" t="inlineStr">
        <x:is>
          <x:t xml:space="preserve">Form playground manual verification.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Root</x:t>
        </x:is>
      </x:c>
      <x:c r="D19" s="84" t="inlineStr">
        <x:is>
          <x:t xml:space="preserve">supports async submit validation while exposing pending state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</x:t>
        </x:is>
      </x:c>
      <x:c r="H19" s="86" t="inlineStr">
        <x:is>
          <x:t xml:space="preserve">covered</x:t>
        </x:is>
      </x:c>
      <x:c r="I19" s="84" t="inlineStr">
        <x:is>
          <x:t xml:space="preserve">Form playground manual verification.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Root</x:t>
        </x:is>
      </x:c>
      <x:c r="D20" s="84" t="inlineStr">
        <x:is>
          <x:t xml:space="preserve">exposes submitting, submitted, and invalid state through data attributes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</x:t>
        </x:is>
      </x:c>
      <x:c r="H20" s="86" t="inlineStr">
        <x:is>
          <x:t xml:space="preserve">covered</x:t>
        </x:is>
      </x:c>
      <x:c r="I20" s="84" t="inlineStr">
        <x:is>
          <x:t xml:space="preserve">Form playground manual verification.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</x:t>
        </x:is>
      </x:c>
      <x:c r="H21" s="86" t="inlineStr">
        <x:is>
          <x:t xml:space="preserve">covered</x:t>
        </x:is>
      </x:c>
      <x:c r="I21" s="84" t="inlineStr">
        <x:is>
          <x:t xml:space="preserve">Form playground manual verification.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is the only Form anatomy part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</x:t>
        </x:is>
      </x:c>
      <x:c r="H22" s="86" t="inlineStr">
        <x:is>
          <x:t xml:space="preserve">covered</x:t>
        </x:is>
      </x:c>
      <x:c r="I22" s="84" t="inlineStr">
        <x:is>
          <x:t xml:space="preserve">Form playground manual verification.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form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</x:t>
        </x:is>
      </x:c>
      <x:c r="H23" s="86" t="inlineStr">
        <x:is>
          <x:t xml:space="preserve">covered</x:t>
        </x:is>
      </x:c>
      <x:c r="I23" s="84" t="inlineStr">
        <x:is>
          <x:t xml:space="preserve">Form playground manual verification.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ref target is form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</x:t>
        </x:is>
      </x:c>
      <x:c r="H24" s="86" t="inlineStr">
        <x:is>
          <x:t xml:space="preserve">covered</x:t>
        </x:is>
      </x:c>
      <x:c r="I24" s="84" t="inlineStr">
        <x:is>
          <x:t xml:space="preserve">Form playground manual verification.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Identity</x:t>
        </x:is>
      </x:c>
      <x:c r="C25" s="84" t="inlineStr">
        <x:is>
          <x:t xml:space="preserve">Root</x:t>
        </x:is>
      </x:c>
      <x:c r="D25" s="84" t="inlineStr">
        <x:is>
          <x:t xml:space="preserve">data-slot is form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</x:t>
        </x:is>
      </x:c>
      <x:c r="H25" s="86" t="inlineStr">
        <x:is>
          <x:t xml:space="preserve">covered</x:t>
        </x:is>
      </x:c>
      <x:c r="I25" s="84" t="inlineStr">
        <x:is>
          <x:t xml:space="preserve">Form playground manual verification.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Props</x:t>
        </x:is>
      </x:c>
      <x:c r="C26" s="84" t="inlineStr">
        <x:is>
          <x:t xml:space="preserve">Root</x:t>
        </x:is>
      </x:c>
      <x:c r="D26" s="84" t="inlineStr">
        <x:is>
          <x:t xml:space="preserve">non-Atom native props pass through with data-prop-check marker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</x:t>
        </x:is>
      </x:c>
      <x:c r="H26" s="86" t="inlineStr">
        <x:is>
          <x:t xml:space="preserve">covered</x:t>
        </x:is>
      </x:c>
      <x:c r="I26" s="84" t="inlineStr">
        <x:is>
          <x:t xml:space="preserve">Form playground manual verification.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Public API</x:t>
        </x:is>
      </x:c>
      <x:c r="C27" s="84" t="inlineStr">
        <x:is>
          <x:t xml:space="preserve">Root</x:t>
        </x:is>
      </x:c>
      <x:c r="D27" s="84" t="inlineStr">
        <x:is>
          <x:t xml:space="preserve">preventDefaultOnSubmit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</x:t>
        </x:is>
      </x:c>
      <x:c r="H27" s="86" t="inlineStr">
        <x:is>
          <x:t xml:space="preserve">covered</x:t>
        </x:is>
      </x:c>
      <x:c r="I27" s="84" t="inlineStr">
        <x:is>
          <x:t xml:space="preserve">Form playground manual verification.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Public API</x:t>
        </x:is>
      </x:c>
      <x:c r="C28" s="84" t="inlineStr">
        <x:is>
          <x:t xml:space="preserve">Root</x:t>
        </x:is>
      </x:c>
      <x:c r="D28" s="84" t="inlineStr">
        <x:is>
          <x:t xml:space="preserve">validateOnSubmit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</x:t>
        </x:is>
      </x:c>
      <x:c r="H28" s="86" t="inlineStr">
        <x:is>
          <x:t xml:space="preserve">covered</x:t>
        </x:is>
      </x:c>
      <x:c r="I28" s="84" t="inlineStr">
        <x:is>
          <x:t xml:space="preserve">Form playground manual verification.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onSubmit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</x:t>
        </x:is>
      </x:c>
      <x:c r="H29" s="86" t="inlineStr">
        <x:is>
          <x:t xml:space="preserve">covered</x:t>
        </x:is>
      </x:c>
      <x:c r="I29" s="84" t="inlineStr">
        <x:is>
          <x:t xml:space="preserve">Form playground manual verification.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onReset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</x:t>
        </x:is>
      </x:c>
      <x:c r="H30" s="86" t="inlineStr">
        <x:is>
          <x:t xml:space="preserve">covered</x:t>
        </x:is>
      </x:c>
      <x:c r="I30" s="84" t="inlineStr">
        <x:is>
          <x:t xml:space="preserve">Form playground manual verification.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Composition</x:t>
        </x:is>
      </x:c>
      <x:c r="C31" s="84" t="inlineStr">
        <x:is>
          <x:t xml:space="preserve">Root</x:t>
        </x:is>
      </x:c>
      <x:c r="D31" s="84" t="inlineStr">
        <x:is>
          <x:t xml:space="preserve">asChild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</x:t>
        </x:is>
      </x:c>
      <x:c r="H31" s="86" t="inlineStr">
        <x:is>
          <x:t xml:space="preserve">covered</x:t>
        </x:is>
      </x:c>
      <x:c r="I31" s="84" t="inlineStr">
        <x:is>
          <x:t xml:space="preserve">Form playground manual verification.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Composition</x:t>
        </x:is>
      </x:c>
      <x:c r="C32" s="84" t="inlineStr">
        <x:is>
          <x:t xml:space="preserve">Root</x:t>
        </x:is>
      </x:c>
      <x:c r="D32" s="84" t="inlineStr">
        <x:is>
          <x:t xml:space="preserve">render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</x:t>
        </x:is>
      </x:c>
      <x:c r="H32" s="86" t="inlineStr">
        <x:is>
          <x:t xml:space="preserve">covered</x:t>
        </x:is>
      </x:c>
      <x:c r="I32" s="84" t="inlineStr">
        <x:is>
          <x:t xml:space="preserve">Form playground manual verification.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Data</x:t>
        </x:is>
      </x:c>
      <x:c r="C33" s="84" t="inlineStr">
        <x:is>
          <x:t xml:space="preserve">Root</x:t>
        </x:is>
      </x:c>
      <x:c r="D33" s="84" t="inlineStr">
        <x:is>
          <x:t xml:space="preserve">data-slot is present at the correct time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</x:t>
        </x:is>
      </x:c>
      <x:c r="H33" s="86" t="inlineStr">
        <x:is>
          <x:t xml:space="preserve">covered</x:t>
        </x:is>
      </x:c>
      <x:c r="I33" s="84" t="inlineStr">
        <x:is>
          <x:t xml:space="preserve">Form playground manual verification.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Data</x:t>
        </x:is>
      </x:c>
      <x:c r="C34" s="84" t="inlineStr">
        <x:is>
          <x:t xml:space="preserve">Root</x:t>
        </x:is>
      </x:c>
      <x:c r="D34" s="84" t="inlineStr">
        <x:is>
          <x:t xml:space="preserve">data-submitting is present during async submit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</x:t>
        </x:is>
      </x:c>
      <x:c r="H34" s="86" t="inlineStr">
        <x:is>
          <x:t xml:space="preserve">covered</x:t>
        </x:is>
      </x:c>
      <x:c r="I34" s="84" t="inlineStr">
        <x:is>
          <x:t xml:space="preserve">Form playground manual verification.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Data</x:t>
        </x:is>
      </x:c>
      <x:c r="C35" s="84" t="inlineStr">
        <x:is>
          <x:t xml:space="preserve">Root</x:t>
        </x:is>
      </x:c>
      <x:c r="D35" s="84" t="inlineStr">
        <x:is>
          <x:t xml:space="preserve">data-submitted is present after successful submit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</x:t>
        </x:is>
      </x:c>
      <x:c r="H35" s="86" t="inlineStr">
        <x:is>
          <x:t xml:space="preserve">covered</x:t>
        </x:is>
      </x:c>
      <x:c r="I35" s="84" t="inlineStr">
        <x:is>
          <x:t xml:space="preserve">Form playground manual verification.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Data</x:t>
        </x:is>
      </x:c>
      <x:c r="C36" s="84" t="inlineStr">
        <x:is>
          <x:t xml:space="preserve">Root</x:t>
        </x:is>
      </x:c>
      <x:c r="D36" s="84" t="inlineStr">
        <x:is>
          <x:t xml:space="preserve">data-invalid is present after failed validation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</x:t>
        </x:is>
      </x:c>
      <x:c r="H36" s="86" t="inlineStr">
        <x:is>
          <x:t xml:space="preserve">covered</x:t>
        </x:is>
      </x:c>
      <x:c r="I36" s="84" t="inlineStr">
        <x:is>
          <x:t xml:space="preserve">Form playground manual verification.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Data</x:t>
        </x:is>
      </x:c>
      <x:c r="C37" s="84" t="inlineStr">
        <x:is>
          <x:t xml:space="preserve">Live DOM</x:t>
        </x:is>
      </x:c>
      <x:c r="D37" s="84" t="inlineStr">
        <x:is>
          <x:t xml:space="preserve">data-slot is visible in Anatomy/Inspector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</x:t>
        </x:is>
      </x:c>
      <x:c r="H37" s="86" t="inlineStr">
        <x:is>
          <x:t xml:space="preserve">covered</x:t>
        </x:is>
      </x:c>
      <x:c r="I37" s="84" t="inlineStr">
        <x:is>
          <x:t xml:space="preserve">Form playground manual verification.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Data</x:t>
        </x:is>
      </x:c>
      <x:c r="C38" s="84" t="inlineStr">
        <x:is>
          <x:t xml:space="preserve">Live DOM</x:t>
        </x:is>
      </x:c>
      <x:c r="D38" s="84" t="inlineStr">
        <x:is>
          <x:t xml:space="preserve">data-submitting is visible in Anatomy/Inspector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</x:t>
        </x:is>
      </x:c>
      <x:c r="H38" s="86" t="inlineStr">
        <x:is>
          <x:t xml:space="preserve">covered</x:t>
        </x:is>
      </x:c>
      <x:c r="I38" s="84" t="inlineStr">
        <x:is>
          <x:t xml:space="preserve">Form playground manual verification.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Data</x:t>
        </x:is>
      </x:c>
      <x:c r="C39" s="84" t="inlineStr">
        <x:is>
          <x:t xml:space="preserve">Live DOM</x:t>
        </x:is>
      </x:c>
      <x:c r="D39" s="84" t="inlineStr">
        <x:is>
          <x:t xml:space="preserve">data-submitted is visible in Anatomy/Inspector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</x:t>
        </x:is>
      </x:c>
      <x:c r="H39" s="86" t="inlineStr">
        <x:is>
          <x:t xml:space="preserve">covered</x:t>
        </x:is>
      </x:c>
      <x:c r="I39" s="84" t="inlineStr">
        <x:is>
          <x:t xml:space="preserve">Form playground manual verification.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Data</x:t>
        </x:is>
      </x:c>
      <x:c r="C40" s="84" t="inlineStr">
        <x:is>
          <x:t xml:space="preserve">Live DOM</x:t>
        </x:is>
      </x:c>
      <x:c r="D40" s="84" t="inlineStr">
        <x:is>
          <x:t xml:space="preserve">data-invalid is visible in Anatomy/Inspector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</x:t>
        </x:is>
      </x:c>
      <x:c r="H40" s="86" t="inlineStr">
        <x:is>
          <x:t xml:space="preserve">covered</x:t>
        </x:is>
      </x:c>
      <x:c r="I40" s="84" t="inlineStr">
        <x:is>
          <x:t xml:space="preserve">Form playground manual verification.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30" customHeight="1">
      <x:c r="A41" s="73" t="n">
        <x:v>33</x:v>
      </x:c>
      <x:c r="B41" s="84" t="inlineStr">
        <x:is>
          <x:t xml:space="preserve">Composition</x:t>
        </x:is>
      </x:c>
      <x:c r="C41" s="84" t="inlineStr">
        <x:is>
          <x:t xml:space="preserve">Root</x:t>
        </x:is>
      </x:c>
      <x:c r="D41" s="84" t="inlineStr">
        <x:is>
          <x:t xml:space="preserve">asChild preserves child form content without double nesting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</x:t>
        </x:is>
      </x:c>
      <x:c r="H41" s="86" t="inlineStr">
        <x:is>
          <x:t xml:space="preserve">covered</x:t>
        </x:is>
      </x:c>
      <x:c r="I41" s="84" t="inlineStr">
        <x:is>
          <x:t xml:space="preserve">Form playground manual verification.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Composition</x:t>
        </x:is>
      </x:c>
      <x:c r="C42" s="84" t="inlineStr">
        <x:is>
          <x:t xml:space="preserve">Root</x:t>
        </x:is>
      </x:c>
      <x:c r="D42" s="84" t="inlineStr">
        <x:is>
          <x:t xml:space="preserve">asChild merges Atom props and consumer props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</x:t>
        </x:is>
      </x:c>
      <x:c r="H42" s="86" t="inlineStr">
        <x:is>
          <x:t xml:space="preserve">covered</x:t>
        </x:is>
      </x:c>
      <x:c r="I42" s="84" t="inlineStr">
        <x:is>
          <x:t xml:space="preserve">Form playground manual verification.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Composition</x:t>
        </x:is>
      </x:c>
      <x:c r="C43" s="84" t="inlineStr">
        <x:is>
          <x:t xml:space="preserve">Root</x:t>
        </x:is>
      </x:c>
      <x:c r="D43" s="84" t="inlineStr">
        <x:is>
          <x:t xml:space="preserve">asChild preserves submit/reset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</x:t>
        </x:is>
      </x:c>
      <x:c r="H43" s="86" t="inlineStr">
        <x:is>
          <x:t xml:space="preserve">covered</x:t>
        </x:is>
      </x:c>
      <x:c r="I43" s="84" t="inlineStr">
        <x:is>
          <x:t xml:space="preserve">Form playground manual verification.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Composition</x:t>
        </x:is>
      </x:c>
      <x:c r="C44" s="84" t="inlineStr">
        <x:is>
          <x:t xml:space="preserve">Root</x:t>
        </x:is>
      </x:c>
      <x:c r="D44" s="84" t="inlineStr">
        <x:is>
          <x:t xml:space="preserve">render prop renders custom form element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</x:t>
        </x:is>
      </x:c>
      <x:c r="H44" s="86" t="inlineStr">
        <x:is>
          <x:t xml:space="preserve">covered</x:t>
        </x:is>
      </x:c>
      <x:c r="I44" s="84" t="inlineStr">
        <x:is>
          <x:t xml:space="preserve">Form playground manual verification.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Composition</x:t>
        </x:is>
      </x:c>
      <x:c r="C45" s="84" t="inlineStr">
        <x:is>
          <x:t xml:space="preserve">Root</x:t>
        </x:is>
      </x:c>
      <x:c r="D45" s="84" t="inlineStr">
        <x:is>
          <x:t xml:space="preserve">render prop preserves refs and behavior props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</x:t>
        </x:is>
      </x:c>
      <x:c r="H45" s="86" t="inlineStr">
        <x:is>
          <x:t xml:space="preserve">covered</x:t>
        </x:is>
      </x:c>
      <x:c r="I45" s="84" t="inlineStr">
        <x:is>
          <x:t xml:space="preserve">Form playground manual verification.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State</x:t>
        </x:is>
      </x:c>
      <x:c r="C46" s="84" t="inlineStr">
        <x:is>
          <x:t xml:space="preserve">Root</x:t>
        </x:is>
      </x:c>
      <x:c r="D46" s="84" t="inlineStr">
        <x:is>
          <x:t xml:space="preserve">reset clears submitted, submitting, and invalid state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</x:t>
        </x:is>
      </x:c>
      <x:c r="H46" s="86" t="inlineStr">
        <x:is>
          <x:t xml:space="preserve">covered</x:t>
        </x:is>
      </x:c>
      <x:c r="I46" s="84" t="inlineStr">
        <x:is>
          <x:t xml:space="preserve">Form playground manual verification.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30" customHeight="1">
      <x:c r="A47" s="73" t="n">
        <x:v>39</x:v>
      </x:c>
      <x:c r="B47" s="84" t="inlineStr">
        <x:is>
          <x:t xml:space="preserve">Log</x:t>
        </x:is>
      </x:c>
      <x:c r="C47" s="84" t="inlineStr">
        <x:is>
          <x:t xml:space="preserve">Root</x:t>
        </x:is>
      </x:c>
      <x:c r="D47" s="84" t="inlineStr">
        <x:is>
          <x:t xml:space="preserve">logs validation, submit, reset, and navigation prevention clearly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</x:t>
        </x:is>
      </x:c>
      <x:c r="H47" s="86" t="inlineStr">
        <x:is>
          <x:t xml:space="preserve">covered</x:t>
        </x:is>
      </x:c>
      <x:c r="I47" s="84" t="inlineStr">
        <x:is>
          <x:t xml:space="preserve">Form playground manual verification.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30" customHeight="1">
      <x:c r="A48" s="73" t="n">
        <x:v>40</x:v>
      </x:c>
      <x:c r="B48" s="84" t="inlineStr">
        <x:is>
          <x:t xml:space="preserve">Integration</x:t>
        </x:is>
      </x:c>
      <x:c r="C48" s="84" t="inlineStr">
        <x:is>
          <x:t xml:space="preserve">Native control</x:t>
        </x:is>
      </x:c>
      <x:c r="D48" s="84" t="inlineStr">
        <x:is>
          <x:t xml:space="preserve">Form.Root submits and resets with a native input control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tested</x:t>
        </x:is>
      </x:c>
      <x:c r="H48" s="86" t="inlineStr">
        <x:is>
          <x:t xml:space="preserve">covered</x:t>
        </x:is>
      </x:c>
      <x:c r="I48" s="84" t="inlineStr">
        <x:is>
          <x:t xml:space="preserve">Form State &gt; Control: Native.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Integration</x:t>
        </x:is>
      </x:c>
      <x:c r="C49" s="84" t="inlineStr">
        <x:is>
          <x:t xml:space="preserve">Atom control</x:t>
        </x:is>
      </x:c>
      <x:c r="D49" s="84" t="inlineStr">
        <x:is>
          <x:t xml:space="preserve">Form.Root submits and resets with Atom Input.Root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tested</x:t>
        </x:is>
      </x:c>
      <x:c r="H49" s="86" t="inlineStr">
        <x:is>
          <x:t xml:space="preserve">covered</x:t>
        </x:is>
      </x:c>
      <x:c r="I49" s="84" t="inlineStr">
        <x:is>
          <x:t xml:space="preserve">Form State &gt; Control: Atom.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30" customHeight="1">
      <x:c r="A50" s="73" t="n"/>
      <x:c r="B50" s="84" t="n"/>
      <x:c r="C50" s="84" t="n"/>
      <x:c r="D50" s="84" t="n"/>
      <x:c r="E50" s="76" t="n"/>
      <x:c r="F50" s="85" t="n"/>
      <x:c r="G50" s="73" t="n"/>
      <x:c r="H50" s="86" t="n"/>
      <x:c r="I50" s="84" t="n"/>
      <x:c r="J50" s="84" t="n"/>
      <x:c r="K50" s="87" t="n"/>
    </x:row>
    <x:row r="51" s="51" customFormat="1" ht="15" customHeight="1">
      <x:c r="A51" s="73" t="n"/>
      <x:c r="B51" s="84" t="n"/>
      <x:c r="C51" s="84" t="n"/>
      <x:c r="D51" s="84" t="n"/>
      <x:c r="E51" s="76" t="n"/>
      <x:c r="F51" s="85" t="n"/>
      <x:c r="G51" s="73" t="n"/>
      <x:c r="H51" s="86" t="n"/>
      <x:c r="I51" s="84" t="n"/>
      <x:c r="J51" s="84" t="n"/>
      <x:c r="K51" s="87" t="n"/>
    </x:row>
    <x:row r="52" s="51" customFormat="1" ht="30" customHeight="1">
      <x:c r="A52" s="73" t="n"/>
      <x:c r="B52" s="84" t="n"/>
      <x:c r="C52" s="84" t="n"/>
      <x:c r="D52" s="84" t="n"/>
      <x:c r="E52" s="76" t="n"/>
      <x:c r="F52" s="85" t="n"/>
      <x:c r="G52" s="73" t="n"/>
      <x:c r="H52" s="86" t="n"/>
      <x:c r="I52" s="84" t="n"/>
      <x:c r="J52" s="84" t="n"/>
      <x:c r="K52" s="87" t="n"/>
    </x:row>
    <x:row r="53" s="51" customFormat="1" ht="13.5" customHeight="1">
      <x:c r="A53" s="73" t="n"/>
      <x:c r="B53" s="84" t="n"/>
      <x:c r="C53" s="84" t="n"/>
      <x:c r="D53" s="84" t="n"/>
      <x:c r="E53" s="76" t="n"/>
      <x:c r="F53" s="85" t="n"/>
      <x:c r="G53" s="73" t="n"/>
      <x:c r="H53" s="86" t="n"/>
      <x:c r="I53" s="84" t="n"/>
      <x:c r="J53" s="84" t="n"/>
      <x:c r="K53" s="87" t="n"/>
    </x:row>
    <x:row r="54" s="51" customFormat="1" ht="13.5" customHeight="1">
      <x:c r="A54" s="73" t="n"/>
      <x:c r="B54" s="84" t="n"/>
      <x:c r="C54" s="84" t="n"/>
      <x:c r="D54" s="84" t="n"/>
      <x:c r="E54" s="76" t="n"/>
      <x:c r="F54" s="85" t="n"/>
      <x:c r="G54" s="73" t="n"/>
      <x:c r="H54" s="86" t="n"/>
      <x:c r="I54" s="84" t="n"/>
      <x:c r="J54" s="84" t="n"/>
      <x:c r="K54" s="87" t="n"/>
    </x:row>
    <x:row r="55" s="51" customFormat="1" ht="13.5" customHeight="1">
      <x:c r="A55" s="73" t="n">
        <x:v>42</x:v>
      </x:c>
      <x:c r="B55" s="84" t="inlineStr">
        <x:is>
          <x:t xml:space="preserve">Integration</x:t>
        </x:is>
      </x:c>
      <x:c r="C55" s="84" t="inlineStr">
        <x:is>
          <x:t xml:space="preserve">Root</x:t>
        </x:is>
      </x:c>
      <x:c r="D55" s="84" t="inlineStr">
        <x:is>
          <x:t xml:space="preserve">React function actions preserve React/useFormStatus ownership without Atom-owned pending metadata</x:t>
        </x:is>
      </x:c>
      <x:c r="E55" s="76" t="inlineStr">
        <x:is>
          <x:t xml:space="preserve">yes</x:t>
        </x:is>
      </x:c>
      <x:c r="F55" s="85" t="inlineStr">
        <x:is>
          <x:t xml:space="preserve">no</x:t>
        </x:is>
      </x:c>
      <x:c r="G55" s="73" t="inlineStr">
        <x:is>
          <x:t xml:space="preserve">automated tests pass; manual pending</x:t>
        </x:is>
      </x:c>
      <x:c r="H55" s="86" t="inlineStr">
        <x:is>
          <x:t xml:space="preserve">untested</x:t>
        </x:is>
      </x:c>
      <x:c r="I55" s="84" t="inlineStr">
        <x:is>
          <x:t xml:space="preserve">Form &gt; Control: Foundation plus the component scenario and automated package tests.</x:t>
        </x:is>
      </x:c>
      <x:c r="J55" s="84" t="inlineStr">
        <x:is>
          <x:t xml:space="preserve">Run and review the form-foundation manual protocol.</x:t>
        </x:is>
      </x:c>
      <x:c r="K55" s="87" t="n">
        <x:f>IF(AND(E55="yes",F55="yes",H55="covered"),1,IF(H55="partial",0.5,0))</x:f>
        <x:v>0</x:v>
      </x:c>
    </x:row>
    <x:row r="56" s="51" customFormat="1" ht="13.5" customHeight="1">
      <x:c r="A56" s="73" t="n">
        <x:v>43</x:v>
      </x:c>
      <x:c r="B56" s="84" t="inlineStr">
        <x:is>
          <x:t xml:space="preserve">Errors</x:t>
        </x:is>
      </x:c>
      <x:c r="C56" s="84" t="inlineStr">
        <x:is>
          <x:t xml:space="preserve">Root</x:t>
        </x:is>
      </x:c>
      <x:c r="D56" s="84" t="inlineStr">
        <x:is>
          <x:t xml:space="preserve">rejected Atom async submit callbacks remain observable while pending state settles</x:t>
        </x:is>
      </x:c>
      <x:c r="E56" s="76" t="inlineStr">
        <x:is>
          <x:t xml:space="preserve">yes</x:t>
        </x:is>
      </x:c>
      <x:c r="F56" s="85" t="inlineStr">
        <x:is>
          <x:t xml:space="preserve">no</x:t>
        </x:is>
      </x:c>
      <x:c r="G56" s="73" t="inlineStr">
        <x:is>
          <x:t xml:space="preserve">automated tests pass; manual pending</x:t>
        </x:is>
      </x:c>
      <x:c r="H56" s="86" t="inlineStr">
        <x:is>
          <x:t xml:space="preserve">untested</x:t>
        </x:is>
      </x:c>
      <x:c r="I56" s="84" t="inlineStr">
        <x:is>
          <x:t xml:space="preserve">Form &gt; Control: Foundation plus the component scenario and automated package tests.</x:t>
        </x:is>
      </x:c>
      <x:c r="J56" s="84" t="inlineStr">
        <x:is>
          <x:t xml:space="preserve">Run and review the form-foundation manual protocol.</x:t>
        </x:is>
      </x:c>
      <x:c r="K56" s="87" t="n">
        <x:f>IF(AND(E56="yes",F56="yes",H56="covered"),1,IF(H56="partial",0.5,0))</x:f>
        <x:v>0</x:v>
      </x:c>
    </x:row>
    <x:row r="57" s="51" customFormat="1" ht="13.5" customHeight="1">
      <x:c r="A57" s="73" t="n">
        <x:v>44</x:v>
      </x:c>
      <x:c r="B57" s="84" t="inlineStr">
        <x:is>
          <x:t xml:space="preserve">State</x:t>
        </x:is>
      </x:c>
      <x:c r="C57" s="84" t="inlineStr">
        <x:is>
          <x:t xml:space="preserve">Root</x:t>
        </x:is>
      </x:c>
      <x:c r="D57" s="84" t="inlineStr">
        <x:is>
          <x:t xml:space="preserve">native reset clears Atom submission metadata and descendant uncontrolled defaults</x:t>
        </x:is>
      </x:c>
      <x:c r="E57" s="76" t="inlineStr">
        <x:is>
          <x:t xml:space="preserve">yes</x:t>
        </x:is>
      </x:c>
      <x:c r="F57" s="85" t="inlineStr">
        <x:is>
          <x:t xml:space="preserve">no</x:t>
        </x:is>
      </x:c>
      <x:c r="G57" s="73" t="inlineStr">
        <x:is>
          <x:t xml:space="preserve">automated tests pass; manual pending</x:t>
        </x:is>
      </x:c>
      <x:c r="H57" s="86" t="inlineStr">
        <x:is>
          <x:t xml:space="preserve">untested</x:t>
        </x:is>
      </x:c>
      <x:c r="I57" s="84" t="inlineStr">
        <x:is>
          <x:t xml:space="preserve">Form &gt; Control: Foundation plus the component scenario and automated package tests.</x:t>
        </x:is>
      </x:c>
      <x:c r="J57" s="84" t="inlineStr">
        <x:is>
          <x:t xml:space="preserve">Run and review the form-foundation manual protocol.</x:t>
        </x:is>
      </x:c>
      <x:c r="K57" s="87" t="n">
        <x:f>IF(AND(E57="yes",F57="yes",H57="covered"),1,IF(H57="partial",0.5,0))</x:f>
        <x:v>0</x:v>
      </x:c>
    </x:row>
    <x:row r="58" s="51" customFormat="1" ht="13.5" customHeight="1">
      <x:c r="A58" s="73" t="n">
        <x:v>45</x:v>
      </x:c>
      <x:c r="B58" s="84" t="inlineStr">
        <x:is>
          <x:t xml:space="preserve">Public API</x:t>
        </x:is>
      </x:c>
      <x:c r="C58" s="84" t="inlineStr">
        <x:is>
          <x:t xml:space="preserve">Root</x:t>
        </x:is>
      </x:c>
      <x:c r="D58" s="84" t="inlineStr">
        <x:is>
          <x:t xml:space="preserve">validationBehavior resolves automatic, inline, and native presentation without disabling native constraints</x:t>
        </x:is>
      </x:c>
      <x:c r="E58" s="76" t="inlineStr">
        <x:is>
          <x:t xml:space="preserve">yes</x:t>
        </x:is>
      </x:c>
      <x:c r="F58" s="85" t="inlineStr">
        <x:is>
          <x:t xml:space="preserve">no</x:t>
        </x:is>
      </x:c>
      <x:c r="G58" s="73" t="inlineStr">
        <x:is>
          <x:t xml:space="preserve">automated tests pass; manual pending</x:t>
        </x:is>
      </x:c>
      <x:c r="H58" s="86" t="inlineStr">
        <x:is>
          <x:t xml:space="preserve">untested</x:t>
        </x:is>
      </x:c>
      <x:c r="I58" s="84" t="inlineStr">
        <x:is>
          <x:t xml:space="preserve">Form &gt; Control: Foundation and automated Atom validation tests.</x:t>
        </x:is>
      </x:c>
      <x:c r="J58" s="84" t="inlineStr">
        <x:is>
          <x:t xml:space="preserve">Run and review the updated form-foundation validation steps.</x:t>
        </x:is>
      </x:c>
      <x:c r="K58" s="87" t="n">
        <x:f>IF(AND(E58="yes",F58="yes",H58="covered"),1,IF(H58="partial",0.5,0))</x:f>
        <x:v>0</x:v>
      </x:c>
    </x:row>
    <x:row r="59" s="51" customFormat="1" ht="13.5" customHeight="1">
      <x:c r="A59" s="73" t="n">
        <x:v>46</x:v>
      </x:c>
      <x:c r="B59" s="84" t="inlineStr">
        <x:is>
          <x:t xml:space="preserve">State</x:t>
        </x:is>
      </x:c>
      <x:c r="C59" s="84" t="inlineStr">
        <x:is>
          <x:t xml:space="preserve">Root</x:t>
        </x:is>
      </x:c>
      <x:c r="D59" s="84" t="inlineStr">
        <x:is>
          <x:t xml:space="preserve">descendant native-invalid state aggregates to Form and clears after correction or reset</x:t>
        </x:is>
      </x:c>
      <x:c r="E59" s="76" t="inlineStr">
        <x:is>
          <x:t xml:space="preserve">yes</x:t>
        </x:is>
      </x:c>
      <x:c r="F59" s="85" t="inlineStr">
        <x:is>
          <x:t xml:space="preserve">no</x:t>
        </x:is>
      </x:c>
      <x:c r="G59" s="73" t="inlineStr">
        <x:is>
          <x:t xml:space="preserve">automated tests pass; manual pending</x:t>
        </x:is>
      </x:c>
      <x:c r="H59" s="86" t="inlineStr">
        <x:is>
          <x:t xml:space="preserve">untested</x:t>
        </x:is>
      </x:c>
      <x:c r="I59" s="84" t="inlineStr">
        <x:is>
          <x:t xml:space="preserve">Form &gt; Control: Foundation and automated Atom validation tests.</x:t>
        </x:is>
      </x:c>
      <x:c r="J59" s="84" t="inlineStr">
        <x:is>
          <x:t xml:space="preserve">Run and review the updated form-foundation validation steps.</x:t>
        </x:is>
      </x:c>
      <x:c r="K59" s="87" t="n">
        <x:f>IF(AND(E59="yes",F59="yes",H59="covered"),1,IF(H59="partial",0.5,0))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HoverCard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51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4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protocol</x:t>
        </x:is>
      </x:c>
      <x:c r="H9" s="86" t="inlineStr">
        <x:is>
          <x:t xml:space="preserve">covered</x:t>
        </x:is>
      </x:c>
      <x:c r="I9" s="84" t="inlineStr">
        <x:is>
          <x:t xml:space="preserve">HoverCard Manual Test Protocol</x:t>
        </x:is>
      </x:c>
      <x:c r="J9" s="84" t="n"/>
      <x:c r="K9" s="87" t="n">
        <x:f>IF(AND(E9="yes",F9="yes",H9="covered"),1,IF(H9="partial",0.5,0))</x:f>
        <x:v>1</x:v>
      </x:c>
    </x:row>
    <x:row r="10" s="51" customFormat="1" ht="4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protocol</x:t>
        </x:is>
      </x:c>
      <x:c r="H10" s="86" t="inlineStr">
        <x:is>
          <x:t xml:space="preserve">covered</x:t>
        </x:is>
      </x:c>
      <x:c r="I10" s="84" t="inlineStr">
        <x:is>
          <x:t xml:space="preserve">HoverCard Manual Test Protocol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4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HoverCard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protocol</x:t>
        </x:is>
      </x:c>
      <x:c r="H11" s="86" t="inlineStr">
        <x:is>
          <x:t xml:space="preserve">covered</x:t>
        </x:is>
      </x:c>
      <x:c r="I11" s="84" t="inlineStr">
        <x:is>
          <x:t xml:space="preserve">HoverCard Manual Test Protocol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4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HoverCard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protocol</x:t>
        </x:is>
      </x:c>
      <x:c r="H12" s="86" t="inlineStr">
        <x:is>
          <x:t xml:space="preserve">covered</x:t>
        </x:is>
      </x:c>
      <x:c r="I12" s="84" t="inlineStr">
        <x:is>
          <x:t xml:space="preserve">HoverCard Manual Test Protocol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4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HoverCard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protocol</x:t>
        </x:is>
      </x:c>
      <x:c r="H13" s="86" t="inlineStr">
        <x:is>
          <x:t xml:space="preserve">covered</x:t>
        </x:is>
      </x:c>
      <x:c r="I13" s="84" t="inlineStr">
        <x:is>
          <x:t xml:space="preserve">HoverCard Manual Test Protocol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4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HoverCard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protocol</x:t>
        </x:is>
      </x:c>
      <x:c r="H14" s="86" t="inlineStr">
        <x:is>
          <x:t xml:space="preserve">covered</x:t>
        </x:is>
      </x:c>
      <x:c r="I14" s="84" t="inlineStr">
        <x:is>
          <x:t xml:space="preserve">HoverCard Manual Test Protocol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4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HoverCard</x:t>
        </x:is>
      </x:c>
      <x:c r="D15" s="84" t="inlineStr">
        <x:is>
          <x:t xml:space="preserve">Controlled and uncontrolled open state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protocol</x:t>
        </x:is>
      </x:c>
      <x:c r="H15" s="86" t="inlineStr">
        <x:is>
          <x:t xml:space="preserve">covered</x:t>
        </x:is>
      </x:c>
      <x:c r="I15" s="84" t="inlineStr">
        <x:is>
          <x:t xml:space="preserve">HoverCard Manual Test Protocol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4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HoverCard</x:t>
        </x:is>
      </x:c>
      <x:c r="D16" s="84" t="inlineStr">
        <x:is>
          <x:t xml:space="preserve">Opens from hover and keyboard focus-visible trigger interactions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protocol</x:t>
        </x:is>
      </x:c>
      <x:c r="H16" s="86" t="inlineStr">
        <x:is>
          <x:t xml:space="preserve">covered</x:t>
        </x:is>
      </x:c>
      <x:c r="I16" s="84" t="inlineStr">
        <x:is>
          <x:t xml:space="preserve">HoverCard Manual Test Protocol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4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HoverCard</x:t>
        </x:is>
      </x:c>
      <x:c r="D17" s="84" t="inlineStr">
        <x:is>
          <x:t xml:space="preserve">Configurable open and close delays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protocol</x:t>
        </x:is>
      </x:c>
      <x:c r="H17" s="86" t="inlineStr">
        <x:is>
          <x:t xml:space="preserve">covered</x:t>
        </x:is>
      </x:c>
      <x:c r="I17" s="84" t="inlineStr">
        <x:is>
          <x:t xml:space="preserve">HoverCard Manual Test Protocol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4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HoverCard</x:t>
        </x:is>
      </x:c>
      <x:c r="D18" s="84" t="inlineStr">
        <x:is>
          <x:t xml:space="preserve">Floating UI positioning with side, align, side offset, collision shift, flip, and arrow coordinates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protocol</x:t>
        </x:is>
      </x:c>
      <x:c r="H18" s="86" t="inlineStr">
        <x:is>
          <x:t xml:space="preserve">covered</x:t>
        </x:is>
      </x:c>
      <x:c r="I18" s="84" t="inlineStr">
        <x:is>
          <x:t xml:space="preserve">HoverCard Manual Test Protocol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4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HoverCard</x:t>
        </x:is>
      </x:c>
      <x:c r="D19" s="84" t="inlineStr">
        <x:is>
          <x:t xml:space="preserve">Portal and arrow parts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protocol</x:t>
        </x:is>
      </x:c>
      <x:c r="H19" s="86" t="inlineStr">
        <x:is>
          <x:t xml:space="preserve">covered</x:t>
        </x:is>
      </x:c>
      <x:c r="I19" s="84" t="inlineStr">
        <x:is>
          <x:t xml:space="preserve">HoverCard Manual Test Protocol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4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HoverCard</x:t>
        </x:is>
      </x:c>
      <x:c r="D20" s="84" t="inlineStr">
        <x:is>
          <x:t xml:space="preserve">Headless only: no card styling, shadows, animation, or layout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protocol</x:t>
        </x:is>
      </x:c>
      <x:c r="H20" s="86" t="inlineStr">
        <x:is>
          <x:t xml:space="preserve">covered</x:t>
        </x:is>
      </x:c>
      <x:c r="I20" s="84" t="inlineStr">
        <x:is>
          <x:t xml:space="preserve">HoverCard Manual Test Protocol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4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 and exposes feature-wide state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protocol</x:t>
        </x:is>
      </x:c>
      <x:c r="H21" s="86" t="inlineStr">
        <x:is>
          <x:t xml:space="preserve">covered</x:t>
        </x:is>
      </x:c>
      <x:c r="I21" s="84" t="inlineStr">
        <x:is>
          <x:t xml:space="preserve">HoverCard Manual Test Protocol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45" customHeight="1">
      <x:c r="A22" s="73" t="n">
        <x:v>14</x:v>
      </x:c>
      <x:c r="B22" s="84" t="inlineStr">
        <x:is>
          <x:t xml:space="preserve">State</x:t>
        </x:is>
      </x:c>
      <x:c r="C22" s="84" t="inlineStr">
        <x:is>
          <x:t xml:space="preserve">Root</x:t>
        </x:is>
      </x:c>
      <x:c r="D22" s="84" t="inlineStr">
        <x:is>
          <x:t xml:space="preserve">open prop behavior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protocol</x:t>
        </x:is>
      </x:c>
      <x:c r="H22" s="86" t="inlineStr">
        <x:is>
          <x:t xml:space="preserve">covered</x:t>
        </x:is>
      </x:c>
      <x:c r="I22" s="84" t="inlineStr">
        <x:is>
          <x:t xml:space="preserve">HoverCard Manual Test Protocol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45" customHeight="1">
      <x:c r="A23" s="73" t="n">
        <x:v>15</x:v>
      </x:c>
      <x:c r="B23" s="84" t="inlineStr">
        <x:is>
          <x:t xml:space="preserve">State</x:t>
        </x:is>
      </x:c>
      <x:c r="C23" s="84" t="inlineStr">
        <x:is>
          <x:t xml:space="preserve">Root</x:t>
        </x:is>
      </x:c>
      <x:c r="D23" s="84" t="inlineStr">
        <x:is>
          <x:t xml:space="preserve">defaultOpen prop behavior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protocol</x:t>
        </x:is>
      </x:c>
      <x:c r="H23" s="86" t="inlineStr">
        <x:is>
          <x:t xml:space="preserve">covered</x:t>
        </x:is>
      </x:c>
      <x:c r="I23" s="84" t="inlineStr">
        <x:is>
          <x:t xml:space="preserve">HoverCard Manual Test Protocol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45" customHeight="1">
      <x:c r="A24" s="73" t="n">
        <x:v>16</x:v>
      </x:c>
      <x:c r="B24" s="84" t="inlineStr">
        <x:is>
          <x:t xml:space="preserve">State</x:t>
        </x:is>
      </x:c>
      <x:c r="C24" s="84" t="inlineStr">
        <x:is>
          <x:t xml:space="preserve">Root</x:t>
        </x:is>
      </x:c>
      <x:c r="D24" s="84" t="inlineStr">
        <x:is>
          <x:t xml:space="preserve">onOpenChange prop behavior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protocol</x:t>
        </x:is>
      </x:c>
      <x:c r="H24" s="86" t="inlineStr">
        <x:is>
          <x:t xml:space="preserve">covered</x:t>
        </x:is>
      </x:c>
      <x:c r="I24" s="84" t="inlineStr">
        <x:is>
          <x:t xml:space="preserve">HoverCard Manual Test Protocol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45" customHeight="1">
      <x:c r="A25" s="73" t="n">
        <x:v>17</x:v>
      </x:c>
      <x:c r="B25" s="84" t="inlineStr">
        <x:is>
          <x:t xml:space="preserve">State</x:t>
        </x:is>
      </x:c>
      <x:c r="C25" s="84" t="inlineStr">
        <x:is>
          <x:t xml:space="preserve">Root</x:t>
        </x:is>
      </x:c>
      <x:c r="D25" s="84" t="inlineStr">
        <x:is>
          <x:t xml:space="preserve">openDelay prop behavior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protocol</x:t>
        </x:is>
      </x:c>
      <x:c r="H25" s="86" t="inlineStr">
        <x:is>
          <x:t xml:space="preserve">covered</x:t>
        </x:is>
      </x:c>
      <x:c r="I25" s="84" t="inlineStr">
        <x:is>
          <x:t xml:space="preserve">HoverCard Manual Test Protocol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45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closeDelay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protocol</x:t>
        </x:is>
      </x:c>
      <x:c r="H26" s="86" t="inlineStr">
        <x:is>
          <x:t xml:space="preserve">covered</x:t>
        </x:is>
      </x:c>
      <x:c r="I26" s="84" t="inlineStr">
        <x:is>
          <x:t xml:space="preserve">HoverCard Manual Test Protocol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4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disabled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protocol</x:t>
        </x:is>
      </x:c>
      <x:c r="H27" s="86" t="inlineStr">
        <x:is>
          <x:t xml:space="preserve">covered</x:t>
        </x:is>
      </x:c>
      <x:c r="I27" s="84" t="inlineStr">
        <x:is>
          <x:t xml:space="preserve">HoverCard Manual Test Protocol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45" customHeight="1">
      <x:c r="A28" s="73" t="n">
        <x:v>20</x:v>
      </x:c>
      <x:c r="B28" s="84" t="inlineStr">
        <x:is>
          <x:t xml:space="preserve">Anatomy</x:t>
        </x:is>
      </x:c>
      <x:c r="C28" s="84" t="inlineStr">
        <x:is>
          <x:t xml:space="preserve">Trigger</x:t>
        </x:is>
      </x:c>
      <x:c r="D28" s="84" t="inlineStr">
        <x:is>
          <x:t xml:space="preserve">renders correct part in documented order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protocol</x:t>
        </x:is>
      </x:c>
      <x:c r="H28" s="86" t="inlineStr">
        <x:is>
          <x:t xml:space="preserve">covered</x:t>
        </x:is>
      </x:c>
      <x:c r="I28" s="84" t="inlineStr">
        <x:is>
          <x:t xml:space="preserve">HoverCard Manual Test Protocol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45" customHeight="1">
      <x:c r="A29" s="73" t="n">
        <x:v>21</x:v>
      </x:c>
      <x:c r="B29" s="84" t="inlineStr">
        <x:is>
          <x:t xml:space="preserve">Identity</x:t>
        </x:is>
      </x:c>
      <x:c r="C29" s="84" t="inlineStr">
        <x:is>
          <x:t xml:space="preserve">Trigger</x:t>
        </x:is>
      </x:c>
      <x:c r="D29" s="84" t="inlineStr">
        <x:is>
          <x:t xml:space="preserve">default tag is span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protocol</x:t>
        </x:is>
      </x:c>
      <x:c r="H29" s="86" t="inlineStr">
        <x:is>
          <x:t xml:space="preserve">covered</x:t>
        </x:is>
      </x:c>
      <x:c r="I29" s="84" t="inlineStr">
        <x:is>
          <x:t xml:space="preserve">HoverCard Manual Test Protocol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45" customHeight="1">
      <x:c r="A30" s="73" t="n">
        <x:v>22</x:v>
      </x:c>
      <x:c r="B30" s="84" t="inlineStr">
        <x:is>
          <x:t xml:space="preserve">Data</x:t>
        </x:is>
      </x:c>
      <x:c r="C30" s="84" t="inlineStr">
        <x:is>
          <x:t xml:space="preserve">Trigger</x:t>
        </x:is>
      </x:c>
      <x:c r="D30" s="84" t="inlineStr">
        <x:is>
          <x:t xml:space="preserve">data-slot and data-state are present and correct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protocol</x:t>
        </x:is>
      </x:c>
      <x:c r="H30" s="86" t="inlineStr">
        <x:is>
          <x:t xml:space="preserve">covered</x:t>
        </x:is>
      </x:c>
      <x:c r="I30" s="84" t="inlineStr">
        <x:is>
          <x:t xml:space="preserve">HoverCard Manual Test Protocol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45" customHeight="1">
      <x:c r="A31" s="73" t="n">
        <x:v>23</x:v>
      </x:c>
      <x:c r="B31" s="84" t="inlineStr">
        <x:is>
          <x:t xml:space="preserve">Props</x:t>
        </x:is>
      </x:c>
      <x:c r="C31" s="84" t="inlineStr">
        <x:is>
          <x:t xml:space="preserve">Trigger</x:t>
        </x:is>
      </x:c>
      <x:c r="D31" s="84" t="inlineStr">
        <x:is>
          <x:t xml:space="preserve">native/data props pass through with data-prop-check marker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protocol</x:t>
        </x:is>
      </x:c>
      <x:c r="H31" s="86" t="inlineStr">
        <x:is>
          <x:t xml:space="preserve">covered</x:t>
        </x:is>
      </x:c>
      <x:c r="I31" s="84" t="inlineStr">
        <x:is>
          <x:t xml:space="preserve">HoverCard Manual Test Protocol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45" customHeight="1">
      <x:c r="A32" s="73" t="n">
        <x:v>24</x:v>
      </x:c>
      <x:c r="B32" s="84" t="inlineStr">
        <x:is>
          <x:t xml:space="preserve">Slots</x:t>
        </x:is>
      </x:c>
      <x:c r="C32" s="84" t="inlineStr">
        <x:is>
          <x:t xml:space="preserve">Trigger</x:t>
        </x:is>
      </x:c>
      <x:c r="D32" s="84" t="inlineStr">
        <x:is>
          <x:t xml:space="preserve">custom data-slot override is applied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protocol</x:t>
        </x:is>
      </x:c>
      <x:c r="H32" s="86" t="inlineStr">
        <x:is>
          <x:t xml:space="preserve">covered</x:t>
        </x:is>
      </x:c>
      <x:c r="I32" s="84" t="inlineStr">
        <x:is>
          <x:t xml:space="preserve">HoverCard Manual Test Protocol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45" customHeight="1">
      <x:c r="A33" s="73" t="n">
        <x:v>25</x:v>
      </x:c>
      <x:c r="B33" s="84" t="inlineStr">
        <x:is>
          <x:t xml:space="preserve">Composition</x:t>
        </x:is>
      </x:c>
      <x:c r="C33" s="84" t="inlineStr">
        <x:is>
          <x:t xml:space="preserve">Trigger</x:t>
        </x:is>
      </x:c>
      <x:c r="D33" s="84" t="inlineStr">
        <x:is>
          <x:t xml:space="preserve">asChild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protocol</x:t>
        </x:is>
      </x:c>
      <x:c r="H33" s="86" t="inlineStr">
        <x:is>
          <x:t xml:space="preserve">covered</x:t>
        </x:is>
      </x:c>
      <x:c r="I33" s="84" t="inlineStr">
        <x:is>
          <x:t xml:space="preserve">HoverCard Manual Test Protocol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45" customHeight="1">
      <x:c r="A34" s="73" t="n">
        <x:v>26</x:v>
      </x:c>
      <x:c r="B34" s="84" t="inlineStr">
        <x:is>
          <x:t xml:space="preserve">Composition</x:t>
        </x:is>
      </x:c>
      <x:c r="C34" s="84" t="inlineStr">
        <x:is>
          <x:t xml:space="preserve">Trigger</x:t>
        </x:is>
      </x:c>
      <x:c r="D34" s="84" t="inlineStr">
        <x:is>
          <x:t xml:space="preserve">render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protocol</x:t>
        </x:is>
      </x:c>
      <x:c r="H34" s="86" t="inlineStr">
        <x:is>
          <x:t xml:space="preserve">covered</x:t>
        </x:is>
      </x:c>
      <x:c r="I34" s="84" t="inlineStr">
        <x:is>
          <x:t xml:space="preserve">HoverCard Manual Test Protocol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45" customHeight="1">
      <x:c r="A35" s="73" t="n">
        <x:v>27</x:v>
      </x:c>
      <x:c r="B35" s="84" t="inlineStr">
        <x:is>
          <x:t xml:space="preserve">Interaction</x:t>
        </x:is>
      </x:c>
      <x:c r="C35" s="84" t="inlineStr">
        <x:is>
          <x:t xml:space="preserve">Trigger</x:t>
        </x:is>
      </x:c>
      <x:c r="D35" s="84" t="inlineStr">
        <x:is>
          <x:t xml:space="preserve">hover opens and mouse leave closes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protocol</x:t>
        </x:is>
      </x:c>
      <x:c r="H35" s="86" t="inlineStr">
        <x:is>
          <x:t xml:space="preserve">covered</x:t>
        </x:is>
      </x:c>
      <x:c r="I35" s="84" t="inlineStr">
        <x:is>
          <x:t xml:space="preserve">HoverCard Manual Test Protocol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45" customHeight="1">
      <x:c r="A36" s="73" t="n">
        <x:v>28</x:v>
      </x:c>
      <x:c r="B36" s="84" t="inlineStr">
        <x:is>
          <x:t xml:space="preserve">Focus</x:t>
        </x:is>
      </x:c>
      <x:c r="C36" s="84" t="inlineStr">
        <x:is>
          <x:t xml:space="preserve">Trigger</x:t>
        </x:is>
      </x:c>
      <x:c r="D36" s="84" t="inlineStr">
        <x:is>
          <x:t xml:space="preserve">keyboard Tab focus-visible opens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protocol</x:t>
        </x:is>
      </x:c>
      <x:c r="H36" s="86" t="inlineStr">
        <x:is>
          <x:t xml:space="preserve">covered</x:t>
        </x:is>
      </x:c>
      <x:c r="I36" s="84" t="inlineStr">
        <x:is>
          <x:t xml:space="preserve">HoverCard Manual Test Protocol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45" customHeight="1">
      <x:c r="A37" s="73" t="n">
        <x:v>29</x:v>
      </x:c>
      <x:c r="B37" s="84" t="inlineStr">
        <x:is>
          <x:t xml:space="preserve">Anatomy</x:t>
        </x:is>
      </x:c>
      <x:c r="C37" s="84" t="inlineStr">
        <x:is>
          <x:t xml:space="preserve">Portal</x:t>
        </x:is>
      </x:c>
      <x:c r="D37" s="84" t="inlineStr">
        <x:is>
          <x:t xml:space="preserve">body, custom container, and disabled portal paths work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protocol</x:t>
        </x:is>
      </x:c>
      <x:c r="H37" s="86" t="inlineStr">
        <x:is>
          <x:t xml:space="preserve">covered</x:t>
        </x:is>
      </x:c>
      <x:c r="I37" s="84" t="inlineStr">
        <x:is>
          <x:t xml:space="preserve">HoverCard Manual Test Protocol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45" customHeight="1">
      <x:c r="A38" s="73" t="n">
        <x:v>30</x:v>
      </x:c>
      <x:c r="B38" s="84" t="inlineStr">
        <x:is>
          <x:t xml:space="preserve">Portal</x:t>
        </x:is>
      </x:c>
      <x:c r="C38" s="84" t="inlineStr">
        <x:is>
          <x:t xml:space="preserve">Portal</x:t>
        </x:is>
      </x:c>
      <x:c r="D38" s="84" t="inlineStr">
        <x:is>
          <x:t xml:space="preserve">portal renders in body by default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protocol</x:t>
        </x:is>
      </x:c>
      <x:c r="H38" s="86" t="inlineStr">
        <x:is>
          <x:t xml:space="preserve">covered</x:t>
        </x:is>
      </x:c>
      <x:c r="I38" s="84" t="inlineStr">
        <x:is>
          <x:t xml:space="preserve">HoverCard Manual Test Protocol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45" customHeight="1">
      <x:c r="A39" s="73" t="n">
        <x:v>31</x:v>
      </x:c>
      <x:c r="B39" s="84" t="inlineStr">
        <x:is>
          <x:t xml:space="preserve">Portal</x:t>
        </x:is>
      </x:c>
      <x:c r="C39" s="84" t="inlineStr">
        <x:is>
          <x:t xml:space="preserve">Portal</x:t>
        </x:is>
      </x:c>
      <x:c r="D39" s="84" t="inlineStr">
        <x:is>
          <x:t xml:space="preserve">custom container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protocol</x:t>
        </x:is>
      </x:c>
      <x:c r="H39" s="86" t="inlineStr">
        <x:is>
          <x:t xml:space="preserve">covered</x:t>
        </x:is>
      </x:c>
      <x:c r="I39" s="84" t="inlineStr">
        <x:is>
          <x:t xml:space="preserve">HoverCard Manual Test Protocol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45" customHeight="1">
      <x:c r="A40" s="73" t="n">
        <x:v>32</x:v>
      </x:c>
      <x:c r="B40" s="84" t="inlineStr">
        <x:is>
          <x:t xml:space="preserve">Portal</x:t>
        </x:is>
      </x:c>
      <x:c r="C40" s="84" t="inlineStr">
        <x:is>
          <x:t xml:space="preserve">Portal</x:t>
        </x:is>
      </x:c>
      <x:c r="D40" s="84" t="inlineStr">
        <x:is>
          <x:t xml:space="preserve">disabled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protocol</x:t>
        </x:is>
      </x:c>
      <x:c r="H40" s="86" t="inlineStr">
        <x:is>
          <x:t xml:space="preserve">covered</x:t>
        </x:is>
      </x:c>
      <x:c r="I40" s="84" t="inlineStr">
        <x:is>
          <x:t xml:space="preserve">HoverCard Manual Test Protocol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45" customHeight="1">
      <x:c r="A41" s="73" t="n">
        <x:v>33</x:v>
      </x:c>
      <x:c r="B41" s="84" t="inlineStr">
        <x:is>
          <x:t xml:space="preserve">Anatomy</x:t>
        </x:is>
      </x:c>
      <x:c r="C41" s="84" t="inlineStr">
        <x:is>
          <x:t xml:space="preserve">Content</x:t>
        </x:is>
      </x:c>
      <x:c r="D41" s="84" t="inlineStr">
        <x:is>
          <x:t xml:space="preserve">renders correct part in documented order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protocol</x:t>
        </x:is>
      </x:c>
      <x:c r="H41" s="86" t="inlineStr">
        <x:is>
          <x:t xml:space="preserve">covered</x:t>
        </x:is>
      </x:c>
      <x:c r="I41" s="84" t="inlineStr">
        <x:is>
          <x:t xml:space="preserve">HoverCard Manual Test Protocol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45" customHeight="1">
      <x:c r="A42" s="73" t="n">
        <x:v>34</x:v>
      </x:c>
      <x:c r="B42" s="84" t="inlineStr">
        <x:is>
          <x:t xml:space="preserve">Identity</x:t>
        </x:is>
      </x:c>
      <x:c r="C42" s="84" t="inlineStr">
        <x:is>
          <x:t xml:space="preserve">Content</x:t>
        </x:is>
      </x:c>
      <x:c r="D42" s="84" t="inlineStr">
        <x:is>
          <x:t xml:space="preserve">default tag is div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protocol</x:t>
        </x:is>
      </x:c>
      <x:c r="H42" s="86" t="inlineStr">
        <x:is>
          <x:t xml:space="preserve">covered</x:t>
        </x:is>
      </x:c>
      <x:c r="I42" s="84" t="inlineStr">
        <x:is>
          <x:t xml:space="preserve">HoverCard Manual Test Protocol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45" customHeight="1">
      <x:c r="A43" s="73" t="n">
        <x:v>35</x:v>
      </x:c>
      <x:c r="B43" s="84" t="inlineStr">
        <x:is>
          <x:t xml:space="preserve">Data</x:t>
        </x:is>
      </x:c>
      <x:c r="C43" s="84" t="inlineStr">
        <x:is>
          <x:t xml:space="preserve">Content</x:t>
        </x:is>
      </x:c>
      <x:c r="D43" s="84" t="inlineStr">
        <x:is>
          <x:t xml:space="preserve">data-slot, data-state, data-side, and data-positioned are present at the correct time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protocol</x:t>
        </x:is>
      </x:c>
      <x:c r="H43" s="86" t="inlineStr">
        <x:is>
          <x:t xml:space="preserve">covered</x:t>
        </x:is>
      </x:c>
      <x:c r="I43" s="84" t="inlineStr">
        <x:is>
          <x:t xml:space="preserve">HoverCard Manual Test Protocol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45" customHeight="1">
      <x:c r="A44" s="73" t="n">
        <x:v>36</x:v>
      </x:c>
      <x:c r="B44" s="84" t="inlineStr">
        <x:is>
          <x:t xml:space="preserve">ARIA</x:t>
        </x:is>
      </x:c>
      <x:c r="C44" s="84" t="inlineStr">
        <x:is>
          <x:t xml:space="preserve">Content</x:t>
        </x:is>
      </x:c>
      <x:c r="D44" s="84" t="inlineStr">
        <x:is>
          <x:t xml:space="preserve">ariaLabel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protocol</x:t>
        </x:is>
      </x:c>
      <x:c r="H44" s="86" t="inlineStr">
        <x:is>
          <x:t xml:space="preserve">covered</x:t>
        </x:is>
      </x:c>
      <x:c r="I44" s="84" t="inlineStr">
        <x:is>
          <x:t xml:space="preserve">HoverCard Manual Test Protocol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45" customHeight="1">
      <x:c r="A45" s="73" t="n">
        <x:v>37</x:v>
      </x:c>
      <x:c r="B45" s="84" t="inlineStr">
        <x:is>
          <x:t xml:space="preserve">Props</x:t>
        </x:is>
      </x:c>
      <x:c r="C45" s="84" t="inlineStr">
        <x:is>
          <x:t xml:space="preserve">Content</x:t>
        </x:is>
      </x:c>
      <x:c r="D45" s="84" t="inlineStr">
        <x:is>
          <x:t xml:space="preserve">native/data props pass through with data-prop-check marker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protocol</x:t>
        </x:is>
      </x:c>
      <x:c r="H45" s="86" t="inlineStr">
        <x:is>
          <x:t xml:space="preserve">covered</x:t>
        </x:is>
      </x:c>
      <x:c r="I45" s="84" t="inlineStr">
        <x:is>
          <x:t xml:space="preserve">HoverCard Manual Test Protocol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45" customHeight="1">
      <x:c r="A46" s="73" t="n">
        <x:v>38</x:v>
      </x:c>
      <x:c r="B46" s="84" t="inlineStr">
        <x:is>
          <x:t xml:space="preserve">Slots</x:t>
        </x:is>
      </x:c>
      <x:c r="C46" s="84" t="inlineStr">
        <x:is>
          <x:t xml:space="preserve">Content</x:t>
        </x:is>
      </x:c>
      <x:c r="D46" s="84" t="inlineStr">
        <x:is>
          <x:t xml:space="preserve">custom data-slot override is applied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protocol</x:t>
        </x:is>
      </x:c>
      <x:c r="H46" s="86" t="inlineStr">
        <x:is>
          <x:t xml:space="preserve">covered</x:t>
        </x:is>
      </x:c>
      <x:c r="I46" s="84" t="inlineStr">
        <x:is>
          <x:t xml:space="preserve">HoverCard Manual Test Protocol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45" customHeight="1">
      <x:c r="A47" s="73" t="n">
        <x:v>39</x:v>
      </x:c>
      <x:c r="B47" s="84" t="inlineStr">
        <x:is>
          <x:t xml:space="preserve">Positioning</x:t>
        </x:is>
      </x:c>
      <x:c r="C47" s="84" t="inlineStr">
        <x:is>
          <x:t xml:space="preserve">Content</x:t>
        </x:is>
      </x:c>
      <x:c r="D47" s="84" t="inlineStr">
        <x:is>
          <x:t xml:space="preserve">side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protocol</x:t>
        </x:is>
      </x:c>
      <x:c r="H47" s="86" t="inlineStr">
        <x:is>
          <x:t xml:space="preserve">covered</x:t>
        </x:is>
      </x:c>
      <x:c r="I47" s="84" t="inlineStr">
        <x:is>
          <x:t xml:space="preserve">HoverCard Manual Test Protocol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45" customHeight="1">
      <x:c r="A48" s="73" t="n">
        <x:v>40</x:v>
      </x:c>
      <x:c r="B48" s="84" t="inlineStr">
        <x:is>
          <x:t xml:space="preserve">Positioning</x:t>
        </x:is>
      </x:c>
      <x:c r="C48" s="84" t="inlineStr">
        <x:is>
          <x:t xml:space="preserve">Content</x:t>
        </x:is>
      </x:c>
      <x:c r="D48" s="84" t="inlineStr">
        <x:is>
          <x:t xml:space="preserve">align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protocol</x:t>
        </x:is>
      </x:c>
      <x:c r="H48" s="86" t="inlineStr">
        <x:is>
          <x:t xml:space="preserve">covered</x:t>
        </x:is>
      </x:c>
      <x:c r="I48" s="84" t="inlineStr">
        <x:is>
          <x:t xml:space="preserve">HoverCard Manual Test Protocol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45" customHeight="1">
      <x:c r="A49" s="73" t="n">
        <x:v>41</x:v>
      </x:c>
      <x:c r="B49" s="84" t="inlineStr">
        <x:is>
          <x:t xml:space="preserve">Positioning</x:t>
        </x:is>
      </x:c>
      <x:c r="C49" s="84" t="inlineStr">
        <x:is>
          <x:t xml:space="preserve">Content</x:t>
        </x:is>
      </x:c>
      <x:c r="D49" s="84" t="inlineStr">
        <x:is>
          <x:t xml:space="preserve">sideOffset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protocol</x:t>
        </x:is>
      </x:c>
      <x:c r="H49" s="86" t="inlineStr">
        <x:is>
          <x:t xml:space="preserve">covered</x:t>
        </x:is>
      </x:c>
      <x:c r="I49" s="84" t="inlineStr">
        <x:is>
          <x:t xml:space="preserve">HoverCard Manual Test Protocol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45" customHeight="1">
      <x:c r="A50" s="73" t="n">
        <x:v>42</x:v>
      </x:c>
      <x:c r="B50" s="84" t="inlineStr">
        <x:is>
          <x:t xml:space="preserve">Anatomy</x:t>
        </x:is>
      </x:c>
      <x:c r="C50" s="84" t="inlineStr">
        <x:is>
          <x:t xml:space="preserve">Arrow</x:t>
        </x:is>
      </x:c>
      <x:c r="D50" s="84" t="inlineStr">
        <x:is>
          <x:t xml:space="preserve">renders correct part in documented order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protocol</x:t>
        </x:is>
      </x:c>
      <x:c r="H50" s="86" t="inlineStr">
        <x:is>
          <x:t xml:space="preserve">covered</x:t>
        </x:is>
      </x:c>
      <x:c r="I50" s="84" t="inlineStr">
        <x:is>
          <x:t xml:space="preserve">HoverCard Manual Test Protocol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45" customHeight="1">
      <x:c r="A51" s="73" t="n">
        <x:v>43</x:v>
      </x:c>
      <x:c r="B51" s="84" t="inlineStr">
        <x:is>
          <x:t xml:space="preserve">Identity</x:t>
        </x:is>
      </x:c>
      <x:c r="C51" s="84" t="inlineStr">
        <x:is>
          <x:t xml:space="preserve">Arrow</x:t>
        </x:is>
      </x:c>
      <x:c r="D51" s="84" t="inlineStr">
        <x:is>
          <x:t xml:space="preserve">default tag is svg and aria-hidden is true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protocol</x:t>
        </x:is>
      </x:c>
      <x:c r="H51" s="86" t="inlineStr">
        <x:is>
          <x:t xml:space="preserve">covered</x:t>
        </x:is>
      </x:c>
      <x:c r="I51" s="84" t="inlineStr">
        <x:is>
          <x:t xml:space="preserve">HoverCard Manual Test Protocol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45" customHeight="1">
      <x:c r="A52" s="73" t="n">
        <x:v>44</x:v>
      </x:c>
      <x:c r="B52" s="84" t="inlineStr">
        <x:is>
          <x:t xml:space="preserve">Data</x:t>
        </x:is>
      </x:c>
      <x:c r="C52" s="84" t="inlineStr">
        <x:is>
          <x:t xml:space="preserve">Arrow</x:t>
        </x:is>
      </x:c>
      <x:c r="D52" s="84" t="inlineStr">
        <x:is>
          <x:t xml:space="preserve">data-slot and data-side are present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protocol</x:t>
        </x:is>
      </x:c>
      <x:c r="H52" s="86" t="inlineStr">
        <x:is>
          <x:t xml:space="preserve">covered</x:t>
        </x:is>
      </x:c>
      <x:c r="I52" s="84" t="inlineStr">
        <x:is>
          <x:t xml:space="preserve">HoverCard Manual Test Protocol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45" customHeight="1">
      <x:c r="A53" s="73" t="n">
        <x:v>45</x:v>
      </x:c>
      <x:c r="B53" s="84" t="inlineStr">
        <x:is>
          <x:t xml:space="preserve">Props</x:t>
        </x:is>
      </x:c>
      <x:c r="C53" s="84" t="inlineStr">
        <x:is>
          <x:t xml:space="preserve">Arrow</x:t>
        </x:is>
      </x:c>
      <x:c r="D53" s="84" t="inlineStr">
        <x:is>
          <x:t xml:space="preserve">native/data props pass through with data-prop-check marker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protocol</x:t>
        </x:is>
      </x:c>
      <x:c r="H53" s="86" t="inlineStr">
        <x:is>
          <x:t xml:space="preserve">covered</x:t>
        </x:is>
      </x:c>
      <x:c r="I53" s="84" t="inlineStr">
        <x:is>
          <x:t xml:space="preserve">HoverCard Manual Test Protocol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45" customHeight="1">
      <x:c r="A54" s="73" t="n">
        <x:v>46</x:v>
      </x:c>
      <x:c r="B54" s="84" t="inlineStr">
        <x:is>
          <x:t xml:space="preserve">Slots</x:t>
        </x:is>
      </x:c>
      <x:c r="C54" s="84" t="inlineStr">
        <x:is>
          <x:t xml:space="preserve">Arrow</x:t>
        </x:is>
      </x:c>
      <x:c r="D54" s="84" t="inlineStr">
        <x:is>
          <x:t xml:space="preserve">custom data-slot override is applied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protocol</x:t>
        </x:is>
      </x:c>
      <x:c r="H54" s="86" t="inlineStr">
        <x:is>
          <x:t xml:space="preserve">covered</x:t>
        </x:is>
      </x:c>
      <x:c r="I54" s="84" t="inlineStr">
        <x:is>
          <x:t xml:space="preserve">HoverCard Manual Test Protocol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4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Arrow</x:t>
        </x:is>
      </x:c>
      <x:c r="D55" s="84" t="inlineStr">
        <x:is>
          <x:t xml:space="preserve">width and height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protocol</x:t>
        </x:is>
      </x:c>
      <x:c r="H55" s="86" t="inlineStr">
        <x:is>
          <x:t xml:space="preserve">covered</x:t>
        </x:is>
      </x:c>
      <x:c r="I55" s="84" t="inlineStr">
        <x:is>
          <x:t xml:space="preserve">HoverCard Manual Test Protocol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45" customHeight="1">
      <x:c r="A56" s="73" t="n">
        <x:v>48</x:v>
      </x:c>
      <x:c r="B56" s="84" t="inlineStr">
        <x:is>
          <x:t xml:space="preserve">Source</x:t>
        </x:is>
      </x:c>
      <x:c r="C56" s="84" t="inlineStr">
        <x:is>
          <x:t xml:space="preserve">HoverCard</x:t>
        </x:is>
      </x:c>
      <x:c r="D56" s="84" t="inlineStr">
        <x:is>
          <x:t xml:space="preserve">Source omits playground-only plumbing and default props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protocol</x:t>
        </x:is>
      </x:c>
      <x:c r="H56" s="86" t="inlineStr">
        <x:is>
          <x:t xml:space="preserve">covered</x:t>
        </x:is>
      </x:c>
      <x:c r="I56" s="84" t="inlineStr">
        <x:is>
          <x:t xml:space="preserve">HoverCard Manual Test Protocol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45" customHeight="1">
      <x:c r="A57" s="73" t="n">
        <x:v>49</x:v>
      </x:c>
      <x:c r="B57" s="84" t="inlineStr">
        <x:is>
          <x:t xml:space="preserve">Source</x:t>
        </x:is>
      </x:c>
      <x:c r="C57" s="84" t="inlineStr">
        <x:is>
          <x:t xml:space="preserve">HoverCard</x:t>
        </x:is>
      </x:c>
      <x:c r="D57" s="84" t="inlineStr">
        <x:is>
          <x:t xml:space="preserve">Source reflects controlled/defaultOpen state, portal mode, composition, props, slots, and Arrow size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protocol</x:t>
        </x:is>
      </x:c>
      <x:c r="H57" s="86" t="inlineStr">
        <x:is>
          <x:t xml:space="preserve">covered</x:t>
        </x:is>
      </x:c>
      <x:c r="I57" s="84" t="inlineStr">
        <x:is>
          <x:t xml:space="preserve">HoverCard Manual Test Protocol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45" customHeight="1">
      <x:c r="A58" s="73" t="n">
        <x:v>50</x:v>
      </x:c>
      <x:c r="B58" s="84" t="inlineStr">
        <x:is>
          <x:t xml:space="preserve">Inspector</x:t>
        </x:is>
      </x:c>
      <x:c r="C58" s="84" t="inlineStr">
        <x:is>
          <x:t xml:space="preserve">HoverCard</x:t>
        </x:is>
      </x:c>
      <x:c r="D58" s="84" t="inlineStr">
        <x:is>
          <x:t xml:space="preserve">Selected and Focused evidence update independently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protocol</x:t>
        </x:is>
      </x:c>
      <x:c r="H58" s="86" t="inlineStr">
        <x:is>
          <x:t xml:space="preserve">covered</x:t>
        </x:is>
      </x:c>
      <x:c r="I58" s="84" t="inlineStr">
        <x:is>
          <x:t xml:space="preserve">HoverCard Manual Test Protocol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45" customHeight="1">
      <x:c r="A59" s="73" t="n">
        <x:v>51</x:v>
      </x:c>
      <x:c r="B59" s="84" t="inlineStr">
        <x:is>
          <x:t xml:space="preserve">Logs</x:t>
        </x:is>
      </x:c>
      <x:c r="C59" s="84" t="inlineStr">
        <x:is>
          <x:t xml:space="preserve">HoverCard</x:t>
        </x:is>
      </x:c>
      <x:c r="D59" s="84" t="inlineStr">
        <x:is>
          <x:t xml:space="preserve">interaction logs remain visible after close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protocol</x:t>
        </x:is>
      </x:c>
      <x:c r="H59" s="86" t="inlineStr">
        <x:is>
          <x:t xml:space="preserve">covered</x:t>
        </x:is>
      </x:c>
      <x:c r="I59" s="84" t="inlineStr">
        <x:is>
          <x:t xml:space="preserve">HoverCard Manual Test Protocol</x:t>
        </x:is>
      </x:c>
      <x:c r="J59" s="84" t="n"/>
      <x:c r="K59" s="87" t="n">
        <x:f>IF(AND(E59="yes",F59="yes",H59="covered"),1,IF(H59="partial",0.5,0))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Input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0.9710144927536232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67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2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tested</x:t>
        </x:is>
      </x:c>
      <x:c r="H9" s="86" t="inlineStr">
        <x:is>
          <x:t xml:space="preserve">covered</x:t>
        </x:is>
      </x:c>
      <x:c r="I9" s="84" t="inlineStr">
        <x:is>
          <x:t xml:space="preserve">Shared playground prop rule.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tested</x:t>
        </x:is>
      </x:c>
      <x:c r="H10" s="86" t="inlineStr">
        <x:is>
          <x:t xml:space="preserve">covered</x:t>
        </x:is>
      </x:c>
      <x:c r="I10" s="84" t="inlineStr">
        <x:is>
          <x:t xml:space="preserve">Shared playground prop rule.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30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Input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tested</x:t>
        </x:is>
      </x:c>
      <x:c r="H11" s="86" t="inlineStr">
        <x:is>
          <x:t xml:space="preserve">covered</x:t>
        </x:is>
      </x:c>
      <x:c r="I11" s="84" t="inlineStr">
        <x:is>
          <x:t xml:space="preserve">Input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Input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tested</x:t>
        </x:is>
      </x:c>
      <x:c r="H12" s="86" t="inlineStr">
        <x:is>
          <x:t xml:space="preserve">covered</x:t>
        </x:is>
      </x:c>
      <x:c r="I12" s="84" t="inlineStr">
        <x:is>
          <x:t xml:space="preserve">Input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Input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tested</x:t>
        </x:is>
      </x:c>
      <x:c r="H13" s="86" t="inlineStr">
        <x:is>
          <x:t xml:space="preserve">covered</x:t>
        </x:is>
      </x:c>
      <x:c r="I13" s="84" t="inlineStr">
        <x:is>
          <x:t xml:space="preserve">Input playground page uses shared Canvas/Source, Anatomy, Inspector, and Log infrastructure.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Input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tested</x:t>
        </x:is>
      </x:c>
      <x:c r="H14" s="86" t="inlineStr">
        <x:is>
          <x:t xml:space="preserve">covered</x:t>
        </x:is>
      </x:c>
      <x:c r="I14" s="84" t="inlineStr">
        <x:is>
          <x:t xml:space="preserve">Input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Input</x:t>
        </x:is>
      </x:c>
      <x:c r="D15" s="84" t="inlineStr">
        <x:is>
          <x:t xml:space="preserve">Renders a native `&lt;input&gt;`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tested</x:t>
        </x:is>
      </x:c>
      <x:c r="H15" s="86" t="inlineStr">
        <x:is>
          <x:t xml:space="preserve">covered</x:t>
        </x:is>
      </x:c>
      <x:c r="I15" s="84" t="inlineStr">
        <x:is>
          <x:t xml:space="preserve">Input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Input</x:t>
        </x:is>
      </x:c>
      <x:c r="D16" s="84" t="inlineStr">
        <x:is>
          <x:t xml:space="preserve">Supports controlled and uncontrolled value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tested</x:t>
        </x:is>
      </x:c>
      <x:c r="H16" s="86" t="inlineStr">
        <x:is>
          <x:t xml:space="preserve">covered</x:t>
        </x:is>
      </x:c>
      <x:c r="I16" s="84" t="inlineStr">
        <x:is>
          <x:t xml:space="preserve">Input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Input</x:t>
        </x:is>
      </x:c>
      <x:c r="D17" s="84" t="inlineStr">
        <x:is>
          <x:t xml:space="preserve">Integrates with `Field.Root` for IDs, descriptions, errors, and state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tested</x:t>
        </x:is>
      </x:c>
      <x:c r="H17" s="86" t="inlineStr">
        <x:is>
          <x:t xml:space="preserve">covered</x:t>
        </x:is>
      </x:c>
      <x:c r="I17" s="84" t="inlineStr">
        <x:is>
          <x:t xml:space="preserve">Input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Input</x:t>
        </x:is>
      </x:c>
      <x:c r="D18" s="84" t="inlineStr">
        <x:is>
          <x:t xml:space="preserve">Exposes filled, focused, disabled, readonly, and invalid state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tested</x:t>
        </x:is>
      </x:c>
      <x:c r="H18" s="86" t="inlineStr">
        <x:is>
          <x:t xml:space="preserve">covered</x:t>
        </x:is>
      </x:c>
      <x:c r="I18" s="84" t="inlineStr">
        <x:is>
          <x:t xml:space="preserve">Input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Input</x:t>
        </x:is>
      </x:c>
      <x:c r="D19" s="84" t="inlineStr">
        <x:is>
          <x:t xml:space="preserve">Includes an optional clear button that clears and refocuses the input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tested</x:t>
        </x:is>
      </x:c>
      <x:c r="H19" s="86" t="inlineStr">
        <x:is>
          <x:t xml:space="preserve">covered</x:t>
        </x:is>
      </x:c>
      <x:c r="I19" s="84" t="inlineStr">
        <x:is>
          <x:t xml:space="preserve">Input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4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Input</x:t>
        </x:is>
      </x:c>
      <x:c r="D20" s="84" t="inlineStr">
        <x:is>
          <x:t xml:space="preserve">Preserves native input props and event handlers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tested</x:t>
        </x:is>
      </x:c>
      <x:c r="H20" s="86" t="inlineStr">
        <x:is>
          <x:t xml:space="preserve">covered</x:t>
        </x:is>
      </x:c>
      <x:c r="I20" s="84" t="inlineStr">
        <x:is>
          <x:t xml:space="preserve">Input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4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tested</x:t>
        </x:is>
      </x:c>
      <x:c r="H21" s="86" t="inlineStr">
        <x:is>
          <x:t xml:space="preserve">covered</x:t>
        </x:is>
      </x:c>
      <x:c r="I21" s="84" t="inlineStr">
        <x:is>
          <x:t xml:space="preserve">Input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tested</x:t>
        </x:is>
      </x:c>
      <x:c r="H22" s="86" t="inlineStr">
        <x:is>
          <x:t xml:space="preserve">covered</x:t>
        </x:is>
      </x:c>
      <x:c r="I22" s="84" t="inlineStr">
        <x:is>
          <x:t xml:space="preserve">Input form-field playground page exposes this part/prop in Anatomy, Inspector, Source, or toolbar controls.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tested</x:t>
        </x:is>
      </x:c>
      <x:c r="H23" s="86" t="inlineStr">
        <x:is>
          <x:t xml:space="preserve">covered</x:t>
        </x:is>
      </x:c>
      <x:c r="I23" s="84" t="inlineStr">
        <x:is>
          <x:t xml:space="preserve">Input source/anatomy documents whether Root renders DOM; Inspector verifies rendered descendants.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tested</x:t>
        </x:is>
      </x:c>
      <x:c r="H24" s="86" t="inlineStr">
        <x:is>
          <x:t xml:space="preserve">covered</x:t>
        </x:is>
      </x:c>
      <x:c r="I24" s="84" t="inlineStr">
        <x:is>
          <x:t xml:space="preserve">Input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tested</x:t>
        </x:is>
      </x:c>
      <x:c r="H25" s="86" t="inlineStr">
        <x:is>
          <x:t xml:space="preserve">covered</x:t>
        </x:is>
      </x:c>
      <x:c r="I25" s="84" t="inlineStr">
        <x:is>
          <x:t xml:space="preserve">Input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tested</x:t>
        </x:is>
      </x:c>
      <x:c r="H26" s="86" t="inlineStr">
        <x:is>
          <x:t xml:space="preserve">covered</x:t>
        </x:is>
      </x:c>
      <x:c r="I26" s="84" t="inlineStr">
        <x:is>
          <x:t xml:space="preserve">Input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tested</x:t>
        </x:is>
      </x:c>
      <x:c r="H27" s="86" t="inlineStr">
        <x:is>
          <x:t xml:space="preserve">covered</x:t>
        </x:is>
      </x:c>
      <x:c r="I27" s="84" t="inlineStr">
        <x:is>
          <x:t xml:space="preserve">Input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tested</x:t>
        </x:is>
      </x:c>
      <x:c r="H28" s="86" t="inlineStr">
        <x:is>
          <x:t xml:space="preserve">covered</x:t>
        </x:is>
      </x:c>
      <x:c r="I28" s="84" t="inlineStr">
        <x:is>
          <x:t xml:space="preserve">Input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tested</x:t>
        </x:is>
      </x:c>
      <x:c r="H29" s="86" t="inlineStr">
        <x:is>
          <x:t xml:space="preserve">covered</x:t>
        </x:is>
      </x:c>
      <x:c r="I29" s="84" t="inlineStr">
        <x:is>
          <x:t xml:space="preserve">Input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disabled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tested</x:t>
        </x:is>
      </x:c>
      <x:c r="H30" s="86" t="inlineStr">
        <x:is>
          <x:t xml:space="preserve">covered</x:t>
        </x:is>
      </x:c>
      <x:c r="I30" s="84" t="inlineStr">
        <x:is>
          <x:t xml:space="preserve">Input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required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tested</x:t>
        </x:is>
      </x:c>
      <x:c r="H31" s="86" t="inlineStr">
        <x:is>
          <x:t xml:space="preserve">covered</x:t>
        </x:is>
      </x:c>
      <x:c r="I31" s="84" t="inlineStr">
        <x:is>
          <x:t xml:space="preserve">Input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4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readOnly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tested</x:t>
        </x:is>
      </x:c>
      <x:c r="H32" s="86" t="inlineStr">
        <x:is>
          <x:t xml:space="preserve">covered</x:t>
        </x:is>
      </x:c>
      <x:c r="I32" s="84" t="inlineStr">
        <x:is>
          <x:t xml:space="preserve">Input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invalid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tested</x:t>
        </x:is>
      </x:c>
      <x:c r="H33" s="86" t="inlineStr">
        <x:is>
          <x:t xml:space="preserve">covered</x:t>
        </x:is>
      </x:c>
      <x:c r="I33" s="84" t="inlineStr">
        <x:is>
          <x:t xml:space="preserve">Input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id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tested</x:t>
        </x:is>
      </x:c>
      <x:c r="H34" s="86" t="inlineStr">
        <x:is>
          <x:t xml:space="preserve">covered</x:t>
        </x:is>
      </x:c>
      <x:c r="I34" s="84" t="inlineStr">
        <x:is>
          <x:t xml:space="preserve">Input form-field playground page exposes this part/prop in Anatomy, Inspector, Source, or toolbar controls.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[data-slot]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tested</x:t>
        </x:is>
      </x:c>
      <x:c r="H35" s="86" t="inlineStr">
        <x:is>
          <x:t xml:space="preserve">covered</x:t>
        </x:is>
      </x:c>
      <x:c r="I35" s="84" t="inlineStr">
        <x:is>
          <x:t xml:space="preserve">Input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[data-filled]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tested</x:t>
        </x:is>
      </x:c>
      <x:c r="H36" s="86" t="inlineStr">
        <x:is>
          <x:t xml:space="preserve">covered</x:t>
        </x:is>
      </x:c>
      <x:c r="I36" s="84" t="inlineStr">
        <x:is>
          <x:t xml:space="preserve">Input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Root</x:t>
        </x:is>
      </x:c>
      <x:c r="D37" s="84" t="inlineStr">
        <x:is>
          <x:t xml:space="preserve">[data-focused]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tested</x:t>
        </x:is>
      </x:c>
      <x:c r="H37" s="86" t="inlineStr">
        <x:is>
          <x:t xml:space="preserve">covered</x:t>
        </x:is>
      </x:c>
      <x:c r="I37" s="84" t="inlineStr">
        <x:is>
          <x:t xml:space="preserve">Input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State</x:t>
        </x:is>
      </x:c>
      <x:c r="C38" s="84" t="inlineStr">
        <x:is>
          <x:t xml:space="preserve">Root</x:t>
        </x:is>
      </x:c>
      <x:c r="D38" s="84" t="inlineStr">
        <x:is>
          <x:t xml:space="preserve">[data-disabled]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tested</x:t>
        </x:is>
      </x:c>
      <x:c r="H38" s="86" t="inlineStr">
        <x:is>
          <x:t xml:space="preserve">covered</x:t>
        </x:is>
      </x:c>
      <x:c r="I38" s="84" t="inlineStr">
        <x:is>
          <x:t xml:space="preserve">Input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State</x:t>
        </x:is>
      </x:c>
      <x:c r="C39" s="84" t="inlineStr">
        <x:is>
          <x:t xml:space="preserve">Root</x:t>
        </x:is>
      </x:c>
      <x:c r="D39" s="84" t="inlineStr">
        <x:is>
          <x:t xml:space="preserve">[data-required]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tested</x:t>
        </x:is>
      </x:c>
      <x:c r="H39" s="86" t="inlineStr">
        <x:is>
          <x:t xml:space="preserve">covered</x:t>
        </x:is>
      </x:c>
      <x:c r="I39" s="84" t="inlineStr">
        <x:is>
          <x:t xml:space="preserve">Input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State</x:t>
        </x:is>
      </x:c>
      <x:c r="C40" s="84" t="inlineStr">
        <x:is>
          <x:t xml:space="preserve">Root</x:t>
        </x:is>
      </x:c>
      <x:c r="D40" s="84" t="inlineStr">
        <x:is>
          <x:t xml:space="preserve">[data-readonly]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tested</x:t>
        </x:is>
      </x:c>
      <x:c r="H40" s="86" t="inlineStr">
        <x:is>
          <x:t xml:space="preserve">covered</x:t>
        </x:is>
      </x:c>
      <x:c r="I40" s="84" t="inlineStr">
        <x:is>
          <x:t xml:space="preserve">Input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Root</x:t>
        </x:is>
      </x:c>
      <x:c r="D41" s="84" t="inlineStr">
        <x:is>
          <x:t xml:space="preserve">[data-invalid]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tested</x:t>
        </x:is>
      </x:c>
      <x:c r="H41" s="86" t="inlineStr">
        <x:is>
          <x:t xml:space="preserve">covered</x:t>
        </x:is>
      </x:c>
      <x:c r="I41" s="84" t="inlineStr">
        <x:is>
          <x:t xml:space="preserve">Input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45" customHeight="1">
      <x:c r="A42" s="73" t="n">
        <x:v>34</x:v>
      </x:c>
      <x:c r="B42" s="84" t="inlineStr">
        <x:is>
          <x:t xml:space="preserve">Anatomy</x:t>
        </x:is>
      </x:c>
      <x:c r="C42" s="84" t="inlineStr">
        <x:is>
          <x:t xml:space="preserve">Clear</x:t>
        </x:is>
      </x:c>
      <x:c r="D42" s="84" t="inlineStr">
        <x:is>
          <x:t xml:space="preserve">renders correct part when expected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tested</x:t>
        </x:is>
      </x:c>
      <x:c r="H42" s="86" t="inlineStr">
        <x:is>
          <x:t xml:space="preserve">covered</x:t>
        </x:is>
      </x:c>
      <x:c r="I42" s="84" t="inlineStr">
        <x:is>
          <x:t xml:space="preserve">Input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45" customHeight="1">
      <x:c r="A43" s="73" t="n">
        <x:v>35</x:v>
      </x:c>
      <x:c r="B43" s="84" t="inlineStr">
        <x:is>
          <x:t xml:space="preserve">Anatomy</x:t>
        </x:is>
      </x:c>
      <x:c r="C43" s="84" t="inlineStr">
        <x:is>
          <x:t xml:space="preserve">Clear</x:t>
        </x:is>
      </x:c>
      <x:c r="D43" s="84" t="inlineStr">
        <x:is>
          <x:t xml:space="preserve">appears in documented order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tested</x:t>
        </x:is>
      </x:c>
      <x:c r="H43" s="86" t="inlineStr">
        <x:is>
          <x:t xml:space="preserve">covered</x:t>
        </x:is>
      </x:c>
      <x:c r="I43" s="84" t="inlineStr">
        <x:is>
          <x:t xml:space="preserve">Input form-field playground page exposes this part/prop in Anatomy, Inspector, Source, or toolbar controls.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Identity</x:t>
        </x:is>
      </x:c>
      <x:c r="C44" s="84" t="inlineStr">
        <x:is>
          <x:t xml:space="preserve">Clear</x:t>
        </x:is>
      </x:c>
      <x:c r="D44" s="84" t="inlineStr">
        <x:is>
          <x:t xml:space="preserve">default tag is visible in Anatomy/Inspector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tested</x:t>
        </x:is>
      </x:c>
      <x:c r="H44" s="86" t="inlineStr">
        <x:is>
          <x:t xml:space="preserve">covered</x:t>
        </x:is>
      </x:c>
      <x:c r="I44" s="84" t="inlineStr">
        <x:is>
          <x:t xml:space="preserve">Input form-field playground page exposes this part/prop in Anatomy, Inspector, Source, or toolbar controls.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30" customHeight="1">
      <x:c r="A45" s="73" t="n">
        <x:v>37</x:v>
      </x:c>
      <x:c r="B45" s="84" t="inlineStr">
        <x:is>
          <x:t xml:space="preserve">Identity</x:t>
        </x:is>
      </x:c>
      <x:c r="C45" s="84" t="inlineStr">
        <x:is>
          <x:t xml:space="preserve">Clear</x:t>
        </x:is>
      </x:c>
      <x:c r="D45" s="84" t="inlineStr">
        <x:is>
          <x:t xml:space="preserve">data-slot is present and correct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tested</x:t>
        </x:is>
      </x:c>
      <x:c r="H45" s="86" t="inlineStr">
        <x:is>
          <x:t xml:space="preserve">covered</x:t>
        </x:is>
      </x:c>
      <x:c r="I45" s="84" t="inlineStr">
        <x:is>
          <x:t xml:space="preserve">Input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Props</x:t>
        </x:is>
      </x:c>
      <x:c r="C46" s="84" t="inlineStr">
        <x:is>
          <x:t xml:space="preserve">Clear</x:t>
        </x:is>
      </x:c>
      <x:c r="D46" s="84" t="inlineStr">
        <x:is>
          <x:t xml:space="preserve">non-Atom native props pass through with data-prop-check marker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tested</x:t>
        </x:is>
      </x:c>
      <x:c r="H46" s="86" t="inlineStr">
        <x:is>
          <x:t xml:space="preserve">covered</x:t>
        </x:is>
      </x:c>
      <x:c r="I46" s="84" t="inlineStr">
        <x:is>
          <x:t xml:space="preserve">Input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Refs</x:t>
        </x:is>
      </x:c>
      <x:c r="C47" s="84" t="inlineStr">
        <x:is>
          <x:t xml:space="preserve">Clear</x:t>
        </x:is>
      </x:c>
      <x:c r="D47" s="84" t="inlineStr">
        <x:is>
          <x:t xml:space="preserve">consumer ref receives the rendered element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tested</x:t>
        </x:is>
      </x:c>
      <x:c r="H47" s="86" t="inlineStr">
        <x:is>
          <x:t xml:space="preserve">covered</x:t>
        </x:is>
      </x:c>
      <x:c r="I47" s="84" t="inlineStr">
        <x:is>
          <x:t xml:space="preserve">Input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State</x:t>
        </x:is>
      </x:c>
      <x:c r="C48" s="84" t="inlineStr">
        <x:is>
          <x:t xml:space="preserve">Clear</x:t>
        </x:is>
      </x:c>
      <x:c r="D48" s="84" t="inlineStr">
        <x:is>
          <x:t xml:space="preserve">onClear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tested</x:t>
        </x:is>
      </x:c>
      <x:c r="H48" s="86" t="inlineStr">
        <x:is>
          <x:t xml:space="preserve">covered</x:t>
        </x:is>
      </x:c>
      <x:c r="I48" s="84" t="inlineStr">
        <x:is>
          <x:t xml:space="preserve">Input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Composition</x:t>
        </x:is>
      </x:c>
      <x:c r="C49" s="84" t="inlineStr">
        <x:is>
          <x:t xml:space="preserve">Clear</x:t>
        </x:is>
      </x:c>
      <x:c r="D49" s="84" t="inlineStr">
        <x:is>
          <x:t xml:space="preserve">asChild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tested</x:t>
        </x:is>
      </x:c>
      <x:c r="H49" s="86" t="inlineStr">
        <x:is>
          <x:t xml:space="preserve">covered</x:t>
        </x:is>
      </x:c>
      <x:c r="I49" s="84" t="inlineStr">
        <x:is>
          <x:t xml:space="preserve">Input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Composition</x:t>
        </x:is>
      </x:c>
      <x:c r="C50" s="84" t="inlineStr">
        <x:is>
          <x:t xml:space="preserve">Clear</x:t>
        </x:is>
      </x:c>
      <x:c r="D50" s="84" t="inlineStr">
        <x:is>
          <x:t xml:space="preserve">render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tested</x:t>
        </x:is>
      </x:c>
      <x:c r="H50" s="86" t="inlineStr">
        <x:is>
          <x:t xml:space="preserve">covered</x:t>
        </x:is>
      </x:c>
      <x:c r="I50" s="84" t="inlineStr">
        <x:is>
          <x:t xml:space="preserve">Input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Public API</x:t>
        </x:is>
      </x:c>
      <x:c r="C51" s="84" t="inlineStr">
        <x:is>
          <x:t xml:space="preserve">Clear</x:t>
        </x:is>
      </x:c>
      <x:c r="D51" s="84" t="inlineStr">
        <x:is>
          <x:t xml:space="preserve">[data-slot]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tested</x:t>
        </x:is>
      </x:c>
      <x:c r="H51" s="86" t="inlineStr">
        <x:is>
          <x:t xml:space="preserve">covered</x:t>
        </x:is>
      </x:c>
      <x:c r="I51" s="84" t="inlineStr">
        <x:is>
          <x:t xml:space="preserve">Input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45" customHeight="1">
      <x:c r="A52" s="73" t="n">
        <x:v>44</x:v>
      </x:c>
      <x:c r="B52" s="84" t="inlineStr">
        <x:is>
          <x:t xml:space="preserve">State</x:t>
        </x:is>
      </x:c>
      <x:c r="C52" s="84" t="inlineStr">
        <x:is>
          <x:t xml:space="preserve">Clear</x:t>
        </x:is>
      </x:c>
      <x:c r="D52" s="84" t="inlineStr">
        <x:is>
          <x:t xml:space="preserve">[data-disabled]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tested</x:t>
        </x:is>
      </x:c>
      <x:c r="H52" s="86" t="inlineStr">
        <x:is>
          <x:t xml:space="preserve">covered</x:t>
        </x:is>
      </x:c>
      <x:c r="I52" s="84" t="inlineStr">
        <x:is>
          <x:t xml:space="preserve">Input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Clear</x:t>
        </x:is>
      </x:c>
      <x:c r="D53" s="84" t="inlineStr">
        <x:is>
          <x:t xml:space="preserve">[data-hidden]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tested</x:t>
        </x:is>
      </x:c>
      <x:c r="H53" s="86" t="inlineStr">
        <x:is>
          <x:t xml:space="preserve">covered</x:t>
        </x:is>
      </x:c>
      <x:c r="I53" s="84" t="inlineStr">
        <x:is>
          <x:t xml:space="preserve">Input form-field playground page exposes this part/prop in Anatomy, Inspector, Source, or toolbar controls.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30" customHeight="1">
      <x:c r="A54" s="73" t="n">
        <x:v>46</x:v>
      </x:c>
      <x:c r="B54" s="84" t="inlineStr">
        <x:is>
          <x:t xml:space="preserve">ARIA</x:t>
        </x:is>
      </x:c>
      <x:c r="C54" s="84" t="inlineStr">
        <x:is>
          <x:t xml:space="preserve">Live DOM</x:t>
        </x:is>
      </x:c>
      <x:c r="D54" s="84" t="inlineStr">
        <x:is>
          <x:t xml:space="preserve">aria-describedby is present at the correct time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tested</x:t>
        </x:is>
      </x:c>
      <x:c r="H54" s="86" t="inlineStr">
        <x:is>
          <x:t xml:space="preserve">covered</x:t>
        </x:is>
      </x:c>
      <x:c r="I54" s="84" t="inlineStr">
        <x:is>
          <x:t xml:space="preserve">Input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ARIA</x:t>
        </x:is>
      </x:c>
      <x:c r="C55" s="84" t="inlineStr">
        <x:is>
          <x:t xml:space="preserve">Live DOM</x:t>
        </x:is>
      </x:c>
      <x:c r="D55" s="84" t="inlineStr">
        <x:is>
          <x:t xml:space="preserve">aria-hidden is present at the correct time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tested</x:t>
        </x:is>
      </x:c>
      <x:c r="H55" s="86" t="inlineStr">
        <x:is>
          <x:t xml:space="preserve">covered</x:t>
        </x:is>
      </x:c>
      <x:c r="I55" s="84" t="inlineStr">
        <x:is>
          <x:t xml:space="preserve">Shared Anatomy/Inspector expose live ARIA/data attributes for Input when the part is rendered.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30" customHeight="1">
      <x:c r="A56" s="73" t="n">
        <x:v>48</x:v>
      </x:c>
      <x:c r="B56" s="84" t="inlineStr">
        <x:is>
          <x:t xml:space="preserve">ARIA</x:t>
        </x:is>
      </x:c>
      <x:c r="C56" s="84" t="inlineStr">
        <x:is>
          <x:t xml:space="preserve">Live DOM</x:t>
        </x:is>
      </x:c>
      <x:c r="D56" s="84" t="inlineStr">
        <x:is>
          <x:t xml:space="preserve">aria-invalid is present at the correct time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tested</x:t>
        </x:is>
      </x:c>
      <x:c r="H56" s="86" t="inlineStr">
        <x:is>
          <x:t xml:space="preserve">covered</x:t>
        </x:is>
      </x:c>
      <x:c r="I56" s="84" t="inlineStr">
        <x:is>
          <x:t xml:space="preserve">Input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ARIA</x:t>
        </x:is>
      </x:c>
      <x:c r="C57" s="84" t="inlineStr">
        <x:is>
          <x:t xml:space="preserve">Live DOM</x:t>
        </x:is>
      </x:c>
      <x:c r="D57" s="84" t="inlineStr">
        <x:is>
          <x:t xml:space="preserve">aria-label is present at the correct time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tested</x:t>
        </x:is>
      </x:c>
      <x:c r="H57" s="86" t="inlineStr">
        <x:is>
          <x:t xml:space="preserve">covered</x:t>
        </x:is>
      </x:c>
      <x:c r="I57" s="84" t="inlineStr">
        <x:is>
          <x:t xml:space="preserve">Shared Anatomy/Inspector expose live ARIA/data attributes for Input when the part is rendered.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ARIA</x:t>
        </x:is>
      </x:c>
      <x:c r="C58" s="84" t="inlineStr">
        <x:is>
          <x:t xml:space="preserve">Live DOM</x:t>
        </x:is>
      </x:c>
      <x:c r="D58" s="84" t="inlineStr">
        <x:is>
          <x:t xml:space="preserve">aria-readonly is present at the correct time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tested</x:t>
        </x:is>
      </x:c>
      <x:c r="H58" s="86" t="inlineStr">
        <x:is>
          <x:t xml:space="preserve">covered</x:t>
        </x:is>
      </x:c>
      <x:c r="I58" s="84" t="inlineStr">
        <x:is>
          <x:t xml:space="preserve">Input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ARIA</x:t>
        </x:is>
      </x:c>
      <x:c r="C59" s="84" t="inlineStr">
        <x:is>
          <x:t xml:space="preserve">Live DOM</x:t>
        </x:is>
      </x:c>
      <x:c r="D59" s="84" t="inlineStr">
        <x:is>
          <x:t xml:space="preserve">aria-required is present at the correct time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tested</x:t>
        </x:is>
      </x:c>
      <x:c r="H59" s="86" t="inlineStr">
        <x:is>
          <x:t xml:space="preserve">covered</x:t>
        </x:is>
      </x:c>
      <x:c r="I59" s="84" t="inlineStr">
        <x:is>
          <x:t xml:space="preserve">Input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Data</x:t>
        </x:is>
      </x:c>
      <x:c r="C60" s="84" t="inlineStr">
        <x:is>
          <x:t xml:space="preserve">Live DOM</x:t>
        </x:is>
      </x:c>
      <x:c r="D60" s="84" t="inlineStr">
        <x:is>
          <x:t xml:space="preserve">data-disabled is present at the correct time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tested</x:t>
        </x:is>
      </x:c>
      <x:c r="H60" s="86" t="inlineStr">
        <x:is>
          <x:t xml:space="preserve">covered</x:t>
        </x:is>
      </x:c>
      <x:c r="I60" s="84" t="inlineStr">
        <x:is>
          <x:t xml:space="preserve">Input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Data</x:t>
        </x:is>
      </x:c>
      <x:c r="C61" s="84" t="inlineStr">
        <x:is>
          <x:t xml:space="preserve">Live DOM</x:t>
        </x:is>
      </x:c>
      <x:c r="D61" s="84" t="inlineStr">
        <x:is>
          <x:t xml:space="preserve">data-filled is present at the correct time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tested</x:t>
        </x:is>
      </x:c>
      <x:c r="H61" s="86" t="inlineStr">
        <x:is>
          <x:t xml:space="preserve">covered</x:t>
        </x:is>
      </x:c>
      <x:c r="I61" s="84" t="inlineStr">
        <x:is>
          <x:t xml:space="preserve">Input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30" customHeight="1">
      <x:c r="A62" s="73" t="n">
        <x:v>54</x:v>
      </x:c>
      <x:c r="B62" s="84" t="inlineStr">
        <x:is>
          <x:t xml:space="preserve">Data</x:t>
        </x:is>
      </x:c>
      <x:c r="C62" s="84" t="inlineStr">
        <x:is>
          <x:t xml:space="preserve">Live DOM</x:t>
        </x:is>
      </x:c>
      <x:c r="D62" s="84" t="inlineStr">
        <x:is>
          <x:t xml:space="preserve">data-focused is present at the correct time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tested</x:t>
        </x:is>
      </x:c>
      <x:c r="H62" s="86" t="inlineStr">
        <x:is>
          <x:t xml:space="preserve">covered</x:t>
        </x:is>
      </x:c>
      <x:c r="I62" s="84" t="inlineStr">
        <x:is>
          <x:t xml:space="preserve">Input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Data</x:t>
        </x:is>
      </x:c>
      <x:c r="C63" s="84" t="inlineStr">
        <x:is>
          <x:t xml:space="preserve">Live DOM</x:t>
        </x:is>
      </x:c>
      <x:c r="D63" s="84" t="inlineStr">
        <x:is>
          <x:t xml:space="preserve">data-hidden is present at the correct time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tested</x:t>
        </x:is>
      </x:c>
      <x:c r="H63" s="86" t="inlineStr">
        <x:is>
          <x:t xml:space="preserve">covered</x:t>
        </x:is>
      </x:c>
      <x:c r="I63" s="84" t="inlineStr">
        <x:is>
          <x:t xml:space="preserve">Shared Anatomy/Inspector expose live ARIA/data attributes for Input when the part is rendered.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Data</x:t>
        </x:is>
      </x:c>
      <x:c r="C64" s="84" t="inlineStr">
        <x:is>
          <x:t xml:space="preserve">Live DOM</x:t>
        </x:is>
      </x:c>
      <x:c r="D64" s="84" t="inlineStr">
        <x:is>
          <x:t xml:space="preserve">data-invalid is present at the correct time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tested</x:t>
        </x:is>
      </x:c>
      <x:c r="H64" s="86" t="inlineStr">
        <x:is>
          <x:t xml:space="preserve">covered</x:t>
        </x:is>
      </x:c>
      <x:c r="I64" s="84" t="inlineStr">
        <x:is>
          <x:t xml:space="preserve">Input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Data</x:t>
        </x:is>
      </x:c>
      <x:c r="C65" s="84" t="inlineStr">
        <x:is>
          <x:t xml:space="preserve">Live DOM</x:t>
        </x:is>
      </x:c>
      <x:c r="D65" s="84" t="inlineStr">
        <x:is>
          <x:t xml:space="preserve">data-readonly is present at the correct time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tested</x:t>
        </x:is>
      </x:c>
      <x:c r="H65" s="86" t="inlineStr">
        <x:is>
          <x:t xml:space="preserve">covered</x:t>
        </x:is>
      </x:c>
      <x:c r="I65" s="84" t="inlineStr">
        <x:is>
          <x:t xml:space="preserve">Input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Data</x:t>
        </x:is>
      </x:c>
      <x:c r="C66" s="84" t="inlineStr">
        <x:is>
          <x:t xml:space="preserve">Live DOM</x:t>
        </x:is>
      </x:c>
      <x:c r="D66" s="84" t="inlineStr">
        <x:is>
          <x:t xml:space="preserve">data-required is present at the correct time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tested</x:t>
        </x:is>
      </x:c>
      <x:c r="H66" s="86" t="inlineStr">
        <x:is>
          <x:t xml:space="preserve">covered</x:t>
        </x:is>
      </x:c>
      <x:c r="I66" s="84" t="inlineStr">
        <x:is>
          <x:t xml:space="preserve">Input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Data</x:t>
        </x:is>
      </x:c>
      <x:c r="C67" s="84" t="inlineStr">
        <x:is>
          <x:t xml:space="preserve">Live DOM</x:t>
        </x:is>
      </x:c>
      <x:c r="D67" s="84" t="inlineStr">
        <x:is>
          <x:t xml:space="preserve">data-slot is present at the correct time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tested</x:t>
        </x:is>
      </x:c>
      <x:c r="H67" s="86" t="inlineStr">
        <x:is>
          <x:t xml:space="preserve">covered</x:t>
        </x:is>
      </x:c>
      <x:c r="I67" s="84" t="inlineStr">
        <x:is>
          <x:t xml:space="preserve">Input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30" customHeight="1">
      <x:c r="A68" s="73" t="n">
        <x:v>60</x:v>
      </x:c>
      <x:c r="B68" s="84" t="inlineStr">
        <x:is>
          <x:t xml:space="preserve">State</x:t>
        </x:is>
      </x:c>
      <x:c r="C68" s="84" t="inlineStr">
        <x:is>
          <x:t xml:space="preserve">Root</x:t>
        </x:is>
      </x:c>
      <x:c r="D68" s="84" t="inlineStr">
        <x:is>
          <x:t xml:space="preserve">controlled state path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tested</x:t>
        </x:is>
      </x:c>
      <x:c r="H68" s="86" t="inlineStr">
        <x:is>
          <x:t xml:space="preserve">covered</x:t>
        </x:is>
      </x:c>
      <x:c r="I68" s="84" t="inlineStr">
        <x:is>
          <x:t xml:space="preserve">Input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State</x:t>
        </x:is>
      </x:c>
      <x:c r="C69" s="84" t="inlineStr">
        <x:is>
          <x:t xml:space="preserve">Root</x:t>
        </x:is>
      </x:c>
      <x:c r="D69" s="84" t="inlineStr">
        <x:is>
          <x:t xml:space="preserve">uncontrolled default state path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tested</x:t>
        </x:is>
      </x:c>
      <x:c r="H69" s="86" t="inlineStr">
        <x:is>
          <x:t xml:space="preserve">covered</x:t>
        </x:is>
      </x:c>
      <x:c r="I69" s="84" t="inlineStr">
        <x:is>
          <x:t xml:space="preserve">Input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State</x:t>
        </x:is>
      </x:c>
      <x:c r="C70" s="84" t="inlineStr">
        <x:is>
          <x:t xml:space="preserve">Root</x:t>
        </x:is>
      </x:c>
      <x:c r="D70" s="84" t="inlineStr">
        <x:is>
          <x:t xml:space="preserve">state change callback fires once with correct value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tested</x:t>
        </x:is>
      </x:c>
      <x:c r="H70" s="86" t="inlineStr">
        <x:is>
          <x:t xml:space="preserve">covered</x:t>
        </x:is>
      </x:c>
      <x:c r="I70" s="84" t="inlineStr">
        <x:is>
          <x:t xml:space="preserve">Input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State</x:t>
        </x:is>
      </x:c>
      <x:c r="C71" s="84" t="inlineStr">
        <x:is>
          <x:t xml:space="preserve">Input</x:t>
        </x:is>
      </x:c>
      <x:c r="D71" s="84" t="inlineStr">
        <x:is>
          <x:t xml:space="preserve">disabled state blocks or exposes behavior correctly where supported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tested</x:t>
        </x:is>
      </x:c>
      <x:c r="H71" s="86" t="inlineStr">
        <x:is>
          <x:t xml:space="preserve">covered</x:t>
        </x:is>
      </x:c>
      <x:c r="I71" s="84" t="inlineStr">
        <x:is>
          <x:t xml:space="preserve">Input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State</x:t>
        </x:is>
      </x:c>
      <x:c r="C72" s="84" t="inlineStr">
        <x:is>
          <x:t xml:space="preserve">Input</x:t>
        </x:is>
      </x:c>
      <x:c r="D72" s="84" t="inlineStr">
        <x:is>
          <x:t xml:space="preserve">readonly/readOnly state blocks or exposes behavior correctly where supported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tested</x:t>
        </x:is>
      </x:c>
      <x:c r="H72" s="86" t="inlineStr">
        <x:is>
          <x:t xml:space="preserve">covered</x:t>
        </x:is>
      </x:c>
      <x:c r="I72" s="84" t="inlineStr">
        <x:is>
          <x:t xml:space="preserve">Input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State</x:t>
        </x:is>
      </x:c>
      <x:c r="C73" s="84" t="inlineStr">
        <x:is>
          <x:t xml:space="preserve">Input</x:t>
        </x:is>
      </x:c>
      <x:c r="D73" s="84" t="inlineStr">
        <x:is>
          <x:t xml:space="preserve">required state blocks or exposes behavior correctly where supported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tested</x:t>
        </x:is>
      </x:c>
      <x:c r="H73" s="86" t="inlineStr">
        <x:is>
          <x:t xml:space="preserve">covered</x:t>
        </x:is>
      </x:c>
      <x:c r="I73" s="84" t="inlineStr">
        <x:is>
          <x:t xml:space="preserve">Input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30" customHeight="1">
      <x:c r="A74" s="73" t="n">
        <x:v>66</x:v>
      </x:c>
      <x:c r="B74" s="84" t="inlineStr">
        <x:is>
          <x:t xml:space="preserve">State</x:t>
        </x:is>
      </x:c>
      <x:c r="C74" s="84" t="inlineStr">
        <x:is>
          <x:t xml:space="preserve">Input</x:t>
        </x:is>
      </x:c>
      <x:c r="D74" s="84" t="inlineStr">
        <x:is>
          <x:t xml:space="preserve">invalid state blocks or exposes behavior correctly where supported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tested</x:t>
        </x:is>
      </x:c>
      <x:c r="H74" s="86" t="inlineStr">
        <x:is>
          <x:t xml:space="preserve">covered</x:t>
        </x:is>
      </x:c>
      <x:c r="I74" s="84" t="inlineStr">
        <x:is>
          <x:t xml:space="preserve">Input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30" customHeight="1">
      <x:c r="A75" s="73" t="n">
        <x:v>67</x:v>
      </x:c>
      <x:c r="B75" s="84" t="inlineStr">
        <x:is>
          <x:t xml:space="preserve">Forms</x:t>
        </x:is>
      </x:c>
      <x:c r="C75" s="84" t="inlineStr">
        <x:is>
          <x:t xml:space="preserve">Input</x:t>
        </x:is>
      </x:c>
      <x:c r="D75" s="84" t="inlineStr">
        <x:is>
          <x:t xml:space="preserve">form value participates correctly where supported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tested</x:t>
        </x:is>
      </x:c>
      <x:c r="H75" s="86" t="inlineStr">
        <x:is>
          <x:t xml:space="preserve">covered</x:t>
        </x:is>
      </x:c>
      <x:c r="I75" s="84" t="inlineStr">
        <x:is>
          <x:t xml:space="preserve">Input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30" customHeight="1">
      <x:c r="A76" s="73" t="n">
        <x:v>68</x:v>
      </x:c>
      <x:c r="B76" s="84" t="inlineStr">
        <x:is>
          <x:t xml:space="preserve">Forms</x:t>
        </x:is>
      </x:c>
      <x:c r="C76" s="84" t="inlineStr">
        <x:is>
          <x:t xml:space="preserve">Root</x:t>
        </x:is>
      </x:c>
      <x:c r="D76" s="84" t="inlineStr">
        <x:is>
          <x:t xml:space="preserve">Field relationships and uncontrolled value follow native form reset</x:t>
        </x:is>
      </x:c>
      <x:c r="E76" s="76" t="inlineStr">
        <x:is>
          <x:t xml:space="preserve">yes</x:t>
        </x:is>
      </x:c>
      <x:c r="F76" s="85" t="inlineStr">
        <x:is>
          <x:t xml:space="preserve">no</x:t>
        </x:is>
      </x:c>
      <x:c r="G76" s="73" t="inlineStr">
        <x:is>
          <x:t xml:space="preserve">automated tests pass; manual pending</x:t>
        </x:is>
      </x:c>
      <x:c r="H76" s="86" t="inlineStr">
        <x:is>
          <x:t xml:space="preserve">untested</x:t>
        </x:is>
      </x:c>
      <x:c r="I76" s="84" t="inlineStr">
        <x:is>
          <x:t xml:space="preserve">Form &gt; Control: Foundation plus the component scenario and automated package tests.</x:t>
        </x:is>
      </x:c>
      <x:c r="J76" s="84" t="inlineStr">
        <x:is>
          <x:t xml:space="preserve">Run and review the form-foundation manual protocol.</x:t>
        </x:is>
      </x:c>
      <x:c r="K76" s="87" t="n">
        <x:f>IF(AND(E76="yes",F76="yes",H76="covered"),1,IF(H76="partial",0.5,0))</x:f>
        <x:v>0</x:v>
      </x:c>
    </x:row>
    <x:row r="77" s="51" customFormat="1" ht="30" customHeight="1">
      <x:c r="A77" s="73" t="n">
        <x:v>69</x:v>
      </x:c>
      <x:c r="B77" s="84" t="inlineStr">
        <x:is>
          <x:t xml:space="preserve">Validation</x:t>
        </x:is>
      </x:c>
      <x:c r="C77" s="84" t="inlineStr">
        <x:is>
          <x:t xml:space="preserve">Root</x:t>
        </x:is>
      </x:c>
      <x:c r="D77" s="84" t="inlineStr">
        <x:is>
          <x:t xml:space="preserve">validationBehavior mirrors attempted native invalidity to Input, Field, and Form</x:t>
        </x:is>
      </x:c>
      <x:c r="E77" s="76" t="inlineStr">
        <x:is>
          <x:t xml:space="preserve">yes</x:t>
        </x:is>
      </x:c>
      <x:c r="F77" s="85" t="inlineStr">
        <x:is>
          <x:t xml:space="preserve">no</x:t>
        </x:is>
      </x:c>
      <x:c r="G77" s="73" t="inlineStr">
        <x:is>
          <x:t xml:space="preserve">automated tests pass; manual pending</x:t>
        </x:is>
      </x:c>
      <x:c r="H77" s="86" t="inlineStr">
        <x:is>
          <x:t xml:space="preserve">untested</x:t>
        </x:is>
      </x:c>
      <x:c r="I77" s="84" t="inlineStr">
        <x:is>
          <x:t xml:space="preserve">Form &gt; Control: Foundation and automated Atom validation tests.</x:t>
        </x:is>
      </x:c>
      <x:c r="J77" s="84" t="inlineStr">
        <x:is>
          <x:t xml:space="preserve">Run and review the updated form-foundation validation steps.</x:t>
        </x:is>
      </x:c>
      <x:c r="K77" s="87" t="n">
        <x:f>IF(AND(E77="yes",F77="yes",H77="covered"),1,IF(H77="partial",0.5,0))</x:f>
        <x:v>0</x:v>
      </x:c>
    </x:row>
    <x:row r="78" s="51" customFormat="1" ht="15" customHeight="1"/>
    <x:row r="79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Label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IFERROR(SUM(K9:K39)/COUNTA(A9:A39),0)</x:f>
        <x:v>1</x:v>
      </x:c>
      <x:c r="C4" s="70" t="inlineStr">
        <x:is>
          <x:t xml:space="preserve">Covered</x:t>
        </x:is>
      </x:c>
      <x:c r="D4" s="82" t="n">
        <x:f>COUNTIF(H9:H39,"covered")</x:f>
        <x:v>31</x:v>
      </x:c>
      <x:c r="E4" s="70" t="inlineStr">
        <x:is>
          <x:t xml:space="preserve">Partial</x:t>
        </x:is>
      </x:c>
      <x:c r="F4" s="82" t="n">
        <x:f>COUNTIF(H9:H39,"partial")</x:f>
        <x:v>0</x:v>
      </x:c>
      <x:c r="G4" s="70" t="inlineStr">
        <x:is>
          <x:t xml:space="preserve">Missing</x:t>
        </x:is>
      </x:c>
      <x:c r="H4" s="82" t="n">
        <x:f>COUNTIF(H9:H39,"missing")</x:f>
        <x:v>0</x:v>
      </x:c>
      <x:c r="I4" s="70" t="inlineStr">
        <x:is>
          <x:t xml:space="preserve">Untested</x:t>
        </x:is>
      </x:c>
      <x:c r="J4" s="82" t="n">
        <x:f>COUNTIF(F9:F39,"no")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76" t="inlineStr">
        <x:is>
          <x:t xml:space="preserve">yes</x:t>
        </x:is>
      </x:c>
      <x:c r="G9" s="73" t="inlineStr">
        <x:is>
          <x:t xml:space="preserve">passed</x:t>
        </x:is>
      </x:c>
      <x:c r="H9" s="92" t="inlineStr">
        <x:is>
          <x:t xml:space="preserve">covered</x:t>
        </x:is>
      </x:c>
      <x:c r="I9" s="84" t="inlineStr">
        <x:is>
          <x:t xml:space="preserve">Label playground Props menu implemented with conditional data-prop-check and custom data-slot toggles.</x:t>
        </x:is>
      </x:c>
      <x:c r="J9" s="84" t="n"/>
      <x:c r="K9" s="87" t="n">
        <x:f>IF(AND(E9="yes",F9="yes",H9="covered"),1,IF(AND(E9="yes",H9="partial"),0.5,0))</x:f>
        <x:v>1</x:v>
      </x:c>
    </x:row>
    <x:row r="10" s="51" customFormat="1" ht="30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76" t="inlineStr">
        <x:is>
          <x:t xml:space="preserve">yes</x:t>
        </x:is>
      </x:c>
      <x:c r="G10" s="73" t="inlineStr">
        <x:is>
          <x:t xml:space="preserve">passed</x:t>
        </x:is>
      </x:c>
      <x:c r="H10" s="92" t="inlineStr">
        <x:is>
          <x:t xml:space="preserve">covered</x:t>
        </x:is>
      </x:c>
      <x:c r="I10" s="84" t="inlineStr">
        <x:is>
          <x:t xml:space="preserve">Label playground Props menu implemented with conditional data-prop-check and custom data-slot toggles.</x:t>
        </x:is>
      </x:c>
      <x:c r="J10" s="84" t="n"/>
      <x:c r="K10" s="87" t="n">
        <x:f>IF(AND(E10="yes",F10="yes",H10="covered"),1,IF(AND(E10="yes",H10="partial"),0.5,0))</x:f>
        <x:v>1</x:v>
      </x:c>
    </x:row>
    <x:row r="11" s="51" customFormat="1" ht="30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Label</x:t>
        </x:is>
      </x:c>
      <x:c r="D11" s="84" t="inlineStr">
        <x:is>
          <x:t xml:space="preserve">scenario is reachable from Fields &gt; Label</x:t>
        </x:is>
      </x:c>
      <x:c r="E11" s="76" t="inlineStr">
        <x:is>
          <x:t xml:space="preserve">yes</x:t>
        </x:is>
      </x:c>
      <x:c r="F11" s="76" t="inlineStr">
        <x:is>
          <x:t xml:space="preserve">yes</x:t>
        </x:is>
      </x:c>
      <x:c r="G11" s="73" t="inlineStr">
        <x:is>
          <x:t xml:space="preserve">passed</x:t>
        </x:is>
      </x:c>
      <x:c r="H11" s="92" t="inlineStr">
        <x:is>
          <x:t xml:space="preserve">covered</x:t>
        </x:is>
      </x:c>
      <x:c r="I11" s="84" t="inlineStr">
        <x:is>
          <x:t xml:space="preserve">Fields menu opens the Label playground page.</x:t>
        </x:is>
      </x:c>
      <x:c r="J11" s="84" t="n"/>
      <x:c r="K11" s="87" t="n">
        <x:f>IF(AND(E11="yes",F11="yes",H11="covered"),1,IF(AND(E11="yes",H11="partial"),0.5,0))</x:f>
        <x:v>1</x:v>
      </x:c>
    </x:row>
    <x:row r="12" s="51" customFormat="1" ht="30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Label</x:t>
        </x:is>
      </x:c>
      <x:c r="D12" s="84" t="inlineStr">
        <x:is>
          <x:t xml:space="preserve">canvas source reflects current toggles without false-prop noise</x:t>
        </x:is>
      </x:c>
      <x:c r="E12" s="76" t="inlineStr">
        <x:is>
          <x:t xml:space="preserve">yes</x:t>
        </x:is>
      </x:c>
      <x:c r="F12" s="76" t="inlineStr">
        <x:is>
          <x:t xml:space="preserve">yes</x:t>
        </x:is>
      </x:c>
      <x:c r="G12" s="73" t="inlineStr">
        <x:is>
          <x:t xml:space="preserve">passed</x:t>
        </x:is>
      </x:c>
      <x:c r="H12" s="92" t="inlineStr">
        <x:is>
          <x:t xml:space="preserve">covered</x:t>
        </x:is>
      </x:c>
      <x:c r="I12" s="84" t="inlineStr">
        <x:is>
          <x:t xml:space="preserve">Source view is generated from the Label scenario state.</x:t>
        </x:is>
      </x:c>
      <x:c r="J12" s="84" t="n"/>
      <x:c r="K12" s="87" t="n">
        <x:f>IF(AND(E12="yes",F12="yes",H12="covered"),1,IF(AND(E12="yes",H12="partial"),0.5,0))</x:f>
        <x:v>1</x:v>
      </x:c>
    </x:row>
    <x:row r="13" s="51" customFormat="1" ht="30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Label</x:t>
        </x:is>
      </x:c>
      <x:c r="D13" s="84" t="inlineStr">
        <x:is>
          <x:t xml:space="preserve">anatomy contains only the real Label Root part</x:t>
        </x:is>
      </x:c>
      <x:c r="E13" s="76" t="inlineStr">
        <x:is>
          <x:t xml:space="preserve">yes</x:t>
        </x:is>
      </x:c>
      <x:c r="F13" s="76" t="inlineStr">
        <x:is>
          <x:t xml:space="preserve">yes</x:t>
        </x:is>
      </x:c>
      <x:c r="G13" s="73" t="inlineStr">
        <x:is>
          <x:t xml:space="preserve">passed</x:t>
        </x:is>
      </x:c>
      <x:c r="H13" s="92" t="inlineStr">
        <x:is>
          <x:t xml:space="preserve">covered</x:t>
        </x:is>
      </x:c>
      <x:c r="I13" s="84" t="inlineStr">
        <x:is>
          <x:t xml:space="preserve">Anatomy shows Root only; helper input remains inspectable in Canvas.</x:t>
        </x:is>
      </x:c>
      <x:c r="J13" s="84" t="n"/>
      <x:c r="K13" s="87" t="n">
        <x:f>IF(AND(E13="yes",F13="yes",H13="covered"),1,IF(AND(E13="yes",H13="partial"),0.5,0))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Label</x:t>
        </x:is>
      </x:c>
      <x:c r="D14" s="84" t="inlineStr">
        <x:is>
          <x:t xml:space="preserve">inspector selected/focused/logs work for the Label scenario</x:t>
        </x:is>
      </x:c>
      <x:c r="E14" s="76" t="inlineStr">
        <x:is>
          <x:t xml:space="preserve">yes</x:t>
        </x:is>
      </x:c>
      <x:c r="F14" s="76" t="inlineStr">
        <x:is>
          <x:t xml:space="preserve">yes</x:t>
        </x:is>
      </x:c>
      <x:c r="G14" s="73" t="inlineStr">
        <x:is>
          <x:t xml:space="preserve">passed</x:t>
        </x:is>
      </x:c>
      <x:c r="H14" s="92" t="inlineStr">
        <x:is>
          <x:t xml:space="preserve">covered</x:t>
        </x:is>
      </x:c>
      <x:c r="I14" s="84" t="inlineStr">
        <x:is>
          <x:t xml:space="preserve">Shared Inspector and log panel are wired to Label canvas elements.</x:t>
        </x:is>
      </x:c>
      <x:c r="J14" s="84" t="n"/>
      <x:c r="K14" s="87" t="n">
        <x:f>IF(AND(E14="yes",F14="yes",H14="covered"),1,IF(AND(E14="yes",H14="partial"),0.5,0))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Anatomy</x:t>
        </x:is>
      </x:c>
      <x:c r="C15" s="84" t="inlineStr">
        <x:is>
          <x:t xml:space="preserve">Root</x:t>
        </x:is>
      </x:c>
      <x:c r="D15" s="84" t="inlineStr">
        <x:is>
          <x:t xml:space="preserve">renders when expected</x:t>
        </x:is>
      </x:c>
      <x:c r="E15" s="76" t="inlineStr">
        <x:is>
          <x:t xml:space="preserve">yes</x:t>
        </x:is>
      </x:c>
      <x:c r="F15" s="76" t="inlineStr">
        <x:is>
          <x:t xml:space="preserve">yes</x:t>
        </x:is>
      </x:c>
      <x:c r="G15" s="73" t="inlineStr">
        <x:is>
          <x:t xml:space="preserve">passed</x:t>
        </x:is>
      </x:c>
      <x:c r="H15" s="92" t="inlineStr">
        <x:is>
          <x:t xml:space="preserve">covered</x:t>
        </x:is>
      </x:c>
      <x:c r="I15" s="84" t="inlineStr">
        <x:is>
          <x:t xml:space="preserve">Root anatomy uses the live [data-label-root] element.</x:t>
        </x:is>
      </x:c>
      <x:c r="J15" s="84" t="n"/>
      <x:c r="K15" s="87" t="n">
        <x:f>IF(AND(E15="yes",F15="yes",H15="covered"),1,IF(AND(E15="yes",H15="partial"),0.5,0))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Identity</x:t>
        </x:is>
      </x:c>
      <x:c r="C16" s="84" t="inlineStr">
        <x:is>
          <x:t xml:space="preserve">Root</x:t>
        </x:is>
      </x:c>
      <x:c r="D16" s="84" t="inlineStr">
        <x:is>
          <x:t xml:space="preserve">default tag is label</x:t>
        </x:is>
      </x:c>
      <x:c r="E16" s="76" t="inlineStr">
        <x:is>
          <x:t xml:space="preserve">yes</x:t>
        </x:is>
      </x:c>
      <x:c r="F16" s="76" t="inlineStr">
        <x:is>
          <x:t xml:space="preserve">yes</x:t>
        </x:is>
      </x:c>
      <x:c r="G16" s="73" t="inlineStr">
        <x:is>
          <x:t xml:space="preserve">passed</x:t>
        </x:is>
      </x:c>
      <x:c r="H16" s="92" t="inlineStr">
        <x:is>
          <x:t xml:space="preserve">covered</x:t>
        </x:is>
      </x:c>
      <x:c r="I16" s="84" t="inlineStr">
        <x:is>
          <x:t xml:space="preserve">Attributes group exposes the live tag.</x:t>
        </x:is>
      </x:c>
      <x:c r="J16" s="84" t="n"/>
      <x:c r="K16" s="87" t="n">
        <x:f>IF(AND(E16="yes",F16="yes",H16="covered"),1,IF(AND(E16="yes",H16="partial"),0.5,0))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Identity</x:t>
        </x:is>
      </x:c>
      <x:c r="C17" s="84" t="inlineStr">
        <x:is>
          <x:t xml:space="preserve">Root</x:t>
        </x:is>
      </x:c>
      <x:c r="D17" s="84" t="inlineStr">
        <x:is>
          <x:t xml:space="preserve">ref target receives the rendered element</x:t>
        </x:is>
      </x:c>
      <x:c r="E17" s="76" t="inlineStr">
        <x:is>
          <x:t xml:space="preserve">yes</x:t>
        </x:is>
      </x:c>
      <x:c r="F17" s="76" t="inlineStr">
        <x:is>
          <x:t xml:space="preserve">yes</x:t>
        </x:is>
      </x:c>
      <x:c r="G17" s="73" t="inlineStr">
        <x:is>
          <x:t xml:space="preserve">passed</x:t>
        </x:is>
      </x:c>
      <x:c r="H17" s="92" t="inlineStr">
        <x:is>
          <x:t xml:space="preserve">covered</x:t>
        </x:is>
      </x:c>
      <x:c r="I17" s="84" t="inlineStr">
        <x:is>
          <x:t xml:space="preserve">Root anatomy includes Ref target.</x:t>
        </x:is>
      </x:c>
      <x:c r="J17" s="84" t="n"/>
      <x:c r="K17" s="87" t="n">
        <x:f>IF(AND(E17="yes",F17="yes",H17="covered"),1,IF(AND(E17="yes",H17="partial"),0.5,0))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Content</x:t>
        </x:is>
      </x:c>
      <x:c r="C18" s="84" t="inlineStr">
        <x:is>
          <x:t xml:space="preserve">Root</x:t>
        </x:is>
      </x:c>
      <x:c r="D18" s="84" t="inlineStr">
        <x:is>
          <x:t xml:space="preserve">label text remains Email</x:t>
        </x:is>
      </x:c>
      <x:c r="E18" s="76" t="inlineStr">
        <x:is>
          <x:t xml:space="preserve">yes</x:t>
        </x:is>
      </x:c>
      <x:c r="F18" s="76" t="inlineStr">
        <x:is>
          <x:t xml:space="preserve">yes</x:t>
        </x:is>
      </x:c>
      <x:c r="G18" s="73" t="inlineStr">
        <x:is>
          <x:t xml:space="preserve">passed</x:t>
        </x:is>
      </x:c>
      <x:c r="H18" s="92" t="inlineStr">
        <x:is>
          <x:t xml:space="preserve">covered</x:t>
        </x:is>
      </x:c>
      <x:c r="I18" s="84" t="inlineStr">
        <x:is>
          <x:t xml:space="preserve">Root summary and Inspector text expose the live text.</x:t>
        </x:is>
      </x:c>
      <x:c r="J18" s="84" t="n"/>
      <x:c r="K18" s="87" t="n">
        <x:f>IF(AND(E18="yes",F18="yes",H18="covered"),1,IF(AND(E18="yes",H18="partial"),0.5,0))</x:f>
        <x:v>1</x:v>
      </x:c>
    </x:row>
    <x:row r="19" s="51" customFormat="1" ht="30" customHeight="1">
      <x:c r="A19" s="73" t="n">
        <x:v>11</x:v>
      </x:c>
      <x:c r="B19" s="84" t="inlineStr">
        <x:is>
          <x:t xml:space="preserve">Data</x:t>
        </x:is>
      </x:c>
      <x:c r="C19" s="84" t="inlineStr">
        <x:is>
          <x:t xml:space="preserve">Root</x:t>
        </x:is>
      </x:c>
      <x:c r="D19" s="84" t="inlineStr">
        <x:is>
          <x:t xml:space="preserve">data-slot is label</x:t>
        </x:is>
      </x:c>
      <x:c r="E19" s="76" t="inlineStr">
        <x:is>
          <x:t xml:space="preserve">yes</x:t>
        </x:is>
      </x:c>
      <x:c r="F19" s="76" t="inlineStr">
        <x:is>
          <x:t xml:space="preserve">yes</x:t>
        </x:is>
      </x:c>
      <x:c r="G19" s="73" t="inlineStr">
        <x:is>
          <x:t xml:space="preserve">passed</x:t>
        </x:is>
      </x:c>
      <x:c r="H19" s="92" t="inlineStr">
        <x:is>
          <x:t xml:space="preserve">covered</x:t>
        </x:is>
      </x:c>
      <x:c r="I19" s="84" t="inlineStr">
        <x:is>
          <x:t xml:space="preserve">Shared Anatomy/Inspector Data group exposes data-slot.</x:t>
        </x:is>
      </x:c>
      <x:c r="J19" s="84" t="n"/>
      <x:c r="K19" s="87" t="n">
        <x:f>IF(AND(E19="yes",F19="yes",H19="covered"),1,IF(AND(E19="yes",H19="partial"),0.5,0))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Data</x:t>
        </x:is>
      </x:c>
      <x:c r="C20" s="84" t="inlineStr">
        <x:is>
          <x:t xml:space="preserve">Root</x:t>
        </x:is>
      </x:c>
      <x:c r="D20" s="84" t="inlineStr">
        <x:is>
          <x:t xml:space="preserve">data-prop-check marker passes through</x:t>
        </x:is>
      </x:c>
      <x:c r="E20" s="76" t="inlineStr">
        <x:is>
          <x:t xml:space="preserve">yes</x:t>
        </x:is>
      </x:c>
      <x:c r="F20" s="76" t="inlineStr">
        <x:is>
          <x:t xml:space="preserve">yes</x:t>
        </x:is>
      </x:c>
      <x:c r="G20" s="73" t="inlineStr">
        <x:is>
          <x:t xml:space="preserve">passed</x:t>
        </x:is>
      </x:c>
      <x:c r="H20" s="92" t="inlineStr">
        <x:is>
          <x:t xml:space="preserve">covered</x:t>
        </x:is>
      </x:c>
      <x:c r="I20" s="84" t="inlineStr">
        <x:is>
          <x:t xml:space="preserve">Canvas passes data-prop-check="root" to Label.Root.</x:t>
        </x:is>
      </x:c>
      <x:c r="J20" s="84" t="n"/>
      <x:c r="K20" s="87" t="n">
        <x:f>IF(AND(E20="yes",F20="yes",H20="covered"),1,IF(AND(E20="yes",H20="partial"),0.5,0))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Native prop</x:t>
        </x:is>
      </x:c>
      <x:c r="C21" s="84" t="inlineStr">
        <x:is>
          <x:t xml:space="preserve">Root</x:t>
        </x:is>
      </x:c>
      <x:c r="D21" s="84" t="inlineStr">
        <x:is>
          <x:t xml:space="preserve">htmlFor renders native for attribute when enabled</x:t>
        </x:is>
      </x:c>
      <x:c r="E21" s="76" t="inlineStr">
        <x:is>
          <x:t xml:space="preserve">yes</x:t>
        </x:is>
      </x:c>
      <x:c r="F21" s="76" t="inlineStr">
        <x:is>
          <x:t xml:space="preserve">yes</x:t>
        </x:is>
      </x:c>
      <x:c r="G21" s="73" t="inlineStr">
        <x:is>
          <x:t xml:space="preserve">passed</x:t>
        </x:is>
      </x:c>
      <x:c r="H21" s="92" t="inlineStr">
        <x:is>
          <x:t xml:space="preserve">covered</x:t>
        </x:is>
      </x:c>
      <x:c r="I21" s="84" t="inlineStr">
        <x:is>
          <x:t xml:space="preserve">State menu toggles Use htmlFor; Anatomy/Inspector expose for.</x:t>
        </x:is>
      </x:c>
      <x:c r="J21" s="84" t="n"/>
      <x:c r="K21" s="87" t="n">
        <x:f>IF(AND(E21="yes",F21="yes",H21="covered"),1,IF(AND(E21="yes",H21="partial"),0.5,0))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Native prop</x:t>
        </x:is>
      </x:c>
      <x:c r="C22" s="84" t="inlineStr">
        <x:is>
          <x:t xml:space="preserve">Root</x:t>
        </x:is>
      </x:c>
      <x:c r="D22" s="84" t="inlineStr">
        <x:is>
          <x:t xml:space="preserve">htmlFor can be removed</x:t>
        </x:is>
      </x:c>
      <x:c r="E22" s="76" t="inlineStr">
        <x:is>
          <x:t xml:space="preserve">yes</x:t>
        </x:is>
      </x:c>
      <x:c r="F22" s="76" t="inlineStr">
        <x:is>
          <x:t xml:space="preserve">yes</x:t>
        </x:is>
      </x:c>
      <x:c r="G22" s="73" t="inlineStr">
        <x:is>
          <x:t xml:space="preserve">passed</x:t>
        </x:is>
      </x:c>
      <x:c r="H22" s="92" t="inlineStr">
        <x:is>
          <x:t xml:space="preserve">covered</x:t>
        </x:is>
      </x:c>
      <x:c r="I22" s="84" t="inlineStr">
        <x:is>
          <x:t xml:space="preserve">Use htmlFor toggle removes the for attribute.</x:t>
        </x:is>
      </x:c>
      <x:c r="J22" s="84" t="n"/>
      <x:c r="K22" s="87" t="n">
        <x:f>IF(AND(E22="yes",F22="yes",H22="covered"),1,IF(AND(E22="yes",H22="partial"),0.5,0))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Behavior</x:t>
        </x:is>
      </x:c>
      <x:c r="C23" s="84" t="inlineStr">
        <x:is>
          <x:t xml:space="preserve">Root</x:t>
        </x:is>
      </x:c>
      <x:c r="D23" s="84" t="inlineStr">
        <x:is>
          <x:t xml:space="preserve">for attribute matches the helper input id</x:t>
        </x:is>
      </x:c>
      <x:c r="E23" s="76" t="inlineStr">
        <x:is>
          <x:t xml:space="preserve">yes</x:t>
        </x:is>
      </x:c>
      <x:c r="F23" s="76" t="inlineStr">
        <x:is>
          <x:t xml:space="preserve">yes</x:t>
        </x:is>
      </x:c>
      <x:c r="G23" s="73" t="inlineStr">
        <x:is>
          <x:t xml:space="preserve">passed</x:t>
        </x:is>
      </x:c>
      <x:c r="H23" s="92" t="inlineStr">
        <x:is>
          <x:t xml:space="preserve">covered</x:t>
        </x:is>
      </x:c>
      <x:c r="I23" s="84" t="inlineStr">
        <x:is>
          <x:t xml:space="preserve">Root anatomy includes Matches input.</x:t>
        </x:is>
      </x:c>
      <x:c r="J23" s="84" t="n"/>
      <x:c r="K23" s="87" t="n">
        <x:f>IF(AND(E23="yes",F23="yes",H23="covered"),1,IF(AND(E23="yes",H23="partial"),0.5,0))</x:f>
        <x:v>1</x:v>
      </x:c>
    </x:row>
    <x:row r="24" s="51" customFormat="1" ht="30" customHeight="1">
      <x:c r="A24" s="73" t="n">
        <x:v>16</x:v>
      </x:c>
      <x:c r="B24" s="84" t="inlineStr">
        <x:is>
          <x:t xml:space="preserve">Behavior</x:t>
        </x:is>
      </x:c>
      <x:c r="C24" s="84" t="inlineStr">
        <x:is>
          <x:t xml:space="preserve">Root</x:t>
        </x:is>
      </x:c>
      <x:c r="D24" s="84" t="inlineStr">
        <x:is>
          <x:t xml:space="preserve">clicking the label focuses the associated input when htmlFor is enabled</x:t>
        </x:is>
      </x:c>
      <x:c r="E24" s="76" t="inlineStr">
        <x:is>
          <x:t xml:space="preserve">yes</x:t>
        </x:is>
      </x:c>
      <x:c r="F24" s="76" t="inlineStr">
        <x:is>
          <x:t xml:space="preserve">yes</x:t>
        </x:is>
      </x:c>
      <x:c r="G24" s="73" t="inlineStr">
        <x:is>
          <x:t xml:space="preserve">passed</x:t>
        </x:is>
      </x:c>
      <x:c r="H24" s="92" t="inlineStr">
        <x:is>
          <x:t xml:space="preserve">covered</x:t>
        </x:is>
      </x:c>
      <x:c r="I24" s="84" t="inlineStr">
        <x:is>
          <x:t xml:space="preserve">Label click and input focus are logged.</x:t>
        </x:is>
      </x:c>
      <x:c r="J24" s="84" t="n"/>
      <x:c r="K24" s="87" t="n">
        <x:f>IF(AND(E24="yes",F24="yes",H24="covered"),1,IF(AND(E24="yes",H24="partial"),0.5,0))</x:f>
        <x:v>1</x:v>
      </x:c>
    </x:row>
    <x:row r="25" s="51" customFormat="1" ht="30" customHeight="1">
      <x:c r="A25" s="73" t="n">
        <x:v>17</x:v>
      </x:c>
      <x:c r="B25" s="84" t="inlineStr">
        <x:is>
          <x:t xml:space="preserve">State</x:t>
        </x:is>
      </x:c>
      <x:c r="C25" s="84" t="inlineStr">
        <x:is>
          <x:t xml:space="preserve">Root</x:t>
        </x:is>
      </x:c>
      <x:c r="D25" s="84" t="inlineStr">
        <x:is>
          <x:t xml:space="preserve">disabled prop exposes data-disabled</x:t>
        </x:is>
      </x:c>
      <x:c r="E25" s="76" t="inlineStr">
        <x:is>
          <x:t xml:space="preserve">yes</x:t>
        </x:is>
      </x:c>
      <x:c r="F25" s="76" t="inlineStr">
        <x:is>
          <x:t xml:space="preserve">yes</x:t>
        </x:is>
      </x:c>
      <x:c r="G25" s="73" t="inlineStr">
        <x:is>
          <x:t xml:space="preserve">passed</x:t>
        </x:is>
      </x:c>
      <x:c r="H25" s="92" t="inlineStr">
        <x:is>
          <x:t xml:space="preserve">covered</x:t>
        </x:is>
      </x:c>
      <x:c r="I25" s="84" t="inlineStr">
        <x:is>
          <x:t xml:space="preserve">State menu toggles Disabled and live Data exposes data-disabled.</x:t>
        </x:is>
      </x:c>
      <x:c r="J25" s="84" t="n"/>
      <x:c r="K25" s="87" t="n">
        <x:f>IF(AND(E25="yes",F25="yes",H25="covered"),1,IF(AND(E25="yes",H25="partial"),0.5,0))</x:f>
        <x:v>1</x:v>
      </x:c>
    </x:row>
    <x:row r="26" s="51" customFormat="1" ht="30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disabled does not create native disabled on label</x:t>
        </x:is>
      </x:c>
      <x:c r="E26" s="76" t="inlineStr">
        <x:is>
          <x:t xml:space="preserve">yes</x:t>
        </x:is>
      </x:c>
      <x:c r="F26" s="76" t="inlineStr">
        <x:is>
          <x:t xml:space="preserve">yes</x:t>
        </x:is>
      </x:c>
      <x:c r="G26" s="73" t="inlineStr">
        <x:is>
          <x:t xml:space="preserve">passed</x:t>
        </x:is>
      </x:c>
      <x:c r="H26" s="92" t="inlineStr">
        <x:is>
          <x:t xml:space="preserve">covered</x:t>
        </x:is>
      </x:c>
      <x:c r="I26" s="84" t="inlineStr">
        <x:is>
          <x:t xml:space="preserve">Attributes group should not show disabled on the label.</x:t>
        </x:is>
      </x:c>
      <x:c r="J26" s="84" t="n"/>
      <x:c r="K26" s="87" t="n">
        <x:f>IF(AND(E26="yes",F26="yes",H26="covered"),1,IF(AND(E26="yes",H26="partial"),0.5,0))</x:f>
        <x:v>1</x:v>
      </x:c>
    </x:row>
    <x:row r="27" s="51" customFormat="1" ht="30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required prop exposes data-required</x:t>
        </x:is>
      </x:c>
      <x:c r="E27" s="76" t="inlineStr">
        <x:is>
          <x:t xml:space="preserve">yes</x:t>
        </x:is>
      </x:c>
      <x:c r="F27" s="76" t="inlineStr">
        <x:is>
          <x:t xml:space="preserve">yes</x:t>
        </x:is>
      </x:c>
      <x:c r="G27" s="73" t="inlineStr">
        <x:is>
          <x:t xml:space="preserve">passed</x:t>
        </x:is>
      </x:c>
      <x:c r="H27" s="92" t="inlineStr">
        <x:is>
          <x:t xml:space="preserve">covered</x:t>
        </x:is>
      </x:c>
      <x:c r="I27" s="84" t="inlineStr">
        <x:is>
          <x:t xml:space="preserve">State menu toggles Required and live Data exposes data-required.</x:t>
        </x:is>
      </x:c>
      <x:c r="J27" s="84" t="n"/>
      <x:c r="K27" s="87" t="n">
        <x:f>IF(AND(E27="yes",F27="yes",H27="covered"),1,IF(AND(E27="yes",H27="partial"),0.5,0))</x:f>
        <x:v>1</x:v>
      </x:c>
    </x:row>
    <x:row r="28" s="51" customFormat="1" ht="30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required does not create native required on label</x:t>
        </x:is>
      </x:c>
      <x:c r="E28" s="76" t="inlineStr">
        <x:is>
          <x:t xml:space="preserve">yes</x:t>
        </x:is>
      </x:c>
      <x:c r="F28" s="76" t="inlineStr">
        <x:is>
          <x:t xml:space="preserve">yes</x:t>
        </x:is>
      </x:c>
      <x:c r="G28" s="73" t="inlineStr">
        <x:is>
          <x:t xml:space="preserve">passed</x:t>
        </x:is>
      </x:c>
      <x:c r="H28" s="92" t="inlineStr">
        <x:is>
          <x:t xml:space="preserve">covered</x:t>
        </x:is>
      </x:c>
      <x:c r="I28" s="84" t="inlineStr">
        <x:is>
          <x:t xml:space="preserve">Attributes group should not show required on the label.</x:t>
        </x:is>
      </x:c>
      <x:c r="J28" s="84" t="n"/>
      <x:c r="K28" s="87" t="n">
        <x:f>IF(AND(E28="yes",F28="yes",H28="covered"),1,IF(AND(E28="yes",H28="partial"),0.5,0))</x:f>
        <x:v>1</x:v>
      </x:c>
    </x:row>
    <x:row r="29" s="51" customFormat="1" ht="30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readOnly prop exposes data-readonly</x:t>
        </x:is>
      </x:c>
      <x:c r="E29" s="76" t="inlineStr">
        <x:is>
          <x:t xml:space="preserve">yes</x:t>
        </x:is>
      </x:c>
      <x:c r="F29" s="76" t="inlineStr">
        <x:is>
          <x:t xml:space="preserve">yes</x:t>
        </x:is>
      </x:c>
      <x:c r="G29" s="73" t="inlineStr">
        <x:is>
          <x:t xml:space="preserve">passed</x:t>
        </x:is>
      </x:c>
      <x:c r="H29" s="92" t="inlineStr">
        <x:is>
          <x:t xml:space="preserve">covered</x:t>
        </x:is>
      </x:c>
      <x:c r="I29" s="84" t="inlineStr">
        <x:is>
          <x:t xml:space="preserve">State menu toggles Read only and live Data exposes data-readonly.</x:t>
        </x:is>
      </x:c>
      <x:c r="J29" s="84" t="n"/>
      <x:c r="K29" s="87" t="n">
        <x:f>IF(AND(E29="yes",F29="yes",H29="covered"),1,IF(AND(E29="yes",H29="partial"),0.5,0))</x:f>
        <x:v>1</x:v>
      </x:c>
    </x:row>
    <x:row r="30" s="51" customFormat="1" ht="30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readOnly does not create native readonly on label</x:t>
        </x:is>
      </x:c>
      <x:c r="E30" s="76" t="inlineStr">
        <x:is>
          <x:t xml:space="preserve">yes</x:t>
        </x:is>
      </x:c>
      <x:c r="F30" s="76" t="inlineStr">
        <x:is>
          <x:t xml:space="preserve">yes</x:t>
        </x:is>
      </x:c>
      <x:c r="G30" s="73" t="inlineStr">
        <x:is>
          <x:t xml:space="preserve">passed</x:t>
        </x:is>
      </x:c>
      <x:c r="H30" s="92" t="inlineStr">
        <x:is>
          <x:t xml:space="preserve">covered</x:t>
        </x:is>
      </x:c>
      <x:c r="I30" s="84" t="inlineStr">
        <x:is>
          <x:t xml:space="preserve">Attributes group should not show readonly on the label.</x:t>
        </x:is>
      </x:c>
      <x:c r="J30" s="84" t="n"/>
      <x:c r="K30" s="87" t="n">
        <x:f>IF(AND(E30="yes",F30="yes",H30="covered"),1,IF(AND(E30="yes",H30="partial"),0.5,0))</x:f>
        <x:v>1</x:v>
      </x:c>
    </x:row>
    <x:row r="31" s="51" customFormat="1" ht="30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invalid prop exposes data-invalid</x:t>
        </x:is>
      </x:c>
      <x:c r="E31" s="76" t="inlineStr">
        <x:is>
          <x:t xml:space="preserve">yes</x:t>
        </x:is>
      </x:c>
      <x:c r="F31" s="76" t="inlineStr">
        <x:is>
          <x:t xml:space="preserve">yes</x:t>
        </x:is>
      </x:c>
      <x:c r="G31" s="73" t="inlineStr">
        <x:is>
          <x:t xml:space="preserve">passed</x:t>
        </x:is>
      </x:c>
      <x:c r="H31" s="92" t="inlineStr">
        <x:is>
          <x:t xml:space="preserve">covered</x:t>
        </x:is>
      </x:c>
      <x:c r="I31" s="84" t="inlineStr">
        <x:is>
          <x:t xml:space="preserve">State menu toggles Invalid and live Data exposes data-invalid.</x:t>
        </x:is>
      </x:c>
      <x:c r="J31" s="84" t="n"/>
      <x:c r="K31" s="87" t="n">
        <x:f>IF(AND(E31="yes",F31="yes",H31="covered"),1,IF(AND(E31="yes",H31="partial"),0.5,0))</x:f>
        <x:v>1</x:v>
      </x:c>
    </x:row>
    <x:row r="32" s="51" customFormat="1" ht="30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invalid does not create aria-invalid on label</x:t>
        </x:is>
      </x:c>
      <x:c r="E32" s="76" t="inlineStr">
        <x:is>
          <x:t xml:space="preserve">yes</x:t>
        </x:is>
      </x:c>
      <x:c r="F32" s="76" t="inlineStr">
        <x:is>
          <x:t xml:space="preserve">yes</x:t>
        </x:is>
      </x:c>
      <x:c r="G32" s="73" t="inlineStr">
        <x:is>
          <x:t xml:space="preserve">passed</x:t>
        </x:is>
      </x:c>
      <x:c r="H32" s="92" t="inlineStr">
        <x:is>
          <x:t xml:space="preserve">covered</x:t>
        </x:is>
      </x:c>
      <x:c r="I32" s="84" t="inlineStr">
        <x:is>
          <x:t xml:space="preserve">ARIA group should stay empty unless a real ARIA prop exists.</x:t>
        </x:is>
      </x:c>
      <x:c r="J32" s="84" t="n"/>
      <x:c r="K32" s="87" t="n">
        <x:f>IF(AND(E32="yes",F32="yes",H32="covered"),1,IF(AND(E32="yes",H32="partial"),0.5,0))</x:f>
        <x:v>1</x:v>
      </x:c>
    </x:row>
    <x:row r="33" s="51" customFormat="1" ht="30" customHeight="1">
      <x:c r="A33" s="73" t="n">
        <x:v>25</x:v>
      </x:c>
      <x:c r="B33" s="84" t="inlineStr">
        <x:is>
          <x:t xml:space="preserve">Composition</x:t>
        </x:is>
      </x:c>
      <x:c r="C33" s="84" t="inlineStr">
        <x:is>
          <x:t xml:space="preserve">Root</x:t>
        </x:is>
      </x:c>
      <x:c r="D33" s="84" t="inlineStr">
        <x:is>
          <x:t xml:space="preserve">default composition renders label</x:t>
        </x:is>
      </x:c>
      <x:c r="E33" s="76" t="inlineStr">
        <x:is>
          <x:t xml:space="preserve">yes</x:t>
        </x:is>
      </x:c>
      <x:c r="F33" s="76" t="inlineStr">
        <x:is>
          <x:t xml:space="preserve">yes</x:t>
        </x:is>
      </x:c>
      <x:c r="G33" s="73" t="inlineStr">
        <x:is>
          <x:t xml:space="preserve">passed</x:t>
        </x:is>
      </x:c>
      <x:c r="H33" s="92" t="inlineStr">
        <x:is>
          <x:t xml:space="preserve">covered</x:t>
        </x:is>
      </x:c>
      <x:c r="I33" s="84" t="inlineStr">
        <x:is>
          <x:t xml:space="preserve">Composition menu Root default renders native label.</x:t>
        </x:is>
      </x:c>
      <x:c r="J33" s="84" t="n"/>
      <x:c r="K33" s="87" t="n">
        <x:f>IF(AND(E33="yes",F33="yes",H33="covered"),1,IF(AND(E33="yes",H33="partial"),0.5,0))</x:f>
        <x:v>1</x:v>
      </x:c>
    </x:row>
    <x:row r="34" s="51" customFormat="1" ht="30" customHeight="1">
      <x:c r="A34" s="73" t="n">
        <x:v>26</x:v>
      </x:c>
      <x:c r="B34" s="84" t="inlineStr">
        <x:is>
          <x:t xml:space="preserve">Composition</x:t>
        </x:is>
      </x:c>
      <x:c r="C34" s="84" t="inlineStr">
        <x:is>
          <x:t xml:space="preserve">Root</x:t>
        </x:is>
      </x:c>
      <x:c r="D34" s="84" t="inlineStr">
        <x:is>
          <x:t xml:space="preserve">asChild renders the child span</x:t>
        </x:is>
      </x:c>
      <x:c r="E34" s="76" t="inlineStr">
        <x:is>
          <x:t xml:space="preserve">yes</x:t>
        </x:is>
      </x:c>
      <x:c r="F34" s="76" t="inlineStr">
        <x:is>
          <x:t xml:space="preserve">yes</x:t>
        </x:is>
      </x:c>
      <x:c r="G34" s="73" t="inlineStr">
        <x:is>
          <x:t xml:space="preserve">passed</x:t>
        </x:is>
      </x:c>
      <x:c r="H34" s="92" t="inlineStr">
        <x:is>
          <x:t xml:space="preserve">covered</x:t>
        </x:is>
      </x:c>
      <x:c r="I34" s="84" t="inlineStr">
        <x:is>
          <x:t xml:space="preserve">Composition menu Root asChild renders span and keeps text.</x:t>
        </x:is>
      </x:c>
      <x:c r="J34" s="84" t="n"/>
      <x:c r="K34" s="87" t="n">
        <x:f>IF(AND(E34="yes",F34="yes",H34="covered"),1,IF(AND(E34="yes",H34="partial"),0.5,0))</x:f>
        <x:v>1</x:v>
      </x:c>
    </x:row>
    <x:row r="35" s="51" customFormat="1" ht="30" customHeight="1">
      <x:c r="A35" s="73" t="n">
        <x:v>27</x:v>
      </x:c>
      <x:c r="B35" s="84" t="inlineStr">
        <x:is>
          <x:t xml:space="preserve">Composition</x:t>
        </x:is>
      </x:c>
      <x:c r="C35" s="84" t="inlineStr">
        <x:is>
          <x:t xml:space="preserve">Root</x:t>
        </x:is>
      </x:c>
      <x:c r="D35" s="84" t="inlineStr">
        <x:is>
          <x:t xml:space="preserve">asChild merges state and data props</x:t>
        </x:is>
      </x:c>
      <x:c r="E35" s="76" t="inlineStr">
        <x:is>
          <x:t xml:space="preserve">yes</x:t>
        </x:is>
      </x:c>
      <x:c r="F35" s="76" t="inlineStr">
        <x:is>
          <x:t xml:space="preserve">yes</x:t>
        </x:is>
      </x:c>
      <x:c r="G35" s="73" t="inlineStr">
        <x:is>
          <x:t xml:space="preserve">passed</x:t>
        </x:is>
      </x:c>
      <x:c r="H35" s="92" t="inlineStr">
        <x:is>
          <x:t xml:space="preserve">covered</x:t>
        </x:is>
      </x:c>
      <x:c r="I35" s="84" t="inlineStr">
        <x:is>
          <x:t xml:space="preserve">Live Data group should keep data-slot/data-prop-check/state markers.</x:t>
        </x:is>
      </x:c>
      <x:c r="J35" s="84" t="n"/>
      <x:c r="K35" s="87" t="n">
        <x:f>IF(AND(E35="yes",F35="yes",H35="covered"),1,IF(AND(E35="yes",H35="partial"),0.5,0))</x:f>
        <x:v>1</x:v>
      </x:c>
    </x:row>
    <x:row r="36" s="51" customFormat="1" ht="30" customHeight="1">
      <x:c r="A36" s="73" t="n">
        <x:v>28</x:v>
      </x:c>
      <x:c r="B36" s="84" t="inlineStr">
        <x:is>
          <x:t xml:space="preserve">Composition</x:t>
        </x:is>
      </x:c>
      <x:c r="C36" s="84" t="inlineStr">
        <x:is>
          <x:t xml:space="preserve">Root</x:t>
        </x:is>
      </x:c>
      <x:c r="D36" s="84" t="inlineStr">
        <x:is>
          <x:t xml:space="preserve">render prop renders a span</x:t>
        </x:is>
      </x:c>
      <x:c r="E36" s="76" t="inlineStr">
        <x:is>
          <x:t xml:space="preserve">yes</x:t>
        </x:is>
      </x:c>
      <x:c r="F36" s="76" t="inlineStr">
        <x:is>
          <x:t xml:space="preserve">yes</x:t>
        </x:is>
      </x:c>
      <x:c r="G36" s="73" t="inlineStr">
        <x:is>
          <x:t xml:space="preserve">passed</x:t>
        </x:is>
      </x:c>
      <x:c r="H36" s="92" t="inlineStr">
        <x:is>
          <x:t xml:space="preserve">covered</x:t>
        </x:is>
      </x:c>
      <x:c r="I36" s="84" t="inlineStr">
        <x:is>
          <x:t xml:space="preserve">Composition menu Root render uses render prop with a span.</x:t>
        </x:is>
      </x:c>
      <x:c r="J36" s="84" t="n"/>
      <x:c r="K36" s="87" t="n">
        <x:f>IF(AND(E36="yes",F36="yes",H36="covered"),1,IF(AND(E36="yes",H36="partial"),0.5,0))</x:f>
        <x:v>1</x:v>
      </x:c>
    </x:row>
    <x:row r="37" s="51" customFormat="1" ht="30" customHeight="1">
      <x:c r="A37" s="73" t="n">
        <x:v>29</x:v>
      </x:c>
      <x:c r="B37" s="84" t="inlineStr">
        <x:is>
          <x:t xml:space="preserve">Composition</x:t>
        </x:is>
      </x:c>
      <x:c r="C37" s="84" t="inlineStr">
        <x:is>
          <x:t xml:space="preserve">Root</x:t>
        </x:is>
      </x:c>
      <x:c r="D37" s="84" t="inlineStr">
        <x:is>
          <x:t xml:space="preserve">render prop preserves ref and behavior props</x:t>
        </x:is>
      </x:c>
      <x:c r="E37" s="76" t="inlineStr">
        <x:is>
          <x:t xml:space="preserve">yes</x:t>
        </x:is>
      </x:c>
      <x:c r="F37" s="76" t="inlineStr">
        <x:is>
          <x:t xml:space="preserve">yes</x:t>
        </x:is>
      </x:c>
      <x:c r="G37" s="73" t="inlineStr">
        <x:is>
          <x:t xml:space="preserve">passed</x:t>
        </x:is>
      </x:c>
      <x:c r="H37" s="92" t="inlineStr">
        <x:is>
          <x:t xml:space="preserve">covered</x:t>
        </x:is>
      </x:c>
      <x:c r="I37" s="84" t="inlineStr">
        <x:is>
          <x:t xml:space="preserve">Root ref and Data groups update under render mode.</x:t>
        </x:is>
      </x:c>
      <x:c r="J37" s="84" t="n"/>
      <x:c r="K37" s="87" t="n">
        <x:f>IF(AND(E37="yes",F37="yes",H37="covered"),1,IF(AND(E37="yes",H37="partial"),0.5,0))</x:f>
        <x:v>1</x:v>
      </x:c>
    </x:row>
    <x:row r="38" s="51" customFormat="1" ht="13.5" customHeight="1">
      <x:c r="A38" s="50" t="n">
        <x:v>30</x:v>
      </x:c>
      <x:c r="B38" s="50" t="inlineStr">
        <x:is>
          <x:t xml:space="preserve">Integration</x:t>
        </x:is>
      </x:c>
      <x:c r="C38" s="50" t="inlineStr">
        <x:is>
          <x:t xml:space="preserve">Native control</x:t>
        </x:is>
      </x:c>
      <x:c r="D38" s="50" t="inlineStr">
        <x:is>
          <x:t xml:space="preserve">Label.Root associates with a native input using htmlFor</x:t>
        </x:is>
      </x:c>
      <x:c r="E38" s="50" t="inlineStr">
        <x:is>
          <x:t xml:space="preserve">yes</x:t>
        </x:is>
      </x:c>
      <x:c r="F38" s="50" t="inlineStr">
        <x:is>
          <x:t xml:space="preserve">yes</x:t>
        </x:is>
      </x:c>
      <x:c r="G38" s="50" t="inlineStr">
        <x:is>
          <x:t xml:space="preserve">passed</x:t>
        </x:is>
      </x:c>
      <x:c r="H38" s="50" t="inlineStr">
        <x:is>
          <x:t xml:space="preserve">covered</x:t>
        </x:is>
      </x:c>
      <x:c r="I38" s="50" t="inlineStr">
        <x:is>
          <x:t xml:space="preserve">Label Association &gt; Control: Native.</x:t>
        </x:is>
      </x:c>
      <x:c r="K38" s="50" t="n">
        <x:f>IF(AND(E38="yes",F38="yes",H38="covered"),1,IF(AND(E38="yes",H38="partial"),0.5,0))</x:f>
        <x:v>1</x:v>
      </x:c>
    </x:row>
    <x:row r="39" s="51" customFormat="1" ht="13.5" customHeight="1">
      <x:c r="A39" s="50" t="n">
        <x:v>31</x:v>
      </x:c>
      <x:c r="B39" s="50" t="inlineStr">
        <x:is>
          <x:t xml:space="preserve">Integration</x:t>
        </x:is>
      </x:c>
      <x:c r="C39" s="50" t="inlineStr">
        <x:is>
          <x:t xml:space="preserve">Atom control</x:t>
        </x:is>
      </x:c>
      <x:c r="D39" s="50" t="inlineStr">
        <x:is>
          <x:t xml:space="preserve">Label.Root associates with Atom Input.Root using htmlFor</x:t>
        </x:is>
      </x:c>
      <x:c r="E39" s="50" t="inlineStr">
        <x:is>
          <x:t xml:space="preserve">yes</x:t>
        </x:is>
      </x:c>
      <x:c r="F39" s="50" t="inlineStr">
        <x:is>
          <x:t xml:space="preserve">yes</x:t>
        </x:is>
      </x:c>
      <x:c r="G39" s="50" t="inlineStr">
        <x:is>
          <x:t xml:space="preserve">passed</x:t>
        </x:is>
      </x:c>
      <x:c r="H39" s="50" t="inlineStr">
        <x:is>
          <x:t xml:space="preserve">covered</x:t>
        </x:is>
      </x:c>
      <x:c r="I39" s="50" t="inlineStr">
        <x:is>
          <x:t xml:space="preserve">Label Association &gt; Control: Atom.</x:t>
        </x:is>
      </x:c>
      <x:c r="K39" s="50" t="n">
        <x:f>IF(AND(E39="yes",F39="yes",H39="covered"),1,IF(AND(E39="yes",H39="partial"),0.5,0))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1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Link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IFERROR(SUM(K9:K1000)/COUNTA(A9:A1000),0)</x:f>
        <x:v>0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23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76" t="inlineStr">
        <x:is>
          <x:t xml:space="preserve">no</x:t>
        </x:is>
      </x:c>
      <x:c r="G9" s="73" t="inlineStr">
        <x:is>
          <x:t xml:space="preserve">pending manual test</x:t>
        </x:is>
      </x:c>
      <x:c r="H9" s="92" t="inlineStr">
        <x:is>
          <x:t xml:space="preserve">untested</x:t>
        </x:is>
      </x:c>
      <x:c r="I9" s="84" t="inlineStr">
        <x:is>
          <x:t xml:space="preserve">Link playground scenario and draft .manual-tests/link.md protocol.</x:t>
        </x:is>
      </x:c>
      <x:c r="J9" s="84" t="inlineStr">
        <x:is>
          <x:t xml:space="preserve">Run the Link Manual Test Protocol and record owner evidence.</x:t>
        </x:is>
      </x:c>
      <x:c r="K9" s="87" t="n">
        <x:f>IF(AND(E9="yes",F9="yes",H9="covered"),1,IF(H9="partial",0.5,0))</x:f>
        <x:v>0</x:v>
      </x:c>
    </x:row>
    <x:row r="10" s="51" customFormat="1" ht="30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Root</x:t>
        </x:is>
      </x:c>
      <x:c r="E10" s="76" t="inlineStr">
        <x:is>
          <x:t xml:space="preserve">yes</x:t>
        </x:is>
      </x:c>
      <x:c r="F10" s="76" t="inlineStr">
        <x:is>
          <x:t xml:space="preserve">no</x:t>
        </x:is>
      </x:c>
      <x:c r="G10" s="73" t="inlineStr">
        <x:is>
          <x:t xml:space="preserve">pending manual test</x:t>
        </x:is>
      </x:c>
      <x:c r="H10" s="92" t="inlineStr">
        <x:is>
          <x:t xml:space="preserve">untested</x:t>
        </x:is>
      </x:c>
      <x:c r="I10" s="84" t="inlineStr">
        <x:is>
          <x:t xml:space="preserve">Link playground scenario and draft .manual-tests/link.md protocol.</x:t>
        </x:is>
      </x:c>
      <x:c r="J10" s="84" t="inlineStr">
        <x:is>
          <x:t xml:space="preserve">Run the Link Manual Test Protocol and record owner evidence.</x:t>
        </x:is>
      </x:c>
      <x:c r="K10" s="87" t="n">
        <x:f>IF(AND(E10="yes",F10="yes",H10="covered"),1,IF(H10="partial",0.5,0))</x:f>
        <x:v>0</x:v>
      </x:c>
    </x:row>
    <x:row r="11" s="51" customFormat="1" ht="30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Link</x:t>
        </x:is>
      </x:c>
      <x:c r="D11" s="84" t="inlineStr">
        <x:is>
          <x:t xml:space="preserve">scenario is reachable from Navigation &gt; Link</x:t>
        </x:is>
      </x:c>
      <x:c r="E11" s="76" t="inlineStr">
        <x:is>
          <x:t xml:space="preserve">yes</x:t>
        </x:is>
      </x:c>
      <x:c r="F11" s="76" t="inlineStr">
        <x:is>
          <x:t xml:space="preserve">no</x:t>
        </x:is>
      </x:c>
      <x:c r="G11" s="73" t="inlineStr">
        <x:is>
          <x:t xml:space="preserve">pending manual test</x:t>
        </x:is>
      </x:c>
      <x:c r="H11" s="92" t="inlineStr">
        <x:is>
          <x:t xml:space="preserve">untested</x:t>
        </x:is>
      </x:c>
      <x:c r="I11" s="84" t="inlineStr">
        <x:is>
          <x:t xml:space="preserve">Link playground scenario and draft .manual-tests/link.md protocol.</x:t>
        </x:is>
      </x:c>
      <x:c r="J11" s="84" t="inlineStr">
        <x:is>
          <x:t xml:space="preserve">Run the Link Manual Test Protocol and record owner evidence.</x:t>
        </x:is>
      </x:c>
      <x:c r="K11" s="87" t="n">
        <x:f>IF(AND(E11="yes",F11="yes",H11="covered"),1,IF(H11="partial",0.5,0))</x:f>
        <x:v>0</x:v>
      </x:c>
    </x:row>
    <x:row r="12" s="51" customFormat="1" ht="30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Link</x:t>
        </x:is>
      </x:c>
      <x:c r="D12" s="84" t="inlineStr">
        <x:is>
          <x:t xml:space="preserve">canvas Source reflects active composition and native-state controls</x:t>
        </x:is>
      </x:c>
      <x:c r="E12" s="76" t="inlineStr">
        <x:is>
          <x:t xml:space="preserve">yes</x:t>
        </x:is>
      </x:c>
      <x:c r="F12" s="76" t="inlineStr">
        <x:is>
          <x:t xml:space="preserve">no</x:t>
        </x:is>
      </x:c>
      <x:c r="G12" s="73" t="inlineStr">
        <x:is>
          <x:t xml:space="preserve">pending manual test</x:t>
        </x:is>
      </x:c>
      <x:c r="H12" s="92" t="inlineStr">
        <x:is>
          <x:t xml:space="preserve">untested</x:t>
        </x:is>
      </x:c>
      <x:c r="I12" s="84" t="inlineStr">
        <x:is>
          <x:t xml:space="preserve">Link playground scenario and draft .manual-tests/link.md protocol.</x:t>
        </x:is>
      </x:c>
      <x:c r="J12" s="84" t="inlineStr">
        <x:is>
          <x:t xml:space="preserve">Run the Link Manual Test Protocol and record owner evidence.</x:t>
        </x:is>
      </x:c>
      <x:c r="K12" s="87" t="n">
        <x:f>IF(AND(E12="yes",F12="yes",H12="covered"),1,IF(H12="partial",0.5,0))</x:f>
        <x:v>0</x:v>
      </x:c>
    </x:row>
    <x:row r="13" s="51" customFormat="1" ht="30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Link</x:t>
        </x:is>
      </x:c>
      <x:c r="D13" s="84" t="inlineStr">
        <x:is>
          <x:t xml:space="preserve">Anatomy contains only the public Root part with live DOM evidence</x:t>
        </x:is>
      </x:c>
      <x:c r="E13" s="76" t="inlineStr">
        <x:is>
          <x:t xml:space="preserve">yes</x:t>
        </x:is>
      </x:c>
      <x:c r="F13" s="76" t="inlineStr">
        <x:is>
          <x:t xml:space="preserve">no</x:t>
        </x:is>
      </x:c>
      <x:c r="G13" s="73" t="inlineStr">
        <x:is>
          <x:t xml:space="preserve">pending manual test</x:t>
        </x:is>
      </x:c>
      <x:c r="H13" s="92" t="inlineStr">
        <x:is>
          <x:t xml:space="preserve">untested</x:t>
        </x:is>
      </x:c>
      <x:c r="I13" s="84" t="inlineStr">
        <x:is>
          <x:t xml:space="preserve">Link playground scenario and draft .manual-tests/link.md protocol.</x:t>
        </x:is>
      </x:c>
      <x:c r="J13" s="84" t="inlineStr">
        <x:is>
          <x:t xml:space="preserve">Run the Link Manual Test Protocol and record owner evidence.</x:t>
        </x:is>
      </x:c>
      <x:c r="K13" s="87" t="n">
        <x:f>IF(AND(E13="yes",F13="yes",H13="covered"),1,IF(H13="partial",0.5,0))</x:f>
        <x:v>0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Link</x:t>
        </x:is>
      </x:c>
      <x:c r="D14" s="84" t="inlineStr">
        <x:is>
          <x:t xml:space="preserve">Inspector Selected, Focused, and Logs work for the scenario</x:t>
        </x:is>
      </x:c>
      <x:c r="E14" s="76" t="inlineStr">
        <x:is>
          <x:t xml:space="preserve">yes</x:t>
        </x:is>
      </x:c>
      <x:c r="F14" s="76" t="inlineStr">
        <x:is>
          <x:t xml:space="preserve">no</x:t>
        </x:is>
      </x:c>
      <x:c r="G14" s="73" t="inlineStr">
        <x:is>
          <x:t xml:space="preserve">pending manual test</x:t>
        </x:is>
      </x:c>
      <x:c r="H14" s="92" t="inlineStr">
        <x:is>
          <x:t xml:space="preserve">untested</x:t>
        </x:is>
      </x:c>
      <x:c r="I14" s="84" t="inlineStr">
        <x:is>
          <x:t xml:space="preserve">Link playground scenario and draft .manual-tests/link.md protocol.</x:t>
        </x:is>
      </x:c>
      <x:c r="J14" s="84" t="inlineStr">
        <x:is>
          <x:t xml:space="preserve">Run the Link Manual Test Protocol and record owner evidence.</x:t>
        </x:is>
      </x:c>
      <x:c r="K14" s="87" t="n">
        <x:f>IF(AND(E14="yes",F14="yes",H14="covered"),1,IF(H14="partial",0.5,0))</x:f>
        <x:v>0</x:v>
      </x:c>
    </x:row>
    <x:row r="15" s="51" customFormat="1" ht="15" customHeight="1">
      <x:c r="A15" s="73" t="n">
        <x:v>7</x:v>
      </x:c>
      <x:c r="B15" s="84" t="inlineStr">
        <x:is>
          <x:t xml:space="preserve">Identity</x:t>
        </x:is>
      </x:c>
      <x:c r="C15" s="84" t="inlineStr">
        <x:is>
          <x:t xml:space="preserve">Root</x:t>
        </x:is>
      </x:c>
      <x:c r="D15" s="84" t="inlineStr">
        <x:is>
          <x:t xml:space="preserve">default tag is a native anchor</x:t>
        </x:is>
      </x:c>
      <x:c r="E15" s="76" t="inlineStr">
        <x:is>
          <x:t xml:space="preserve">yes</x:t>
        </x:is>
      </x:c>
      <x:c r="F15" s="76" t="inlineStr">
        <x:is>
          <x:t xml:space="preserve">no</x:t>
        </x:is>
      </x:c>
      <x:c r="G15" s="73" t="inlineStr">
        <x:is>
          <x:t xml:space="preserve">pending manual test</x:t>
        </x:is>
      </x:c>
      <x:c r="H15" s="92" t="inlineStr">
        <x:is>
          <x:t xml:space="preserve">untested</x:t>
        </x:is>
      </x:c>
      <x:c r="I15" s="84" t="inlineStr">
        <x:is>
          <x:t xml:space="preserve">Link playground scenario and draft .manual-tests/link.md protocol.</x:t>
        </x:is>
      </x:c>
      <x:c r="J15" s="84" t="inlineStr">
        <x:is>
          <x:t xml:space="preserve">Run the Link Manual Test Protocol and record owner evidence.</x:t>
        </x:is>
      </x:c>
      <x:c r="K15" s="87" t="n">
        <x:f>IF(AND(E15="yes",F15="yes",H15="covered"),1,IF(H15="partial",0.5,0))</x:f>
        <x:v>0</x:v>
      </x:c>
    </x:row>
    <x:row r="16" s="51" customFormat="1" ht="30" customHeight="1">
      <x:c r="A16" s="73" t="n">
        <x:v>8</x:v>
      </x:c>
      <x:c r="B16" s="84" t="inlineStr">
        <x:is>
          <x:t xml:space="preserve">Navigation</x:t>
        </x:is>
      </x:c>
      <x:c r="C16" s="84" t="inlineStr">
        <x:is>
          <x:t xml:space="preserve">Root</x:t>
        </x:is>
      </x:c>
      <x:c r="D16" s="84" t="inlineStr">
        <x:is>
          <x:t xml:space="preserve">default rendering exposes href=#link-destination</x:t>
        </x:is>
      </x:c>
      <x:c r="E16" s="76" t="inlineStr">
        <x:is>
          <x:t xml:space="preserve">yes</x:t>
        </x:is>
      </x:c>
      <x:c r="F16" s="76" t="inlineStr">
        <x:is>
          <x:t xml:space="preserve">no</x:t>
        </x:is>
      </x:c>
      <x:c r="G16" s="73" t="inlineStr">
        <x:is>
          <x:t xml:space="preserve">pending manual test</x:t>
        </x:is>
      </x:c>
      <x:c r="H16" s="92" t="inlineStr">
        <x:is>
          <x:t xml:space="preserve">untested</x:t>
        </x:is>
      </x:c>
      <x:c r="I16" s="84" t="inlineStr">
        <x:is>
          <x:t xml:space="preserve">Link playground scenario and draft .manual-tests/link.md protocol.</x:t>
        </x:is>
      </x:c>
      <x:c r="J16" s="84" t="inlineStr">
        <x:is>
          <x:t xml:space="preserve">Run the Link Manual Test Protocol and record owner evidence.</x:t>
        </x:is>
      </x:c>
      <x:c r="K16" s="87" t="n">
        <x:f>IF(AND(E16="yes",F16="yes",H16="covered"),1,IF(H16="partial",0.5,0))</x:f>
        <x:v>0</x:v>
      </x:c>
    </x:row>
    <x:row r="17" s="51" customFormat="1" ht="30" customHeight="1">
      <x:c r="A17" s="73" t="n">
        <x:v>9</x:v>
      </x:c>
      <x:c r="B17" s="84" t="inlineStr">
        <x:is>
          <x:t xml:space="preserve">Identity</x:t>
        </x:is>
      </x:c>
      <x:c r="C17" s="84" t="inlineStr">
        <x:is>
          <x:t xml:space="preserve">Root</x:t>
        </x:is>
      </x:c>
      <x:c r="D17" s="84" t="inlineStr">
        <x:is>
          <x:t xml:space="preserve">default data-slot is link</x:t>
        </x:is>
      </x:c>
      <x:c r="E17" s="76" t="inlineStr">
        <x:is>
          <x:t xml:space="preserve">yes</x:t>
        </x:is>
      </x:c>
      <x:c r="F17" s="76" t="inlineStr">
        <x:is>
          <x:t xml:space="preserve">no</x:t>
        </x:is>
      </x:c>
      <x:c r="G17" s="73" t="inlineStr">
        <x:is>
          <x:t xml:space="preserve">pending manual test</x:t>
        </x:is>
      </x:c>
      <x:c r="H17" s="92" t="inlineStr">
        <x:is>
          <x:t xml:space="preserve">untested</x:t>
        </x:is>
      </x:c>
      <x:c r="I17" s="84" t="inlineStr">
        <x:is>
          <x:t xml:space="preserve">Link playground scenario and draft .manual-tests/link.md protocol.</x:t>
        </x:is>
      </x:c>
      <x:c r="J17" s="84" t="inlineStr">
        <x:is>
          <x:t xml:space="preserve">Run the Link Manual Test Protocol and record owner evidence.</x:t>
        </x:is>
      </x:c>
      <x:c r="K17" s="87" t="n">
        <x:f>IF(AND(E17="yes",F17="yes",H17="covered"),1,IF(H17="partial",0.5,0))</x:f>
        <x:v>0</x:v>
      </x:c>
    </x:row>
    <x:row r="18" s="51" customFormat="1" ht="30" customHeight="1">
      <x:c r="A18" s="73" t="n">
        <x:v>10</x:v>
      </x:c>
      <x:c r="B18" s="84" t="inlineStr">
        <x:is>
          <x:t xml:space="preserve">Refs</x:t>
        </x:is>
      </x:c>
      <x:c r="C18" s="84" t="inlineStr">
        <x:is>
          <x:t xml:space="preserve">Root</x:t>
        </x:is>
      </x:c>
      <x:c r="D18" s="84" t="inlineStr">
        <x:is>
          <x:t xml:space="preserve">consumer ref receives the rendered anchor</x:t>
        </x:is>
      </x:c>
      <x:c r="E18" s="76" t="inlineStr">
        <x:is>
          <x:t xml:space="preserve">yes</x:t>
        </x:is>
      </x:c>
      <x:c r="F18" s="76" t="inlineStr">
        <x:is>
          <x:t xml:space="preserve">no</x:t>
        </x:is>
      </x:c>
      <x:c r="G18" s="73" t="inlineStr">
        <x:is>
          <x:t xml:space="preserve">pending manual test</x:t>
        </x:is>
      </x:c>
      <x:c r="H18" s="92" t="inlineStr">
        <x:is>
          <x:t xml:space="preserve">untested</x:t>
        </x:is>
      </x:c>
      <x:c r="I18" s="84" t="inlineStr">
        <x:is>
          <x:t xml:space="preserve">Link playground scenario and draft .manual-tests/link.md protocol.</x:t>
        </x:is>
      </x:c>
      <x:c r="J18" s="84" t="inlineStr">
        <x:is>
          <x:t xml:space="preserve">Run the Link Manual Test Protocol and record owner evidence.</x:t>
        </x:is>
      </x:c>
      <x:c r="K18" s="87" t="n">
        <x:f>IF(AND(E18="yes",F18="yes",H18="covered"),1,IF(H18="partial",0.5,0))</x:f>
        <x:v>0</x:v>
      </x:c>
    </x:row>
    <x:row r="19" s="51" customFormat="1" ht="30" customHeight="1">
      <x:c r="A19" s="73" t="n">
        <x:v>11</x:v>
      </x:c>
      <x:c r="B19" s="84" t="inlineStr">
        <x:is>
          <x:t xml:space="preserve">Native props</x:t>
        </x:is>
      </x:c>
      <x:c r="C19" s="84" t="inlineStr">
        <x:is>
          <x:t xml:space="preserve">Root</x:t>
        </x:is>
      </x:c>
      <x:c r="D19" s="84" t="inlineStr">
        <x:is>
          <x:t xml:space="preserve">title and rel pass through and can be removed independently</x:t>
        </x:is>
      </x:c>
      <x:c r="E19" s="76" t="inlineStr">
        <x:is>
          <x:t xml:space="preserve">yes</x:t>
        </x:is>
      </x:c>
      <x:c r="F19" s="76" t="inlineStr">
        <x:is>
          <x:t xml:space="preserve">no</x:t>
        </x:is>
      </x:c>
      <x:c r="G19" s="73" t="inlineStr">
        <x:is>
          <x:t xml:space="preserve">pending manual test</x:t>
        </x:is>
      </x:c>
      <x:c r="H19" s="92" t="inlineStr">
        <x:is>
          <x:t xml:space="preserve">untested</x:t>
        </x:is>
      </x:c>
      <x:c r="I19" s="84" t="inlineStr">
        <x:is>
          <x:t xml:space="preserve">Link playground scenario and draft .manual-tests/link.md protocol.</x:t>
        </x:is>
      </x:c>
      <x:c r="J19" s="84" t="inlineStr">
        <x:is>
          <x:t xml:space="preserve">Run the Link Manual Test Protocol and record owner evidence.</x:t>
        </x:is>
      </x:c>
      <x:c r="K19" s="87" t="n">
        <x:f>IF(AND(E19="yes",F19="yes",H19="covered"),1,IF(H19="partial",0.5,0))</x:f>
        <x:v>0</x:v>
      </x:c>
    </x:row>
    <x:row r="20" s="51" customFormat="1" ht="15" customHeight="1">
      <x:c r="A20" s="73" t="n">
        <x:v>12</x:v>
      </x:c>
      <x:c r="B20" s="84" t="inlineStr">
        <x:is>
          <x:t xml:space="preserve">Accessibility</x:t>
        </x:is>
      </x:c>
      <x:c r="C20" s="84" t="inlineStr">
        <x:is>
          <x:t xml:space="preserve">Root</x:t>
        </x:is>
      </x:c>
      <x:c r="D20" s="84" t="inlineStr">
        <x:is>
          <x:t xml:space="preserve">aria-current passes through without an active/current alias</x:t>
        </x:is>
      </x:c>
      <x:c r="E20" s="76" t="inlineStr">
        <x:is>
          <x:t xml:space="preserve">yes</x:t>
        </x:is>
      </x:c>
      <x:c r="F20" s="76" t="inlineStr">
        <x:is>
          <x:t xml:space="preserve">no</x:t>
        </x:is>
      </x:c>
      <x:c r="G20" s="73" t="inlineStr">
        <x:is>
          <x:t xml:space="preserve">pending manual test</x:t>
        </x:is>
      </x:c>
      <x:c r="H20" s="92" t="inlineStr">
        <x:is>
          <x:t xml:space="preserve">untested</x:t>
        </x:is>
      </x:c>
      <x:c r="I20" s="84" t="inlineStr">
        <x:is>
          <x:t xml:space="preserve">Link playground scenario and draft .manual-tests/link.md protocol.</x:t>
        </x:is>
      </x:c>
      <x:c r="J20" s="84" t="inlineStr">
        <x:is>
          <x:t xml:space="preserve">Run the Link Manual Test Protocol and record owner evidence.</x:t>
        </x:is>
      </x:c>
      <x:c r="K20" s="87" t="n">
        <x:f>IF(AND(E20="yes",F20="yes",H20="covered"),1,IF(H20="partial",0.5,0))</x:f>
        <x:v>0</x:v>
      </x:c>
    </x:row>
    <x:row r="21" s="51" customFormat="1" ht="15" customHeight="1">
      <x:c r="A21" s="73" t="n">
        <x:v>13</x:v>
      </x:c>
      <x:c r="B21" s="84" t="inlineStr">
        <x:is>
          <x:t xml:space="preserve">Accessibility</x:t>
        </x:is>
      </x:c>
      <x:c r="C21" s="84" t="inlineStr">
        <x:is>
          <x:t xml:space="preserve">Root</x:t>
        </x:is>
      </x:c>
      <x:c r="D21" s="84" t="inlineStr">
        <x:is>
          <x:t xml:space="preserve">native output adds no role, tabindex, or aria-disabled</x:t>
        </x:is>
      </x:c>
      <x:c r="E21" s="76" t="inlineStr">
        <x:is>
          <x:t xml:space="preserve">yes</x:t>
        </x:is>
      </x:c>
      <x:c r="F21" s="76" t="inlineStr">
        <x:is>
          <x:t xml:space="preserve">no</x:t>
        </x:is>
      </x:c>
      <x:c r="G21" s="73" t="inlineStr">
        <x:is>
          <x:t xml:space="preserve">pending manual test</x:t>
        </x:is>
      </x:c>
      <x:c r="H21" s="92" t="inlineStr">
        <x:is>
          <x:t xml:space="preserve">untested</x:t>
        </x:is>
      </x:c>
      <x:c r="I21" s="84" t="inlineStr">
        <x:is>
          <x:t xml:space="preserve">Link playground scenario and draft .manual-tests/link.md protocol.</x:t>
        </x:is>
      </x:c>
      <x:c r="J21" s="84" t="inlineStr">
        <x:is>
          <x:t xml:space="preserve">Run the Link Manual Test Protocol and record owner evidence.</x:t>
        </x:is>
      </x:c>
      <x:c r="K21" s="87" t="n">
        <x:f>IF(AND(E21="yes",F21="yes",H21="covered"),1,IF(H21="partial",0.5,0))</x:f>
        <x:v>0</x:v>
      </x:c>
    </x:row>
    <x:row r="22" s="51" customFormat="1" ht="30" customHeight="1">
      <x:c r="A22" s="73" t="n">
        <x:v>14</x:v>
      </x:c>
      <x:c r="B22" s="84" t="inlineStr">
        <x:is>
          <x:t xml:space="preserve">Composition</x:t>
        </x:is>
      </x:c>
      <x:c r="C22" s="84" t="inlineStr">
        <x:is>
          <x:t xml:space="preserve">Root</x:t>
        </x:is>
      </x:c>
      <x:c r="D22" s="84" t="inlineStr">
        <x:is>
          <x:t xml:space="preserve">asChild preserves one final router-owned anchor and href</x:t>
        </x:is>
      </x:c>
      <x:c r="E22" s="76" t="inlineStr">
        <x:is>
          <x:t xml:space="preserve">yes</x:t>
        </x:is>
      </x:c>
      <x:c r="F22" s="76" t="inlineStr">
        <x:is>
          <x:t xml:space="preserve">no</x:t>
        </x:is>
      </x:c>
      <x:c r="G22" s="73" t="inlineStr">
        <x:is>
          <x:t xml:space="preserve">pending manual test</x:t>
        </x:is>
      </x:c>
      <x:c r="H22" s="92" t="inlineStr">
        <x:is>
          <x:t xml:space="preserve">untested</x:t>
        </x:is>
      </x:c>
      <x:c r="I22" s="84" t="inlineStr">
        <x:is>
          <x:t xml:space="preserve">Link playground scenario and draft .manual-tests/link.md protocol.</x:t>
        </x:is>
      </x:c>
      <x:c r="J22" s="84" t="inlineStr">
        <x:is>
          <x:t xml:space="preserve">Run the Link Manual Test Protocol and record owner evidence.</x:t>
        </x:is>
      </x:c>
      <x:c r="K22" s="87" t="n">
        <x:f>IF(AND(E22="yes",F22="yes",H22="covered"),1,IF(H22="partial",0.5,0))</x:f>
        <x:v>0</x:v>
      </x:c>
    </x:row>
    <x:row r="23" s="51" customFormat="1" ht="30" customHeight="1">
      <x:c r="A23" s="73" t="n">
        <x:v>15</x:v>
      </x:c>
      <x:c r="B23" s="84" t="inlineStr">
        <x:is>
          <x:t xml:space="preserve">Composition</x:t>
        </x:is>
      </x:c>
      <x:c r="C23" s="84" t="inlineStr">
        <x:is>
          <x:t xml:space="preserve">Root</x:t>
        </x:is>
      </x:c>
      <x:c r="D23" s="84" t="inlineStr">
        <x:is>
          <x:t xml:space="preserve">render preserves one final router-owned anchor and href</x:t>
        </x:is>
      </x:c>
      <x:c r="E23" s="76" t="inlineStr">
        <x:is>
          <x:t xml:space="preserve">yes</x:t>
        </x:is>
      </x:c>
      <x:c r="F23" s="76" t="inlineStr">
        <x:is>
          <x:t xml:space="preserve">no</x:t>
        </x:is>
      </x:c>
      <x:c r="G23" s="73" t="inlineStr">
        <x:is>
          <x:t xml:space="preserve">pending manual test</x:t>
        </x:is>
      </x:c>
      <x:c r="H23" s="92" t="inlineStr">
        <x:is>
          <x:t xml:space="preserve">untested</x:t>
        </x:is>
      </x:c>
      <x:c r="I23" s="84" t="inlineStr">
        <x:is>
          <x:t xml:space="preserve">Link playground scenario and draft .manual-tests/link.md protocol.</x:t>
        </x:is>
      </x:c>
      <x:c r="J23" s="84" t="inlineStr">
        <x:is>
          <x:t xml:space="preserve">Run the Link Manual Test Protocol and record owner evidence.</x:t>
        </x:is>
      </x:c>
      <x:c r="K23" s="87" t="n">
        <x:f>IF(AND(E23="yes",F23="yes",H23="covered"),1,IF(H23="partial",0.5,0))</x:f>
        <x:v>0</x:v>
      </x:c>
    </x:row>
    <x:row r="24" s="51" customFormat="1" ht="30" customHeight="1">
      <x:c r="A24" s="73" t="n">
        <x:v>16</x:v>
      </x:c>
      <x:c r="B24" s="84" t="inlineStr">
        <x:is>
          <x:t xml:space="preserve">Composition</x:t>
        </x:is>
      </x:c>
      <x:c r="C24" s="84" t="inlineStr">
        <x:is>
          <x:t xml:space="preserve">Root</x:t>
        </x:is>
      </x:c>
      <x:c r="D24" s="84" t="inlineStr">
        <x:is>
          <x:t xml:space="preserve">composed links activate once without duplicate navigation</x:t>
        </x:is>
      </x:c>
      <x:c r="E24" s="76" t="inlineStr">
        <x:is>
          <x:t xml:space="preserve">yes</x:t>
        </x:is>
      </x:c>
      <x:c r="F24" s="76" t="inlineStr">
        <x:is>
          <x:t xml:space="preserve">no</x:t>
        </x:is>
      </x:c>
      <x:c r="G24" s="73" t="inlineStr">
        <x:is>
          <x:t xml:space="preserve">pending manual test</x:t>
        </x:is>
      </x:c>
      <x:c r="H24" s="92" t="inlineStr">
        <x:is>
          <x:t xml:space="preserve">untested</x:t>
        </x:is>
      </x:c>
      <x:c r="I24" s="84" t="inlineStr">
        <x:is>
          <x:t xml:space="preserve">Link playground scenario and draft .manual-tests/link.md protocol.</x:t>
        </x:is>
      </x:c>
      <x:c r="J24" s="84" t="inlineStr">
        <x:is>
          <x:t xml:space="preserve">Run the Link Manual Test Protocol and record owner evidence.</x:t>
        </x:is>
      </x:c>
      <x:c r="K24" s="87" t="n">
        <x:f>IF(AND(E24="yes",F24="yes",H24="covered"),1,IF(H24="partial",0.5,0))</x:f>
        <x:v>0</x:v>
      </x:c>
    </x:row>
    <x:row r="25" s="51" customFormat="1" ht="30" customHeight="1">
      <x:c r="A25" s="73" t="n">
        <x:v>17</x:v>
      </x:c>
      <x:c r="B25" s="84" t="inlineStr">
        <x:is>
          <x:t xml:space="preserve">Semantics</x:t>
        </x:is>
      </x:c>
      <x:c r="C25" s="84" t="inlineStr">
        <x:is>
          <x:t xml:space="preserve">Root</x:t>
        </x:is>
      </x:c>
      <x:c r="D25" s="84" t="inlineStr">
        <x:is>
          <x:t xml:space="preserve">Link navigation and Button action examples remain distinct</x:t>
        </x:is>
      </x:c>
      <x:c r="E25" s="76" t="inlineStr">
        <x:is>
          <x:t xml:space="preserve">yes</x:t>
        </x:is>
      </x:c>
      <x:c r="F25" s="76" t="inlineStr">
        <x:is>
          <x:t xml:space="preserve">no</x:t>
        </x:is>
      </x:c>
      <x:c r="G25" s="73" t="inlineStr">
        <x:is>
          <x:t xml:space="preserve">pending manual test</x:t>
        </x:is>
      </x:c>
      <x:c r="H25" s="92" t="inlineStr">
        <x:is>
          <x:t xml:space="preserve">untested</x:t>
        </x:is>
      </x:c>
      <x:c r="I25" s="84" t="inlineStr">
        <x:is>
          <x:t xml:space="preserve">Link playground scenario and draft .manual-tests/link.md protocol.</x:t>
        </x:is>
      </x:c>
      <x:c r="J25" s="84" t="inlineStr">
        <x:is>
          <x:t xml:space="preserve">Run the Link Manual Test Protocol and record owner evidence.</x:t>
        </x:is>
      </x:c>
      <x:c r="K25" s="87" t="n">
        <x:f>IF(AND(E25="yes",F25="yes",H25="covered"),1,IF(H25="partial",0.5,0))</x:f>
        <x:v>0</x:v>
      </x:c>
    </x:row>
    <x:row r="26" s="51" customFormat="1" ht="30" customHeight="1">
      <x:c r="A26" s="73" t="n">
        <x:v>18</x:v>
      </x:c>
      <x:c r="B26" s="84" t="inlineStr">
        <x:is>
          <x:t xml:space="preserve">Native behavior</x:t>
        </x:is>
      </x:c>
      <x:c r="C26" s="84" t="inlineStr">
        <x:is>
          <x:t xml:space="preserve">Root</x:t>
        </x:is>
      </x:c>
      <x:c r="D26" s="84" t="inlineStr">
        <x:is>
          <x:t xml:space="preserve">Enter activates the link and same-page navigation remains browser-owned</x:t>
        </x:is>
      </x:c>
      <x:c r="E26" s="76" t="inlineStr">
        <x:is>
          <x:t xml:space="preserve">yes</x:t>
        </x:is>
      </x:c>
      <x:c r="F26" s="76" t="inlineStr">
        <x:is>
          <x:t xml:space="preserve">no</x:t>
        </x:is>
      </x:c>
      <x:c r="G26" s="73" t="inlineStr">
        <x:is>
          <x:t xml:space="preserve">pending manual test</x:t>
        </x:is>
      </x:c>
      <x:c r="H26" s="92" t="inlineStr">
        <x:is>
          <x:t xml:space="preserve">untested</x:t>
        </x:is>
      </x:c>
      <x:c r="I26" s="84" t="inlineStr">
        <x:is>
          <x:t xml:space="preserve">Link playground scenario and draft .manual-tests/link.md protocol.</x:t>
        </x:is>
      </x:c>
      <x:c r="J26" s="84" t="inlineStr">
        <x:is>
          <x:t xml:space="preserve">Run the Link Manual Test Protocol and record owner evidence.</x:t>
        </x:is>
      </x:c>
      <x:c r="K26" s="87" t="n">
        <x:f>IF(AND(E26="yes",F26="yes",H26="covered"),1,IF(H26="partial",0.5,0))</x:f>
        <x:v>0</x:v>
      </x:c>
    </x:row>
    <x:row r="27" s="51" customFormat="1" ht="30" customHeight="1">
      <x:c r="A27" s="73" t="n">
        <x:v>19</x:v>
      </x:c>
      <x:c r="B27" s="84" t="inlineStr">
        <x:is>
          <x:t xml:space="preserve">Native behavior</x:t>
        </x:is>
      </x:c>
      <x:c r="C27" s="84" t="inlineStr">
        <x:is>
          <x:t xml:space="preserve">Root</x:t>
        </x:is>
      </x:c>
      <x:c r="D27" s="84" t="inlineStr">
        <x:is>
          <x:t xml:space="preserve">browser context-menu and address actions remain available</x:t>
        </x:is>
      </x:c>
      <x:c r="E27" s="76" t="inlineStr">
        <x:is>
          <x:t xml:space="preserve">yes</x:t>
        </x:is>
      </x:c>
      <x:c r="F27" s="76" t="inlineStr">
        <x:is>
          <x:t xml:space="preserve">no</x:t>
        </x:is>
      </x:c>
      <x:c r="G27" s="73" t="inlineStr">
        <x:is>
          <x:t xml:space="preserve">pending manual test</x:t>
        </x:is>
      </x:c>
      <x:c r="H27" s="92" t="inlineStr">
        <x:is>
          <x:t xml:space="preserve">untested</x:t>
        </x:is>
      </x:c>
      <x:c r="I27" s="84" t="inlineStr">
        <x:is>
          <x:t xml:space="preserve">Link playground scenario and draft .manual-tests/link.md protocol.</x:t>
        </x:is>
      </x:c>
      <x:c r="J27" s="84" t="inlineStr">
        <x:is>
          <x:t xml:space="preserve">Run the Link Manual Test Protocol and record owner evidence.</x:t>
        </x:is>
      </x:c>
      <x:c r="K27" s="87" t="n">
        <x:f>IF(AND(E27="yes",F27="yes",H27="covered"),1,IF(H27="partial",0.5,0))</x:f>
        <x:v>0</x:v>
      </x:c>
    </x:row>
    <x:row r="28" s="51" customFormat="1" ht="30" customHeight="1">
      <x:c r="A28" s="73" t="n">
        <x:v>20</x:v>
      </x:c>
      <x:c r="B28" s="84" t="inlineStr">
        <x:is>
          <x:t xml:space="preserve">External navigation</x:t>
        </x:is>
      </x:c>
      <x:c r="C28" s="84" t="inlineStr">
        <x:is>
          <x:t xml:space="preserve">Root</x:t>
        </x:is>
      </x:c>
      <x:c r="D28" s="84" t="inlineStr">
        <x:is>
          <x:t xml:space="preserve">target and rel pass through without inferred external UI</x:t>
        </x:is>
      </x:c>
      <x:c r="E28" s="76" t="inlineStr">
        <x:is>
          <x:t xml:space="preserve">yes</x:t>
        </x:is>
      </x:c>
      <x:c r="F28" s="76" t="inlineStr">
        <x:is>
          <x:t xml:space="preserve">no</x:t>
        </x:is>
      </x:c>
      <x:c r="G28" s="73" t="inlineStr">
        <x:is>
          <x:t xml:space="preserve">pending manual test</x:t>
        </x:is>
      </x:c>
      <x:c r="H28" s="92" t="inlineStr">
        <x:is>
          <x:t xml:space="preserve">untested</x:t>
        </x:is>
      </x:c>
      <x:c r="I28" s="84" t="inlineStr">
        <x:is>
          <x:t xml:space="preserve">Link playground scenario and draft .manual-tests/link.md protocol.</x:t>
        </x:is>
      </x:c>
      <x:c r="J28" s="84" t="inlineStr">
        <x:is>
          <x:t xml:space="preserve">Run the Link Manual Test Protocol and record owner evidence.</x:t>
        </x:is>
      </x:c>
      <x:c r="K28" s="87" t="n">
        <x:f>IF(AND(E28="yes",F28="yes",H28="covered"),1,IF(H28="partial",0.5,0))</x:f>
        <x:v>0</x:v>
      </x:c>
    </x:row>
    <x:row r="29" s="51" customFormat="1" ht="30" customHeight="1">
      <x:c r="A29" s="73" t="n">
        <x:v>21</x:v>
      </x:c>
      <x:c r="B29" s="84" t="inlineStr">
        <x:is>
          <x:t xml:space="preserve">Content</x:t>
        </x:is>
      </x:c>
      <x:c r="C29" s="84" t="inlineStr">
        <x:is>
          <x:t xml:space="preserve">Root</x:t>
        </x:is>
      </x:c>
      <x:c r="D29" s="84" t="inlineStr">
        <x:is>
          <x:t xml:space="preserve">visible link text identifies each destination</x:t>
        </x:is>
      </x:c>
      <x:c r="E29" s="76" t="inlineStr">
        <x:is>
          <x:t xml:space="preserve">yes</x:t>
        </x:is>
      </x:c>
      <x:c r="F29" s="76" t="inlineStr">
        <x:is>
          <x:t xml:space="preserve">no</x:t>
        </x:is>
      </x:c>
      <x:c r="G29" s="73" t="inlineStr">
        <x:is>
          <x:t xml:space="preserve">pending manual test</x:t>
        </x:is>
      </x:c>
      <x:c r="H29" s="92" t="inlineStr">
        <x:is>
          <x:t xml:space="preserve">untested</x:t>
        </x:is>
      </x:c>
      <x:c r="I29" s="84" t="inlineStr">
        <x:is>
          <x:t xml:space="preserve">Link playground scenario and draft .manual-tests/link.md protocol.</x:t>
        </x:is>
      </x:c>
      <x:c r="J29" s="84" t="inlineStr">
        <x:is>
          <x:t xml:space="preserve">Run the Link Manual Test Protocol and record owner evidence.</x:t>
        </x:is>
      </x:c>
      <x:c r="K29" s="87" t="n">
        <x:f>IF(AND(E29="yes",F29="yes",H29="covered"),1,IF(H29="partial",0.5,0))</x:f>
        <x:v>0</x:v>
      </x:c>
    </x:row>
    <x:row r="30" s="51" customFormat="1" ht="30" customHeight="1">
      <x:c r="A30" s="73" t="n">
        <x:v>22</x:v>
      </x:c>
      <x:c r="B30" s="84" t="inlineStr">
        <x:is>
          <x:t xml:space="preserve">Source</x:t>
        </x:is>
      </x:c>
      <x:c r="C30" s="84" t="inlineStr">
        <x:is>
          <x:t xml:space="preserve">Root</x:t>
        </x:is>
      </x:c>
      <x:c r="D30" s="84" t="inlineStr">
        <x:is>
          <x:t xml:space="preserve">generated examples always resolve to a final navigation destination</x:t>
        </x:is>
      </x:c>
      <x:c r="E30" s="76" t="inlineStr">
        <x:is>
          <x:t xml:space="preserve">yes</x:t>
        </x:is>
      </x:c>
      <x:c r="F30" s="76" t="inlineStr">
        <x:is>
          <x:t xml:space="preserve">no</x:t>
        </x:is>
      </x:c>
      <x:c r="G30" s="73" t="inlineStr">
        <x:is>
          <x:t xml:space="preserve">pending manual test</x:t>
        </x:is>
      </x:c>
      <x:c r="H30" s="92" t="inlineStr">
        <x:is>
          <x:t xml:space="preserve">untested</x:t>
        </x:is>
      </x:c>
      <x:c r="I30" s="84" t="inlineStr">
        <x:is>
          <x:t xml:space="preserve">Link playground scenario and draft .manual-tests/link.md protocol.</x:t>
        </x:is>
      </x:c>
      <x:c r="J30" s="84" t="inlineStr">
        <x:is>
          <x:t xml:space="preserve">Run the Link Manual Test Protocol and record owner evidence.</x:t>
        </x:is>
      </x:c>
      <x:c r="K30" s="87" t="n">
        <x:f>IF(AND(E30="yes",F30="yes",H30="covered"),1,IF(H30="partial",0.5,0))</x:f>
        <x:v>0</x:v>
      </x:c>
    </x:row>
    <x:row r="31" s="51" customFormat="1" ht="30" customHeight="1">
      <x:c r="A31" s="73" t="n">
        <x:v>23</x:v>
      </x:c>
      <x:c r="B31" s="84" t="inlineStr">
        <x:is>
          <x:t xml:space="preserve">Manual</x:t>
        </x:is>
      </x:c>
      <x:c r="C31" s="84" t="inlineStr">
        <x:is>
          <x:t xml:space="preserve">Root</x:t>
        </x:is>
      </x:c>
      <x:c r="D31" s="84" t="inlineStr">
        <x:is>
          <x:t xml:space="preserve">draft protocol covers native, composed, current, props, Source, Inspector, and Logs evidence</x:t>
        </x:is>
      </x:c>
      <x:c r="E31" s="76" t="inlineStr">
        <x:is>
          <x:t xml:space="preserve">yes</x:t>
        </x:is>
      </x:c>
      <x:c r="F31" s="76" t="inlineStr">
        <x:is>
          <x:t xml:space="preserve">no</x:t>
        </x:is>
      </x:c>
      <x:c r="G31" s="73" t="inlineStr">
        <x:is>
          <x:t xml:space="preserve">pending manual test</x:t>
        </x:is>
      </x:c>
      <x:c r="H31" s="92" t="inlineStr">
        <x:is>
          <x:t xml:space="preserve">untested</x:t>
        </x:is>
      </x:c>
      <x:c r="I31" s="84" t="inlineStr">
        <x:is>
          <x:t xml:space="preserve">Link playground scenario and draft .manual-tests/link.md protocol.</x:t>
        </x:is>
      </x:c>
      <x:c r="J31" s="84" t="inlineStr">
        <x:is>
          <x:t xml:space="preserve">Run the Link Manual Test Protocol and record owner evidence.</x:t>
        </x:is>
      </x:c>
      <x:c r="K31" s="87" t="n">
        <x:f>IF(AND(E31="yes",F31="yes",H31="covered"),1,IF(H31="partial",0.5,0))</x:f>
        <x:v>0</x:v>
      </x:c>
    </x:row>
    <x:row r="32" s="51" customFormat="1" ht="30" customHeight="1"/>
    <x:row r="33" s="51" customFormat="1" ht="30" customHeight="1"/>
    <x:row r="34" s="51" customFormat="1" ht="30" customHeight="1"/>
    <x:row r="35" s="51" customFormat="1" ht="30" customHeight="1"/>
    <x:row r="36" s="51" customFormat="1" ht="30" customHeight="1"/>
    <x:row r="37" s="51" customFormat="1" ht="30" customHeight="1"/>
    <x:row r="38" s="51" customFormat="1" ht="13.5" customHeight="1"/>
    <x:row r="39" s="51" customFormat="1" ht="13.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List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IFERROR(SUM(K9:K50)/COUNTA(A9:A50),0)</x:f>
        <x:v>1</x:v>
      </x:c>
      <x:c r="C4" s="70" t="inlineStr">
        <x:is>
          <x:t xml:space="preserve">Covered</x:t>
        </x:is>
      </x:c>
      <x:c r="D4" s="82" t="n">
        <x:f>COUNTIF(H9:H50,"covered")</x:f>
        <x:v>42</x:v>
      </x:c>
      <x:c r="E4" s="70" t="inlineStr">
        <x:is>
          <x:t xml:space="preserve">Partial</x:t>
        </x:is>
      </x:c>
      <x:c r="F4" s="82" t="n">
        <x:f>COUNTIF(H9:H50,"partial")</x:f>
        <x:v>0</x:v>
      </x:c>
      <x:c r="G4" s="70" t="inlineStr">
        <x:is>
          <x:t xml:space="preserve">Missing</x:t>
        </x:is>
      </x:c>
      <x:c r="H4" s="82" t="n">
        <x:f>COUNTIF(H9:H50,"missing")</x:f>
        <x:v>0</x:v>
      </x:c>
      <x:c r="I4" s="70" t="inlineStr">
        <x:is>
          <x:t xml:space="preserve">Untested</x:t>
        </x:is>
      </x:c>
      <x:c r="J4" s="82" t="n">
        <x:f>COUNTIF(F9:F50,"no")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76" t="inlineStr">
        <x:is>
          <x:t xml:space="preserve">yes</x:t>
        </x:is>
      </x:c>
      <x:c r="G9" s="73" t="inlineStr">
        <x:is>
          <x:t xml:space="preserve">passed</x:t>
        </x:is>
      </x:c>
      <x:c r="H9" s="92" t="inlineStr">
        <x:is>
          <x:t xml:space="preserve">covered</x:t>
        </x:is>
      </x:c>
      <x:c r="I9" s="84" t="inlineStr">
        <x:is>
          <x:t xml:space="preserve">List props manual verification.</x:t>
        </x:is>
      </x:c>
      <x:c r="J9" s="84" t="n"/>
      <x:c r="K9" s="87" t="n">
        <x:f>IF(AND(E9="yes",F9="yes",H9="covered"),1,IF(AND(E9="yes",H9="partial"),0.5,0))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76" t="inlineStr">
        <x:is>
          <x:t xml:space="preserve">yes</x:t>
        </x:is>
      </x:c>
      <x:c r="G10" s="73" t="inlineStr">
        <x:is>
          <x:t xml:space="preserve">passed</x:t>
        </x:is>
      </x:c>
      <x:c r="H10" s="92" t="inlineStr">
        <x:is>
          <x:t xml:space="preserve">covered</x:t>
        </x:is>
      </x:c>
      <x:c r="I10" s="84" t="inlineStr">
        <x:is>
          <x:t xml:space="preserve">List props manual verification.</x:t>
        </x:is>
      </x:c>
      <x:c r="J10" s="84" t="n"/>
      <x:c r="K10" s="87" t="n">
        <x:f>IF(AND(E10="yes",F10="yes",H10="covered"),1,IF(AND(E10="yes",H10="partial"),0.5,0))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List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76" t="inlineStr">
        <x:is>
          <x:t xml:space="preserve">yes</x:t>
        </x:is>
      </x:c>
      <x:c r="G11" s="73" t="inlineStr">
        <x:is>
          <x:t xml:space="preserve">passed</x:t>
        </x:is>
      </x:c>
      <x:c r="H11" s="92" t="inlineStr">
        <x:is>
          <x:t xml:space="preserve">covered</x:t>
        </x:is>
      </x:c>
      <x:c r="I11" s="84" t="inlineStr">
        <x:is>
          <x:t xml:space="preserve">List playground manual pass.</x:t>
        </x:is>
      </x:c>
      <x:c r="J11" s="84" t="n"/>
      <x:c r="K11" s="87" t="n">
        <x:f>IF(AND(E11="yes",F11="yes",H11="covered"),1,IF(AND(E11="yes",H11="partial"),0.5,0))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List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76" t="inlineStr">
        <x:is>
          <x:t xml:space="preserve">yes</x:t>
        </x:is>
      </x:c>
      <x:c r="G12" s="73" t="inlineStr">
        <x:is>
          <x:t xml:space="preserve">passed</x:t>
        </x:is>
      </x:c>
      <x:c r="H12" s="92" t="inlineStr">
        <x:is>
          <x:t xml:space="preserve">covered</x:t>
        </x:is>
      </x:c>
      <x:c r="I12" s="84" t="inlineStr">
        <x:is>
          <x:t xml:space="preserve">List playground manual pass.</x:t>
        </x:is>
      </x:c>
      <x:c r="J12" s="84" t="n"/>
      <x:c r="K12" s="87" t="n">
        <x:f>IF(AND(E12="yes",F12="yes",H12="covered"),1,IF(AND(E12="yes",H12="partial"),0.5,0))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List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76" t="inlineStr">
        <x:is>
          <x:t xml:space="preserve">yes</x:t>
        </x:is>
      </x:c>
      <x:c r="G13" s="73" t="inlineStr">
        <x:is>
          <x:t xml:space="preserve">passed</x:t>
        </x:is>
      </x:c>
      <x:c r="H13" s="92" t="inlineStr">
        <x:is>
          <x:t xml:space="preserve">covered</x:t>
        </x:is>
      </x:c>
      <x:c r="I13" s="84" t="inlineStr">
        <x:is>
          <x:t xml:space="preserve">List playground manual pass.</x:t>
        </x:is>
      </x:c>
      <x:c r="J13" s="84" t="n"/>
      <x:c r="K13" s="87" t="n">
        <x:f>IF(AND(E13="yes",F13="yes",H13="covered"),1,IF(AND(E13="yes",H13="partial"),0.5,0))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List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76" t="inlineStr">
        <x:is>
          <x:t xml:space="preserve">yes</x:t>
        </x:is>
      </x:c>
      <x:c r="G14" s="73" t="inlineStr">
        <x:is>
          <x:t xml:space="preserve">passed</x:t>
        </x:is>
      </x:c>
      <x:c r="H14" s="92" t="inlineStr">
        <x:is>
          <x:t xml:space="preserve">covered</x:t>
        </x:is>
      </x:c>
      <x:c r="I14" s="84" t="inlineStr">
        <x:is>
          <x:t xml:space="preserve">List playground manual pass.</x:t>
        </x:is>
      </x:c>
      <x:c r="J14" s="84" t="n"/>
      <x:c r="K14" s="87" t="n">
        <x:f>IF(AND(E14="yes",F14="yes",H14="covered"),1,IF(AND(E14="yes",H14="partial"),0.5,0))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List</x:t>
        </x:is>
      </x:c>
      <x:c r="D15" s="84" t="inlineStr">
        <x:is>
          <x:t xml:space="preserve">Renders native `ul`, `ol`, and `li` semantics</x:t>
        </x:is>
      </x:c>
      <x:c r="E15" s="76" t="inlineStr">
        <x:is>
          <x:t xml:space="preserve">yes</x:t>
        </x:is>
      </x:c>
      <x:c r="F15" s="76" t="inlineStr">
        <x:is>
          <x:t xml:space="preserve">yes</x:t>
        </x:is>
      </x:c>
      <x:c r="G15" s="73" t="inlineStr">
        <x:is>
          <x:t xml:space="preserve">passed</x:t>
        </x:is>
      </x:c>
      <x:c r="H15" s="92" t="inlineStr">
        <x:is>
          <x:t xml:space="preserve">covered</x:t>
        </x:is>
      </x:c>
      <x:c r="I15" s="84" t="inlineStr">
        <x:is>
          <x:t xml:space="preserve">List playground manual pass.</x:t>
        </x:is>
      </x:c>
      <x:c r="J15" s="84" t="n"/>
      <x:c r="K15" s="87" t="n">
        <x:f>IF(AND(E15="yes",F15="yes",H15="covered"),1,IF(AND(E15="yes",H15="partial"),0.5,0))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List</x:t>
        </x:is>
      </x:c>
      <x:c r="D16" s="84" t="inlineStr">
        <x:is>
          <x:t xml:space="preserve">Supports ordered and unordered list roots</x:t>
        </x:is>
      </x:c>
      <x:c r="E16" s="76" t="inlineStr">
        <x:is>
          <x:t xml:space="preserve">yes</x:t>
        </x:is>
      </x:c>
      <x:c r="F16" s="76" t="inlineStr">
        <x:is>
          <x:t xml:space="preserve">yes</x:t>
        </x:is>
      </x:c>
      <x:c r="G16" s="73" t="inlineStr">
        <x:is>
          <x:t xml:space="preserve">passed</x:t>
        </x:is>
      </x:c>
      <x:c r="H16" s="92" t="inlineStr">
        <x:is>
          <x:t xml:space="preserve">covered</x:t>
        </x:is>
      </x:c>
      <x:c r="I16" s="84" t="inlineStr">
        <x:is>
          <x:t xml:space="preserve">List playground manual pass.</x:t>
        </x:is>
      </x:c>
      <x:c r="J16" s="84" t="n"/>
      <x:c r="K16" s="87" t="n">
        <x:f>IF(AND(E16="yes",F16="yes",H16="covered"),1,IF(AND(E16="yes",H16="partial"),0.5,0))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List</x:t>
        </x:is>
      </x:c>
      <x:c r="D17" s="84" t="inlineStr">
        <x:is>
          <x:t xml:space="preserve">Supports disabled item metadata through `aria-disabled` and `data-disabled`</x:t>
        </x:is>
      </x:c>
      <x:c r="E17" s="76" t="inlineStr">
        <x:is>
          <x:t xml:space="preserve">yes</x:t>
        </x:is>
      </x:c>
      <x:c r="F17" s="76" t="inlineStr">
        <x:is>
          <x:t xml:space="preserve">yes</x:t>
        </x:is>
      </x:c>
      <x:c r="G17" s="73" t="inlineStr">
        <x:is>
          <x:t xml:space="preserve">passed</x:t>
        </x:is>
      </x:c>
      <x:c r="H17" s="92" t="inlineStr">
        <x:is>
          <x:t xml:space="preserve">covered</x:t>
        </x:is>
      </x:c>
      <x:c r="I17" s="84" t="inlineStr">
        <x:is>
          <x:t xml:space="preserve">List playground manual pass.</x:t>
        </x:is>
      </x:c>
      <x:c r="J17" s="84" t="n"/>
      <x:c r="K17" s="87" t="n">
        <x:f>IF(AND(E17="yes",F17="yes",H17="covered"),1,IF(AND(E17="yes",H17="partial"),0.5,0))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List</x:t>
        </x:is>
      </x:c>
      <x:c r="D18" s="84" t="inlineStr">
        <x:is>
          <x:t xml:space="preserve">Supports `asChild` and `render` composition</x:t>
        </x:is>
      </x:c>
      <x:c r="E18" s="76" t="inlineStr">
        <x:is>
          <x:t xml:space="preserve">yes</x:t>
        </x:is>
      </x:c>
      <x:c r="F18" s="76" t="inlineStr">
        <x:is>
          <x:t xml:space="preserve">yes</x:t>
        </x:is>
      </x:c>
      <x:c r="G18" s="73" t="inlineStr">
        <x:is>
          <x:t xml:space="preserve">passed</x:t>
        </x:is>
      </x:c>
      <x:c r="H18" s="92" t="inlineStr">
        <x:is>
          <x:t xml:space="preserve">covered</x:t>
        </x:is>
      </x:c>
      <x:c r="I18" s="84" t="inlineStr">
        <x:is>
          <x:t xml:space="preserve">List playground manual pass.</x:t>
        </x:is>
      </x:c>
      <x:c r="J18" s="84" t="n"/>
      <x:c r="K18" s="87" t="n">
        <x:f>IF(AND(E18="yes",F18="yes",H18="covered"),1,IF(AND(E18="yes",H18="partial"),0.5,0))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List</x:t>
        </x:is>
      </x:c>
      <x:c r="D19" s="84" t="inlineStr">
        <x:is>
          <x:t xml:space="preserve">Stays server-safe with no client boundary</x:t>
        </x:is>
      </x:c>
      <x:c r="E19" s="76" t="inlineStr">
        <x:is>
          <x:t xml:space="preserve">yes</x:t>
        </x:is>
      </x:c>
      <x:c r="F19" s="76" t="inlineStr">
        <x:is>
          <x:t xml:space="preserve">yes</x:t>
        </x:is>
      </x:c>
      <x:c r="G19" s="73" t="inlineStr">
        <x:is>
          <x:t xml:space="preserve">passed</x:t>
        </x:is>
      </x:c>
      <x:c r="H19" s="92" t="inlineStr">
        <x:is>
          <x:t xml:space="preserve">covered</x:t>
        </x:is>
      </x:c>
      <x:c r="I19" s="84" t="inlineStr">
        <x:is>
          <x:t xml:space="preserve">List playground manual pass.</x:t>
        </x:is>
      </x:c>
      <x:c r="J19" s="84" t="n"/>
      <x:c r="K19" s="87" t="n">
        <x:f>IF(AND(E19="yes",F19="yes",H19="covered"),1,IF(AND(E19="yes",H19="partial"),0.5,0))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76" t="inlineStr">
        <x:is>
          <x:t xml:space="preserve">yes</x:t>
        </x:is>
      </x:c>
      <x:c r="G20" s="73" t="inlineStr">
        <x:is>
          <x:t xml:space="preserve">passed</x:t>
        </x:is>
      </x:c>
      <x:c r="H20" s="92" t="inlineStr">
        <x:is>
          <x:t xml:space="preserve">covered</x:t>
        </x:is>
      </x:c>
      <x:c r="I20" s="84" t="inlineStr">
        <x:is>
          <x:t xml:space="preserve">List playground manual pass.</x:t>
        </x:is>
      </x:c>
      <x:c r="J20" s="84" t="n"/>
      <x:c r="K20" s="87" t="n">
        <x:f>IF(AND(E20="yes",F20="yes",H20="covered"),1,IF(AND(E20="yes",H20="partial"),0.5,0))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76" t="inlineStr">
        <x:is>
          <x:t xml:space="preserve">yes</x:t>
        </x:is>
      </x:c>
      <x:c r="G21" s="73" t="inlineStr">
        <x:is>
          <x:t xml:space="preserve">passed</x:t>
        </x:is>
      </x:c>
      <x:c r="H21" s="92" t="inlineStr">
        <x:is>
          <x:t xml:space="preserve">covered</x:t>
        </x:is>
      </x:c>
      <x:c r="I21" s="84" t="inlineStr">
        <x:is>
          <x:t xml:space="preserve">List playground manual pass.</x:t>
        </x:is>
      </x:c>
      <x:c r="J21" s="84" t="n"/>
      <x:c r="K21" s="87" t="n">
        <x:f>IF(AND(E21="yes",F21="yes",H21="covered"),1,IF(AND(E21="yes",H21="partial"),0.5,0))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76" t="inlineStr">
        <x:is>
          <x:t xml:space="preserve">yes</x:t>
        </x:is>
      </x:c>
      <x:c r="G22" s="73" t="inlineStr">
        <x:is>
          <x:t xml:space="preserve">passed</x:t>
        </x:is>
      </x:c>
      <x:c r="H22" s="92" t="inlineStr">
        <x:is>
          <x:t xml:space="preserve">covered</x:t>
        </x:is>
      </x:c>
      <x:c r="I22" s="84" t="inlineStr">
        <x:is>
          <x:t xml:space="preserve">List playground manual pass.</x:t>
        </x:is>
      </x:c>
      <x:c r="J22" s="84" t="n"/>
      <x:c r="K22" s="87" t="n">
        <x:f>IF(AND(E22="yes",F22="yes",H22="covered"),1,IF(AND(E22="yes",H22="partial"),0.5,0))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76" t="inlineStr">
        <x:is>
          <x:t xml:space="preserve">yes</x:t>
        </x:is>
      </x:c>
      <x:c r="G23" s="73" t="inlineStr">
        <x:is>
          <x:t xml:space="preserve">passed</x:t>
        </x:is>
      </x:c>
      <x:c r="H23" s="92" t="inlineStr">
        <x:is>
          <x:t xml:space="preserve">covered</x:t>
        </x:is>
      </x:c>
      <x:c r="I23" s="84" t="inlineStr">
        <x:is>
          <x:t xml:space="preserve">List playground manual pass.</x:t>
        </x:is>
      </x:c>
      <x:c r="J23" s="84" t="n"/>
      <x:c r="K23" s="87" t="n">
        <x:f>IF(AND(E23="yes",F23="yes",H23="covered"),1,IF(AND(E23="yes",H23="partial"),0.5,0))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76" t="inlineStr">
        <x:is>
          <x:t xml:space="preserve">yes</x:t>
        </x:is>
      </x:c>
      <x:c r="G24" s="73" t="inlineStr">
        <x:is>
          <x:t xml:space="preserve">passed</x:t>
        </x:is>
      </x:c>
      <x:c r="H24" s="92" t="inlineStr">
        <x:is>
          <x:t xml:space="preserve">covered</x:t>
        </x:is>
      </x:c>
      <x:c r="I24" s="84" t="inlineStr">
        <x:is>
          <x:t xml:space="preserve">List playground manual pass.</x:t>
        </x:is>
      </x:c>
      <x:c r="J24" s="84" t="n"/>
      <x:c r="K24" s="87" t="n">
        <x:f>IF(AND(E24="yes",F24="yes",H24="covered"),1,IF(AND(E24="yes",H24="partial"),0.5,0))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76" t="inlineStr">
        <x:is>
          <x:t xml:space="preserve">yes</x:t>
        </x:is>
      </x:c>
      <x:c r="G25" s="73" t="inlineStr">
        <x:is>
          <x:t xml:space="preserve">passed</x:t>
        </x:is>
      </x:c>
      <x:c r="H25" s="92" t="inlineStr">
        <x:is>
          <x:t xml:space="preserve">covered</x:t>
        </x:is>
      </x:c>
      <x:c r="I25" s="84" t="inlineStr">
        <x:is>
          <x:t xml:space="preserve">List playground manual pass.</x:t>
        </x:is>
      </x:c>
      <x:c r="J25" s="84" t="n"/>
      <x:c r="K25" s="87" t="n">
        <x:f>IF(AND(E25="yes",F25="yes",H25="covered"),1,IF(AND(E25="yes",H25="partial"),0.5,0))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Public API</x:t>
        </x:is>
      </x:c>
      <x:c r="C26" s="84" t="inlineStr">
        <x:is>
          <x:t xml:space="preserve">Root</x:t>
        </x:is>
      </x:c>
      <x:c r="D26" s="84" t="inlineStr">
        <x:is>
          <x:t xml:space="preserve">ordered prop behavior</x:t>
        </x:is>
      </x:c>
      <x:c r="E26" s="76" t="inlineStr">
        <x:is>
          <x:t xml:space="preserve">yes</x:t>
        </x:is>
      </x:c>
      <x:c r="F26" s="76" t="inlineStr">
        <x:is>
          <x:t xml:space="preserve">yes</x:t>
        </x:is>
      </x:c>
      <x:c r="G26" s="73" t="inlineStr">
        <x:is>
          <x:t xml:space="preserve">passed</x:t>
        </x:is>
      </x:c>
      <x:c r="H26" s="92" t="inlineStr">
        <x:is>
          <x:t xml:space="preserve">covered</x:t>
        </x:is>
      </x:c>
      <x:c r="I26" s="84" t="inlineStr">
        <x:is>
          <x:t xml:space="preserve">List playground manual pass.</x:t>
        </x:is>
      </x:c>
      <x:c r="J26" s="84" t="n"/>
      <x:c r="K26" s="87" t="n">
        <x:f>IF(AND(E26="yes",F26="yes",H26="covered"),1,IF(AND(E26="yes",H26="partial"),0.5,0))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Composition</x:t>
        </x:is>
      </x:c>
      <x:c r="C27" s="84" t="inlineStr">
        <x:is>
          <x:t xml:space="preserve">Root</x:t>
        </x:is>
      </x:c>
      <x:c r="D27" s="84" t="inlineStr">
        <x:is>
          <x:t xml:space="preserve">asChild prop behavior</x:t>
        </x:is>
      </x:c>
      <x:c r="E27" s="76" t="inlineStr">
        <x:is>
          <x:t xml:space="preserve">yes</x:t>
        </x:is>
      </x:c>
      <x:c r="F27" s="76" t="inlineStr">
        <x:is>
          <x:t xml:space="preserve">yes</x:t>
        </x:is>
      </x:c>
      <x:c r="G27" s="73" t="inlineStr">
        <x:is>
          <x:t xml:space="preserve">passed</x:t>
        </x:is>
      </x:c>
      <x:c r="H27" s="92" t="inlineStr">
        <x:is>
          <x:t xml:space="preserve">covered</x:t>
        </x:is>
      </x:c>
      <x:c r="I27" s="84" t="inlineStr">
        <x:is>
          <x:t xml:space="preserve">List playground manual pass.</x:t>
        </x:is>
      </x:c>
      <x:c r="J27" s="84" t="n"/>
      <x:c r="K27" s="87" t="n">
        <x:f>IF(AND(E27="yes",F27="yes",H27="covered"),1,IF(AND(E27="yes",H27="partial"),0.5,0))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Composition</x:t>
        </x:is>
      </x:c>
      <x:c r="C28" s="84" t="inlineStr">
        <x:is>
          <x:t xml:space="preserve">Root</x:t>
        </x:is>
      </x:c>
      <x:c r="D28" s="84" t="inlineStr">
        <x:is>
          <x:t xml:space="preserve">render prop behavior</x:t>
        </x:is>
      </x:c>
      <x:c r="E28" s="76" t="inlineStr">
        <x:is>
          <x:t xml:space="preserve">yes</x:t>
        </x:is>
      </x:c>
      <x:c r="F28" s="76" t="inlineStr">
        <x:is>
          <x:t xml:space="preserve">yes</x:t>
        </x:is>
      </x:c>
      <x:c r="G28" s="73" t="inlineStr">
        <x:is>
          <x:t xml:space="preserve">passed</x:t>
        </x:is>
      </x:c>
      <x:c r="H28" s="92" t="inlineStr">
        <x:is>
          <x:t xml:space="preserve">covered</x:t>
        </x:is>
      </x:c>
      <x:c r="I28" s="84" t="inlineStr">
        <x:is>
          <x:t xml:space="preserve">List playground manual pass.</x:t>
        </x:is>
      </x:c>
      <x:c r="J28" s="84" t="n"/>
      <x:c r="K28" s="87" t="n">
        <x:f>IF(AND(E28="yes",F28="yes",H28="covered"),1,IF(AND(E28="yes",H28="partial"),0.5,0))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[data-slot] prop behavior</x:t>
        </x:is>
      </x:c>
      <x:c r="E29" s="76" t="inlineStr">
        <x:is>
          <x:t xml:space="preserve">yes</x:t>
        </x:is>
      </x:c>
      <x:c r="F29" s="76" t="inlineStr">
        <x:is>
          <x:t xml:space="preserve">yes</x:t>
        </x:is>
      </x:c>
      <x:c r="G29" s="73" t="inlineStr">
        <x:is>
          <x:t xml:space="preserve">passed</x:t>
        </x:is>
      </x:c>
      <x:c r="H29" s="92" t="inlineStr">
        <x:is>
          <x:t xml:space="preserve">covered</x:t>
        </x:is>
      </x:c>
      <x:c r="I29" s="84" t="inlineStr">
        <x:is>
          <x:t xml:space="preserve">List playground manual pass.</x:t>
        </x:is>
      </x:c>
      <x:c r="J29" s="84" t="n"/>
      <x:c r="K29" s="87" t="n">
        <x:f>IF(AND(E29="yes",F29="yes",H29="covered"),1,IF(AND(E29="yes",H29="partial"),0.5,0))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[data-ordered] prop behavior</x:t>
        </x:is>
      </x:c>
      <x:c r="E30" s="76" t="inlineStr">
        <x:is>
          <x:t xml:space="preserve">yes</x:t>
        </x:is>
      </x:c>
      <x:c r="F30" s="76" t="inlineStr">
        <x:is>
          <x:t xml:space="preserve">yes</x:t>
        </x:is>
      </x:c>
      <x:c r="G30" s="73" t="inlineStr">
        <x:is>
          <x:t xml:space="preserve">passed</x:t>
        </x:is>
      </x:c>
      <x:c r="H30" s="92" t="inlineStr">
        <x:is>
          <x:t xml:space="preserve">covered</x:t>
        </x:is>
      </x:c>
      <x:c r="I30" s="84" t="inlineStr">
        <x:is>
          <x:t xml:space="preserve">List playground manual pass.</x:t>
        </x:is>
      </x:c>
      <x:c r="J30" s="84" t="n"/>
      <x:c r="K30" s="87" t="n">
        <x:f>IF(AND(E30="yes",F30="yes",H30="covered"),1,IF(AND(E30="yes",H30="partial"),0.5,0))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Anatomy</x:t>
        </x:is>
      </x:c>
      <x:c r="C31" s="84" t="inlineStr">
        <x:is>
          <x:t xml:space="preserve">Item</x:t>
        </x:is>
      </x:c>
      <x:c r="D31" s="84" t="inlineStr">
        <x:is>
          <x:t xml:space="preserve">renders correct part when expected</x:t>
        </x:is>
      </x:c>
      <x:c r="E31" s="76" t="inlineStr">
        <x:is>
          <x:t xml:space="preserve">yes</x:t>
        </x:is>
      </x:c>
      <x:c r="F31" s="76" t="inlineStr">
        <x:is>
          <x:t xml:space="preserve">yes</x:t>
        </x:is>
      </x:c>
      <x:c r="G31" s="73" t="inlineStr">
        <x:is>
          <x:t xml:space="preserve">passed</x:t>
        </x:is>
      </x:c>
      <x:c r="H31" s="92" t="inlineStr">
        <x:is>
          <x:t xml:space="preserve">covered</x:t>
        </x:is>
      </x:c>
      <x:c r="I31" s="84" t="inlineStr">
        <x:is>
          <x:t xml:space="preserve">List playground manual pass.</x:t>
        </x:is>
      </x:c>
      <x:c r="J31" s="84" t="n"/>
      <x:c r="K31" s="87" t="n">
        <x:f>IF(AND(E31="yes",F31="yes",H31="covered"),1,IF(AND(E31="yes",H31="partial"),0.5,0))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Anatomy</x:t>
        </x:is>
      </x:c>
      <x:c r="C32" s="84" t="inlineStr">
        <x:is>
          <x:t xml:space="preserve">Item</x:t>
        </x:is>
      </x:c>
      <x:c r="D32" s="84" t="inlineStr">
        <x:is>
          <x:t xml:space="preserve">appears in documented order</x:t>
        </x:is>
      </x:c>
      <x:c r="E32" s="76" t="inlineStr">
        <x:is>
          <x:t xml:space="preserve">yes</x:t>
        </x:is>
      </x:c>
      <x:c r="F32" s="76" t="inlineStr">
        <x:is>
          <x:t xml:space="preserve">yes</x:t>
        </x:is>
      </x:c>
      <x:c r="G32" s="73" t="inlineStr">
        <x:is>
          <x:t xml:space="preserve">passed</x:t>
        </x:is>
      </x:c>
      <x:c r="H32" s="92" t="inlineStr">
        <x:is>
          <x:t xml:space="preserve">covered</x:t>
        </x:is>
      </x:c>
      <x:c r="I32" s="84" t="inlineStr">
        <x:is>
          <x:t xml:space="preserve">List playground manual pass.</x:t>
        </x:is>
      </x:c>
      <x:c r="J32" s="84" t="n"/>
      <x:c r="K32" s="87" t="n">
        <x:f>IF(AND(E32="yes",F32="yes",H32="covered"),1,IF(AND(E32="yes",H32="partial"),0.5,0))</x:f>
        <x:v>1</x:v>
      </x:c>
    </x:row>
    <x:row r="33" s="51" customFormat="1" ht="30" customHeight="1">
      <x:c r="A33" s="73" t="n">
        <x:v>25</x:v>
      </x:c>
      <x:c r="B33" s="84" t="inlineStr">
        <x:is>
          <x:t xml:space="preserve">Identity</x:t>
        </x:is>
      </x:c>
      <x:c r="C33" s="84" t="inlineStr">
        <x:is>
          <x:t xml:space="preserve">Item</x:t>
        </x:is>
      </x:c>
      <x:c r="D33" s="84" t="inlineStr">
        <x:is>
          <x:t xml:space="preserve">default tag is visible in Anatomy/Inspector</x:t>
        </x:is>
      </x:c>
      <x:c r="E33" s="76" t="inlineStr">
        <x:is>
          <x:t xml:space="preserve">yes</x:t>
        </x:is>
      </x:c>
      <x:c r="F33" s="76" t="inlineStr">
        <x:is>
          <x:t xml:space="preserve">yes</x:t>
        </x:is>
      </x:c>
      <x:c r="G33" s="73" t="inlineStr">
        <x:is>
          <x:t xml:space="preserve">passed</x:t>
        </x:is>
      </x:c>
      <x:c r="H33" s="92" t="inlineStr">
        <x:is>
          <x:t xml:space="preserve">covered</x:t>
        </x:is>
      </x:c>
      <x:c r="I33" s="84" t="inlineStr">
        <x:is>
          <x:t xml:space="preserve">List playground manual pass.</x:t>
        </x:is>
      </x:c>
      <x:c r="J33" s="84" t="n"/>
      <x:c r="K33" s="87" t="n">
        <x:f>IF(AND(E33="yes",F33="yes",H33="covered"),1,IF(AND(E33="yes",H33="partial"),0.5,0))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Identity</x:t>
        </x:is>
      </x:c>
      <x:c r="C34" s="84" t="inlineStr">
        <x:is>
          <x:t xml:space="preserve">Item</x:t>
        </x:is>
      </x:c>
      <x:c r="D34" s="84" t="inlineStr">
        <x:is>
          <x:t xml:space="preserve">data-slot is present and correct</x:t>
        </x:is>
      </x:c>
      <x:c r="E34" s="76" t="inlineStr">
        <x:is>
          <x:t xml:space="preserve">yes</x:t>
        </x:is>
      </x:c>
      <x:c r="F34" s="76" t="inlineStr">
        <x:is>
          <x:t xml:space="preserve">yes</x:t>
        </x:is>
      </x:c>
      <x:c r="G34" s="73" t="inlineStr">
        <x:is>
          <x:t xml:space="preserve">passed</x:t>
        </x:is>
      </x:c>
      <x:c r="H34" s="92" t="inlineStr">
        <x:is>
          <x:t xml:space="preserve">covered</x:t>
        </x:is>
      </x:c>
      <x:c r="I34" s="84" t="inlineStr">
        <x:is>
          <x:t xml:space="preserve">List playground manual pass.</x:t>
        </x:is>
      </x:c>
      <x:c r="J34" s="84" t="n"/>
      <x:c r="K34" s="87" t="n">
        <x:f>IF(AND(E34="yes",F34="yes",H34="covered"),1,IF(AND(E34="yes",H34="partial"),0.5,0))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Props</x:t>
        </x:is>
      </x:c>
      <x:c r="C35" s="84" t="inlineStr">
        <x:is>
          <x:t xml:space="preserve">Item</x:t>
        </x:is>
      </x:c>
      <x:c r="D35" s="84" t="inlineStr">
        <x:is>
          <x:t xml:space="preserve">non-Atom native props pass through with data-prop-check marker</x:t>
        </x:is>
      </x:c>
      <x:c r="E35" s="76" t="inlineStr">
        <x:is>
          <x:t xml:space="preserve">yes</x:t>
        </x:is>
      </x:c>
      <x:c r="F35" s="76" t="inlineStr">
        <x:is>
          <x:t xml:space="preserve">yes</x:t>
        </x:is>
      </x:c>
      <x:c r="G35" s="73" t="inlineStr">
        <x:is>
          <x:t xml:space="preserve">passed</x:t>
        </x:is>
      </x:c>
      <x:c r="H35" s="92" t="inlineStr">
        <x:is>
          <x:t xml:space="preserve">covered</x:t>
        </x:is>
      </x:c>
      <x:c r="I35" s="84" t="inlineStr">
        <x:is>
          <x:t xml:space="preserve">List playground manual pass.</x:t>
        </x:is>
      </x:c>
      <x:c r="J35" s="84" t="n"/>
      <x:c r="K35" s="87" t="n">
        <x:f>IF(AND(E35="yes",F35="yes",H35="covered"),1,IF(AND(E35="yes",H35="partial"),0.5,0))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Refs</x:t>
        </x:is>
      </x:c>
      <x:c r="C36" s="84" t="inlineStr">
        <x:is>
          <x:t xml:space="preserve">Item</x:t>
        </x:is>
      </x:c>
      <x:c r="D36" s="84" t="inlineStr">
        <x:is>
          <x:t xml:space="preserve">consumer ref receives the rendered element</x:t>
        </x:is>
      </x:c>
      <x:c r="E36" s="76" t="inlineStr">
        <x:is>
          <x:t xml:space="preserve">yes</x:t>
        </x:is>
      </x:c>
      <x:c r="F36" s="76" t="inlineStr">
        <x:is>
          <x:t xml:space="preserve">yes</x:t>
        </x:is>
      </x:c>
      <x:c r="G36" s="73" t="inlineStr">
        <x:is>
          <x:t xml:space="preserve">passed</x:t>
        </x:is>
      </x:c>
      <x:c r="H36" s="92" t="inlineStr">
        <x:is>
          <x:t xml:space="preserve">covered</x:t>
        </x:is>
      </x:c>
      <x:c r="I36" s="84" t="inlineStr">
        <x:is>
          <x:t xml:space="preserve">List playground manual pass.</x:t>
        </x:is>
      </x:c>
      <x:c r="J36" s="84" t="n"/>
      <x:c r="K36" s="87" t="n">
        <x:f>IF(AND(E36="yes",F36="yes",H36="covered"),1,IF(AND(E36="yes",H36="partial"),0.5,0))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Item</x:t>
        </x:is>
      </x:c>
      <x:c r="D37" s="84" t="inlineStr">
        <x:is>
          <x:t xml:space="preserve">disabled prop behavior</x:t>
        </x:is>
      </x:c>
      <x:c r="E37" s="76" t="inlineStr">
        <x:is>
          <x:t xml:space="preserve">yes</x:t>
        </x:is>
      </x:c>
      <x:c r="F37" s="76" t="inlineStr">
        <x:is>
          <x:t xml:space="preserve">yes</x:t>
        </x:is>
      </x:c>
      <x:c r="G37" s="73" t="inlineStr">
        <x:is>
          <x:t xml:space="preserve">passed</x:t>
        </x:is>
      </x:c>
      <x:c r="H37" s="92" t="inlineStr">
        <x:is>
          <x:t xml:space="preserve">covered</x:t>
        </x:is>
      </x:c>
      <x:c r="I37" s="84" t="inlineStr">
        <x:is>
          <x:t xml:space="preserve">List playground manual pass.</x:t>
        </x:is>
      </x:c>
      <x:c r="J37" s="84" t="n"/>
      <x:c r="K37" s="87" t="n">
        <x:f>IF(AND(E37="yes",F37="yes",H37="covered"),1,IF(AND(E37="yes",H37="partial"),0.5,0))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Composition</x:t>
        </x:is>
      </x:c>
      <x:c r="C38" s="84" t="inlineStr">
        <x:is>
          <x:t xml:space="preserve">Item</x:t>
        </x:is>
      </x:c>
      <x:c r="D38" s="84" t="inlineStr">
        <x:is>
          <x:t xml:space="preserve">asChild prop behavior</x:t>
        </x:is>
      </x:c>
      <x:c r="E38" s="76" t="inlineStr">
        <x:is>
          <x:t xml:space="preserve">yes</x:t>
        </x:is>
      </x:c>
      <x:c r="F38" s="76" t="inlineStr">
        <x:is>
          <x:t xml:space="preserve">yes</x:t>
        </x:is>
      </x:c>
      <x:c r="G38" s="73" t="inlineStr">
        <x:is>
          <x:t xml:space="preserve">passed</x:t>
        </x:is>
      </x:c>
      <x:c r="H38" s="92" t="inlineStr">
        <x:is>
          <x:t xml:space="preserve">covered</x:t>
        </x:is>
      </x:c>
      <x:c r="I38" s="84" t="inlineStr">
        <x:is>
          <x:t xml:space="preserve">List playground manual pass.</x:t>
        </x:is>
      </x:c>
      <x:c r="J38" s="84" t="n"/>
      <x:c r="K38" s="87" t="n">
        <x:f>IF(AND(E38="yes",F38="yes",H38="covered"),1,IF(AND(E38="yes",H38="partial"),0.5,0))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Composition</x:t>
        </x:is>
      </x:c>
      <x:c r="C39" s="84" t="inlineStr">
        <x:is>
          <x:t xml:space="preserve">Item</x:t>
        </x:is>
      </x:c>
      <x:c r="D39" s="84" t="inlineStr">
        <x:is>
          <x:t xml:space="preserve">render prop behavior</x:t>
        </x:is>
      </x:c>
      <x:c r="E39" s="76" t="inlineStr">
        <x:is>
          <x:t xml:space="preserve">yes</x:t>
        </x:is>
      </x:c>
      <x:c r="F39" s="76" t="inlineStr">
        <x:is>
          <x:t xml:space="preserve">yes</x:t>
        </x:is>
      </x:c>
      <x:c r="G39" s="73" t="inlineStr">
        <x:is>
          <x:t xml:space="preserve">passed</x:t>
        </x:is>
      </x:c>
      <x:c r="H39" s="92" t="inlineStr">
        <x:is>
          <x:t xml:space="preserve">covered</x:t>
        </x:is>
      </x:c>
      <x:c r="I39" s="84" t="inlineStr">
        <x:is>
          <x:t xml:space="preserve">List playground manual pass.</x:t>
        </x:is>
      </x:c>
      <x:c r="J39" s="84" t="n"/>
      <x:c r="K39" s="87" t="n">
        <x:f>IF(AND(E39="yes",F39="yes",H39="covered"),1,IF(AND(E39="yes",H39="partial"),0.5,0))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Item</x:t>
        </x:is>
      </x:c>
      <x:c r="D40" s="84" t="inlineStr">
        <x:is>
          <x:t xml:space="preserve">[data-slot] prop behavior</x:t>
        </x:is>
      </x:c>
      <x:c r="E40" s="76" t="inlineStr">
        <x:is>
          <x:t xml:space="preserve">yes</x:t>
        </x:is>
      </x:c>
      <x:c r="F40" s="76" t="inlineStr">
        <x:is>
          <x:t xml:space="preserve">yes</x:t>
        </x:is>
      </x:c>
      <x:c r="G40" s="73" t="inlineStr">
        <x:is>
          <x:t xml:space="preserve">passed</x:t>
        </x:is>
      </x:c>
      <x:c r="H40" s="92" t="inlineStr">
        <x:is>
          <x:t xml:space="preserve">covered</x:t>
        </x:is>
      </x:c>
      <x:c r="I40" s="84" t="inlineStr">
        <x:is>
          <x:t xml:space="preserve">List playground manual pass.</x:t>
        </x:is>
      </x:c>
      <x:c r="J40" s="84" t="n"/>
      <x:c r="K40" s="87" t="n">
        <x:f>IF(AND(E40="yes",F40="yes",H40="covered"),1,IF(AND(E40="yes",H40="partial"),0.5,0))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Item</x:t>
        </x:is>
      </x:c>
      <x:c r="D41" s="84" t="inlineStr">
        <x:is>
          <x:t xml:space="preserve">[data-disabled] prop behavior</x:t>
        </x:is>
      </x:c>
      <x:c r="E41" s="76" t="inlineStr">
        <x:is>
          <x:t xml:space="preserve">yes</x:t>
        </x:is>
      </x:c>
      <x:c r="F41" s="76" t="inlineStr">
        <x:is>
          <x:t xml:space="preserve">yes</x:t>
        </x:is>
      </x:c>
      <x:c r="G41" s="73" t="inlineStr">
        <x:is>
          <x:t xml:space="preserve">passed</x:t>
        </x:is>
      </x:c>
      <x:c r="H41" s="92" t="inlineStr">
        <x:is>
          <x:t xml:space="preserve">covered</x:t>
        </x:is>
      </x:c>
      <x:c r="I41" s="84" t="inlineStr">
        <x:is>
          <x:t xml:space="preserve">List playground manual pass.</x:t>
        </x:is>
      </x:c>
      <x:c r="J41" s="84" t="n"/>
      <x:c r="K41" s="87" t="n">
        <x:f>IF(AND(E41="yes",F41="yes",H41="covered"),1,IF(AND(E41="yes",H41="partial"),0.5,0))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ARIA</x:t>
        </x:is>
      </x:c>
      <x:c r="C42" s="84" t="inlineStr">
        <x:is>
          <x:t xml:space="preserve">Live DOM</x:t>
        </x:is>
      </x:c>
      <x:c r="D42" s="84" t="inlineStr">
        <x:is>
          <x:t xml:space="preserve">aria-disabled is present at the correct time</x:t>
        </x:is>
      </x:c>
      <x:c r="E42" s="76" t="inlineStr">
        <x:is>
          <x:t xml:space="preserve">yes</x:t>
        </x:is>
      </x:c>
      <x:c r="F42" s="76" t="inlineStr">
        <x:is>
          <x:t xml:space="preserve">yes</x:t>
        </x:is>
      </x:c>
      <x:c r="G42" s="73" t="inlineStr">
        <x:is>
          <x:t xml:space="preserve">passed</x:t>
        </x:is>
      </x:c>
      <x:c r="H42" s="92" t="inlineStr">
        <x:is>
          <x:t xml:space="preserve">covered</x:t>
        </x:is>
      </x:c>
      <x:c r="I42" s="84" t="inlineStr">
        <x:is>
          <x:t xml:space="preserve">List playground manual pass.</x:t>
        </x:is>
      </x:c>
      <x:c r="J42" s="84" t="n"/>
      <x:c r="K42" s="87" t="n">
        <x:f>IF(AND(E42="yes",F42="yes",H42="covered"),1,IF(AND(E42="yes",H42="partial"),0.5,0))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Data</x:t>
        </x:is>
      </x:c>
      <x:c r="C43" s="84" t="inlineStr">
        <x:is>
          <x:t xml:space="preserve">Live DOM</x:t>
        </x:is>
      </x:c>
      <x:c r="D43" s="84" t="inlineStr">
        <x:is>
          <x:t xml:space="preserve">data-disabled is present at the correct time</x:t>
        </x:is>
      </x:c>
      <x:c r="E43" s="76" t="inlineStr">
        <x:is>
          <x:t xml:space="preserve">yes</x:t>
        </x:is>
      </x:c>
      <x:c r="F43" s="76" t="inlineStr">
        <x:is>
          <x:t xml:space="preserve">yes</x:t>
        </x:is>
      </x:c>
      <x:c r="G43" s="73" t="inlineStr">
        <x:is>
          <x:t xml:space="preserve">passed</x:t>
        </x:is>
      </x:c>
      <x:c r="H43" s="92" t="inlineStr">
        <x:is>
          <x:t xml:space="preserve">covered</x:t>
        </x:is>
      </x:c>
      <x:c r="I43" s="84" t="inlineStr">
        <x:is>
          <x:t xml:space="preserve">List playground manual pass.</x:t>
        </x:is>
      </x:c>
      <x:c r="J43" s="84" t="n"/>
      <x:c r="K43" s="87" t="n">
        <x:f>IF(AND(E43="yes",F43="yes",H43="covered"),1,IF(AND(E43="yes",H43="partial"),0.5,0))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Data</x:t>
        </x:is>
      </x:c>
      <x:c r="C44" s="84" t="inlineStr">
        <x:is>
          <x:t xml:space="preserve">Live DOM</x:t>
        </x:is>
      </x:c>
      <x:c r="D44" s="84" t="inlineStr">
        <x:is>
          <x:t xml:space="preserve">data-ordered is present at the correct time</x:t>
        </x:is>
      </x:c>
      <x:c r="E44" s="76" t="inlineStr">
        <x:is>
          <x:t xml:space="preserve">yes</x:t>
        </x:is>
      </x:c>
      <x:c r="F44" s="76" t="inlineStr">
        <x:is>
          <x:t xml:space="preserve">yes</x:t>
        </x:is>
      </x:c>
      <x:c r="G44" s="73" t="inlineStr">
        <x:is>
          <x:t xml:space="preserve">passed</x:t>
        </x:is>
      </x:c>
      <x:c r="H44" s="92" t="inlineStr">
        <x:is>
          <x:t xml:space="preserve">covered</x:t>
        </x:is>
      </x:c>
      <x:c r="I44" s="84" t="inlineStr">
        <x:is>
          <x:t xml:space="preserve">List playground manual pass.</x:t>
        </x:is>
      </x:c>
      <x:c r="J44" s="84" t="n"/>
      <x:c r="K44" s="87" t="n">
        <x:f>IF(AND(E44="yes",F44="yes",H44="covered"),1,IF(AND(E44="yes",H44="partial"),0.5,0))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Data</x:t>
        </x:is>
      </x:c>
      <x:c r="C45" s="84" t="inlineStr">
        <x:is>
          <x:t xml:space="preserve">Live DOM</x:t>
        </x:is>
      </x:c>
      <x:c r="D45" s="84" t="inlineStr">
        <x:is>
          <x:t xml:space="preserve">data-slot is present at the correct time</x:t>
        </x:is>
      </x:c>
      <x:c r="E45" s="76" t="inlineStr">
        <x:is>
          <x:t xml:space="preserve">yes</x:t>
        </x:is>
      </x:c>
      <x:c r="F45" s="76" t="inlineStr">
        <x:is>
          <x:t xml:space="preserve">yes</x:t>
        </x:is>
      </x:c>
      <x:c r="G45" s="73" t="inlineStr">
        <x:is>
          <x:t xml:space="preserve">passed</x:t>
        </x:is>
      </x:c>
      <x:c r="H45" s="92" t="inlineStr">
        <x:is>
          <x:t xml:space="preserve">covered</x:t>
        </x:is>
      </x:c>
      <x:c r="I45" s="84" t="inlineStr">
        <x:is>
          <x:t xml:space="preserve">List playground manual pass.</x:t>
        </x:is>
      </x:c>
      <x:c r="J45" s="84" t="n"/>
      <x:c r="K45" s="87" t="n">
        <x:f>IF(AND(E45="yes",F45="yes",H45="covered"),1,IF(AND(E45="yes",H45="partial"),0.5,0))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Composition</x:t>
        </x:is>
      </x:c>
      <x:c r="C46" s="84" t="inlineStr">
        <x:is>
          <x:t xml:space="preserve">List</x:t>
        </x:is>
      </x:c>
      <x:c r="D46" s="84" t="inlineStr">
        <x:is>
          <x:t xml:space="preserve">asChild preserves child content without double nesting</x:t>
        </x:is>
      </x:c>
      <x:c r="E46" s="76" t="inlineStr">
        <x:is>
          <x:t xml:space="preserve">yes</x:t>
        </x:is>
      </x:c>
      <x:c r="F46" s="76" t="inlineStr">
        <x:is>
          <x:t xml:space="preserve">yes</x:t>
        </x:is>
      </x:c>
      <x:c r="G46" s="73" t="inlineStr">
        <x:is>
          <x:t xml:space="preserve">passed</x:t>
        </x:is>
      </x:c>
      <x:c r="H46" s="92" t="inlineStr">
        <x:is>
          <x:t xml:space="preserve">covered</x:t>
        </x:is>
      </x:c>
      <x:c r="I46" s="84" t="inlineStr">
        <x:is>
          <x:t xml:space="preserve">List playground manual pass.</x:t>
        </x:is>
      </x:c>
      <x:c r="J46" s="84" t="n"/>
      <x:c r="K46" s="87" t="n">
        <x:f>IF(AND(E46="yes",F46="yes",H46="covered"),1,IF(AND(E46="yes",H46="partial"),0.5,0))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Composition</x:t>
        </x:is>
      </x:c>
      <x:c r="C47" s="84" t="inlineStr">
        <x:is>
          <x:t xml:space="preserve">List</x:t>
        </x:is>
      </x:c>
      <x:c r="D47" s="84" t="inlineStr">
        <x:is>
          <x:t xml:space="preserve">asChild merges Atom props and consumer props</x:t>
        </x:is>
      </x:c>
      <x:c r="E47" s="76" t="inlineStr">
        <x:is>
          <x:t xml:space="preserve">yes</x:t>
        </x:is>
      </x:c>
      <x:c r="F47" s="76" t="inlineStr">
        <x:is>
          <x:t xml:space="preserve">yes</x:t>
        </x:is>
      </x:c>
      <x:c r="G47" s="73" t="inlineStr">
        <x:is>
          <x:t xml:space="preserve">passed</x:t>
        </x:is>
      </x:c>
      <x:c r="H47" s="92" t="inlineStr">
        <x:is>
          <x:t xml:space="preserve">covered</x:t>
        </x:is>
      </x:c>
      <x:c r="I47" s="84" t="inlineStr">
        <x:is>
          <x:t xml:space="preserve">List playground manual pass.</x:t>
        </x:is>
      </x:c>
      <x:c r="J47" s="84" t="n"/>
      <x:c r="K47" s="87" t="n">
        <x:f>IF(AND(E47="yes",F47="yes",H47="covered"),1,IF(AND(E47="yes",H47="partial"),0.5,0))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Composition</x:t>
        </x:is>
      </x:c>
      <x:c r="C48" s="84" t="inlineStr">
        <x:is>
          <x:t xml:space="preserve">List</x:t>
        </x:is>
      </x:c>
      <x:c r="D48" s="84" t="inlineStr">
        <x:is>
          <x:t xml:space="preserve">render prop renders custom element</x:t>
        </x:is>
      </x:c>
      <x:c r="E48" s="76" t="inlineStr">
        <x:is>
          <x:t xml:space="preserve">yes</x:t>
        </x:is>
      </x:c>
      <x:c r="F48" s="76" t="inlineStr">
        <x:is>
          <x:t xml:space="preserve">yes</x:t>
        </x:is>
      </x:c>
      <x:c r="G48" s="73" t="inlineStr">
        <x:is>
          <x:t xml:space="preserve">passed</x:t>
        </x:is>
      </x:c>
      <x:c r="H48" s="92" t="inlineStr">
        <x:is>
          <x:t xml:space="preserve">covered</x:t>
        </x:is>
      </x:c>
      <x:c r="I48" s="84" t="inlineStr">
        <x:is>
          <x:t xml:space="preserve">List playground manual pass.</x:t>
        </x:is>
      </x:c>
      <x:c r="J48" s="84" t="n"/>
      <x:c r="K48" s="87" t="n">
        <x:f>IF(AND(E48="yes",F48="yes",H48="covered"),1,IF(AND(E48="yes",H48="partial"),0.5,0))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Composition</x:t>
        </x:is>
      </x:c>
      <x:c r="C49" s="84" t="inlineStr">
        <x:is>
          <x:t xml:space="preserve">List</x:t>
        </x:is>
      </x:c>
      <x:c r="D49" s="84" t="inlineStr">
        <x:is>
          <x:t xml:space="preserve">render prop preserves refs and behavior props</x:t>
        </x:is>
      </x:c>
      <x:c r="E49" s="76" t="inlineStr">
        <x:is>
          <x:t xml:space="preserve">yes</x:t>
        </x:is>
      </x:c>
      <x:c r="F49" s="76" t="inlineStr">
        <x:is>
          <x:t xml:space="preserve">yes</x:t>
        </x:is>
      </x:c>
      <x:c r="G49" s="73" t="inlineStr">
        <x:is>
          <x:t xml:space="preserve">passed</x:t>
        </x:is>
      </x:c>
      <x:c r="H49" s="92" t="inlineStr">
        <x:is>
          <x:t xml:space="preserve">covered</x:t>
        </x:is>
      </x:c>
      <x:c r="I49" s="84" t="inlineStr">
        <x:is>
          <x:t xml:space="preserve">List playground manual pass.</x:t>
        </x:is>
      </x:c>
      <x:c r="J49" s="84" t="n"/>
      <x:c r="K49" s="87" t="n">
        <x:f>IF(AND(E49="yes",F49="yes",H49="covered"),1,IF(AND(E49="yes",H49="partial"),0.5,0))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Keyboard</x:t>
        </x:is>
      </x:c>
      <x:c r="C50" s="84" t="inlineStr">
        <x:is>
          <x:t xml:space="preserve">List</x:t>
        </x:is>
      </x:c>
      <x:c r="D50" s="84" t="inlineStr">
        <x:is>
          <x:t xml:space="preserve">disabled items are skipped or exposed according to pattern</x:t>
        </x:is>
      </x:c>
      <x:c r="E50" s="76" t="inlineStr">
        <x:is>
          <x:t xml:space="preserve">yes</x:t>
        </x:is>
      </x:c>
      <x:c r="F50" s="76" t="inlineStr">
        <x:is>
          <x:t xml:space="preserve">yes</x:t>
        </x:is>
      </x:c>
      <x:c r="G50" s="73" t="inlineStr">
        <x:is>
          <x:t xml:space="preserve">passed</x:t>
        </x:is>
      </x:c>
      <x:c r="H50" s="92" t="inlineStr">
        <x:is>
          <x:t xml:space="preserve">covered</x:t>
        </x:is>
      </x:c>
      <x:c r="I50" s="84" t="inlineStr">
        <x:is>
          <x:t xml:space="preserve">List playground manual pass.</x:t>
        </x:is>
      </x:c>
      <x:c r="J50" s="84" t="n"/>
      <x:c r="K50" s="87" t="n">
        <x:f>IF(AND(E50="yes",F50="yes",H50="covered"),1,IF(AND(E50="yes",H50="partial"),0.5,0))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Listbox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120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</x:t>
        </x:is>
      </x:c>
      <x:c r="H9" s="86" t="inlineStr">
        <x:is>
          <x:t xml:space="preserve">covered</x:t>
        </x:is>
      </x:c>
      <x:c r="I9" s="84" t="inlineStr">
        <x:is>
          <x:t xml:space="preserve">Listbox playground scenario.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</x:t>
        </x:is>
      </x:c>
      <x:c r="H10" s="86" t="inlineStr">
        <x:is>
          <x:t xml:space="preserve">covered</x:t>
        </x:is>
      </x:c>
      <x:c r="I10" s="84" t="inlineStr">
        <x:is>
          <x:t xml:space="preserve">Listbox playground scenario.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Listbox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</x:t>
        </x:is>
      </x:c>
      <x:c r="H11" s="86" t="inlineStr">
        <x:is>
          <x:t xml:space="preserve">covered</x:t>
        </x:is>
      </x:c>
      <x:c r="I11" s="84" t="inlineStr">
        <x:is>
          <x:t xml:space="preserve">Listbox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Listbox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</x:t>
        </x:is>
      </x:c>
      <x:c r="H12" s="86" t="inlineStr">
        <x:is>
          <x:t xml:space="preserve">covered</x:t>
        </x:is>
      </x:c>
      <x:c r="I12" s="84" t="inlineStr">
        <x:is>
          <x:t xml:space="preserve">Listbox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Listbox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</x:t>
        </x:is>
      </x:c>
      <x:c r="H13" s="86" t="inlineStr">
        <x:is>
          <x:t xml:space="preserve">covered</x:t>
        </x:is>
      </x:c>
      <x:c r="I13" s="84" t="inlineStr">
        <x:is>
          <x:t xml:space="preserve">Listbox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Listbox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</x:t>
        </x:is>
      </x:c>
      <x:c r="H14" s="86" t="inlineStr">
        <x:is>
          <x:t xml:space="preserve">covered</x:t>
        </x:is>
      </x:c>
      <x:c r="I14" s="84" t="inlineStr">
        <x:is>
          <x:t xml:space="preserve">Listbox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Listbox</x:t>
        </x:is>
      </x:c>
      <x:c r="D15" s="84" t="inlineStr">
        <x:is>
          <x:t xml:space="preserve">Implements WAI-ARIA listbox and option roles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</x:t>
        </x:is>
      </x:c>
      <x:c r="H15" s="86" t="inlineStr">
        <x:is>
          <x:t xml:space="preserve">covered</x:t>
        </x:is>
      </x:c>
      <x:c r="I15" s="84" t="inlineStr">
        <x:is>
          <x:t xml:space="preserve">Listbox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Listbox</x:t>
        </x:is>
      </x:c>
      <x:c r="D16" s="84" t="inlineStr">
        <x:is>
          <x:t xml:space="preserve">Supports single and multiple selection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</x:t>
        </x:is>
      </x:c>
      <x:c r="H16" s="86" t="inlineStr">
        <x:is>
          <x:t xml:space="preserve">covered</x:t>
        </x:is>
      </x:c>
      <x:c r="I16" s="84" t="inlineStr">
        <x:is>
          <x:t xml:space="preserve">Listbox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Listbox</x:t>
        </x:is>
      </x:c>
      <x:c r="D17" s="84" t="inlineStr">
        <x:is>
          <x:t xml:space="preserve">Supports controlled and uncontrolled values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</x:t>
        </x:is>
      </x:c>
      <x:c r="H17" s="86" t="inlineStr">
        <x:is>
          <x:t xml:space="preserve">covered</x:t>
        </x:is>
      </x:c>
      <x:c r="I17" s="84" t="inlineStr">
        <x:is>
          <x:t xml:space="preserve">Listbox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Listbox</x:t>
        </x:is>
      </x:c>
      <x:c r="D18" s="84" t="inlineStr">
        <x:is>
          <x:t xml:space="preserve">Supports option groups and labels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</x:t>
        </x:is>
      </x:c>
      <x:c r="H18" s="86" t="inlineStr">
        <x:is>
          <x:t xml:space="preserve">covered</x:t>
        </x:is>
      </x:c>
      <x:c r="I18" s="84" t="inlineStr">
        <x:is>
          <x:t xml:space="preserve">Listbox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Listbox</x:t>
        </x:is>
      </x:c>
      <x:c r="D19" s="84" t="inlineStr">
        <x:is>
          <x:t xml:space="preserve">Supports roving active option with `aria-activedescendant`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</x:t>
        </x:is>
      </x:c>
      <x:c r="H19" s="86" t="inlineStr">
        <x:is>
          <x:t xml:space="preserve">covered</x:t>
        </x:is>
      </x:c>
      <x:c r="I19" s="84" t="inlineStr">
        <x:is>
          <x:t xml:space="preserve">Listbox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Listbox</x:t>
        </x:is>
      </x:c>
      <x:c r="D20" s="84" t="inlineStr">
        <x:is>
          <x:t xml:space="preserve">Supports typeahead, Home/End, arrow navigation, disabled options, form submission, and Field context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</x:t>
        </x:is>
      </x:c>
      <x:c r="H20" s="86" t="inlineStr">
        <x:is>
          <x:t xml:space="preserve">covered</x:t>
        </x:is>
      </x:c>
      <x:c r="I20" s="84" t="inlineStr">
        <x:is>
          <x:t xml:space="preserve">Listbox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</x:t>
        </x:is>
      </x:c>
      <x:c r="H21" s="86" t="inlineStr">
        <x:is>
          <x:t xml:space="preserve">covered</x:t>
        </x:is>
      </x:c>
      <x:c r="I21" s="84" t="inlineStr">
        <x:is>
          <x:t xml:space="preserve">Listbox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</x:t>
        </x:is>
      </x:c>
      <x:c r="H22" s="86" t="inlineStr">
        <x:is>
          <x:t xml:space="preserve">covered</x:t>
        </x:is>
      </x:c>
      <x:c r="I22" s="84" t="inlineStr">
        <x:is>
          <x:t xml:space="preserve">Listbox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</x:t>
        </x:is>
      </x:c>
      <x:c r="H23" s="86" t="inlineStr">
        <x:is>
          <x:t xml:space="preserve">covered</x:t>
        </x:is>
      </x:c>
      <x:c r="I23" s="84" t="inlineStr">
        <x:is>
          <x:t xml:space="preserve">Listbox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</x:t>
        </x:is>
      </x:c>
      <x:c r="H24" s="86" t="inlineStr">
        <x:is>
          <x:t xml:space="preserve">covered</x:t>
        </x:is>
      </x:c>
      <x:c r="I24" s="84" t="inlineStr">
        <x:is>
          <x:t xml:space="preserve">Listbox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</x:t>
        </x:is>
      </x:c>
      <x:c r="H25" s="86" t="inlineStr">
        <x:is>
          <x:t xml:space="preserve">covered</x:t>
        </x:is>
      </x:c>
      <x:c r="I25" s="84" t="inlineStr">
        <x:is>
          <x:t xml:space="preserve">Listbox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</x:t>
        </x:is>
      </x:c>
      <x:c r="H26" s="86" t="inlineStr">
        <x:is>
          <x:t xml:space="preserve">covered</x:t>
        </x:is>
      </x:c>
      <x:c r="I26" s="84" t="inlineStr">
        <x:is>
          <x:t xml:space="preserve">Listbox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</x:t>
        </x:is>
      </x:c>
      <x:c r="H27" s="86" t="inlineStr">
        <x:is>
          <x:t xml:space="preserve">covered</x:t>
        </x:is>
      </x:c>
      <x:c r="I27" s="84" t="inlineStr">
        <x:is>
          <x:t xml:space="preserve">Listbox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</x:t>
        </x:is>
      </x:c>
      <x:c r="H28" s="86" t="inlineStr">
        <x:is>
          <x:t xml:space="preserve">covered</x:t>
        </x:is>
      </x:c>
      <x:c r="I28" s="84" t="inlineStr">
        <x:is>
          <x:t xml:space="preserve">Listbox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</x:t>
        </x:is>
      </x:c>
      <x:c r="H29" s="86" t="inlineStr">
        <x:is>
          <x:t xml:space="preserve">covered</x:t>
        </x:is>
      </x:c>
      <x:c r="I29" s="84" t="inlineStr">
        <x:is>
          <x:t xml:space="preserve">Listbox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multiple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</x:t>
        </x:is>
      </x:c>
      <x:c r="H30" s="86" t="inlineStr">
        <x:is>
          <x:t xml:space="preserve">covered</x:t>
        </x:is>
      </x:c>
      <x:c r="I30" s="84" t="inlineStr">
        <x:is>
          <x:t xml:space="preserve">Listbox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disabled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</x:t>
        </x:is>
      </x:c>
      <x:c r="H31" s="86" t="inlineStr">
        <x:is>
          <x:t xml:space="preserve">covered</x:t>
        </x:is>
      </x:c>
      <x:c r="I31" s="84" t="inlineStr">
        <x:is>
          <x:t xml:space="preserve">Listbox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readOnly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</x:t>
        </x:is>
      </x:c>
      <x:c r="H32" s="86" t="inlineStr">
        <x:is>
          <x:t xml:space="preserve">covered</x:t>
        </x:is>
      </x:c>
      <x:c r="I32" s="84" t="inlineStr">
        <x:is>
          <x:t xml:space="preserve">Listbox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required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</x:t>
        </x:is>
      </x:c>
      <x:c r="H33" s="86" t="inlineStr">
        <x:is>
          <x:t xml:space="preserve">covered</x:t>
        </x:is>
      </x:c>
      <x:c r="I33" s="84" t="inlineStr">
        <x:is>
          <x:t xml:space="preserve">Listbox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invalid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</x:t>
        </x:is>
      </x:c>
      <x:c r="H34" s="86" t="inlineStr">
        <x:is>
          <x:t xml:space="preserve">covered</x:t>
        </x:is>
      </x:c>
      <x:c r="I34" s="84" t="inlineStr">
        <x:is>
          <x:t xml:space="preserve">Listbox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orientation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</x:t>
        </x:is>
      </x:c>
      <x:c r="H35" s="86" t="inlineStr">
        <x:is>
          <x:t xml:space="preserve">covered</x:t>
        </x:is>
      </x:c>
      <x:c r="I35" s="84" t="inlineStr">
        <x:is>
          <x:t xml:space="preserve">Listbox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loop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</x:t>
        </x:is>
      </x:c>
      <x:c r="H36" s="86" t="inlineStr">
        <x:is>
          <x:t xml:space="preserve">covered</x:t>
        </x:is>
      </x:c>
      <x:c r="I36" s="84" t="inlineStr">
        <x:is>
          <x:t xml:space="preserve">Listbox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Root</x:t>
        </x:is>
      </x:c>
      <x:c r="D37" s="84" t="inlineStr">
        <x:is>
          <x:t xml:space="preserve">name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</x:t>
        </x:is>
      </x:c>
      <x:c r="H37" s="86" t="inlineStr">
        <x:is>
          <x:t xml:space="preserve">covered</x:t>
        </x:is>
      </x:c>
      <x:c r="I37" s="84" t="inlineStr">
        <x:is>
          <x:t xml:space="preserve">Listbox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form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</x:t>
        </x:is>
      </x:c>
      <x:c r="H38" s="86" t="inlineStr">
        <x:is>
          <x:t xml:space="preserve">covered</x:t>
        </x:is>
      </x:c>
      <x:c r="I38" s="84" t="inlineStr">
        <x:is>
          <x:t xml:space="preserve">Listbox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Composition</x:t>
        </x:is>
      </x:c>
      <x:c r="C39" s="84" t="inlineStr">
        <x:is>
          <x:t xml:space="preserve">Root</x:t>
        </x:is>
      </x:c>
      <x:c r="D39" s="84" t="inlineStr">
        <x:is>
          <x:t xml:space="preserve">asChild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</x:t>
        </x:is>
      </x:c>
      <x:c r="H39" s="86" t="inlineStr">
        <x:is>
          <x:t xml:space="preserve">covered</x:t>
        </x:is>
      </x:c>
      <x:c r="I39" s="84" t="inlineStr">
        <x:is>
          <x:t xml:space="preserve">Listbox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Composition</x:t>
        </x:is>
      </x:c>
      <x:c r="C40" s="84" t="inlineStr">
        <x:is>
          <x:t xml:space="preserve">Root</x:t>
        </x:is>
      </x:c>
      <x:c r="D40" s="84" t="inlineStr">
        <x:is>
          <x:t xml:space="preserve">render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</x:t>
        </x:is>
      </x:c>
      <x:c r="H40" s="86" t="inlineStr">
        <x:is>
          <x:t xml:space="preserve">covered</x:t>
        </x:is>
      </x:c>
      <x:c r="I40" s="84" t="inlineStr">
        <x:is>
          <x:t xml:space="preserve">Listbox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Public API</x:t>
        </x:is>
      </x:c>
      <x:c r="C41" s="84" t="inlineStr">
        <x:is>
          <x:t xml:space="preserve">Root</x:t>
        </x:is>
      </x:c>
      <x:c r="D41" s="84" t="inlineStr">
        <x:is>
          <x:t xml:space="preserve">[data-slot]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</x:t>
        </x:is>
      </x:c>
      <x:c r="H41" s="86" t="inlineStr">
        <x:is>
          <x:t xml:space="preserve">covered</x:t>
        </x:is>
      </x:c>
      <x:c r="I41" s="84" t="inlineStr">
        <x:is>
          <x:t xml:space="preserve">Listbox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Public API</x:t>
        </x:is>
      </x:c>
      <x:c r="C42" s="84" t="inlineStr">
        <x:is>
          <x:t xml:space="preserve">Root</x:t>
        </x:is>
      </x:c>
      <x:c r="D42" s="84" t="inlineStr">
        <x:is>
          <x:t xml:space="preserve">[data-orientation]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</x:t>
        </x:is>
      </x:c>
      <x:c r="H42" s="86" t="inlineStr">
        <x:is>
          <x:t xml:space="preserve">covered</x:t>
        </x:is>
      </x:c>
      <x:c r="I42" s="84" t="inlineStr">
        <x:is>
          <x:t xml:space="preserve">Listbox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Root</x:t>
        </x:is>
      </x:c>
      <x:c r="D43" s="84" t="inlineStr">
        <x:is>
          <x:t xml:space="preserve">[data-multiple]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</x:t>
        </x:is>
      </x:c>
      <x:c r="H43" s="86" t="inlineStr">
        <x:is>
          <x:t xml:space="preserve">covered</x:t>
        </x:is>
      </x:c>
      <x:c r="I43" s="84" t="inlineStr">
        <x:is>
          <x:t xml:space="preserve">Listbox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Root</x:t>
        </x:is>
      </x:c>
      <x:c r="D44" s="84" t="inlineStr">
        <x:is>
          <x:t xml:space="preserve">[data-filled]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</x:t>
        </x:is>
      </x:c>
      <x:c r="H44" s="86" t="inlineStr">
        <x:is>
          <x:t xml:space="preserve">covered</x:t>
        </x:is>
      </x:c>
      <x:c r="I44" s="84" t="inlineStr">
        <x:is>
          <x:t xml:space="preserve">Listbox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State</x:t>
        </x:is>
      </x:c>
      <x:c r="C45" s="84" t="inlineStr">
        <x:is>
          <x:t xml:space="preserve">Root</x:t>
        </x:is>
      </x:c>
      <x:c r="D45" s="84" t="inlineStr">
        <x:is>
          <x:t xml:space="preserve">[data-disabled]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</x:t>
        </x:is>
      </x:c>
      <x:c r="H45" s="86" t="inlineStr">
        <x:is>
          <x:t xml:space="preserve">covered</x:t>
        </x:is>
      </x:c>
      <x:c r="I45" s="84" t="inlineStr">
        <x:is>
          <x:t xml:space="preserve">Listbox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State</x:t>
        </x:is>
      </x:c>
      <x:c r="C46" s="84" t="inlineStr">
        <x:is>
          <x:t xml:space="preserve">Root</x:t>
        </x:is>
      </x:c>
      <x:c r="D46" s="84" t="inlineStr">
        <x:is>
          <x:t xml:space="preserve">[data-readonly]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</x:t>
        </x:is>
      </x:c>
      <x:c r="H46" s="86" t="inlineStr">
        <x:is>
          <x:t xml:space="preserve">covered</x:t>
        </x:is>
      </x:c>
      <x:c r="I46" s="84" t="inlineStr">
        <x:is>
          <x:t xml:space="preserve">Listbox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State</x:t>
        </x:is>
      </x:c>
      <x:c r="C47" s="84" t="inlineStr">
        <x:is>
          <x:t xml:space="preserve">Root</x:t>
        </x:is>
      </x:c>
      <x:c r="D47" s="84" t="inlineStr">
        <x:is>
          <x:t xml:space="preserve">[data-invalid]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</x:t>
        </x:is>
      </x:c>
      <x:c r="H47" s="86" t="inlineStr">
        <x:is>
          <x:t xml:space="preserve">covered</x:t>
        </x:is>
      </x:c>
      <x:c r="I47" s="84" t="inlineStr">
        <x:is>
          <x:t xml:space="preserve">Listbox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Group</x:t>
        </x:is>
      </x:c>
      <x:c r="D48" s="84" t="inlineStr">
        <x:is>
          <x:t xml:space="preserve">renders correct part when expected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</x:t>
        </x:is>
      </x:c>
      <x:c r="H48" s="86" t="inlineStr">
        <x:is>
          <x:t xml:space="preserve">covered</x:t>
        </x:is>
      </x:c>
      <x:c r="I48" s="84" t="inlineStr">
        <x:is>
          <x:t xml:space="preserve">Listbox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Anatomy</x:t>
        </x:is>
      </x:c>
      <x:c r="C49" s="84" t="inlineStr">
        <x:is>
          <x:t xml:space="preserve">Group</x:t>
        </x:is>
      </x:c>
      <x:c r="D49" s="84" t="inlineStr">
        <x:is>
          <x:t xml:space="preserve">appears in documented order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</x:t>
        </x:is>
      </x:c>
      <x:c r="H49" s="86" t="inlineStr">
        <x:is>
          <x:t xml:space="preserve">covered</x:t>
        </x:is>
      </x:c>
      <x:c r="I49" s="84" t="inlineStr">
        <x:is>
          <x:t xml:space="preserve">Listbox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30" customHeight="1">
      <x:c r="A50" s="73" t="n">
        <x:v>42</x:v>
      </x:c>
      <x:c r="B50" s="84" t="inlineStr">
        <x:is>
          <x:t xml:space="preserve">Identity</x:t>
        </x:is>
      </x:c>
      <x:c r="C50" s="84" t="inlineStr">
        <x:is>
          <x:t xml:space="preserve">Group</x:t>
        </x:is>
      </x:c>
      <x:c r="D50" s="84" t="inlineStr">
        <x:is>
          <x:t xml:space="preserve">default tag is visible in Anatomy/Inspector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</x:t>
        </x:is>
      </x:c>
      <x:c r="H50" s="86" t="inlineStr">
        <x:is>
          <x:t xml:space="preserve">covered</x:t>
        </x:is>
      </x:c>
      <x:c r="I50" s="84" t="inlineStr">
        <x:is>
          <x:t xml:space="preserve">Listbox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Identity</x:t>
        </x:is>
      </x:c>
      <x:c r="C51" s="84" t="inlineStr">
        <x:is>
          <x:t xml:space="preserve">Group</x:t>
        </x:is>
      </x:c>
      <x:c r="D51" s="84" t="inlineStr">
        <x:is>
          <x:t xml:space="preserve">data-slot is present and correct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</x:t>
        </x:is>
      </x:c>
      <x:c r="H51" s="86" t="inlineStr">
        <x:is>
          <x:t xml:space="preserve">covered</x:t>
        </x:is>
      </x:c>
      <x:c r="I51" s="84" t="inlineStr">
        <x:is>
          <x:t xml:space="preserve">Listbox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Props</x:t>
        </x:is>
      </x:c>
      <x:c r="C52" s="84" t="inlineStr">
        <x:is>
          <x:t xml:space="preserve">Group</x:t>
        </x:is>
      </x:c>
      <x:c r="D52" s="84" t="inlineStr">
        <x:is>
          <x:t xml:space="preserve">non-Atom native props pass through with data-prop-check marker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</x:t>
        </x:is>
      </x:c>
      <x:c r="H52" s="86" t="inlineStr">
        <x:is>
          <x:t xml:space="preserve">covered</x:t>
        </x:is>
      </x:c>
      <x:c r="I52" s="84" t="inlineStr">
        <x:is>
          <x:t xml:space="preserve">Listbox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Refs</x:t>
        </x:is>
      </x:c>
      <x:c r="C53" s="84" t="inlineStr">
        <x:is>
          <x:t xml:space="preserve">Group</x:t>
        </x:is>
      </x:c>
      <x:c r="D53" s="84" t="inlineStr">
        <x:is>
          <x:t xml:space="preserve">consumer ref receives the rendered element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</x:t>
        </x:is>
      </x:c>
      <x:c r="H53" s="86" t="inlineStr">
        <x:is>
          <x:t xml:space="preserve">covered</x:t>
        </x:is>
      </x:c>
      <x:c r="I53" s="84" t="inlineStr">
        <x:is>
          <x:t xml:space="preserve">Listbox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Group</x:t>
        </x:is>
      </x:c>
      <x:c r="D54" s="84" t="inlineStr">
        <x:is>
          <x:t xml:space="preserve">Group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</x:t>
        </x:is>
      </x:c>
      <x:c r="H54" s="86" t="inlineStr">
        <x:is>
          <x:t xml:space="preserve">covered</x:t>
        </x:is>
      </x:c>
      <x:c r="I54" s="84" t="inlineStr">
        <x:is>
          <x:t xml:space="preserve">Listbox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Group</x:t>
        </x:is>
      </x:c>
      <x:c r="D55" s="84" t="inlineStr">
        <x:is>
          <x:t xml:space="preserve">Label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</x:t>
        </x:is>
      </x:c>
      <x:c r="H55" s="86" t="inlineStr">
        <x:is>
          <x:t xml:space="preserve">covered</x:t>
        </x:is>
      </x:c>
      <x:c r="I55" s="84" t="inlineStr">
        <x:is>
          <x:t xml:space="preserve">Listbox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Anatomy</x:t>
        </x:is>
      </x:c>
      <x:c r="C56" s="84" t="inlineStr">
        <x:is>
          <x:t xml:space="preserve">Label</x:t>
        </x:is>
      </x:c>
      <x:c r="D56" s="84" t="inlineStr">
        <x:is>
          <x:t xml:space="preserve">renders correct part when expected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</x:t>
        </x:is>
      </x:c>
      <x:c r="H56" s="86" t="inlineStr">
        <x:is>
          <x:t xml:space="preserve">covered</x:t>
        </x:is>
      </x:c>
      <x:c r="I56" s="84" t="inlineStr">
        <x:is>
          <x:t xml:space="preserve">Listbox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Anatomy</x:t>
        </x:is>
      </x:c>
      <x:c r="C57" s="84" t="inlineStr">
        <x:is>
          <x:t xml:space="preserve">Label</x:t>
        </x:is>
      </x:c>
      <x:c r="D57" s="84" t="inlineStr">
        <x:is>
          <x:t xml:space="preserve">appears in documented order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</x:t>
        </x:is>
      </x:c>
      <x:c r="H57" s="86" t="inlineStr">
        <x:is>
          <x:t xml:space="preserve">covered</x:t>
        </x:is>
      </x:c>
      <x:c r="I57" s="84" t="inlineStr">
        <x:is>
          <x:t xml:space="preserve">Listbox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30" customHeight="1">
      <x:c r="A58" s="73" t="n">
        <x:v>50</x:v>
      </x:c>
      <x:c r="B58" s="84" t="inlineStr">
        <x:is>
          <x:t xml:space="preserve">Identity</x:t>
        </x:is>
      </x:c>
      <x:c r="C58" s="84" t="inlineStr">
        <x:is>
          <x:t xml:space="preserve">Label</x:t>
        </x:is>
      </x:c>
      <x:c r="D58" s="84" t="inlineStr">
        <x:is>
          <x:t xml:space="preserve">default tag is visible in Anatomy/Inspector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</x:t>
        </x:is>
      </x:c>
      <x:c r="H58" s="86" t="inlineStr">
        <x:is>
          <x:t xml:space="preserve">covered</x:t>
        </x:is>
      </x:c>
      <x:c r="I58" s="84" t="inlineStr">
        <x:is>
          <x:t xml:space="preserve">Listbox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Identity</x:t>
        </x:is>
      </x:c>
      <x:c r="C59" s="84" t="inlineStr">
        <x:is>
          <x:t xml:space="preserve">Label</x:t>
        </x:is>
      </x:c>
      <x:c r="D59" s="84" t="inlineStr">
        <x:is>
          <x:t xml:space="preserve">data-slot is present and correct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</x:t>
        </x:is>
      </x:c>
      <x:c r="H59" s="86" t="inlineStr">
        <x:is>
          <x:t xml:space="preserve">covered</x:t>
        </x:is>
      </x:c>
      <x:c r="I59" s="84" t="inlineStr">
        <x:is>
          <x:t xml:space="preserve">Listbox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Props</x:t>
        </x:is>
      </x:c>
      <x:c r="C60" s="84" t="inlineStr">
        <x:is>
          <x:t xml:space="preserve">Label</x:t>
        </x:is>
      </x:c>
      <x:c r="D60" s="84" t="inlineStr">
        <x:is>
          <x:t xml:space="preserve">non-Atom native props pass through with data-prop-check marker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</x:t>
        </x:is>
      </x:c>
      <x:c r="H60" s="86" t="inlineStr">
        <x:is>
          <x:t xml:space="preserve">covered</x:t>
        </x:is>
      </x:c>
      <x:c r="I60" s="84" t="inlineStr">
        <x:is>
          <x:t xml:space="preserve">Listbox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Refs</x:t>
        </x:is>
      </x:c>
      <x:c r="C61" s="84" t="inlineStr">
        <x:is>
          <x:t xml:space="preserve">Label</x:t>
        </x:is>
      </x:c>
      <x:c r="D61" s="84" t="inlineStr">
        <x:is>
          <x:t xml:space="preserve">consumer ref receives the rendered element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</x:t>
        </x:is>
      </x:c>
      <x:c r="H61" s="86" t="inlineStr">
        <x:is>
          <x:t xml:space="preserve">covered</x:t>
        </x:is>
      </x:c>
      <x:c r="I61" s="84" t="inlineStr">
        <x:is>
          <x:t xml:space="preserve">Listbox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Anatomy</x:t>
        </x:is>
      </x:c>
      <x:c r="C62" s="84" t="inlineStr">
        <x:is>
          <x:t xml:space="preserve">Option</x:t>
        </x:is>
      </x:c>
      <x:c r="D62" s="84" t="inlineStr">
        <x:is>
          <x:t xml:space="preserve">renders correct part when expected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</x:t>
        </x:is>
      </x:c>
      <x:c r="H62" s="86" t="inlineStr">
        <x:is>
          <x:t xml:space="preserve">covered</x:t>
        </x:is>
      </x:c>
      <x:c r="I62" s="84" t="inlineStr">
        <x:is>
          <x:t xml:space="preserve">Listbox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Anatomy</x:t>
        </x:is>
      </x:c>
      <x:c r="C63" s="84" t="inlineStr">
        <x:is>
          <x:t xml:space="preserve">Option</x:t>
        </x:is>
      </x:c>
      <x:c r="D63" s="84" t="inlineStr">
        <x:is>
          <x:t xml:space="preserve">appears in documented order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</x:t>
        </x:is>
      </x:c>
      <x:c r="H63" s="86" t="inlineStr">
        <x:is>
          <x:t xml:space="preserve">covered</x:t>
        </x:is>
      </x:c>
      <x:c r="I63" s="84" t="inlineStr">
        <x:is>
          <x:t xml:space="preserve">Listbox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30" customHeight="1">
      <x:c r="A64" s="73" t="n">
        <x:v>56</x:v>
      </x:c>
      <x:c r="B64" s="84" t="inlineStr">
        <x:is>
          <x:t xml:space="preserve">Identity</x:t>
        </x:is>
      </x:c>
      <x:c r="C64" s="84" t="inlineStr">
        <x:is>
          <x:t xml:space="preserve">Option</x:t>
        </x:is>
      </x:c>
      <x:c r="D64" s="84" t="inlineStr">
        <x:is>
          <x:t xml:space="preserve">default tag is visible in Anatomy/Inspector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</x:t>
        </x:is>
      </x:c>
      <x:c r="H64" s="86" t="inlineStr">
        <x:is>
          <x:t xml:space="preserve">covered</x:t>
        </x:is>
      </x:c>
      <x:c r="I64" s="84" t="inlineStr">
        <x:is>
          <x:t xml:space="preserve">Listbox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Identity</x:t>
        </x:is>
      </x:c>
      <x:c r="C65" s="84" t="inlineStr">
        <x:is>
          <x:t xml:space="preserve">Option</x:t>
        </x:is>
      </x:c>
      <x:c r="D65" s="84" t="inlineStr">
        <x:is>
          <x:t xml:space="preserve">data-slot is present and correct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</x:t>
        </x:is>
      </x:c>
      <x:c r="H65" s="86" t="inlineStr">
        <x:is>
          <x:t xml:space="preserve">covered</x:t>
        </x:is>
      </x:c>
      <x:c r="I65" s="84" t="inlineStr">
        <x:is>
          <x:t xml:space="preserve">Listbox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Props</x:t>
        </x:is>
      </x:c>
      <x:c r="C66" s="84" t="inlineStr">
        <x:is>
          <x:t xml:space="preserve">Option</x:t>
        </x:is>
      </x:c>
      <x:c r="D66" s="84" t="inlineStr">
        <x:is>
          <x:t xml:space="preserve">non-Atom native props pass through with data-prop-check marker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</x:t>
        </x:is>
      </x:c>
      <x:c r="H66" s="86" t="inlineStr">
        <x:is>
          <x:t xml:space="preserve">covered</x:t>
        </x:is>
      </x:c>
      <x:c r="I66" s="84" t="inlineStr">
        <x:is>
          <x:t xml:space="preserve">Listbox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Refs</x:t>
        </x:is>
      </x:c>
      <x:c r="C67" s="84" t="inlineStr">
        <x:is>
          <x:t xml:space="preserve">Option</x:t>
        </x:is>
      </x:c>
      <x:c r="D67" s="84" t="inlineStr">
        <x:is>
          <x:t xml:space="preserve">consumer ref receives the rendered element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</x:t>
        </x:is>
      </x:c>
      <x:c r="H67" s="86" t="inlineStr">
        <x:is>
          <x:t xml:space="preserve">covered</x:t>
        </x:is>
      </x:c>
      <x:c r="I67" s="84" t="inlineStr">
        <x:is>
          <x:t xml:space="preserve">Listbox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State</x:t>
        </x:is>
      </x:c>
      <x:c r="C68" s="84" t="inlineStr">
        <x:is>
          <x:t xml:space="preserve">Option</x:t>
        </x:is>
      </x:c>
      <x:c r="D68" s="84" t="inlineStr">
        <x:is>
          <x:t xml:space="preserve">value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</x:t>
        </x:is>
      </x:c>
      <x:c r="H68" s="86" t="inlineStr">
        <x:is>
          <x:t xml:space="preserve">covered</x:t>
        </x:is>
      </x:c>
      <x:c r="I68" s="84" t="inlineStr">
        <x:is>
          <x:t xml:space="preserve">Listbox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Public API</x:t>
        </x:is>
      </x:c>
      <x:c r="C69" s="84" t="inlineStr">
        <x:is>
          <x:t xml:space="preserve">Option</x:t>
        </x:is>
      </x:c>
      <x:c r="D69" s="84" t="inlineStr">
        <x:is>
          <x:t xml:space="preserve">label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</x:t>
        </x:is>
      </x:c>
      <x:c r="H69" s="86" t="inlineStr">
        <x:is>
          <x:t xml:space="preserve">covered</x:t>
        </x:is>
      </x:c>
      <x:c r="I69" s="84" t="inlineStr">
        <x:is>
          <x:t xml:space="preserve">Listbox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State</x:t>
        </x:is>
      </x:c>
      <x:c r="C70" s="84" t="inlineStr">
        <x:is>
          <x:t xml:space="preserve">Option</x:t>
        </x:is>
      </x:c>
      <x:c r="D70" s="84" t="inlineStr">
        <x:is>
          <x:t xml:space="preserve">disabled prop behavior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</x:t>
        </x:is>
      </x:c>
      <x:c r="H70" s="86" t="inlineStr">
        <x:is>
          <x:t xml:space="preserve">covered</x:t>
        </x:is>
      </x:c>
      <x:c r="I70" s="84" t="inlineStr">
        <x:is>
          <x:t xml:space="preserve">Listbox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Composition</x:t>
        </x:is>
      </x:c>
      <x:c r="C71" s="84" t="inlineStr">
        <x:is>
          <x:t xml:space="preserve">Option</x:t>
        </x:is>
      </x:c>
      <x:c r="D71" s="84" t="inlineStr">
        <x:is>
          <x:t xml:space="preserve">asChild prop behavior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</x:t>
        </x:is>
      </x:c>
      <x:c r="H71" s="86" t="inlineStr">
        <x:is>
          <x:t xml:space="preserve">covered</x:t>
        </x:is>
      </x:c>
      <x:c r="I71" s="84" t="inlineStr">
        <x:is>
          <x:t xml:space="preserve">Listbox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Composition</x:t>
        </x:is>
      </x:c>
      <x:c r="C72" s="84" t="inlineStr">
        <x:is>
          <x:t xml:space="preserve">Option</x:t>
        </x:is>
      </x:c>
      <x:c r="D72" s="84" t="inlineStr">
        <x:is>
          <x:t xml:space="preserve">render prop behavior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</x:t>
        </x:is>
      </x:c>
      <x:c r="H72" s="86" t="inlineStr">
        <x:is>
          <x:t xml:space="preserve">covered</x:t>
        </x:is>
      </x:c>
      <x:c r="I72" s="84" t="inlineStr">
        <x:is>
          <x:t xml:space="preserve">Listbox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Public API</x:t>
        </x:is>
      </x:c>
      <x:c r="C73" s="84" t="inlineStr">
        <x:is>
          <x:t xml:space="preserve">Option</x:t>
        </x:is>
      </x:c>
      <x:c r="D73" s="84" t="inlineStr">
        <x:is>
          <x:t xml:space="preserve">[data-slot] prop behavior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</x:t>
        </x:is>
      </x:c>
      <x:c r="H73" s="86" t="inlineStr">
        <x:is>
          <x:t xml:space="preserve">covered</x:t>
        </x:is>
      </x:c>
      <x:c r="I73" s="84" t="inlineStr">
        <x:is>
          <x:t xml:space="preserve">Listbox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State</x:t>
        </x:is>
      </x:c>
      <x:c r="C74" s="84" t="inlineStr">
        <x:is>
          <x:t xml:space="preserve">Option</x:t>
        </x:is>
      </x:c>
      <x:c r="D74" s="84" t="inlineStr">
        <x:is>
          <x:t xml:space="preserve">[data-value] prop behavior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</x:t>
        </x:is>
      </x:c>
      <x:c r="H74" s="86" t="inlineStr">
        <x:is>
          <x:t xml:space="preserve">covered</x:t>
        </x:is>
      </x:c>
      <x:c r="I74" s="84" t="inlineStr">
        <x:is>
          <x:t xml:space="preserve">Listbox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Public API</x:t>
        </x:is>
      </x:c>
      <x:c r="C75" s="84" t="inlineStr">
        <x:is>
          <x:t xml:space="preserve">Option</x:t>
        </x:is>
      </x:c>
      <x:c r="D75" s="84" t="inlineStr">
        <x:is>
          <x:t xml:space="preserve">[data-state] prop behavior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</x:t>
        </x:is>
      </x:c>
      <x:c r="H75" s="86" t="inlineStr">
        <x:is>
          <x:t xml:space="preserve">covered</x:t>
        </x:is>
      </x:c>
      <x:c r="I75" s="84" t="inlineStr">
        <x:is>
          <x:t xml:space="preserve">Listbox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State</x:t>
        </x:is>
      </x:c>
      <x:c r="C76" s="84" t="inlineStr">
        <x:is>
          <x:t xml:space="preserve">Option</x:t>
        </x:is>
      </x:c>
      <x:c r="D76" s="84" t="inlineStr">
        <x:is>
          <x:t xml:space="preserve">[data-selected] prop behavior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</x:t>
        </x:is>
      </x:c>
      <x:c r="H76" s="86" t="inlineStr">
        <x:is>
          <x:t xml:space="preserve">covered</x:t>
        </x:is>
      </x:c>
      <x:c r="I76" s="84" t="inlineStr">
        <x:is>
          <x:t xml:space="preserve">Listbox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Public API</x:t>
        </x:is>
      </x:c>
      <x:c r="C77" s="84" t="inlineStr">
        <x:is>
          <x:t xml:space="preserve">Option</x:t>
        </x:is>
      </x:c>
      <x:c r="D77" s="84" t="inlineStr">
        <x:is>
          <x:t xml:space="preserve">[data-highlighted] prop behavior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</x:t>
        </x:is>
      </x:c>
      <x:c r="H77" s="86" t="inlineStr">
        <x:is>
          <x:t xml:space="preserve">covered</x:t>
        </x:is>
      </x:c>
      <x:c r="I77" s="84" t="inlineStr">
        <x:is>
          <x:t xml:space="preserve">Listbox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State</x:t>
        </x:is>
      </x:c>
      <x:c r="C78" s="84" t="inlineStr">
        <x:is>
          <x:t xml:space="preserve">Option</x:t>
        </x:is>
      </x:c>
      <x:c r="D78" s="84" t="inlineStr">
        <x:is>
          <x:t xml:space="preserve">[data-disabled] prop behavior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</x:t>
        </x:is>
      </x:c>
      <x:c r="H78" s="86" t="inlineStr">
        <x:is>
          <x:t xml:space="preserve">covered</x:t>
        </x:is>
      </x:c>
      <x:c r="I78" s="84" t="inlineStr">
        <x:is>
          <x:t xml:space="preserve">Listbox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Anatomy</x:t>
        </x:is>
      </x:c>
      <x:c r="C79" s="84" t="inlineStr">
        <x:is>
          <x:t xml:space="preserve">OptionText</x:t>
        </x:is>
      </x:c>
      <x:c r="D79" s="84" t="inlineStr">
        <x:is>
          <x:t xml:space="preserve">renders correct part when expected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</x:t>
        </x:is>
      </x:c>
      <x:c r="H79" s="86" t="inlineStr">
        <x:is>
          <x:t xml:space="preserve">covered</x:t>
        </x:is>
      </x:c>
      <x:c r="I79" s="84" t="inlineStr">
        <x:is>
          <x:t xml:space="preserve">Listbox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Anatomy</x:t>
        </x:is>
      </x:c>
      <x:c r="C80" s="84" t="inlineStr">
        <x:is>
          <x:t xml:space="preserve">OptionText</x:t>
        </x:is>
      </x:c>
      <x:c r="D80" s="84" t="inlineStr">
        <x:is>
          <x:t xml:space="preserve">appears in documented order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</x:t>
        </x:is>
      </x:c>
      <x:c r="H80" s="86" t="inlineStr">
        <x:is>
          <x:t xml:space="preserve">covered</x:t>
        </x:is>
      </x:c>
      <x:c r="I80" s="84" t="inlineStr">
        <x:is>
          <x:t xml:space="preserve">Listbox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30" customHeight="1">
      <x:c r="A81" s="73" t="n">
        <x:v>73</x:v>
      </x:c>
      <x:c r="B81" s="84" t="inlineStr">
        <x:is>
          <x:t xml:space="preserve">Identity</x:t>
        </x:is>
      </x:c>
      <x:c r="C81" s="84" t="inlineStr">
        <x:is>
          <x:t xml:space="preserve">OptionText</x:t>
        </x:is>
      </x:c>
      <x:c r="D81" s="84" t="inlineStr">
        <x:is>
          <x:t xml:space="preserve">default tag is visible in Anatomy/Inspector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</x:t>
        </x:is>
      </x:c>
      <x:c r="H81" s="86" t="inlineStr">
        <x:is>
          <x:t xml:space="preserve">covered</x:t>
        </x:is>
      </x:c>
      <x:c r="I81" s="84" t="inlineStr">
        <x:is>
          <x:t xml:space="preserve">Listbox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Identity</x:t>
        </x:is>
      </x:c>
      <x:c r="C82" s="84" t="inlineStr">
        <x:is>
          <x:t xml:space="preserve">OptionText</x:t>
        </x:is>
      </x:c>
      <x:c r="D82" s="84" t="inlineStr">
        <x:is>
          <x:t xml:space="preserve">data-slot is present and correct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</x:t>
        </x:is>
      </x:c>
      <x:c r="H82" s="86" t="inlineStr">
        <x:is>
          <x:t xml:space="preserve">covered</x:t>
        </x:is>
      </x:c>
      <x:c r="I82" s="84" t="inlineStr">
        <x:is>
          <x:t xml:space="preserve">Listbox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Props</x:t>
        </x:is>
      </x:c>
      <x:c r="C83" s="84" t="inlineStr">
        <x:is>
          <x:t xml:space="preserve">OptionText</x:t>
        </x:is>
      </x:c>
      <x:c r="D83" s="84" t="inlineStr">
        <x:is>
          <x:t xml:space="preserve">non-Atom native props pass through with data-prop-check marker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</x:t>
        </x:is>
      </x:c>
      <x:c r="H83" s="86" t="inlineStr">
        <x:is>
          <x:t xml:space="preserve">covered</x:t>
        </x:is>
      </x:c>
      <x:c r="I83" s="84" t="inlineStr">
        <x:is>
          <x:t xml:space="preserve">Listbox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Refs</x:t>
        </x:is>
      </x:c>
      <x:c r="C84" s="84" t="inlineStr">
        <x:is>
          <x:t xml:space="preserve">OptionText</x:t>
        </x:is>
      </x:c>
      <x:c r="D84" s="84" t="inlineStr">
        <x:is>
          <x:t xml:space="preserve">consumer ref receives the rendered element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</x:t>
        </x:is>
      </x:c>
      <x:c r="H84" s="86" t="inlineStr">
        <x:is>
          <x:t xml:space="preserve">covered</x:t>
        </x:is>
      </x:c>
      <x:c r="I84" s="84" t="inlineStr">
        <x:is>
          <x:t xml:space="preserve">Listbox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Public API</x:t>
        </x:is>
      </x:c>
      <x:c r="C85" s="84" t="inlineStr">
        <x:is>
          <x:t xml:space="preserve">OptionText</x:t>
        </x:is>
      </x:c>
      <x:c r="D85" s="84" t="inlineStr">
        <x:is>
          <x:t xml:space="preserve">[data-slot] prop behavior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</x:t>
        </x:is>
      </x:c>
      <x:c r="H85" s="86" t="inlineStr">
        <x:is>
          <x:t xml:space="preserve">covered</x:t>
        </x:is>
      </x:c>
      <x:c r="I85" s="84" t="inlineStr">
        <x:is>
          <x:t xml:space="preserve">Listbox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ARIA</x:t>
        </x:is>
      </x:c>
      <x:c r="C86" s="84" t="inlineStr">
        <x:is>
          <x:t xml:space="preserve">Live DOM</x:t>
        </x:is>
      </x:c>
      <x:c r="D86" s="84" t="inlineStr">
        <x:is>
          <x:t xml:space="preserve">aria-activedescendant is present at the correct time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</x:t>
        </x:is>
      </x:c>
      <x:c r="H86" s="86" t="inlineStr">
        <x:is>
          <x:t xml:space="preserve">covered</x:t>
        </x:is>
      </x:c>
      <x:c r="I86" s="84" t="inlineStr">
        <x:is>
          <x:t xml:space="preserve">Listbox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ARIA</x:t>
        </x:is>
      </x:c>
      <x:c r="C87" s="84" t="inlineStr">
        <x:is>
          <x:t xml:space="preserve">Live DOM</x:t>
        </x:is>
      </x:c>
      <x:c r="D87" s="84" t="inlineStr">
        <x:is>
          <x:t xml:space="preserve">aria-describedby is present at the correct time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</x:t>
        </x:is>
      </x:c>
      <x:c r="H87" s="86" t="inlineStr">
        <x:is>
          <x:t xml:space="preserve">covered</x:t>
        </x:is>
      </x:c>
      <x:c r="I87" s="84" t="inlineStr">
        <x:is>
          <x:t xml:space="preserve">Listbox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ARIA</x:t>
        </x:is>
      </x:c>
      <x:c r="C88" s="84" t="inlineStr">
        <x:is>
          <x:t xml:space="preserve">Live DOM</x:t>
        </x:is>
      </x:c>
      <x:c r="D88" s="84" t="inlineStr">
        <x:is>
          <x:t xml:space="preserve">aria-disabled is present at the correct time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</x:t>
        </x:is>
      </x:c>
      <x:c r="H88" s="86" t="inlineStr">
        <x:is>
          <x:t xml:space="preserve">covered</x:t>
        </x:is>
      </x:c>
      <x:c r="I88" s="84" t="inlineStr">
        <x:is>
          <x:t xml:space="preserve">Listbox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ARIA</x:t>
        </x:is>
      </x:c>
      <x:c r="C89" s="84" t="inlineStr">
        <x:is>
          <x:t xml:space="preserve">Live DOM</x:t>
        </x:is>
      </x:c>
      <x:c r="D89" s="84" t="inlineStr">
        <x:is>
          <x:t xml:space="preserve">aria-hidden is present at the correct time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</x:t>
        </x:is>
      </x:c>
      <x:c r="H89" s="86" t="inlineStr">
        <x:is>
          <x:t xml:space="preserve">covered</x:t>
        </x:is>
      </x:c>
      <x:c r="I89" s="84" t="inlineStr">
        <x:is>
          <x:t xml:space="preserve">Listbox playground scenario.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ARIA</x:t>
        </x:is>
      </x:c>
      <x:c r="C90" s="84" t="inlineStr">
        <x:is>
          <x:t xml:space="preserve">Live DOM</x:t>
        </x:is>
      </x:c>
      <x:c r="D90" s="84" t="inlineStr">
        <x:is>
          <x:t xml:space="preserve">aria-invalid is present at the correct time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</x:t>
        </x:is>
      </x:c>
      <x:c r="H90" s="86" t="inlineStr">
        <x:is>
          <x:t xml:space="preserve">covered</x:t>
        </x:is>
      </x:c>
      <x:c r="I90" s="84" t="inlineStr">
        <x:is>
          <x:t xml:space="preserve">Listbox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ARIA</x:t>
        </x:is>
      </x:c>
      <x:c r="C91" s="84" t="inlineStr">
        <x:is>
          <x:t xml:space="preserve">Live DOM</x:t>
        </x:is>
      </x:c>
      <x:c r="D91" s="84" t="inlineStr">
        <x:is>
          <x:t xml:space="preserve">aria-labelledby is present at the correct time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</x:t>
        </x:is>
      </x:c>
      <x:c r="H91" s="86" t="inlineStr">
        <x:is>
          <x:t xml:space="preserve">covered</x:t>
        </x:is>
      </x:c>
      <x:c r="I91" s="84" t="inlineStr">
        <x:is>
          <x:t xml:space="preserve">Listbox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ARIA</x:t>
        </x:is>
      </x:c>
      <x:c r="C92" s="84" t="inlineStr">
        <x:is>
          <x:t xml:space="preserve">Live DOM</x:t>
        </x:is>
      </x:c>
      <x:c r="D92" s="84" t="inlineStr">
        <x:is>
          <x:t xml:space="preserve">aria-multiselectable is present at the correct time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</x:t>
        </x:is>
      </x:c>
      <x:c r="H92" s="86" t="inlineStr">
        <x:is>
          <x:t xml:space="preserve">covered</x:t>
        </x:is>
      </x:c>
      <x:c r="I92" s="84" t="inlineStr">
        <x:is>
          <x:t xml:space="preserve">Listbox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ARIA</x:t>
        </x:is>
      </x:c>
      <x:c r="C93" s="84" t="inlineStr">
        <x:is>
          <x:t xml:space="preserve">Live DOM</x:t>
        </x:is>
      </x:c>
      <x:c r="D93" s="84" t="inlineStr">
        <x:is>
          <x:t xml:space="preserve">aria-orientation is present at the correct time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</x:t>
        </x:is>
      </x:c>
      <x:c r="H93" s="86" t="inlineStr">
        <x:is>
          <x:t xml:space="preserve">covered</x:t>
        </x:is>
      </x:c>
      <x:c r="I93" s="84" t="inlineStr">
        <x:is>
          <x:t xml:space="preserve">Listbox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ARIA</x:t>
        </x:is>
      </x:c>
      <x:c r="C94" s="84" t="inlineStr">
        <x:is>
          <x:t xml:space="preserve">Live DOM</x:t>
        </x:is>
      </x:c>
      <x:c r="D94" s="84" t="inlineStr">
        <x:is>
          <x:t xml:space="preserve">aria-readonly is present at the correct time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</x:t>
        </x:is>
      </x:c>
      <x:c r="H94" s="86" t="inlineStr">
        <x:is>
          <x:t xml:space="preserve">covered</x:t>
        </x:is>
      </x:c>
      <x:c r="I94" s="84" t="inlineStr">
        <x:is>
          <x:t xml:space="preserve">Listbox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ARIA</x:t>
        </x:is>
      </x:c>
      <x:c r="C95" s="84" t="inlineStr">
        <x:is>
          <x:t xml:space="preserve">Live DOM</x:t>
        </x:is>
      </x:c>
      <x:c r="D95" s="84" t="inlineStr">
        <x:is>
          <x:t xml:space="preserve">aria-required is present at the correct time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</x:t>
        </x:is>
      </x:c>
      <x:c r="H95" s="86" t="inlineStr">
        <x:is>
          <x:t xml:space="preserve">covered</x:t>
        </x:is>
      </x:c>
      <x:c r="I95" s="84" t="inlineStr">
        <x:is>
          <x:t xml:space="preserve">Listbox playground scenario.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ARIA</x:t>
        </x:is>
      </x:c>
      <x:c r="C96" s="84" t="inlineStr">
        <x:is>
          <x:t xml:space="preserve">Live DOM</x:t>
        </x:is>
      </x:c>
      <x:c r="D96" s="84" t="inlineStr">
        <x:is>
          <x:t xml:space="preserve">aria-selected is present at the correct time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</x:t>
        </x:is>
      </x:c>
      <x:c r="H96" s="86" t="inlineStr">
        <x:is>
          <x:t xml:space="preserve">covered</x:t>
        </x:is>
      </x:c>
      <x:c r="I96" s="84" t="inlineStr">
        <x:is>
          <x:t xml:space="preserve">Listbox playground scenario.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Data</x:t>
        </x:is>
      </x:c>
      <x:c r="C97" s="84" t="inlineStr">
        <x:is>
          <x:t xml:space="preserve">Live DOM</x:t>
        </x:is>
      </x:c>
      <x:c r="D97" s="84" t="inlineStr">
        <x:is>
          <x:t xml:space="preserve">data-disabled is present at the correct time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</x:t>
        </x:is>
      </x:c>
      <x:c r="H97" s="86" t="inlineStr">
        <x:is>
          <x:t xml:space="preserve">covered</x:t>
        </x:is>
      </x:c>
      <x:c r="I97" s="84" t="inlineStr">
        <x:is>
          <x:t xml:space="preserve">Listbox playground scenario.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Data</x:t>
        </x:is>
      </x:c>
      <x:c r="C98" s="84" t="inlineStr">
        <x:is>
          <x:t xml:space="preserve">Live DOM</x:t>
        </x:is>
      </x:c>
      <x:c r="D98" s="84" t="inlineStr">
        <x:is>
          <x:t xml:space="preserve">data-filled is present at the correct time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</x:t>
        </x:is>
      </x:c>
      <x:c r="H98" s="86" t="inlineStr">
        <x:is>
          <x:t xml:space="preserve">covered</x:t>
        </x:is>
      </x:c>
      <x:c r="I98" s="84" t="inlineStr">
        <x:is>
          <x:t xml:space="preserve">Listbox playground scenario.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Data</x:t>
        </x:is>
      </x:c>
      <x:c r="C99" s="84" t="inlineStr">
        <x:is>
          <x:t xml:space="preserve">Live DOM</x:t>
        </x:is>
      </x:c>
      <x:c r="D99" s="84" t="inlineStr">
        <x:is>
          <x:t xml:space="preserve">data-highlighted is present at the correct time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</x:t>
        </x:is>
      </x:c>
      <x:c r="H99" s="86" t="inlineStr">
        <x:is>
          <x:t xml:space="preserve">covered</x:t>
        </x:is>
      </x:c>
      <x:c r="I99" s="84" t="inlineStr">
        <x:is>
          <x:t xml:space="preserve">Listbox playground scenario.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Data</x:t>
        </x:is>
      </x:c>
      <x:c r="C100" s="84" t="inlineStr">
        <x:is>
          <x:t xml:space="preserve">Live DOM</x:t>
        </x:is>
      </x:c>
      <x:c r="D100" s="84" t="inlineStr">
        <x:is>
          <x:t xml:space="preserve">data-invalid is present at the correct time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</x:t>
        </x:is>
      </x:c>
      <x:c r="H100" s="86" t="inlineStr">
        <x:is>
          <x:t xml:space="preserve">covered</x:t>
        </x:is>
      </x:c>
      <x:c r="I100" s="84" t="inlineStr">
        <x:is>
          <x:t xml:space="preserve">Listbox playground scenario.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Data</x:t>
        </x:is>
      </x:c>
      <x:c r="C101" s="84" t="inlineStr">
        <x:is>
          <x:t xml:space="preserve">Live DOM</x:t>
        </x:is>
      </x:c>
      <x:c r="D101" s="84" t="inlineStr">
        <x:is>
          <x:t xml:space="preserve">data-multiple is present at the correct time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</x:t>
        </x:is>
      </x:c>
      <x:c r="H101" s="86" t="inlineStr">
        <x:is>
          <x:t xml:space="preserve">covered</x:t>
        </x:is>
      </x:c>
      <x:c r="I101" s="84" t="inlineStr">
        <x:is>
          <x:t xml:space="preserve">Listbox playground scenario.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Data</x:t>
        </x:is>
      </x:c>
      <x:c r="C102" s="84" t="inlineStr">
        <x:is>
          <x:t xml:space="preserve">Live DOM</x:t>
        </x:is>
      </x:c>
      <x:c r="D102" s="84" t="inlineStr">
        <x:is>
          <x:t xml:space="preserve">data-readonly is present at the correct time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</x:t>
        </x:is>
      </x:c>
      <x:c r="H102" s="86" t="inlineStr">
        <x:is>
          <x:t xml:space="preserve">covered</x:t>
        </x:is>
      </x:c>
      <x:c r="I102" s="84" t="inlineStr">
        <x:is>
          <x:t xml:space="preserve">Listbox playground scenario.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Data</x:t>
        </x:is>
      </x:c>
      <x:c r="C103" s="84" t="inlineStr">
        <x:is>
          <x:t xml:space="preserve">Live DOM</x:t>
        </x:is>
      </x:c>
      <x:c r="D103" s="84" t="inlineStr">
        <x:is>
          <x:t xml:space="preserve">data-selected is present at the correct time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</x:t>
        </x:is>
      </x:c>
      <x:c r="H103" s="86" t="inlineStr">
        <x:is>
          <x:t xml:space="preserve">covered</x:t>
        </x:is>
      </x:c>
      <x:c r="I103" s="84" t="inlineStr">
        <x:is>
          <x:t xml:space="preserve">Listbox playground scenario.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Data</x:t>
        </x:is>
      </x:c>
      <x:c r="C104" s="84" t="inlineStr">
        <x:is>
          <x:t xml:space="preserve">Live DOM</x:t>
        </x:is>
      </x:c>
      <x:c r="D104" s="84" t="inlineStr">
        <x:is>
          <x:t xml:space="preserve">data-slot is present at the correct time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</x:t>
        </x:is>
      </x:c>
      <x:c r="H104" s="86" t="inlineStr">
        <x:is>
          <x:t xml:space="preserve">covered</x:t>
        </x:is>
      </x:c>
      <x:c r="I104" s="84" t="inlineStr">
        <x:is>
          <x:t xml:space="preserve">Listbox playground scenario.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Data</x:t>
        </x:is>
      </x:c>
      <x:c r="C105" s="84" t="inlineStr">
        <x:is>
          <x:t xml:space="preserve">Live DOM</x:t>
        </x:is>
      </x:c>
      <x:c r="D105" s="84" t="inlineStr">
        <x:is>
          <x:t xml:space="preserve">data-state is present at the correct time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</x:t>
        </x:is>
      </x:c>
      <x:c r="H105" s="86" t="inlineStr">
        <x:is>
          <x:t xml:space="preserve">covered</x:t>
        </x:is>
      </x:c>
      <x:c r="I105" s="84" t="inlineStr">
        <x:is>
          <x:t xml:space="preserve">Listbox playground scenario.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Data</x:t>
        </x:is>
      </x:c>
      <x:c r="C106" s="84" t="inlineStr">
        <x:is>
          <x:t xml:space="preserve">Live DOM</x:t>
        </x:is>
      </x:c>
      <x:c r="D106" s="84" t="inlineStr">
        <x:is>
          <x:t xml:space="preserve">data-value is present at the correct time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</x:t>
        </x:is>
      </x:c>
      <x:c r="H106" s="86" t="inlineStr">
        <x:is>
          <x:t xml:space="preserve">covered</x:t>
        </x:is>
      </x:c>
      <x:c r="I106" s="84" t="inlineStr">
        <x:is>
          <x:t xml:space="preserve">Listbox playground scenario.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30" customHeight="1">
      <x:c r="A107" s="73" t="n">
        <x:v>99</x:v>
      </x:c>
      <x:c r="B107" s="84" t="inlineStr">
        <x:is>
          <x:t xml:space="preserve">Composition</x:t>
        </x:is>
      </x:c>
      <x:c r="C107" s="84" t="inlineStr">
        <x:is>
          <x:t xml:space="preserve">Listbox</x:t>
        </x:is>
      </x:c>
      <x:c r="D107" s="84" t="inlineStr">
        <x:is>
          <x:t xml:space="preserve">asChild preserves child content without double nesting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</x:t>
        </x:is>
      </x:c>
      <x:c r="H107" s="86" t="inlineStr">
        <x:is>
          <x:t xml:space="preserve">covered</x:t>
        </x:is>
      </x:c>
      <x:c r="I107" s="84" t="inlineStr">
        <x:is>
          <x:t xml:space="preserve">Listbox playground scenario.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Composition</x:t>
        </x:is>
      </x:c>
      <x:c r="C108" s="84" t="inlineStr">
        <x:is>
          <x:t xml:space="preserve">Listbox</x:t>
        </x:is>
      </x:c>
      <x:c r="D108" s="84" t="inlineStr">
        <x:is>
          <x:t xml:space="preserve">asChild merges Atom props and consumer props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</x:t>
        </x:is>
      </x:c>
      <x:c r="H108" s="86" t="inlineStr">
        <x:is>
          <x:t xml:space="preserve">covered</x:t>
        </x:is>
      </x:c>
      <x:c r="I108" s="84" t="inlineStr">
        <x:is>
          <x:t xml:space="preserve">Listbox playground scenario.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Composition</x:t>
        </x:is>
      </x:c>
      <x:c r="C109" s="84" t="inlineStr">
        <x:is>
          <x:t xml:space="preserve">Listbox</x:t>
        </x:is>
      </x:c>
      <x:c r="D109" s="84" t="inlineStr">
        <x:is>
          <x:t xml:space="preserve">asChild lets preventDefault block Atom behavior where supported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</x:t>
        </x:is>
      </x:c>
      <x:c r="H109" s="86" t="inlineStr">
        <x:is>
          <x:t xml:space="preserve">covered</x:t>
        </x:is>
      </x:c>
      <x:c r="I109" s="84" t="inlineStr">
        <x:is>
          <x:t xml:space="preserve">Listbox playground scenario.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Composition</x:t>
        </x:is>
      </x:c>
      <x:c r="C110" s="84" t="inlineStr">
        <x:is>
          <x:t xml:space="preserve">Listbox</x:t>
        </x:is>
      </x:c>
      <x:c r="D110" s="84" t="inlineStr">
        <x:is>
          <x:t xml:space="preserve">render prop renders custom element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</x:t>
        </x:is>
      </x:c>
      <x:c r="H110" s="86" t="inlineStr">
        <x:is>
          <x:t xml:space="preserve">covered</x:t>
        </x:is>
      </x:c>
      <x:c r="I110" s="84" t="inlineStr">
        <x:is>
          <x:t xml:space="preserve">Listbox playground scenario.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Composition</x:t>
        </x:is>
      </x:c>
      <x:c r="C111" s="84" t="inlineStr">
        <x:is>
          <x:t xml:space="preserve">Listbox</x:t>
        </x:is>
      </x:c>
      <x:c r="D111" s="84" t="inlineStr">
        <x:is>
          <x:t xml:space="preserve">render prop preserves refs and behavior props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</x:t>
        </x:is>
      </x:c>
      <x:c r="H111" s="86" t="inlineStr">
        <x:is>
          <x:t xml:space="preserve">covered</x:t>
        </x:is>
      </x:c>
      <x:c r="I111" s="84" t="inlineStr">
        <x:is>
          <x:t xml:space="preserve">Listbox playground scenario.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State</x:t>
        </x:is>
      </x:c>
      <x:c r="C112" s="84" t="inlineStr">
        <x:is>
          <x:t xml:space="preserve">Root</x:t>
        </x:is>
      </x:c>
      <x:c r="D112" s="84" t="inlineStr">
        <x:is>
          <x:t xml:space="preserve">controlled state path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</x:t>
        </x:is>
      </x:c>
      <x:c r="H112" s="86" t="inlineStr">
        <x:is>
          <x:t xml:space="preserve">covered</x:t>
        </x:is>
      </x:c>
      <x:c r="I112" s="84" t="inlineStr">
        <x:is>
          <x:t xml:space="preserve">Listbox playground scenario.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30" customHeight="1">
      <x:c r="A113" s="73" t="n">
        <x:v>105</x:v>
      </x:c>
      <x:c r="B113" s="84" t="inlineStr">
        <x:is>
          <x:t xml:space="preserve">State</x:t>
        </x:is>
      </x:c>
      <x:c r="C113" s="84" t="inlineStr">
        <x:is>
          <x:t xml:space="preserve">Root</x:t>
        </x:is>
      </x:c>
      <x:c r="D113" s="84" t="inlineStr">
        <x:is>
          <x:t xml:space="preserve">uncontrolled default state path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</x:t>
        </x:is>
      </x:c>
      <x:c r="H113" s="86" t="inlineStr">
        <x:is>
          <x:t xml:space="preserve">covered</x:t>
        </x:is>
      </x:c>
      <x:c r="I113" s="84" t="inlineStr">
        <x:is>
          <x:t xml:space="preserve">Listbox playground scenario.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30" customHeight="1">
      <x:c r="A114" s="73" t="n">
        <x:v>106</x:v>
      </x:c>
      <x:c r="B114" s="84" t="inlineStr">
        <x:is>
          <x:t xml:space="preserve">State</x:t>
        </x:is>
      </x:c>
      <x:c r="C114" s="84" t="inlineStr">
        <x:is>
          <x:t xml:space="preserve">Root</x:t>
        </x:is>
      </x:c>
      <x:c r="D114" s="84" t="inlineStr">
        <x:is>
          <x:t xml:space="preserve">state change callback fires once with correct value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</x:t>
        </x:is>
      </x:c>
      <x:c r="H114" s="86" t="inlineStr">
        <x:is>
          <x:t xml:space="preserve">covered</x:t>
        </x:is>
      </x:c>
      <x:c r="I114" s="84" t="inlineStr">
        <x:is>
          <x:t xml:space="preserve">Listbox playground scenario.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30" customHeight="1">
      <x:c r="A115" s="73" t="n">
        <x:v>107</x:v>
      </x:c>
      <x:c r="B115" s="84" t="inlineStr">
        <x:is>
          <x:t xml:space="preserve">State</x:t>
        </x:is>
      </x:c>
      <x:c r="C115" s="84" t="inlineStr">
        <x:is>
          <x:t xml:space="preserve">Listbox</x:t>
        </x:is>
      </x:c>
      <x:c r="D115" s="84" t="inlineStr">
        <x:is>
          <x:t xml:space="preserve">disabled state blocks or exposes behavior correctly where supported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</x:t>
        </x:is>
      </x:c>
      <x:c r="H115" s="86" t="inlineStr">
        <x:is>
          <x:t xml:space="preserve">covered</x:t>
        </x:is>
      </x:c>
      <x:c r="I115" s="84" t="inlineStr">
        <x:is>
          <x:t xml:space="preserve">Listbox playground scenario.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30" customHeight="1">
      <x:c r="A116" s="73" t="n">
        <x:v>108</x:v>
      </x:c>
      <x:c r="B116" s="84" t="inlineStr">
        <x:is>
          <x:t xml:space="preserve">State</x:t>
        </x:is>
      </x:c>
      <x:c r="C116" s="84" t="inlineStr">
        <x:is>
          <x:t xml:space="preserve">Listbox</x:t>
        </x:is>
      </x:c>
      <x:c r="D116" s="84" t="inlineStr">
        <x:is>
          <x:t xml:space="preserve">readonly/readOnly state blocks or exposes behavior correctly where supported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</x:t>
        </x:is>
      </x:c>
      <x:c r="H116" s="86" t="inlineStr">
        <x:is>
          <x:t xml:space="preserve">covered</x:t>
        </x:is>
      </x:c>
      <x:c r="I116" s="84" t="inlineStr">
        <x:is>
          <x:t xml:space="preserve">Listbox playground scenario.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State</x:t>
        </x:is>
      </x:c>
      <x:c r="C117" s="84" t="inlineStr">
        <x:is>
          <x:t xml:space="preserve">Listbox</x:t>
        </x:is>
      </x:c>
      <x:c r="D117" s="84" t="inlineStr">
        <x:is>
          <x:t xml:space="preserve">required state blocks or exposes behavior correctly where supported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</x:t>
        </x:is>
      </x:c>
      <x:c r="H117" s="86" t="inlineStr">
        <x:is>
          <x:t xml:space="preserve">covered</x:t>
        </x:is>
      </x:c>
      <x:c r="I117" s="84" t="inlineStr">
        <x:is>
          <x:t xml:space="preserve">Listbox playground scenario.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30" customHeight="1">
      <x:c r="A118" s="73" t="n">
        <x:v>110</x:v>
      </x:c>
      <x:c r="B118" s="84" t="inlineStr">
        <x:is>
          <x:t xml:space="preserve">State</x:t>
        </x:is>
      </x:c>
      <x:c r="C118" s="84" t="inlineStr">
        <x:is>
          <x:t xml:space="preserve">Listbox</x:t>
        </x:is>
      </x:c>
      <x:c r="D118" s="84" t="inlineStr">
        <x:is>
          <x:t xml:space="preserve">invalid state blocks or exposes behavior correctly where supported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</x:t>
        </x:is>
      </x:c>
      <x:c r="H118" s="86" t="inlineStr">
        <x:is>
          <x:t xml:space="preserve">covered</x:t>
        </x:is>
      </x:c>
      <x:c r="I118" s="84" t="inlineStr">
        <x:is>
          <x:t xml:space="preserve">Listbox playground scenario.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15" customHeight="1">
      <x:c r="A119" s="73" t="n">
        <x:v>111</x:v>
      </x:c>
      <x:c r="B119" s="84" t="inlineStr">
        <x:is>
          <x:t xml:space="preserve">Forms</x:t>
        </x:is>
      </x:c>
      <x:c r="C119" s="84" t="inlineStr">
        <x:is>
          <x:t xml:space="preserve">Listbox</x:t>
        </x:is>
      </x:c>
      <x:c r="D119" s="84" t="inlineStr">
        <x:is>
          <x:t xml:space="preserve">form value participates correctly where supported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</x:t>
        </x:is>
      </x:c>
      <x:c r="H119" s="86" t="inlineStr">
        <x:is>
          <x:t xml:space="preserve">covered</x:t>
        </x:is>
      </x:c>
      <x:c r="I119" s="84" t="inlineStr">
        <x:is>
          <x:t xml:space="preserve">Listbox playground scenario.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15" customHeight="1">
      <x:c r="A120" s="73" t="n">
        <x:v>112</x:v>
      </x:c>
      <x:c r="B120" s="84" t="inlineStr">
        <x:is>
          <x:t xml:space="preserve">Forms</x:t>
        </x:is>
      </x:c>
      <x:c r="C120" s="84" t="inlineStr">
        <x:is>
          <x:t xml:space="preserve">Listbox</x:t>
        </x:is>
      </x:c>
      <x:c r="D120" s="84" t="inlineStr">
        <x:is>
          <x:t xml:space="preserve">hidden input mirrors value/checked/disabled where supported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</x:t>
        </x:is>
      </x:c>
      <x:c r="H120" s="86" t="inlineStr">
        <x:is>
          <x:t xml:space="preserve">covered</x:t>
        </x:is>
      </x:c>
      <x:c r="I120" s="84" t="inlineStr">
        <x:is>
          <x:t xml:space="preserve">Listbox playground scenario.</x:t>
        </x:is>
      </x:c>
      <x:c r="J120" s="84" t="n"/>
      <x:c r="K120" s="87" t="n">
        <x:f>IF(AND(E120="yes",F120="yes",H120="covered"),1,IF(H120="partial",0.5,0))</x:f>
        <x:v>1</x:v>
      </x:c>
    </x:row>
    <x:row r="121" s="51" customFormat="1" ht="15" customHeight="1">
      <x:c r="A121" s="73" t="n">
        <x:v>113</x:v>
      </x:c>
      <x:c r="B121" s="84" t="inlineStr">
        <x:is>
          <x:t xml:space="preserve">Keyboard</x:t>
        </x:is>
      </x:c>
      <x:c r="C121" s="84" t="inlineStr">
        <x:is>
          <x:t xml:space="preserve">Listbox</x:t>
        </x:is>
      </x:c>
      <x:c r="D121" s="84" t="inlineStr">
        <x:is>
          <x:t xml:space="preserve">Arrow key navigation follows documented orientation</x:t>
        </x:is>
      </x:c>
      <x:c r="E121" s="76" t="inlineStr">
        <x:is>
          <x:t xml:space="preserve">yes</x:t>
        </x:is>
      </x:c>
      <x:c r="F121" s="85" t="inlineStr">
        <x:is>
          <x:t xml:space="preserve">yes</x:t>
        </x:is>
      </x:c>
      <x:c r="G121" s="73" t="inlineStr">
        <x:is>
          <x:t xml:space="preserve">passed</x:t>
        </x:is>
      </x:c>
      <x:c r="H121" s="86" t="inlineStr">
        <x:is>
          <x:t xml:space="preserve">covered</x:t>
        </x:is>
      </x:c>
      <x:c r="I121" s="84" t="inlineStr">
        <x:is>
          <x:t xml:space="preserve">Listbox playground scenario.</x:t>
        </x:is>
      </x:c>
      <x:c r="J121" s="84" t="n"/>
      <x:c r="K121" s="87" t="n">
        <x:f>IF(AND(E121="yes",F121="yes",H121="covered"),1,IF(H121="partial",0.5,0))</x:f>
        <x:v>1</x:v>
      </x:c>
    </x:row>
    <x:row r="122" s="51" customFormat="1" ht="15" customHeight="1">
      <x:c r="A122" s="73" t="n">
        <x:v>114</x:v>
      </x:c>
      <x:c r="B122" s="84" t="inlineStr">
        <x:is>
          <x:t xml:space="preserve">Keyboard</x:t>
        </x:is>
      </x:c>
      <x:c r="C122" s="84" t="inlineStr">
        <x:is>
          <x:t xml:space="preserve">Listbox</x:t>
        </x:is>
      </x:c>
      <x:c r="D122" s="84" t="inlineStr">
        <x:is>
          <x:t xml:space="preserve">Home and End navigation where supported</x:t>
        </x:is>
      </x:c>
      <x:c r="E122" s="76" t="inlineStr">
        <x:is>
          <x:t xml:space="preserve">yes</x:t>
        </x:is>
      </x:c>
      <x:c r="F122" s="85" t="inlineStr">
        <x:is>
          <x:t xml:space="preserve">yes</x:t>
        </x:is>
      </x:c>
      <x:c r="G122" s="73" t="inlineStr">
        <x:is>
          <x:t xml:space="preserve">passed</x:t>
        </x:is>
      </x:c>
      <x:c r="H122" s="86" t="inlineStr">
        <x:is>
          <x:t xml:space="preserve">covered</x:t>
        </x:is>
      </x:c>
      <x:c r="I122" s="84" t="inlineStr">
        <x:is>
          <x:t xml:space="preserve">Listbox playground scenario.</x:t>
        </x:is>
      </x:c>
      <x:c r="J122" s="84" t="n"/>
      <x:c r="K122" s="87" t="n">
        <x:f>IF(AND(E122="yes",F122="yes",H122="covered"),1,IF(H122="partial",0.5,0))</x:f>
        <x:v>1</x:v>
      </x:c>
    </x:row>
    <x:row r="123" s="51" customFormat="1" ht="15" customHeight="1">
      <x:c r="A123" s="73" t="n">
        <x:v>115</x:v>
      </x:c>
      <x:c r="B123" s="84" t="inlineStr">
        <x:is>
          <x:t xml:space="preserve">Keyboard</x:t>
        </x:is>
      </x:c>
      <x:c r="C123" s="84" t="inlineStr">
        <x:is>
          <x:t xml:space="preserve">Listbox</x:t>
        </x:is>
      </x:c>
      <x:c r="D123" s="84" t="inlineStr">
        <x:is>
          <x:t xml:space="preserve">disabled items are skipped or exposed according to pattern</x:t>
        </x:is>
      </x:c>
      <x:c r="E123" s="76" t="inlineStr">
        <x:is>
          <x:t xml:space="preserve">yes</x:t>
        </x:is>
      </x:c>
      <x:c r="F123" s="85" t="inlineStr">
        <x:is>
          <x:t xml:space="preserve">yes</x:t>
        </x:is>
      </x:c>
      <x:c r="G123" s="73" t="inlineStr">
        <x:is>
          <x:t xml:space="preserve">passed</x:t>
        </x:is>
      </x:c>
      <x:c r="H123" s="86" t="inlineStr">
        <x:is>
          <x:t xml:space="preserve">covered</x:t>
        </x:is>
      </x:c>
      <x:c r="I123" s="84" t="inlineStr">
        <x:is>
          <x:t xml:space="preserve">Listbox playground scenario.</x:t>
        </x:is>
      </x:c>
      <x:c r="J123" s="84" t="n"/>
      <x:c r="K123" s="87" t="n">
        <x:f>IF(AND(E123="yes",F123="yes",H123="covered"),1,IF(H123="partial",0.5,0))</x:f>
        <x:v>1</x:v>
      </x:c>
    </x:row>
    <x:row r="124" s="51" customFormat="1" ht="30" customHeight="1">
      <x:c r="A124" s="73" t="n">
        <x:v>116</x:v>
      </x:c>
      <x:c r="B124" s="84" t="inlineStr">
        <x:is>
          <x:t xml:space="preserve">Keyboard</x:t>
        </x:is>
      </x:c>
      <x:c r="C124" s="84" t="inlineStr">
        <x:is>
          <x:t xml:space="preserve">Listbox</x:t>
        </x:is>
      </x:c>
      <x:c r="D124" s="84" t="inlineStr">
        <x:is>
          <x:t xml:space="preserve">typeahead/search behavior where supported</x:t>
        </x:is>
      </x:c>
      <x:c r="E124" s="76" t="inlineStr">
        <x:is>
          <x:t xml:space="preserve">yes</x:t>
        </x:is>
      </x:c>
      <x:c r="F124" s="85" t="inlineStr">
        <x:is>
          <x:t xml:space="preserve">yes</x:t>
        </x:is>
      </x:c>
      <x:c r="G124" s="73" t="inlineStr">
        <x:is>
          <x:t xml:space="preserve">passed</x:t>
        </x:is>
      </x:c>
      <x:c r="H124" s="86" t="inlineStr">
        <x:is>
          <x:t xml:space="preserve">covered</x:t>
        </x:is>
      </x:c>
      <x:c r="I124" s="84" t="inlineStr">
        <x:is>
          <x:t xml:space="preserve">Listbox playground scenario.</x:t>
        </x:is>
      </x:c>
      <x:c r="J124" s="84" t="n"/>
      <x:c r="K124" s="87" t="n">
        <x:f>IF(AND(E124="yes",F124="yes",H124="covered"),1,IF(H124="partial",0.5,0))</x:f>
        <x:v>1</x:v>
      </x:c>
    </x:row>
    <x:row r="125" s="51" customFormat="1" ht="30" customHeight="1">
      <x:c r="A125" s="73" t="n">
        <x:v>117</x:v>
      </x:c>
      <x:c r="B125" s="84" t="inlineStr">
        <x:is>
          <x:t xml:space="preserve">Focus</x:t>
        </x:is>
      </x:c>
      <x:c r="C125" s="84" t="inlineStr">
        <x:is>
          <x:t xml:space="preserve">Listbox</x:t>
        </x:is>
      </x:c>
      <x:c r="D125" s="84" t="inlineStr">
        <x:is>
          <x:t xml:space="preserve">roving focus or active descendant state is visible</x:t>
        </x:is>
      </x:c>
      <x:c r="E125" s="76" t="inlineStr">
        <x:is>
          <x:t xml:space="preserve">yes</x:t>
        </x:is>
      </x:c>
      <x:c r="F125" s="85" t="inlineStr">
        <x:is>
          <x:t xml:space="preserve">yes</x:t>
        </x:is>
      </x:c>
      <x:c r="G125" s="73" t="inlineStr">
        <x:is>
          <x:t xml:space="preserve">passed</x:t>
        </x:is>
      </x:c>
      <x:c r="H125" s="86" t="inlineStr">
        <x:is>
          <x:t xml:space="preserve">covered</x:t>
        </x:is>
      </x:c>
      <x:c r="I125" s="84" t="inlineStr">
        <x:is>
          <x:t xml:space="preserve">Listbox playground scenario.</x:t>
        </x:is>
      </x:c>
      <x:c r="J125" s="84" t="n"/>
      <x:c r="K125" s="87" t="n">
        <x:f>IF(AND(E125="yes",F125="yes",H125="covered"),1,IF(H125="partial",0.5,0))</x:f>
        <x:v>1</x:v>
      </x:c>
    </x:row>
    <x:row r="126" s="51" customFormat="1" ht="30" customHeight="1">
      <x:c r="A126" s="73" t="n">
        <x:v>118</x:v>
      </x:c>
      <x:c r="B126" s="84" t="inlineStr">
        <x:is>
          <x:t xml:space="preserve">Direction</x:t>
        </x:is>
      </x:c>
      <x:c r="C126" s="84" t="inlineStr">
        <x:is>
          <x:t xml:space="preserve">Root</x:t>
        </x:is>
      </x:c>
      <x:c r="D126" s="84" t="inlineStr">
        <x:is>
          <x:t xml:space="preserve">reads Direction.Provider context for horizontal keyboard navigation</x:t>
        </x:is>
      </x:c>
      <x:c r="E126" s="88" t="inlineStr">
        <x:is>
          <x:t xml:space="preserve">yes</x:t>
        </x:is>
      </x:c>
      <x:c r="F126" s="85" t="inlineStr">
        <x:is>
          <x:t xml:space="preserve">yes</x:t>
        </x:is>
      </x:c>
      <x:c r="G126" s="73" t="inlineStr">
        <x:is>
          <x:t xml:space="preserve">passed</x:t>
        </x:is>
      </x:c>
      <x:c r="H126" s="88" t="inlineStr">
        <x:is>
          <x:t xml:space="preserve">covered</x:t>
        </x:is>
      </x:c>
      <x:c r="I126" s="84" t="n"/>
      <x:c r="J126" s="84" t="n"/>
      <x:c r="K126" s="87" t="n">
        <x:f>IF(AND(E126="yes",F126="yes",H126="covered"),1,IF(H126="partial",0.5,0))</x:f>
        <x:v>1</x:v>
      </x:c>
    </x:row>
    <x:row r="127" s="51" customFormat="1" ht="30" customHeight="1">
      <x:c r="A127" s="73" t="n">
        <x:v>119</x:v>
      </x:c>
      <x:c r="B127" s="84" t="inlineStr">
        <x:is>
          <x:t xml:space="preserve">Direction</x:t>
        </x:is>
      </x:c>
      <x:c r="C127" s="84" t="inlineStr">
        <x:is>
          <x:t xml:space="preserve">Root</x:t>
        </x:is>
      </x:c>
      <x:c r="D127" s="84" t="inlineStr">
        <x:is>
          <x:t xml:space="preserve">RTL mirrors horizontal ArrowLeft and ArrowRight navigation</x:t>
        </x:is>
      </x:c>
      <x:c r="E127" s="88" t="inlineStr">
        <x:is>
          <x:t xml:space="preserve">yes</x:t>
        </x:is>
      </x:c>
      <x:c r="F127" s="85" t="inlineStr">
        <x:is>
          <x:t xml:space="preserve">yes</x:t>
        </x:is>
      </x:c>
      <x:c r="G127" s="73" t="inlineStr">
        <x:is>
          <x:t xml:space="preserve">passed</x:t>
        </x:is>
      </x:c>
      <x:c r="H127" s="88" t="inlineStr">
        <x:is>
          <x:t xml:space="preserve">covered</x:t>
        </x:is>
      </x:c>
      <x:c r="I127" s="84" t="n"/>
      <x:c r="J127" s="84" t="n"/>
      <x:c r="K127" s="87" t="n">
        <x:f>IF(AND(E127="yes",F127="yes",H127="covered"),1,IF(H127="partial",0.5,0))</x:f>
        <x:v>1</x:v>
      </x:c>
    </x:row>
    <x:row r="128" s="51" customFormat="1" ht="15" customHeight="1">
      <x:c r="A128" s="73" t="n">
        <x:v>120</x:v>
      </x:c>
      <x:c r="B128" s="84" t="inlineStr">
        <x:is>
          <x:t xml:space="preserve">Playground</x:t>
        </x:is>
      </x:c>
      <x:c r="C128" s="84" t="inlineStr">
        <x:is>
          <x:t xml:space="preserve">Direction controls</x:t>
        </x:is>
      </x:c>
      <x:c r="D128" s="84" t="inlineStr">
        <x:is>
          <x:t xml:space="preserve">scenario exposes provider direction controls</x:t>
        </x:is>
      </x:c>
      <x:c r="E128" s="88" t="inlineStr">
        <x:is>
          <x:t xml:space="preserve">yes</x:t>
        </x:is>
      </x:c>
      <x:c r="F128" s="85" t="inlineStr">
        <x:is>
          <x:t xml:space="preserve">yes</x:t>
        </x:is>
      </x:c>
      <x:c r="G128" s="73" t="inlineStr">
        <x:is>
          <x:t xml:space="preserve">passed</x:t>
        </x:is>
      </x:c>
      <x:c r="H128" s="88" t="inlineStr">
        <x:is>
          <x:t xml:space="preserve">covered</x:t>
        </x:is>
      </x:c>
      <x:c r="I128" s="84" t="n"/>
      <x:c r="J128" s="84" t="n"/>
      <x:c r="K128" s="87" t="n">
        <x:f>IF(AND(E128="yes",F128="yes",H128="covered"),1,IF(H128="partial",0.5,0))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Menu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0.7918781725888325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156</x:v>
      </x:c>
      <x:c r="E4" s="70" t="inlineStr">
        <x:is>
          <x:t xml:space="preserve">Partial</x:t>
        </x:is>
      </x:c>
      <x:c r="F4" s="82" t="n">
        <x:f>COUNTIFS(A9:A1000,"&lt;&gt;",H9:H1000,"partial")</x:f>
        <x:v>9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41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30" customHeight="1">
      <x:c r="A9" s="93" t="n">
        <x:v>1</x:v>
      </x:c>
      <x:c r="B9" s="94" t="inlineStr">
        <x:is>
          <x:t xml:space="preserve">Playground</x:t>
        </x:is>
      </x:c>
      <x:c r="C9" s="94" t="inlineStr">
        <x:is>
          <x:t xml:space="preserve">Props</x:t>
        </x:is>
      </x:c>
      <x:c r="D9" s="94" t="inlineStr">
        <x:is>
          <x:t xml:space="preserve">Props toolbar exposes Prop Check and keeps data-prop-check off by default</x:t>
        </x:is>
      </x:c>
      <x:c r="E9" s="93" t="inlineStr">
        <x:is>
          <x:t xml:space="preserve">yes</x:t>
        </x:is>
      </x:c>
      <x:c r="F9" s="93" t="inlineStr">
        <x:is>
          <x:t xml:space="preserve">yes</x:t>
        </x:is>
      </x:c>
      <x:c r="G9" s="93" t="inlineStr">
        <x:is>
          <x:t xml:space="preserve">pass</x:t>
        </x:is>
      </x:c>
      <x:c r="H9" s="93" t="inlineStr">
        <x:is>
          <x:t xml:space="preserve">covered</x:t>
        </x:is>
      </x:c>
      <x:c r="I9" s="94" t="inlineStr">
        <x:is>
          <x:t xml:space="preserve">Menu playground manual verification.</x:t>
        </x:is>
      </x:c>
      <x:c r="J9" s="94" t="n"/>
      <x:c r="K9" s="95" t="n">
        <x:f>IF(AND(E9="yes",F9="yes",H9="covered"),1,IF(H9="partial",0.5,0))</x:f>
        <x:v>1</x:v>
      </x:c>
    </x:row>
    <x:row r="10" s="51" customFormat="1" ht="30" customHeight="1">
      <x:c r="A10" s="93" t="n">
        <x:v>2</x:v>
      </x:c>
      <x:c r="B10" s="94" t="inlineStr">
        <x:is>
          <x:t xml:space="preserve">Playground</x:t>
        </x:is>
      </x:c>
      <x:c r="C10" s="94" t="inlineStr">
        <x:is>
          <x:t xml:space="preserve">Props</x:t>
        </x:is>
      </x:c>
      <x:c r="D10" s="94" t="inlineStr">
        <x:is>
          <x:t xml:space="preserve">custom data-slot override is available for every slot-owning anatomy part</x:t>
        </x:is>
      </x:c>
      <x:c r="E10" s="93" t="inlineStr">
        <x:is>
          <x:t xml:space="preserve">yes</x:t>
        </x:is>
      </x:c>
      <x:c r="F10" s="93" t="inlineStr">
        <x:is>
          <x:t xml:space="preserve">yes</x:t>
        </x:is>
      </x:c>
      <x:c r="G10" s="93" t="inlineStr">
        <x:is>
          <x:t xml:space="preserve">pass</x:t>
        </x:is>
      </x:c>
      <x:c r="H10" s="93" t="inlineStr">
        <x:is>
          <x:t xml:space="preserve">covered</x:t>
        </x:is>
      </x:c>
      <x:c r="I10" s="94" t="inlineStr">
        <x:is>
          <x:t xml:space="preserve">Menu playground manual verification.</x:t>
        </x:is>
      </x:c>
      <x:c r="J10" s="94" t="n"/>
      <x:c r="K10" s="95" t="n">
        <x:f>IF(AND(E10="yes",F10="yes",H10="covered"),1,IF(H10="partial",0.5,0))</x:f>
        <x:v>1</x:v>
      </x:c>
    </x:row>
    <x:row r="11" s="51" customFormat="1" ht="30" customHeight="1">
      <x:c r="A11" s="93" t="n">
        <x:v>3</x:v>
      </x:c>
      <x:c r="B11" s="94" t="inlineStr">
        <x:is>
          <x:t xml:space="preserve">Public API</x:t>
        </x:is>
      </x:c>
      <x:c r="C11" s="94" t="inlineStr">
        <x:is>
          <x:t xml:space="preserve">Root</x:t>
        </x:is>
      </x:c>
      <x:c r="D11" s="94" t="inlineStr">
        <x:is>
          <x:t xml:space="preserve">open prop controls menu visibility</x:t>
        </x:is>
      </x:c>
      <x:c r="E11" s="93" t="inlineStr">
        <x:is>
          <x:t xml:space="preserve">yes</x:t>
        </x:is>
      </x:c>
      <x:c r="F11" s="93" t="inlineStr">
        <x:is>
          <x:t xml:space="preserve">yes</x:t>
        </x:is>
      </x:c>
      <x:c r="G11" s="93" t="inlineStr">
        <x:is>
          <x:t xml:space="preserve">pass</x:t>
        </x:is>
      </x:c>
      <x:c r="H11" s="93" t="inlineStr">
        <x:is>
          <x:t xml:space="preserve">covered</x:t>
        </x:is>
      </x:c>
      <x:c r="I11" s="94" t="inlineStr">
        <x:is>
          <x:t xml:space="preserve">Menu playground manual verification.</x:t>
        </x:is>
      </x:c>
      <x:c r="J11" s="94" t="n"/>
      <x:c r="K11" s="95" t="n">
        <x:f>IF(AND(E11="yes",F11="yes",H11="covered"),1,IF(H11="partial",0.5,0))</x:f>
        <x:v>1</x:v>
      </x:c>
    </x:row>
    <x:row r="12" s="51" customFormat="1" ht="30" customHeight="1">
      <x:c r="A12" s="93" t="n">
        <x:v>4</x:v>
      </x:c>
      <x:c r="B12" s="94" t="inlineStr">
        <x:is>
          <x:t xml:space="preserve">Public API</x:t>
        </x:is>
      </x:c>
      <x:c r="C12" s="94" t="inlineStr">
        <x:is>
          <x:t xml:space="preserve">Root</x:t>
        </x:is>
      </x:c>
      <x:c r="D12" s="94" t="inlineStr">
        <x:is>
          <x:t xml:space="preserve">defaultOpen initializes uncontrolled open state</x:t>
        </x:is>
      </x:c>
      <x:c r="E12" s="93" t="inlineStr">
        <x:is>
          <x:t xml:space="preserve">yes</x:t>
        </x:is>
      </x:c>
      <x:c r="F12" s="93" t="inlineStr">
        <x:is>
          <x:t xml:space="preserve">yes</x:t>
        </x:is>
      </x:c>
      <x:c r="G12" s="93" t="inlineStr">
        <x:is>
          <x:t xml:space="preserve">pass</x:t>
        </x:is>
      </x:c>
      <x:c r="H12" s="93" t="inlineStr">
        <x:is>
          <x:t xml:space="preserve">covered</x:t>
        </x:is>
      </x:c>
      <x:c r="I12" s="94" t="inlineStr">
        <x:is>
          <x:t xml:space="preserve">Menu playground manual verification.</x:t>
        </x:is>
      </x:c>
      <x:c r="J12" s="94" t="n"/>
      <x:c r="K12" s="95" t="n">
        <x:f>IF(AND(E12="yes",F12="yes",H12="covered"),1,IF(H12="partial",0.5,0))</x:f>
        <x:v>1</x:v>
      </x:c>
    </x:row>
    <x:row r="13" s="51" customFormat="1" ht="30" customHeight="1">
      <x:c r="A13" s="93" t="n">
        <x:v>5</x:v>
      </x:c>
      <x:c r="B13" s="94" t="inlineStr">
        <x:is>
          <x:t xml:space="preserve">Public API</x:t>
        </x:is>
      </x:c>
      <x:c r="C13" s="94" t="inlineStr">
        <x:is>
          <x:t xml:space="preserve">Root</x:t>
        </x:is>
      </x:c>
      <x:c r="D13" s="94" t="inlineStr">
        <x:is>
          <x:t xml:space="preserve">onOpenChange fires on open and close</x:t>
        </x:is>
      </x:c>
      <x:c r="E13" s="93" t="inlineStr">
        <x:is>
          <x:t xml:space="preserve">yes</x:t>
        </x:is>
      </x:c>
      <x:c r="F13" s="93" t="inlineStr">
        <x:is>
          <x:t xml:space="preserve">yes</x:t>
        </x:is>
      </x:c>
      <x:c r="G13" s="93" t="inlineStr">
        <x:is>
          <x:t xml:space="preserve">pass</x:t>
        </x:is>
      </x:c>
      <x:c r="H13" s="93" t="inlineStr">
        <x:is>
          <x:t xml:space="preserve">covered</x:t>
        </x:is>
      </x:c>
      <x:c r="I13" s="94" t="inlineStr">
        <x:is>
          <x:t xml:space="preserve">Menu playground manual verification.</x:t>
        </x:is>
      </x:c>
      <x:c r="J13" s="94" t="n"/>
      <x:c r="K13" s="95" t="n">
        <x:f>IF(AND(E13="yes",F13="yes",H13="covered"),1,IF(H13="partial",0.5,0))</x:f>
        <x:v>1</x:v>
      </x:c>
    </x:row>
    <x:row r="14" s="51" customFormat="1" ht="30" customHeight="1">
      <x:c r="A14" s="93" t="n">
        <x:v>6</x:v>
      </x:c>
      <x:c r="B14" s="94" t="inlineStr">
        <x:is>
          <x:t xml:space="preserve">Public API</x:t>
        </x:is>
      </x:c>
      <x:c r="C14" s="94" t="inlineStr">
        <x:is>
          <x:t xml:space="preserve">Root</x:t>
        </x:is>
      </x:c>
      <x:c r="D14" s="94" t="inlineStr">
        <x:is>
          <x:t xml:space="preserve">modal true locks scroll while open</x:t>
        </x:is>
      </x:c>
      <x:c r="E14" s="93" t="inlineStr">
        <x:is>
          <x:t xml:space="preserve">yes</x:t>
        </x:is>
      </x:c>
      <x:c r="F14" s="93" t="inlineStr">
        <x:is>
          <x:t xml:space="preserve">yes</x:t>
        </x:is>
      </x:c>
      <x:c r="G14" s="93" t="inlineStr">
        <x:is>
          <x:t xml:space="preserve">pass</x:t>
        </x:is>
      </x:c>
      <x:c r="H14" s="93" t="inlineStr">
        <x:is>
          <x:t xml:space="preserve">covered</x:t>
        </x:is>
      </x:c>
      <x:c r="I14" s="94" t="inlineStr">
        <x:is>
          <x:t xml:space="preserve">Menu playground manual verification.</x:t>
        </x:is>
      </x:c>
      <x:c r="J14" s="94" t="n"/>
      <x:c r="K14" s="95" t="n">
        <x:f>IF(AND(E14="yes",F14="yes",H14="covered"),1,IF(H14="partial",0.5,0))</x:f>
        <x:v>1</x:v>
      </x:c>
    </x:row>
    <x:row r="15" s="51" customFormat="1" ht="30" customHeight="1">
      <x:c r="A15" s="93" t="n">
        <x:v>7</x:v>
      </x:c>
      <x:c r="B15" s="94" t="inlineStr">
        <x:is>
          <x:t xml:space="preserve">Public API</x:t>
        </x:is>
      </x:c>
      <x:c r="C15" s="94" t="inlineStr">
        <x:is>
          <x:t xml:space="preserve">Root</x:t>
        </x:is>
      </x:c>
      <x:c r="D15" s="94" t="inlineStr">
        <x:is>
          <x:t xml:space="preserve">modal false skips scroll lock</x:t>
        </x:is>
      </x:c>
      <x:c r="E15" s="93" t="inlineStr">
        <x:is>
          <x:t xml:space="preserve">yes</x:t>
        </x:is>
      </x:c>
      <x:c r="F15" s="93" t="inlineStr">
        <x:is>
          <x:t xml:space="preserve">yes</x:t>
        </x:is>
      </x:c>
      <x:c r="G15" s="93" t="inlineStr">
        <x:is>
          <x:t xml:space="preserve">pass</x:t>
        </x:is>
      </x:c>
      <x:c r="H15" s="93" t="inlineStr">
        <x:is>
          <x:t xml:space="preserve">covered</x:t>
        </x:is>
      </x:c>
      <x:c r="I15" s="94" t="inlineStr">
        <x:is>
          <x:t xml:space="preserve">Menu playground manual verification.</x:t>
        </x:is>
      </x:c>
      <x:c r="J15" s="94" t="n"/>
      <x:c r="K15" s="95" t="n">
        <x:f>IF(AND(E15="yes",F15="yes",H15="covered"),1,IF(H15="partial",0.5,0))</x:f>
        <x:v>1</x:v>
      </x:c>
    </x:row>
    <x:row r="16" s="51" customFormat="1" ht="30" customHeight="1">
      <x:c r="A16" s="93" t="n">
        <x:v>8</x:v>
      </x:c>
      <x:c r="B16" s="94" t="inlineStr">
        <x:is>
          <x:t xml:space="preserve">Public API</x:t>
        </x:is>
      </x:c>
      <x:c r="C16" s="94" t="inlineStr">
        <x:is>
          <x:t xml:space="preserve">Root</x:t>
        </x:is>
      </x:c>
      <x:c r="D16" s="94" t="inlineStr">
        <x:is>
          <x:t xml:space="preserve">closeOnSelect true closes action items</x:t>
        </x:is>
      </x:c>
      <x:c r="E16" s="93" t="inlineStr">
        <x:is>
          <x:t xml:space="preserve">yes</x:t>
        </x:is>
      </x:c>
      <x:c r="F16" s="93" t="inlineStr">
        <x:is>
          <x:t xml:space="preserve">yes</x:t>
        </x:is>
      </x:c>
      <x:c r="G16" s="93" t="inlineStr">
        <x:is>
          <x:t xml:space="preserve">pass</x:t>
        </x:is>
      </x:c>
      <x:c r="H16" s="93" t="inlineStr">
        <x:is>
          <x:t xml:space="preserve">covered</x:t>
        </x:is>
      </x:c>
      <x:c r="I16" s="94" t="inlineStr">
        <x:is>
          <x:t xml:space="preserve">Menu playground manual verification.</x:t>
        </x:is>
      </x:c>
      <x:c r="J16" s="94" t="n"/>
      <x:c r="K16" s="95" t="n">
        <x:f>IF(AND(E16="yes",F16="yes",H16="covered"),1,IF(H16="partial",0.5,0))</x:f>
        <x:v>1</x:v>
      </x:c>
    </x:row>
    <x:row r="17" s="51" customFormat="1" ht="30" customHeight="1">
      <x:c r="A17" s="93" t="n">
        <x:v>9</x:v>
      </x:c>
      <x:c r="B17" s="94" t="inlineStr">
        <x:is>
          <x:t xml:space="preserve">Public API</x:t>
        </x:is>
      </x:c>
      <x:c r="C17" s="94" t="inlineStr">
        <x:is>
          <x:t xml:space="preserve">Root</x:t>
        </x:is>
      </x:c>
      <x:c r="D17" s="94" t="inlineStr">
        <x:is>
          <x:t xml:space="preserve">closeOnSelect false keeps selection menu open</x:t>
        </x:is>
      </x:c>
      <x:c r="E17" s="93" t="inlineStr">
        <x:is>
          <x:t xml:space="preserve">yes</x:t>
        </x:is>
      </x:c>
      <x:c r="F17" s="93" t="inlineStr">
        <x:is>
          <x:t xml:space="preserve">yes</x:t>
        </x:is>
      </x:c>
      <x:c r="G17" s="93" t="inlineStr">
        <x:is>
          <x:t xml:space="preserve">pass</x:t>
        </x:is>
      </x:c>
      <x:c r="H17" s="93" t="inlineStr">
        <x:is>
          <x:t xml:space="preserve">covered</x:t>
        </x:is>
      </x:c>
      <x:c r="I17" s="94" t="inlineStr">
        <x:is>
          <x:t xml:space="preserve">Menu playground manual verification.</x:t>
        </x:is>
      </x:c>
      <x:c r="J17" s="94" t="n"/>
      <x:c r="K17" s="95" t="n">
        <x:f>IF(AND(E17="yes",F17="yes",H17="covered"),1,IF(H17="partial",0.5,0))</x:f>
        <x:v>1</x:v>
      </x:c>
    </x:row>
    <x:row r="18" s="51" customFormat="1" ht="30" customHeight="1">
      <x:c r="A18" s="93" t="n">
        <x:v>10</x:v>
      </x:c>
      <x:c r="B18" s="94" t="inlineStr">
        <x:is>
          <x:t xml:space="preserve">Public API</x:t>
        </x:is>
      </x:c>
      <x:c r="C18" s="94" t="inlineStr">
        <x:is>
          <x:t xml:space="preserve">Root</x:t>
        </x:is>
      </x:c>
      <x:c r="D18" s="94" t="inlineStr">
        <x:is>
          <x:t xml:space="preserve">loop true wraps keyboard highlight</x:t>
        </x:is>
      </x:c>
      <x:c r="E18" s="93" t="inlineStr">
        <x:is>
          <x:t xml:space="preserve">yes</x:t>
        </x:is>
      </x:c>
      <x:c r="F18" s="93" t="inlineStr">
        <x:is>
          <x:t xml:space="preserve">yes</x:t>
        </x:is>
      </x:c>
      <x:c r="G18" s="93" t="inlineStr">
        <x:is>
          <x:t xml:space="preserve">pass</x:t>
        </x:is>
      </x:c>
      <x:c r="H18" s="93" t="inlineStr">
        <x:is>
          <x:t xml:space="preserve">covered</x:t>
        </x:is>
      </x:c>
      <x:c r="I18" s="94" t="inlineStr">
        <x:is>
          <x:t xml:space="preserve">Menu playground manual verification.</x:t>
        </x:is>
      </x:c>
      <x:c r="J18" s="94" t="n"/>
      <x:c r="K18" s="95" t="n">
        <x:f>IF(AND(E18="yes",F18="yes",H18="covered"),1,IF(H18="partial",0.5,0))</x:f>
        <x:v>1</x:v>
      </x:c>
    </x:row>
    <x:row r="19" s="51" customFormat="1" ht="30" customHeight="1">
      <x:c r="A19" s="93" t="n">
        <x:v>11</x:v>
      </x:c>
      <x:c r="B19" s="94" t="inlineStr">
        <x:is>
          <x:t xml:space="preserve">Public API</x:t>
        </x:is>
      </x:c>
      <x:c r="C19" s="94" t="inlineStr">
        <x:is>
          <x:t xml:space="preserve">Root</x:t>
        </x:is>
      </x:c>
      <x:c r="D19" s="94" t="inlineStr">
        <x:is>
          <x:t xml:space="preserve">loop false stops at first and last item</x:t>
        </x:is>
      </x:c>
      <x:c r="E19" s="93" t="inlineStr">
        <x:is>
          <x:t xml:space="preserve">yes</x:t>
        </x:is>
      </x:c>
      <x:c r="F19" s="93" t="inlineStr">
        <x:is>
          <x:t xml:space="preserve">yes</x:t>
        </x:is>
      </x:c>
      <x:c r="G19" s="93" t="inlineStr">
        <x:is>
          <x:t xml:space="preserve">pass</x:t>
        </x:is>
      </x:c>
      <x:c r="H19" s="93" t="inlineStr">
        <x:is>
          <x:t xml:space="preserve">covered</x:t>
        </x:is>
      </x:c>
      <x:c r="I19" s="94" t="inlineStr">
        <x:is>
          <x:t xml:space="preserve">Menu playground manual verification.</x:t>
        </x:is>
      </x:c>
      <x:c r="J19" s="94" t="n"/>
      <x:c r="K19" s="95" t="n">
        <x:f>IF(AND(E19="yes",F19="yes",H19="covered"),1,IF(H19="partial",0.5,0))</x:f>
        <x:v>1</x:v>
      </x:c>
    </x:row>
    <x:row r="20" s="51" customFormat="1" ht="30" customHeight="1">
      <x:c r="A20" s="93" t="n">
        <x:v>12</x:v>
      </x:c>
      <x:c r="B20" s="94" t="inlineStr">
        <x:is>
          <x:t xml:space="preserve">Public API</x:t>
        </x:is>
      </x:c>
      <x:c r="C20" s="94" t="inlineStr">
        <x:is>
          <x:t xml:space="preserve">Root</x:t>
        </x:is>
      </x:c>
      <x:c r="D20" s="94" t="inlineStr">
        <x:is>
          <x:t xml:space="preserve">closeOnEscape true closes menu</x:t>
        </x:is>
      </x:c>
      <x:c r="E20" s="93" t="inlineStr">
        <x:is>
          <x:t xml:space="preserve">yes</x:t>
        </x:is>
      </x:c>
      <x:c r="F20" s="93" t="inlineStr">
        <x:is>
          <x:t xml:space="preserve">yes</x:t>
        </x:is>
      </x:c>
      <x:c r="G20" s="93" t="inlineStr">
        <x:is>
          <x:t xml:space="preserve">pass</x:t>
        </x:is>
      </x:c>
      <x:c r="H20" s="93" t="inlineStr">
        <x:is>
          <x:t xml:space="preserve">covered</x:t>
        </x:is>
      </x:c>
      <x:c r="I20" s="94" t="inlineStr">
        <x:is>
          <x:t xml:space="preserve">Menu playground manual verification.</x:t>
        </x:is>
      </x:c>
      <x:c r="J20" s="94" t="n"/>
      <x:c r="K20" s="95" t="n">
        <x:f>IF(AND(E20="yes",F20="yes",H20="covered"),1,IF(H20="partial",0.5,0))</x:f>
        <x:v>1</x:v>
      </x:c>
    </x:row>
    <x:row r="21" s="51" customFormat="1" ht="30" customHeight="1">
      <x:c r="A21" s="93" t="n">
        <x:v>13</x:v>
      </x:c>
      <x:c r="B21" s="94" t="inlineStr">
        <x:is>
          <x:t xml:space="preserve">Public API</x:t>
        </x:is>
      </x:c>
      <x:c r="C21" s="94" t="inlineStr">
        <x:is>
          <x:t xml:space="preserve">Root</x:t>
        </x:is>
      </x:c>
      <x:c r="D21" s="94" t="inlineStr">
        <x:is>
          <x:t xml:space="preserve">closeOnEscape false leaves menu open</x:t>
        </x:is>
      </x:c>
      <x:c r="E21" s="93" t="inlineStr">
        <x:is>
          <x:t xml:space="preserve">yes</x:t>
        </x:is>
      </x:c>
      <x:c r="F21" s="93" t="inlineStr">
        <x:is>
          <x:t xml:space="preserve">yes</x:t>
        </x:is>
      </x:c>
      <x:c r="G21" s="93" t="inlineStr">
        <x:is>
          <x:t xml:space="preserve">pass</x:t>
        </x:is>
      </x:c>
      <x:c r="H21" s="93" t="inlineStr">
        <x:is>
          <x:t xml:space="preserve">covered</x:t>
        </x:is>
      </x:c>
      <x:c r="I21" s="94" t="inlineStr">
        <x:is>
          <x:t xml:space="preserve">Menu playground manual verification.</x:t>
        </x:is>
      </x:c>
      <x:c r="J21" s="94" t="n"/>
      <x:c r="K21" s="95" t="n">
        <x:f>IF(AND(E21="yes",F21="yes",H21="covered"),1,IF(H21="partial",0.5,0))</x:f>
        <x:v>1</x:v>
      </x:c>
    </x:row>
    <x:row r="22" s="51" customFormat="1" ht="30" customHeight="1">
      <x:c r="A22" s="93" t="n">
        <x:v>14</x:v>
      </x:c>
      <x:c r="B22" s="94" t="inlineStr">
        <x:is>
          <x:t xml:space="preserve">Public API</x:t>
        </x:is>
      </x:c>
      <x:c r="C22" s="94" t="inlineStr">
        <x:is>
          <x:t xml:space="preserve">Root</x:t>
        </x:is>
      </x:c>
      <x:c r="D22" s="94" t="inlineStr">
        <x:is>
          <x:t xml:space="preserve">nested submenu disables parent Escape close</x:t>
        </x:is>
      </x:c>
      <x:c r="E22" s="93" t="inlineStr">
        <x:is>
          <x:t xml:space="preserve">yes</x:t>
        </x:is>
      </x:c>
      <x:c r="F22" s="93" t="inlineStr">
        <x:is>
          <x:t xml:space="preserve">yes</x:t>
        </x:is>
      </x:c>
      <x:c r="G22" s="93" t="inlineStr">
        <x:is>
          <x:t xml:space="preserve">pass</x:t>
        </x:is>
      </x:c>
      <x:c r="H22" s="93" t="inlineStr">
        <x:is>
          <x:t xml:space="preserve">covered</x:t>
        </x:is>
      </x:c>
      <x:c r="I22" s="94" t="inlineStr">
        <x:is>
          <x:t xml:space="preserve">Menu playground manual verification.</x:t>
        </x:is>
      </x:c>
      <x:c r="J22" s="94" t="n"/>
      <x:c r="K22" s="95" t="n">
        <x:f>IF(AND(E22="yes",F22="yes",H22="covered"),1,IF(H22="partial",0.5,0))</x:f>
        <x:v>1</x:v>
      </x:c>
    </x:row>
    <x:row r="23" s="51" customFormat="1" ht="30" customHeight="1">
      <x:c r="A23" s="93" t="n">
        <x:v>15</x:v>
      </x:c>
      <x:c r="B23" s="94" t="inlineStr">
        <x:is>
          <x:t xml:space="preserve">Public API</x:t>
        </x:is>
      </x:c>
      <x:c r="C23" s="94" t="inlineStr">
        <x:is>
          <x:t xml:space="preserve">Content</x:t>
        </x:is>
      </x:c>
      <x:c r="D23" s="94" t="inlineStr">
        <x:is>
          <x:t xml:space="preserve">renders only while open</x:t>
        </x:is>
      </x:c>
      <x:c r="E23" s="93" t="inlineStr">
        <x:is>
          <x:t xml:space="preserve">yes</x:t>
        </x:is>
      </x:c>
      <x:c r="F23" s="93" t="inlineStr">
        <x:is>
          <x:t xml:space="preserve">yes</x:t>
        </x:is>
      </x:c>
      <x:c r="G23" s="93" t="inlineStr">
        <x:is>
          <x:t xml:space="preserve">pass</x:t>
        </x:is>
      </x:c>
      <x:c r="H23" s="93" t="inlineStr">
        <x:is>
          <x:t xml:space="preserve">covered</x:t>
        </x:is>
      </x:c>
      <x:c r="I23" s="94" t="inlineStr">
        <x:is>
          <x:t xml:space="preserve">Menu playground manual verification.</x:t>
        </x:is>
      </x:c>
      <x:c r="J23" s="94" t="n"/>
      <x:c r="K23" s="95" t="n">
        <x:f>IF(AND(E23="yes",F23="yes",H23="covered"),1,IF(H23="partial",0.5,0))</x:f>
        <x:v>1</x:v>
      </x:c>
    </x:row>
    <x:row r="24" s="51" customFormat="1" ht="30" customHeight="1">
      <x:c r="A24" s="93" t="n">
        <x:v>16</x:v>
      </x:c>
      <x:c r="B24" s="94" t="inlineStr">
        <x:is>
          <x:t xml:space="preserve">Public API</x:t>
        </x:is>
      </x:c>
      <x:c r="C24" s="94" t="inlineStr">
        <x:is>
          <x:t xml:space="preserve">Content</x:t>
        </x:is>
      </x:c>
      <x:c r="D24" s="94" t="inlineStr">
        <x:is>
          <x:t xml:space="preserve">role is menu</x:t>
        </x:is>
      </x:c>
      <x:c r="E24" s="93" t="inlineStr">
        <x:is>
          <x:t xml:space="preserve">yes</x:t>
        </x:is>
      </x:c>
      <x:c r="F24" s="93" t="inlineStr">
        <x:is>
          <x:t xml:space="preserve">yes</x:t>
        </x:is>
      </x:c>
      <x:c r="G24" s="93" t="inlineStr">
        <x:is>
          <x:t xml:space="preserve">pass</x:t>
        </x:is>
      </x:c>
      <x:c r="H24" s="93" t="inlineStr">
        <x:is>
          <x:t xml:space="preserve">covered</x:t>
        </x:is>
      </x:c>
      <x:c r="I24" s="94" t="inlineStr">
        <x:is>
          <x:t xml:space="preserve">Menu playground manual verification.</x:t>
        </x:is>
      </x:c>
      <x:c r="J24" s="94" t="n"/>
      <x:c r="K24" s="95" t="n">
        <x:f>IF(AND(E24="yes",F24="yes",H24="covered"),1,IF(H24="partial",0.5,0))</x:f>
        <x:v>1</x:v>
      </x:c>
    </x:row>
    <x:row r="25" s="51" customFormat="1" ht="45" customHeight="1">
      <x:c r="A25" s="93" t="n">
        <x:v>17</x:v>
      </x:c>
      <x:c r="B25" s="94" t="inlineStr">
        <x:is>
          <x:t xml:space="preserve">Public API</x:t>
        </x:is>
      </x:c>
      <x:c r="C25" s="94" t="inlineStr">
        <x:is>
          <x:t xml:space="preserve">Content</x:t>
        </x:is>
      </x:c>
      <x:c r="D25" s="94" t="inlineStr">
        <x:is>
          <x:t xml:space="preserve">aria-orientation is vertical</x:t>
        </x:is>
      </x:c>
      <x:c r="E25" s="93" t="inlineStr">
        <x:is>
          <x:t xml:space="preserve">yes</x:t>
        </x:is>
      </x:c>
      <x:c r="F25" s="93" t="inlineStr">
        <x:is>
          <x:t xml:space="preserve">yes</x:t>
        </x:is>
      </x:c>
      <x:c r="G25" s="93" t="inlineStr">
        <x:is>
          <x:t xml:space="preserve">pass</x:t>
        </x:is>
      </x:c>
      <x:c r="H25" s="93" t="inlineStr">
        <x:is>
          <x:t xml:space="preserve">covered</x:t>
        </x:is>
      </x:c>
      <x:c r="I25" s="94" t="inlineStr">
        <x:is>
          <x:t xml:space="preserve">Menu playground manual verification.</x:t>
        </x:is>
      </x:c>
      <x:c r="J25" s="94" t="n"/>
      <x:c r="K25" s="95" t="n">
        <x:f>IF(AND(E25="yes",F25="yes",H25="covered"),1,IF(H25="partial",0.5,0))</x:f>
        <x:v>1</x:v>
      </x:c>
    </x:row>
    <x:row r="26" s="51" customFormat="1" ht="30" customHeight="1">
      <x:c r="A26" s="93" t="n">
        <x:v>18</x:v>
      </x:c>
      <x:c r="B26" s="94" t="inlineStr">
        <x:is>
          <x:t xml:space="preserve">Public API</x:t>
        </x:is>
      </x:c>
      <x:c r="C26" s="94" t="inlineStr">
        <x:is>
          <x:t xml:space="preserve">Content</x:t>
        </x:is>
      </x:c>
      <x:c r="D26" s="94" t="inlineStr">
        <x:is>
          <x:t xml:space="preserve">aria-label prop names menu</x:t>
        </x:is>
      </x:c>
      <x:c r="E26" s="93" t="inlineStr">
        <x:is>
          <x:t xml:space="preserve">yes</x:t>
        </x:is>
      </x:c>
      <x:c r="F26" s="93" t="inlineStr">
        <x:is>
          <x:t xml:space="preserve">yes</x:t>
        </x:is>
      </x:c>
      <x:c r="G26" s="93" t="inlineStr">
        <x:is>
          <x:t xml:space="preserve">pass</x:t>
        </x:is>
      </x:c>
      <x:c r="H26" s="93" t="inlineStr">
        <x:is>
          <x:t xml:space="preserve">covered</x:t>
        </x:is>
      </x:c>
      <x:c r="I26" s="94" t="inlineStr">
        <x:is>
          <x:t xml:space="preserve">Menu playground manual verification.</x:t>
        </x:is>
      </x:c>
      <x:c r="J26" s="94" t="n"/>
      <x:c r="K26" s="95" t="n">
        <x:f>IF(AND(E26="yes",F26="yes",H26="covered"),1,IF(H26="partial",0.5,0))</x:f>
        <x:v>1</x:v>
      </x:c>
    </x:row>
    <x:row r="27" s="51" customFormat="1" ht="30" customHeight="1">
      <x:c r="A27" s="93" t="n">
        <x:v>19</x:v>
      </x:c>
      <x:c r="B27" s="94" t="inlineStr">
        <x:is>
          <x:t xml:space="preserve">Public API</x:t>
        </x:is>
      </x:c>
      <x:c r="C27" s="94" t="inlineStr">
        <x:is>
          <x:t xml:space="preserve">Content</x:t>
        </x:is>
      </x:c>
      <x:c r="D27" s="94" t="inlineStr">
        <x:is>
          <x:t xml:space="preserve">aria-labelledby references trigger when ariaLabel is absent</x:t>
        </x:is>
      </x:c>
      <x:c r="E27" s="93" t="inlineStr">
        <x:is>
          <x:t xml:space="preserve">yes</x:t>
        </x:is>
      </x:c>
      <x:c r="F27" s="93" t="inlineStr">
        <x:is>
          <x:t xml:space="preserve">yes</x:t>
        </x:is>
      </x:c>
      <x:c r="G27" s="93" t="inlineStr">
        <x:is>
          <x:t xml:space="preserve">pass</x:t>
        </x:is>
      </x:c>
      <x:c r="H27" s="93" t="inlineStr">
        <x:is>
          <x:t xml:space="preserve">covered</x:t>
        </x:is>
      </x:c>
      <x:c r="I27" s="94" t="inlineStr">
        <x:is>
          <x:t xml:space="preserve">Menu playground manual verification.</x:t>
        </x:is>
      </x:c>
      <x:c r="J27" s="94" t="n"/>
      <x:c r="K27" s="95" t="n">
        <x:f>IF(AND(E27="yes",F27="yes",H27="covered"),1,IF(H27="partial",0.5,0))</x:f>
        <x:v>1</x:v>
      </x:c>
    </x:row>
    <x:row r="28" s="51" customFormat="1" ht="30" customHeight="1">
      <x:c r="A28" s="93" t="n">
        <x:v>20</x:v>
      </x:c>
      <x:c r="B28" s="94" t="inlineStr">
        <x:is>
          <x:t xml:space="preserve">Public API</x:t>
        </x:is>
      </x:c>
      <x:c r="C28" s="94" t="inlineStr">
        <x:is>
          <x:t xml:space="preserve">Content</x:t>
        </x:is>
      </x:c>
      <x:c r="D28" s="94" t="inlineStr">
        <x:is>
          <x:t xml:space="preserve">tabindex attr is -1</x:t>
        </x:is>
      </x:c>
      <x:c r="E28" s="93" t="inlineStr">
        <x:is>
          <x:t xml:space="preserve">yes</x:t>
        </x:is>
      </x:c>
      <x:c r="F28" s="93" t="inlineStr">
        <x:is>
          <x:t xml:space="preserve">yes</x:t>
        </x:is>
      </x:c>
      <x:c r="G28" s="93" t="inlineStr">
        <x:is>
          <x:t xml:space="preserve">pass</x:t>
        </x:is>
      </x:c>
      <x:c r="H28" s="93" t="inlineStr">
        <x:is>
          <x:t xml:space="preserve">covered</x:t>
        </x:is>
      </x:c>
      <x:c r="I28" s="94" t="inlineStr">
        <x:is>
          <x:t xml:space="preserve">Menu playground manual verification.</x:t>
        </x:is>
      </x:c>
      <x:c r="J28" s="94" t="n"/>
      <x:c r="K28" s="95" t="n">
        <x:f>IF(AND(E28="yes",F28="yes",H28="covered"),1,IF(H28="partial",0.5,0))</x:f>
        <x:v>1</x:v>
      </x:c>
    </x:row>
    <x:row r="29" s="51" customFormat="1" ht="30" customHeight="1">
      <x:c r="A29" s="93" t="n">
        <x:v>21</x:v>
      </x:c>
      <x:c r="B29" s="94" t="inlineStr">
        <x:is>
          <x:t xml:space="preserve">Public API</x:t>
        </x:is>
      </x:c>
      <x:c r="C29" s="94" t="inlineStr">
        <x:is>
          <x:t xml:space="preserve">Content</x:t>
        </x:is>
      </x:c>
      <x:c r="D29" s="94" t="inlineStr">
        <x:is>
          <x:t xml:space="preserve">data-slot is menu-content</x:t>
        </x:is>
      </x:c>
      <x:c r="E29" s="93" t="inlineStr">
        <x:is>
          <x:t xml:space="preserve">yes</x:t>
        </x:is>
      </x:c>
      <x:c r="F29" s="93" t="inlineStr">
        <x:is>
          <x:t xml:space="preserve">yes</x:t>
        </x:is>
      </x:c>
      <x:c r="G29" s="93" t="inlineStr">
        <x:is>
          <x:t xml:space="preserve">pass</x:t>
        </x:is>
      </x:c>
      <x:c r="H29" s="93" t="inlineStr">
        <x:is>
          <x:t xml:space="preserve">covered</x:t>
        </x:is>
      </x:c>
      <x:c r="I29" s="94" t="inlineStr">
        <x:is>
          <x:t xml:space="preserve">Menu playground manual verification.</x:t>
        </x:is>
      </x:c>
      <x:c r="J29" s="94" t="n"/>
      <x:c r="K29" s="95" t="n">
        <x:f>IF(AND(E29="yes",F29="yes",H29="covered"),1,IF(H29="partial",0.5,0))</x:f>
        <x:v>1</x:v>
      </x:c>
    </x:row>
    <x:row r="30" s="51" customFormat="1" ht="30" customHeight="1">
      <x:c r="A30" s="93" t="n">
        <x:v>22</x:v>
      </x:c>
      <x:c r="B30" s="94" t="inlineStr">
        <x:is>
          <x:t xml:space="preserve">Public API</x:t>
        </x:is>
      </x:c>
      <x:c r="C30" s="94" t="inlineStr">
        <x:is>
          <x:t xml:space="preserve">Content</x:t>
        </x:is>
      </x:c>
      <x:c r="D30" s="94" t="inlineStr">
        <x:is>
          <x:t xml:space="preserve">data-state is open</x:t>
        </x:is>
      </x:c>
      <x:c r="E30" s="93" t="inlineStr">
        <x:is>
          <x:t xml:space="preserve">yes</x:t>
        </x:is>
      </x:c>
      <x:c r="F30" s="93" t="inlineStr">
        <x:is>
          <x:t xml:space="preserve">yes</x:t>
        </x:is>
      </x:c>
      <x:c r="G30" s="93" t="inlineStr">
        <x:is>
          <x:t xml:space="preserve">pass</x:t>
        </x:is>
      </x:c>
      <x:c r="H30" s="93" t="inlineStr">
        <x:is>
          <x:t xml:space="preserve">covered</x:t>
        </x:is>
      </x:c>
      <x:c r="I30" s="94" t="inlineStr">
        <x:is>
          <x:t xml:space="preserve">Menu playground manual verification.</x:t>
        </x:is>
      </x:c>
      <x:c r="J30" s="94" t="n"/>
      <x:c r="K30" s="95" t="n">
        <x:f>IF(AND(E30="yes",F30="yes",H30="covered"),1,IF(H30="partial",0.5,0))</x:f>
        <x:v>1</x:v>
      </x:c>
    </x:row>
    <x:row r="31" s="51" customFormat="1" ht="30" customHeight="1">
      <x:c r="A31" s="93" t="n">
        <x:v>23</x:v>
      </x:c>
      <x:c r="B31" s="94" t="inlineStr">
        <x:is>
          <x:t xml:space="preserve">Public API</x:t>
        </x:is>
      </x:c>
      <x:c r="C31" s="94" t="inlineStr">
        <x:is>
          <x:t xml:space="preserve">Content</x:t>
        </x:is>
      </x:c>
      <x:c r="D31" s="94" t="inlineStr">
        <x:is>
          <x:t xml:space="preserve">data-side reflects final placement</x:t>
        </x:is>
      </x:c>
      <x:c r="E31" s="93" t="inlineStr">
        <x:is>
          <x:t xml:space="preserve">yes</x:t>
        </x:is>
      </x:c>
      <x:c r="F31" s="93" t="inlineStr">
        <x:is>
          <x:t xml:space="preserve">yes</x:t>
        </x:is>
      </x:c>
      <x:c r="G31" s="93" t="inlineStr">
        <x:is>
          <x:t xml:space="preserve">pass</x:t>
        </x:is>
      </x:c>
      <x:c r="H31" s="93" t="inlineStr">
        <x:is>
          <x:t xml:space="preserve">covered</x:t>
        </x:is>
      </x:c>
      <x:c r="I31" s="94" t="inlineStr">
        <x:is>
          <x:t xml:space="preserve">Menu playground manual verification.</x:t>
        </x:is>
      </x:c>
      <x:c r="J31" s="94" t="n"/>
      <x:c r="K31" s="95" t="n">
        <x:f>IF(AND(E31="yes",F31="yes",H31="covered"),1,IF(H31="partial",0.5,0))</x:f>
        <x:v>1</x:v>
      </x:c>
    </x:row>
    <x:row r="32" s="51" customFormat="1" ht="30" customHeight="1">
      <x:c r="A32" s="93" t="n">
        <x:v>24</x:v>
      </x:c>
      <x:c r="B32" s="94" t="inlineStr">
        <x:is>
          <x:t xml:space="preserve">Public API</x:t>
        </x:is>
      </x:c>
      <x:c r="C32" s="94" t="inlineStr">
        <x:is>
          <x:t xml:space="preserve">Content</x:t>
        </x:is>
      </x:c>
      <x:c r="D32" s="94" t="inlineStr">
        <x:is>
          <x:t xml:space="preserve">data-align reflects final placement</x:t>
        </x:is>
      </x:c>
      <x:c r="E32" s="93" t="inlineStr">
        <x:is>
          <x:t xml:space="preserve">yes</x:t>
        </x:is>
      </x:c>
      <x:c r="F32" s="93" t="inlineStr">
        <x:is>
          <x:t xml:space="preserve">yes</x:t>
        </x:is>
      </x:c>
      <x:c r="G32" s="93" t="inlineStr">
        <x:is>
          <x:t xml:space="preserve">pass</x:t>
        </x:is>
      </x:c>
      <x:c r="H32" s="93" t="inlineStr">
        <x:is>
          <x:t xml:space="preserve">covered</x:t>
        </x:is>
      </x:c>
      <x:c r="I32" s="94" t="inlineStr">
        <x:is>
          <x:t xml:space="preserve">Menu playground manual verification.</x:t>
        </x:is>
      </x:c>
      <x:c r="J32" s="94" t="n"/>
      <x:c r="K32" s="95" t="n">
        <x:f>IF(AND(E32="yes",F32="yes",H32="covered"),1,IF(H32="partial",0.5,0))</x:f>
        <x:v>1</x:v>
      </x:c>
    </x:row>
    <x:row r="33" s="51" customFormat="1" ht="30" customHeight="1">
      <x:c r="A33" s="93" t="n">
        <x:v>25</x:v>
      </x:c>
      <x:c r="B33" s="94" t="inlineStr">
        <x:is>
          <x:t xml:space="preserve">Public API</x:t>
        </x:is>
      </x:c>
      <x:c r="C33" s="94" t="inlineStr">
        <x:is>
          <x:t xml:space="preserve">Content</x:t>
        </x:is>
      </x:c>
      <x:c r="D33" s="94" t="inlineStr">
        <x:is>
          <x:t xml:space="preserve">data-positioned appears after positioning</x:t>
        </x:is>
      </x:c>
      <x:c r="E33" s="93" t="inlineStr">
        <x:is>
          <x:t xml:space="preserve">yes</x:t>
        </x:is>
      </x:c>
      <x:c r="F33" s="93" t="inlineStr">
        <x:is>
          <x:t xml:space="preserve">yes</x:t>
        </x:is>
      </x:c>
      <x:c r="G33" s="93" t="inlineStr">
        <x:is>
          <x:t xml:space="preserve">pass</x:t>
        </x:is>
      </x:c>
      <x:c r="H33" s="93" t="inlineStr">
        <x:is>
          <x:t xml:space="preserve">covered</x:t>
        </x:is>
      </x:c>
      <x:c r="I33" s="94" t="inlineStr">
        <x:is>
          <x:t xml:space="preserve">Menu playground manual verification.</x:t>
        </x:is>
      </x:c>
      <x:c r="J33" s="94" t="n"/>
      <x:c r="K33" s="95" t="n">
        <x:f>IF(AND(E33="yes",F33="yes",H33="covered"),1,IF(H33="partial",0.5,0))</x:f>
        <x:v>1</x:v>
      </x:c>
    </x:row>
    <x:row r="34" s="51" customFormat="1" ht="45" customHeight="1">
      <x:c r="A34" s="93" t="n">
        <x:v>26</x:v>
      </x:c>
      <x:c r="B34" s="94" t="inlineStr">
        <x:is>
          <x:t xml:space="preserve">Public API</x:t>
        </x:is>
      </x:c>
      <x:c r="C34" s="94" t="inlineStr">
        <x:is>
          <x:t xml:space="preserve">Content</x:t>
        </x:is>
      </x:c>
      <x:c r="D34" s="94" t="inlineStr">
        <x:is>
          <x:t xml:space="preserve">side prop changes placement</x:t>
        </x:is>
      </x:c>
      <x:c r="E34" s="93" t="inlineStr">
        <x:is>
          <x:t xml:space="preserve">yes</x:t>
        </x:is>
      </x:c>
      <x:c r="F34" s="93" t="inlineStr">
        <x:is>
          <x:t xml:space="preserve">yes</x:t>
        </x:is>
      </x:c>
      <x:c r="G34" s="93" t="inlineStr">
        <x:is>
          <x:t xml:space="preserve">pass</x:t>
        </x:is>
      </x:c>
      <x:c r="H34" s="93" t="inlineStr">
        <x:is>
          <x:t xml:space="preserve">covered</x:t>
        </x:is>
      </x:c>
      <x:c r="I34" s="94" t="inlineStr">
        <x:is>
          <x:t xml:space="preserve">Menu playground manual verification.</x:t>
        </x:is>
      </x:c>
      <x:c r="J34" s="94" t="n"/>
      <x:c r="K34" s="95" t="n">
        <x:f>IF(AND(E34="yes",F34="yes",H34="covered"),1,IF(H34="partial",0.5,0))</x:f>
        <x:v>1</x:v>
      </x:c>
    </x:row>
    <x:row r="35" s="51" customFormat="1" ht="45" customHeight="1">
      <x:c r="A35" s="93" t="n">
        <x:v>27</x:v>
      </x:c>
      <x:c r="B35" s="94" t="inlineStr">
        <x:is>
          <x:t xml:space="preserve">Public API</x:t>
        </x:is>
      </x:c>
      <x:c r="C35" s="94" t="inlineStr">
        <x:is>
          <x:t xml:space="preserve">Content</x:t>
        </x:is>
      </x:c>
      <x:c r="D35" s="94" t="inlineStr">
        <x:is>
          <x:t xml:space="preserve">align prop changes placement</x:t>
        </x:is>
      </x:c>
      <x:c r="E35" s="93" t="inlineStr">
        <x:is>
          <x:t xml:space="preserve">yes</x:t>
        </x:is>
      </x:c>
      <x:c r="F35" s="93" t="inlineStr">
        <x:is>
          <x:t xml:space="preserve">yes</x:t>
        </x:is>
      </x:c>
      <x:c r="G35" s="93" t="inlineStr">
        <x:is>
          <x:t xml:space="preserve">pass</x:t>
        </x:is>
      </x:c>
      <x:c r="H35" s="93" t="inlineStr">
        <x:is>
          <x:t xml:space="preserve">covered</x:t>
        </x:is>
      </x:c>
      <x:c r="I35" s="94" t="inlineStr">
        <x:is>
          <x:t xml:space="preserve">Menu playground manual verification.</x:t>
        </x:is>
      </x:c>
      <x:c r="J35" s="94" t="n"/>
      <x:c r="K35" s="95" t="n">
        <x:f>IF(AND(E35="yes",F35="yes",H35="covered"),1,IF(H35="partial",0.5,0))</x:f>
        <x:v>1</x:v>
      </x:c>
    </x:row>
    <x:row r="36" s="51" customFormat="1" ht="30" customHeight="1">
      <x:c r="A36" s="93" t="n">
        <x:v>28</x:v>
      </x:c>
      <x:c r="B36" s="94" t="inlineStr">
        <x:is>
          <x:t xml:space="preserve">Public API</x:t>
        </x:is>
      </x:c>
      <x:c r="C36" s="94" t="inlineStr">
        <x:is>
          <x:t xml:space="preserve">Content</x:t>
        </x:is>
      </x:c>
      <x:c r="D36" s="94" t="inlineStr">
        <x:is>
          <x:t xml:space="preserve">sideOffset changes menu distance</x:t>
        </x:is>
      </x:c>
      <x:c r="E36" s="93" t="inlineStr">
        <x:is>
          <x:t xml:space="preserve">yes</x:t>
        </x:is>
      </x:c>
      <x:c r="F36" s="93" t="inlineStr">
        <x:is>
          <x:t xml:space="preserve">yes</x:t>
        </x:is>
      </x:c>
      <x:c r="G36" s="93" t="inlineStr">
        <x:is>
          <x:t xml:space="preserve">pass</x:t>
        </x:is>
      </x:c>
      <x:c r="H36" s="93" t="inlineStr">
        <x:is>
          <x:t xml:space="preserve">covered</x:t>
        </x:is>
      </x:c>
      <x:c r="I36" s="94" t="inlineStr">
        <x:is>
          <x:t xml:space="preserve">Menu playground manual verification.</x:t>
        </x:is>
      </x:c>
      <x:c r="J36" s="94" t="n"/>
      <x:c r="K36" s="95" t="n">
        <x:f>IF(AND(E36="yes",F36="yes",H36="covered"),1,IF(H36="partial",0.5,0))</x:f>
        <x:v>1</x:v>
      </x:c>
    </x:row>
    <x:row r="37" s="51" customFormat="1" ht="45" customHeight="1">
      <x:c r="A37" s="93" t="n">
        <x:v>29</x:v>
      </x:c>
      <x:c r="B37" s="94" t="inlineStr">
        <x:is>
          <x:t xml:space="preserve">Public API</x:t>
        </x:is>
      </x:c>
      <x:c r="C37" s="94" t="inlineStr">
        <x:is>
          <x:t xml:space="preserve">Content</x:t>
        </x:is>
      </x:c>
      <x:c r="D37" s="94" t="inlineStr">
        <x:is>
          <x:t xml:space="preserve">loop prop overrides root loop</x:t>
        </x:is>
      </x:c>
      <x:c r="E37" s="93" t="inlineStr">
        <x:is>
          <x:t xml:space="preserve">yes</x:t>
        </x:is>
      </x:c>
      <x:c r="F37" s="93" t="inlineStr">
        <x:is>
          <x:t xml:space="preserve">yes</x:t>
        </x:is>
      </x:c>
      <x:c r="G37" s="93" t="inlineStr">
        <x:is>
          <x:t xml:space="preserve">pass</x:t>
        </x:is>
      </x:c>
      <x:c r="H37" s="93" t="inlineStr">
        <x:is>
          <x:t xml:space="preserve">covered</x:t>
        </x:is>
      </x:c>
      <x:c r="I37" s="94" t="inlineStr">
        <x:is>
          <x:t xml:space="preserve">Menu playground manual verification.</x:t>
        </x:is>
      </x:c>
      <x:c r="J37" s="94" t="n"/>
      <x:c r="K37" s="95" t="n">
        <x:f>IF(AND(E37="yes",F37="yes",H37="covered"),1,IF(H37="partial",0.5,0))</x:f>
        <x:v>1</x:v>
      </x:c>
    </x:row>
    <x:row r="38" s="51" customFormat="1" ht="30" customHeight="1">
      <x:c r="A38" s="93" t="n">
        <x:v>30</x:v>
      </x:c>
      <x:c r="B38" s="94" t="inlineStr">
        <x:is>
          <x:t xml:space="preserve">Public API</x:t>
        </x:is>
      </x:c>
      <x:c r="C38" s="94" t="inlineStr">
        <x:is>
          <x:t xml:space="preserve">Content</x:t>
        </x:is>
      </x:c>
      <x:c r="D38" s="94" t="inlineStr">
        <x:is>
          <x:t xml:space="preserve">anchorPoint positions from pointer coordinates</x:t>
        </x:is>
      </x:c>
      <x:c r="E38" s="93" t="inlineStr">
        <x:is>
          <x:t xml:space="preserve">yes</x:t>
        </x:is>
      </x:c>
      <x:c r="F38" s="93" t="inlineStr">
        <x:is>
          <x:t xml:space="preserve">yes</x:t>
        </x:is>
      </x:c>
      <x:c r="G38" s="93" t="inlineStr">
        <x:is>
          <x:t xml:space="preserve">pass</x:t>
        </x:is>
      </x:c>
      <x:c r="H38" s="93" t="inlineStr">
        <x:is>
          <x:t xml:space="preserve">covered</x:t>
        </x:is>
      </x:c>
      <x:c r="I38" s="94" t="inlineStr">
        <x:is>
          <x:t xml:space="preserve">Menu playground manual verification.</x:t>
        </x:is>
      </x:c>
      <x:c r="J38" s="94" t="n"/>
      <x:c r="K38" s="95" t="n">
        <x:f>IF(AND(E38="yes",F38="yes",H38="covered"),1,IF(H38="partial",0.5,0))</x:f>
        <x:v>1</x:v>
      </x:c>
    </x:row>
    <x:row r="39" s="51" customFormat="1" ht="30" customHeight="1">
      <x:c r="A39" s="93" t="n">
        <x:v>31</x:v>
      </x:c>
      <x:c r="B39" s="94" t="inlineStr">
        <x:is>
          <x:t xml:space="preserve">Public API</x:t>
        </x:is>
      </x:c>
      <x:c r="C39" s="94" t="inlineStr">
        <x:is>
          <x:t xml:space="preserve">Content</x:t>
        </x:is>
      </x:c>
      <x:c r="D39" s="94" t="inlineStr">
        <x:is>
          <x:t xml:space="preserve">native className and data props pass through</x:t>
        </x:is>
      </x:c>
      <x:c r="E39" s="93" t="inlineStr">
        <x:is>
          <x:t xml:space="preserve">yes</x:t>
        </x:is>
      </x:c>
      <x:c r="F39" s="93" t="inlineStr">
        <x:is>
          <x:t xml:space="preserve">yes</x:t>
        </x:is>
      </x:c>
      <x:c r="G39" s="93" t="inlineStr">
        <x:is>
          <x:t xml:space="preserve">pass</x:t>
        </x:is>
      </x:c>
      <x:c r="H39" s="93" t="inlineStr">
        <x:is>
          <x:t xml:space="preserve">covered</x:t>
        </x:is>
      </x:c>
      <x:c r="I39" s="94" t="inlineStr">
        <x:is>
          <x:t xml:space="preserve">Menu playground manual verification.</x:t>
        </x:is>
      </x:c>
      <x:c r="J39" s="94" t="n"/>
      <x:c r="K39" s="95" t="n">
        <x:f>IF(AND(E39="yes",F39="yes",H39="covered"),1,IF(H39="partial",0.5,0))</x:f>
        <x:v>1</x:v>
      </x:c>
    </x:row>
    <x:row r="40" s="51" customFormat="1" ht="30" customHeight="1">
      <x:c r="A40" s="93" t="n">
        <x:v>32</x:v>
      </x:c>
      <x:c r="B40" s="94" t="inlineStr">
        <x:is>
          <x:t xml:space="preserve">Public API</x:t>
        </x:is>
      </x:c>
      <x:c r="C40" s="94" t="inlineStr">
        <x:is>
          <x:t xml:space="preserve">Content</x:t>
        </x:is>
      </x:c>
      <x:c r="D40" s="94" t="inlineStr">
        <x:is>
          <x:t xml:space="preserve">onKeyDownCapture can block Atom key behavior</x:t>
        </x:is>
      </x:c>
      <x:c r="E40" s="93" t="inlineStr">
        <x:is>
          <x:t xml:space="preserve">yes</x:t>
        </x:is>
      </x:c>
      <x:c r="F40" s="93" t="inlineStr">
        <x:is>
          <x:t xml:space="preserve">yes</x:t>
        </x:is>
      </x:c>
      <x:c r="G40" s="93" t="inlineStr">
        <x:is>
          <x:t xml:space="preserve">pass</x:t>
        </x:is>
      </x:c>
      <x:c r="H40" s="93" t="inlineStr">
        <x:is>
          <x:t xml:space="preserve">covered</x:t>
        </x:is>
      </x:c>
      <x:c r="I40" s="94" t="inlineStr">
        <x:is>
          <x:t xml:space="preserve">Menu playground manual verification.</x:t>
        </x:is>
      </x:c>
      <x:c r="J40" s="94" t="n"/>
      <x:c r="K40" s="95" t="n">
        <x:f>IF(AND(E40="yes",F40="yes",H40="covered"),1,IF(H40="partial",0.5,0))</x:f>
        <x:v>1</x:v>
      </x:c>
    </x:row>
    <x:row r="41" s="51" customFormat="1" ht="30" customHeight="1">
      <x:c r="A41" s="93" t="n">
        <x:v>33</x:v>
      </x:c>
      <x:c r="B41" s="94" t="inlineStr">
        <x:is>
          <x:t xml:space="preserve">Public API</x:t>
        </x:is>
      </x:c>
      <x:c r="C41" s="94" t="inlineStr">
        <x:is>
          <x:t xml:space="preserve">Item</x:t>
        </x:is>
      </x:c>
      <x:c r="D41" s="94" t="inlineStr">
        <x:is>
          <x:t xml:space="preserve">renders role menuitem</x:t>
        </x:is>
      </x:c>
      <x:c r="E41" s="93" t="inlineStr">
        <x:is>
          <x:t xml:space="preserve">yes</x:t>
        </x:is>
      </x:c>
      <x:c r="F41" s="93" t="inlineStr">
        <x:is>
          <x:t xml:space="preserve">yes</x:t>
        </x:is>
      </x:c>
      <x:c r="G41" s="93" t="inlineStr">
        <x:is>
          <x:t xml:space="preserve">pass</x:t>
        </x:is>
      </x:c>
      <x:c r="H41" s="93" t="inlineStr">
        <x:is>
          <x:t xml:space="preserve">covered</x:t>
        </x:is>
      </x:c>
      <x:c r="I41" s="94" t="inlineStr">
        <x:is>
          <x:t xml:space="preserve">Menu playground manual verification.</x:t>
        </x:is>
      </x:c>
      <x:c r="J41" s="94" t="n"/>
      <x:c r="K41" s="95" t="n">
        <x:f>IF(AND(E41="yes",F41="yes",H41="covered"),1,IF(H41="partial",0.5,0))</x:f>
        <x:v>1</x:v>
      </x:c>
    </x:row>
    <x:row r="42" s="51" customFormat="1" ht="30" customHeight="1">
      <x:c r="A42" s="93" t="n">
        <x:v>34</x:v>
      </x:c>
      <x:c r="B42" s="94" t="inlineStr">
        <x:is>
          <x:t xml:space="preserve">Public API</x:t>
        </x:is>
      </x:c>
      <x:c r="C42" s="94" t="inlineStr">
        <x:is>
          <x:t xml:space="preserve">Item</x:t>
        </x:is>
      </x:c>
      <x:c r="D42" s="94" t="inlineStr">
        <x:is>
          <x:t xml:space="preserve">value appears as data-value</x:t>
        </x:is>
      </x:c>
      <x:c r="E42" s="93" t="inlineStr">
        <x:is>
          <x:t xml:space="preserve">yes</x:t>
        </x:is>
      </x:c>
      <x:c r="F42" s="93" t="inlineStr">
        <x:is>
          <x:t xml:space="preserve">yes</x:t>
        </x:is>
      </x:c>
      <x:c r="G42" s="93" t="inlineStr">
        <x:is>
          <x:t xml:space="preserve">pass</x:t>
        </x:is>
      </x:c>
      <x:c r="H42" s="93" t="inlineStr">
        <x:is>
          <x:t xml:space="preserve">covered</x:t>
        </x:is>
      </x:c>
      <x:c r="I42" s="94" t="inlineStr">
        <x:is>
          <x:t xml:space="preserve">Menu playground manual verification.</x:t>
        </x:is>
      </x:c>
      <x:c r="J42" s="94" t="n"/>
      <x:c r="K42" s="95" t="n">
        <x:f>IF(AND(E42="yes",F42="yes",H42="covered"),1,IF(H42="partial",0.5,0))</x:f>
        <x:v>1</x:v>
      </x:c>
    </x:row>
    <x:row r="43" s="51" customFormat="1" ht="30" customHeight="1">
      <x:c r="A43" s="93" t="n">
        <x:v>35</x:v>
      </x:c>
      <x:c r="B43" s="94" t="inlineStr">
        <x:is>
          <x:t xml:space="preserve">Public API</x:t>
        </x:is>
      </x:c>
      <x:c r="C43" s="94" t="inlineStr">
        <x:is>
          <x:t xml:space="preserve">Item</x:t>
        </x:is>
      </x:c>
      <x:c r="D43" s="94" t="inlineStr">
        <x:is>
          <x:t xml:space="preserve">textValue is used for typeahead</x:t>
        </x:is>
      </x:c>
      <x:c r="E43" s="93" t="inlineStr">
        <x:is>
          <x:t xml:space="preserve">yes</x:t>
        </x:is>
      </x:c>
      <x:c r="F43" s="93" t="inlineStr">
        <x:is>
          <x:t xml:space="preserve">yes</x:t>
        </x:is>
      </x:c>
      <x:c r="G43" s="93" t="inlineStr">
        <x:is>
          <x:t xml:space="preserve">pass</x:t>
        </x:is>
      </x:c>
      <x:c r="H43" s="93" t="inlineStr">
        <x:is>
          <x:t xml:space="preserve">covered</x:t>
        </x:is>
      </x:c>
      <x:c r="I43" s="94" t="inlineStr">
        <x:is>
          <x:t xml:space="preserve">Menu playground manual verification.</x:t>
        </x:is>
      </x:c>
      <x:c r="J43" s="94" t="n"/>
      <x:c r="K43" s="95" t="n">
        <x:f>IF(AND(E43="yes",F43="yes",H43="covered"),1,IF(H43="partial",0.5,0))</x:f>
        <x:v>1</x:v>
      </x:c>
    </x:row>
    <x:row r="44" s="51" customFormat="1" ht="30" customHeight="1">
      <x:c r="A44" s="93" t="n">
        <x:v>36</x:v>
      </x:c>
      <x:c r="B44" s="94" t="inlineStr">
        <x:is>
          <x:t xml:space="preserve">Public API</x:t>
        </x:is>
      </x:c>
      <x:c r="C44" s="94" t="inlineStr">
        <x:is>
          <x:t xml:space="preserve">Item</x:t>
        </x:is>
      </x:c>
      <x:c r="D44" s="94" t="inlineStr">
        <x:is>
          <x:t xml:space="preserve">onSelect fires on click</x:t>
        </x:is>
      </x:c>
      <x:c r="E44" s="93" t="inlineStr">
        <x:is>
          <x:t xml:space="preserve">yes</x:t>
        </x:is>
      </x:c>
      <x:c r="F44" s="93" t="inlineStr">
        <x:is>
          <x:t xml:space="preserve">yes</x:t>
        </x:is>
      </x:c>
      <x:c r="G44" s="93" t="inlineStr">
        <x:is>
          <x:t xml:space="preserve">pass</x:t>
        </x:is>
      </x:c>
      <x:c r="H44" s="93" t="inlineStr">
        <x:is>
          <x:t xml:space="preserve">covered</x:t>
        </x:is>
      </x:c>
      <x:c r="I44" s="94" t="inlineStr">
        <x:is>
          <x:t xml:space="preserve">Menu playground manual verification.</x:t>
        </x:is>
      </x:c>
      <x:c r="J44" s="94" t="n"/>
      <x:c r="K44" s="95" t="n">
        <x:f>IF(AND(E44="yes",F44="yes",H44="covered"),1,IF(H44="partial",0.5,0))</x:f>
        <x:v>1</x:v>
      </x:c>
    </x:row>
    <x:row r="45" s="51" customFormat="1" ht="30" customHeight="1">
      <x:c r="A45" s="93" t="n">
        <x:v>37</x:v>
      </x:c>
      <x:c r="B45" s="94" t="inlineStr">
        <x:is>
          <x:t xml:space="preserve">Public API</x:t>
        </x:is>
      </x:c>
      <x:c r="C45" s="94" t="inlineStr">
        <x:is>
          <x:t xml:space="preserve">Item</x:t>
        </x:is>
      </x:c>
      <x:c r="D45" s="94" t="inlineStr">
        <x:is>
          <x:t xml:space="preserve">onSelect fires from keyboard activation</x:t>
        </x:is>
      </x:c>
      <x:c r="E45" s="93" t="inlineStr">
        <x:is>
          <x:t xml:space="preserve">yes</x:t>
        </x:is>
      </x:c>
      <x:c r="F45" s="93" t="inlineStr">
        <x:is>
          <x:t xml:space="preserve">yes</x:t>
        </x:is>
      </x:c>
      <x:c r="G45" s="93" t="inlineStr">
        <x:is>
          <x:t xml:space="preserve">pass</x:t>
        </x:is>
      </x:c>
      <x:c r="H45" s="93" t="inlineStr">
        <x:is>
          <x:t xml:space="preserve">covered</x:t>
        </x:is>
      </x:c>
      <x:c r="I45" s="94" t="inlineStr">
        <x:is>
          <x:t xml:space="preserve">Menu playground manual verification.</x:t>
        </x:is>
      </x:c>
      <x:c r="J45" s="94" t="n"/>
      <x:c r="K45" s="95" t="n">
        <x:f>IF(AND(E45="yes",F45="yes",H45="covered"),1,IF(H45="partial",0.5,0))</x:f>
        <x:v>1</x:v>
      </x:c>
    </x:row>
    <x:row r="46" s="51" customFormat="1" ht="30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Item</x:t>
        </x:is>
      </x:c>
      <x:c r="D46" s="84" t="inlineStr">
        <x:is>
          <x:t xml:space="preserve">disabled item receives real keyboard focus but Enter, Space, click, and selection callbacks cannot activate it</x:t>
        </x:is>
      </x:c>
      <x:c r="E46" s="76" t="inlineStr">
        <x:is>
          <x:t xml:space="preserve">yes</x:t>
        </x:is>
      </x:c>
      <x:c r="F46" s="85" t="inlineStr">
        <x:is>
          <x:t xml:space="preserve">no</x:t>
        </x:is>
      </x:c>
      <x:c r="G46" s="73" t="inlineStr">
        <x:is>
          <x:t xml:space="preserve">automated tests pass; manual pending</x:t>
        </x:is>
      </x:c>
      <x:c r="H46" s="86" t="inlineStr">
        <x:is>
          <x:t xml:space="preserve">untested</x:t>
        </x:is>
      </x:c>
      <x:c r="I46" s="84" t="inlineStr">
        <x:is>
          <x:t xml:space="preserve">playground/.manual-tests/menu.md (draft)</x:t>
        </x:is>
      </x:c>
      <x:c r="J46" s="84" t="inlineStr">
        <x:is>
          <x:t xml:space="preserve">Run the updated component Manual Test Protocol and named browser/device matrix.</x:t>
        </x:is>
      </x:c>
      <x:c r="K46" s="87" t="n">
        <x:f>IF(AND(E46="yes",F46="yes",H46="covered"),1,IF(H46="partial",0.5,0))</x:f>
        <x:v>0</x:v>
      </x:c>
    </x:row>
    <x:row r="47" s="51" customFormat="1" ht="30" customHeight="1">
      <x:c r="A47" s="93" t="n">
        <x:v>39</x:v>
      </x:c>
      <x:c r="B47" s="94" t="inlineStr">
        <x:is>
          <x:t xml:space="preserve">Public API</x:t>
        </x:is>
      </x:c>
      <x:c r="C47" s="94" t="inlineStr">
        <x:is>
          <x:t xml:space="preserve">Item</x:t>
        </x:is>
      </x:c>
      <x:c r="D47" s="94" t="inlineStr">
        <x:is>
          <x:t xml:space="preserve">disabled item exposes aria-disabled</x:t>
        </x:is>
      </x:c>
      <x:c r="E47" s="93" t="inlineStr">
        <x:is>
          <x:t xml:space="preserve">yes</x:t>
        </x:is>
      </x:c>
      <x:c r="F47" s="93" t="inlineStr">
        <x:is>
          <x:t xml:space="preserve">yes</x:t>
        </x:is>
      </x:c>
      <x:c r="G47" s="93" t="inlineStr">
        <x:is>
          <x:t xml:space="preserve">pass</x:t>
        </x:is>
      </x:c>
      <x:c r="H47" s="93" t="inlineStr">
        <x:is>
          <x:t xml:space="preserve">covered</x:t>
        </x:is>
      </x:c>
      <x:c r="I47" s="94" t="inlineStr">
        <x:is>
          <x:t xml:space="preserve">Menu playground manual verification.</x:t>
        </x:is>
      </x:c>
      <x:c r="J47" s="94" t="n"/>
      <x:c r="K47" s="95" t="n">
        <x:f>IF(AND(E47="yes",F47="yes",H47="covered"),1,IF(H47="partial",0.5,0))</x:f>
        <x:v>1</x:v>
      </x:c>
    </x:row>
    <x:row r="48" s="51" customFormat="1" ht="30" customHeight="1">
      <x:c r="A48" s="93" t="n">
        <x:v>40</x:v>
      </x:c>
      <x:c r="B48" s="94" t="inlineStr">
        <x:is>
          <x:t xml:space="preserve">Public API</x:t>
        </x:is>
      </x:c>
      <x:c r="C48" s="94" t="inlineStr">
        <x:is>
          <x:t xml:space="preserve">Item</x:t>
        </x:is>
      </x:c>
      <x:c r="D48" s="94" t="inlineStr">
        <x:is>
          <x:t xml:space="preserve">disabled item exposes data-disabled</x:t>
        </x:is>
      </x:c>
      <x:c r="E48" s="93" t="inlineStr">
        <x:is>
          <x:t xml:space="preserve">yes</x:t>
        </x:is>
      </x:c>
      <x:c r="F48" s="93" t="inlineStr">
        <x:is>
          <x:t xml:space="preserve">yes</x:t>
        </x:is>
      </x:c>
      <x:c r="G48" s="93" t="inlineStr">
        <x:is>
          <x:t xml:space="preserve">pass</x:t>
        </x:is>
      </x:c>
      <x:c r="H48" s="93" t="inlineStr">
        <x:is>
          <x:t xml:space="preserve">covered</x:t>
        </x:is>
      </x:c>
      <x:c r="I48" s="94" t="inlineStr">
        <x:is>
          <x:t xml:space="preserve">Menu playground manual verification.</x:t>
        </x:is>
      </x:c>
      <x:c r="J48" s="94" t="n"/>
      <x:c r="K48" s="95" t="n">
        <x:f>IF(AND(E48="yes",F48="yes",H48="covered"),1,IF(H48="partial",0.5,0))</x:f>
        <x:v>1</x:v>
      </x:c>
    </x:row>
    <x:row r="49" s="51" customFormat="1" ht="30" customHeight="1">
      <x:c r="A49" s="93" t="n">
        <x:v>41</x:v>
      </x:c>
      <x:c r="B49" s="94" t="inlineStr">
        <x:is>
          <x:t xml:space="preserve">Public API</x:t>
        </x:is>
      </x:c>
      <x:c r="C49" s="94" t="inlineStr">
        <x:is>
          <x:t xml:space="preserve">Item</x:t>
        </x:is>
      </x:c>
      <x:c r="D49" s="94" t="inlineStr">
        <x:is>
          <x:t xml:space="preserve">highlighted item exposes data-highlighted</x:t>
        </x:is>
      </x:c>
      <x:c r="E49" s="93" t="inlineStr">
        <x:is>
          <x:t xml:space="preserve">yes</x:t>
        </x:is>
      </x:c>
      <x:c r="F49" s="93" t="inlineStr">
        <x:is>
          <x:t xml:space="preserve">yes</x:t>
        </x:is>
      </x:c>
      <x:c r="G49" s="93" t="inlineStr">
        <x:is>
          <x:t xml:space="preserve">pass</x:t>
        </x:is>
      </x:c>
      <x:c r="H49" s="93" t="inlineStr">
        <x:is>
          <x:t xml:space="preserve">covered</x:t>
        </x:is>
      </x:c>
      <x:c r="I49" s="94" t="inlineStr">
        <x:is>
          <x:t xml:space="preserve">Menu playground manual verification.</x:t>
        </x:is>
      </x:c>
      <x:c r="J49" s="94" t="n"/>
      <x:c r="K49" s="95" t="n">
        <x:f>IF(AND(E49="yes",F49="yes",H49="covered"),1,IF(H49="partial",0.5,0))</x:f>
        <x:v>1</x:v>
      </x:c>
    </x:row>
    <x:row r="50" s="51" customFormat="1" ht="30" customHeight="1">
      <x:c r="A50" s="93" t="n">
        <x:v>42</x:v>
      </x:c>
      <x:c r="B50" s="94" t="inlineStr">
        <x:is>
          <x:t xml:space="preserve">Public API</x:t>
        </x:is>
      </x:c>
      <x:c r="C50" s="94" t="inlineStr">
        <x:is>
          <x:t xml:space="preserve">Item</x:t>
        </x:is>
      </x:c>
      <x:c r="D50" s="94" t="inlineStr">
        <x:is>
          <x:t xml:space="preserve">closeOnSelect overrides root close behavior</x:t>
        </x:is>
      </x:c>
      <x:c r="E50" s="93" t="inlineStr">
        <x:is>
          <x:t xml:space="preserve">yes</x:t>
        </x:is>
      </x:c>
      <x:c r="F50" s="93" t="inlineStr">
        <x:is>
          <x:t xml:space="preserve">yes</x:t>
        </x:is>
      </x:c>
      <x:c r="G50" s="93" t="inlineStr">
        <x:is>
          <x:t xml:space="preserve">pass</x:t>
        </x:is>
      </x:c>
      <x:c r="H50" s="93" t="inlineStr">
        <x:is>
          <x:t xml:space="preserve">covered</x:t>
        </x:is>
      </x:c>
      <x:c r="I50" s="94" t="inlineStr">
        <x:is>
          <x:t xml:space="preserve">Menu playground manual verification.</x:t>
        </x:is>
      </x:c>
      <x:c r="J50" s="94" t="n"/>
      <x:c r="K50" s="95" t="n">
        <x:f>IF(AND(E50="yes",F50="yes",H50="covered"),1,IF(H50="partial",0.5,0))</x:f>
        <x:v>1</x:v>
      </x:c>
    </x:row>
    <x:row r="51" s="51" customFormat="1" ht="30" customHeight="1">
      <x:c r="A51" s="93" t="n">
        <x:v>43</x:v>
      </x:c>
      <x:c r="B51" s="94" t="inlineStr">
        <x:is>
          <x:t xml:space="preserve">Public API</x:t>
        </x:is>
      </x:c>
      <x:c r="C51" s="94" t="inlineStr">
        <x:is>
          <x:t xml:space="preserve">Item</x:t>
        </x:is>
      </x:c>
      <x:c r="D51" s="94" t="inlineStr">
        <x:is>
          <x:t xml:space="preserve">asChild composition works</x:t>
        </x:is>
      </x:c>
      <x:c r="E51" s="93" t="inlineStr">
        <x:is>
          <x:t xml:space="preserve">yes</x:t>
        </x:is>
      </x:c>
      <x:c r="F51" s="93" t="inlineStr">
        <x:is>
          <x:t xml:space="preserve">yes</x:t>
        </x:is>
      </x:c>
      <x:c r="G51" s="93" t="inlineStr">
        <x:is>
          <x:t xml:space="preserve">pass</x:t>
        </x:is>
      </x:c>
      <x:c r="H51" s="93" t="inlineStr">
        <x:is>
          <x:t xml:space="preserve">covered</x:t>
        </x:is>
      </x:c>
      <x:c r="I51" s="94" t="inlineStr">
        <x:is>
          <x:t xml:space="preserve">Menu playground manual verification.</x:t>
        </x:is>
      </x:c>
      <x:c r="J51" s="94" t="n"/>
      <x:c r="K51" s="95" t="n">
        <x:f>IF(AND(E51="yes",F51="yes",H51="covered"),1,IF(H51="partial",0.5,0))</x:f>
        <x:v>1</x:v>
      </x:c>
    </x:row>
    <x:row r="52" s="51" customFormat="1" ht="45" customHeight="1">
      <x:c r="A52" s="93" t="n">
        <x:v>44</x:v>
      </x:c>
      <x:c r="B52" s="94" t="inlineStr">
        <x:is>
          <x:t xml:space="preserve">Public API</x:t>
        </x:is>
      </x:c>
      <x:c r="C52" s="94" t="inlineStr">
        <x:is>
          <x:t xml:space="preserve">Item</x:t>
        </x:is>
      </x:c>
      <x:c r="D52" s="94" t="inlineStr">
        <x:is>
          <x:t xml:space="preserve">render composition works</x:t>
        </x:is>
      </x:c>
      <x:c r="E52" s="93" t="inlineStr">
        <x:is>
          <x:t xml:space="preserve">yes</x:t>
        </x:is>
      </x:c>
      <x:c r="F52" s="93" t="inlineStr">
        <x:is>
          <x:t xml:space="preserve">yes</x:t>
        </x:is>
      </x:c>
      <x:c r="G52" s="93" t="inlineStr">
        <x:is>
          <x:t xml:space="preserve">pass</x:t>
        </x:is>
      </x:c>
      <x:c r="H52" s="93" t="inlineStr">
        <x:is>
          <x:t xml:space="preserve">covered</x:t>
        </x:is>
      </x:c>
      <x:c r="I52" s="94" t="inlineStr">
        <x:is>
          <x:t xml:space="preserve">Menu playground manual verification.</x:t>
        </x:is>
      </x:c>
      <x:c r="J52" s="94" t="n"/>
      <x:c r="K52" s="95" t="n">
        <x:f>IF(AND(E52="yes",F52="yes",H52="covered"),1,IF(H52="partial",0.5,0))</x:f>
        <x:v>1</x:v>
      </x:c>
    </x:row>
    <x:row r="53" s="51" customFormat="1" ht="30" customHeight="1">
      <x:c r="A53" s="93" t="n">
        <x:v>45</x:v>
      </x:c>
      <x:c r="B53" s="94" t="inlineStr">
        <x:is>
          <x:t xml:space="preserve">Public API</x:t>
        </x:is>
      </x:c>
      <x:c r="C53" s="94" t="inlineStr">
        <x:is>
          <x:t xml:space="preserve">Item</x:t>
        </x:is>
      </x:c>
      <x:c r="D53" s="94" t="inlineStr">
        <x:is>
          <x:t xml:space="preserve">consumer onClick can prevent Atom behavior</x:t>
        </x:is>
      </x:c>
      <x:c r="E53" s="93" t="inlineStr">
        <x:is>
          <x:t xml:space="preserve">yes</x:t>
        </x:is>
      </x:c>
      <x:c r="F53" s="93" t="inlineStr">
        <x:is>
          <x:t xml:space="preserve">yes</x:t>
        </x:is>
      </x:c>
      <x:c r="G53" s="93" t="inlineStr">
        <x:is>
          <x:t xml:space="preserve">pass</x:t>
        </x:is>
      </x:c>
      <x:c r="H53" s="93" t="inlineStr">
        <x:is>
          <x:t xml:space="preserve">covered</x:t>
        </x:is>
      </x:c>
      <x:c r="I53" s="94" t="inlineStr">
        <x:is>
          <x:t xml:space="preserve">Menu playground manual verification.</x:t>
        </x:is>
      </x:c>
      <x:c r="J53" s="94" t="n"/>
      <x:c r="K53" s="95" t="n">
        <x:f>IF(AND(E53="yes",F53="yes",H53="covered"),1,IF(H53="partial",0.5,0))</x:f>
        <x:v>1</x:v>
      </x:c>
    </x:row>
    <x:row r="54" s="51" customFormat="1" ht="30" customHeight="1">
      <x:c r="A54" s="93" t="n">
        <x:v>46</x:v>
      </x:c>
      <x:c r="B54" s="94" t="inlineStr">
        <x:is>
          <x:t xml:space="preserve">Public API</x:t>
        </x:is>
      </x:c>
      <x:c r="C54" s="94" t="inlineStr">
        <x:is>
          <x:t xml:space="preserve">Item</x:t>
        </x:is>
      </x:c>
      <x:c r="D54" s="94" t="inlineStr">
        <x:is>
          <x:t xml:space="preserve">native className and data props pass through</x:t>
        </x:is>
      </x:c>
      <x:c r="E54" s="93" t="inlineStr">
        <x:is>
          <x:t xml:space="preserve">yes</x:t>
        </x:is>
      </x:c>
      <x:c r="F54" s="93" t="inlineStr">
        <x:is>
          <x:t xml:space="preserve">yes</x:t>
        </x:is>
      </x:c>
      <x:c r="G54" s="93" t="inlineStr">
        <x:is>
          <x:t xml:space="preserve">pass</x:t>
        </x:is>
      </x:c>
      <x:c r="H54" s="93" t="inlineStr">
        <x:is>
          <x:t xml:space="preserve">covered</x:t>
        </x:is>
      </x:c>
      <x:c r="I54" s="94" t="inlineStr">
        <x:is>
          <x:t xml:space="preserve">Menu playground manual verification.</x:t>
        </x:is>
      </x:c>
      <x:c r="J54" s="94" t="n"/>
      <x:c r="K54" s="95" t="n">
        <x:f>IF(AND(E54="yes",F54="yes",H54="covered"),1,IF(H54="partial",0.5,0))</x:f>
        <x:v>1</x:v>
      </x:c>
    </x:row>
    <x:row r="55" s="51" customFormat="1" ht="30" customHeight="1">
      <x:c r="A55" s="93" t="n">
        <x:v>47</x:v>
      </x:c>
      <x:c r="B55" s="94" t="inlineStr">
        <x:is>
          <x:t xml:space="preserve">Public API</x:t>
        </x:is>
      </x:c>
      <x:c r="C55" s="94" t="inlineStr">
        <x:is>
          <x:t xml:space="preserve">Checkbox Item</x:t>
        </x:is>
      </x:c>
      <x:c r="D55" s="94" t="inlineStr">
        <x:is>
          <x:t xml:space="preserve">renders role menuitemcheckbox</x:t>
        </x:is>
      </x:c>
      <x:c r="E55" s="93" t="inlineStr">
        <x:is>
          <x:t xml:space="preserve">yes</x:t>
        </x:is>
      </x:c>
      <x:c r="F55" s="93" t="inlineStr">
        <x:is>
          <x:t xml:space="preserve">yes</x:t>
        </x:is>
      </x:c>
      <x:c r="G55" s="93" t="inlineStr">
        <x:is>
          <x:t xml:space="preserve">pass</x:t>
        </x:is>
      </x:c>
      <x:c r="H55" s="93" t="inlineStr">
        <x:is>
          <x:t xml:space="preserve">covered</x:t>
        </x:is>
      </x:c>
      <x:c r="I55" s="94" t="inlineStr">
        <x:is>
          <x:t xml:space="preserve">Menu playground manual verification.</x:t>
        </x:is>
      </x:c>
      <x:c r="J55" s="94" t="n"/>
      <x:c r="K55" s="95" t="n">
        <x:f>IF(AND(E55="yes",F55="yes",H55="covered"),1,IF(H55="partial",0.5,0))</x:f>
        <x:v>1</x:v>
      </x:c>
    </x:row>
    <x:row r="56" s="51" customFormat="1" ht="30" customHeight="1">
      <x:c r="A56" s="93" t="n">
        <x:v>48</x:v>
      </x:c>
      <x:c r="B56" s="94" t="inlineStr">
        <x:is>
          <x:t xml:space="preserve">Public API</x:t>
        </x:is>
      </x:c>
      <x:c r="C56" s="94" t="inlineStr">
        <x:is>
          <x:t xml:space="preserve">Checkbox Item</x:t>
        </x:is>
      </x:c>
      <x:c r="D56" s="94" t="inlineStr">
        <x:is>
          <x:t xml:space="preserve">checked true exposes aria-checked true</x:t>
        </x:is>
      </x:c>
      <x:c r="E56" s="93" t="inlineStr">
        <x:is>
          <x:t xml:space="preserve">yes</x:t>
        </x:is>
      </x:c>
      <x:c r="F56" s="93" t="inlineStr">
        <x:is>
          <x:t xml:space="preserve">yes</x:t>
        </x:is>
      </x:c>
      <x:c r="G56" s="93" t="inlineStr">
        <x:is>
          <x:t xml:space="preserve">pass</x:t>
        </x:is>
      </x:c>
      <x:c r="H56" s="93" t="inlineStr">
        <x:is>
          <x:t xml:space="preserve">covered</x:t>
        </x:is>
      </x:c>
      <x:c r="I56" s="94" t="inlineStr">
        <x:is>
          <x:t xml:space="preserve">Menu playground manual verification.</x:t>
        </x:is>
      </x:c>
      <x:c r="J56" s="94" t="n"/>
      <x:c r="K56" s="95" t="n">
        <x:f>IF(AND(E56="yes",F56="yes",H56="covered"),1,IF(H56="partial",0.5,0))</x:f>
        <x:v>1</x:v>
      </x:c>
    </x:row>
    <x:row r="57" s="51" customFormat="1" ht="30" customHeight="1">
      <x:c r="A57" s="93" t="n">
        <x:v>49</x:v>
      </x:c>
      <x:c r="B57" s="94" t="inlineStr">
        <x:is>
          <x:t xml:space="preserve">Public API</x:t>
        </x:is>
      </x:c>
      <x:c r="C57" s="94" t="inlineStr">
        <x:is>
          <x:t xml:space="preserve">Checkbox Item</x:t>
        </x:is>
      </x:c>
      <x:c r="D57" s="94" t="inlineStr">
        <x:is>
          <x:t xml:space="preserve">checked false exposes aria-checked false</x:t>
        </x:is>
      </x:c>
      <x:c r="E57" s="93" t="inlineStr">
        <x:is>
          <x:t xml:space="preserve">yes</x:t>
        </x:is>
      </x:c>
      <x:c r="F57" s="93" t="inlineStr">
        <x:is>
          <x:t xml:space="preserve">yes</x:t>
        </x:is>
      </x:c>
      <x:c r="G57" s="93" t="inlineStr">
        <x:is>
          <x:t xml:space="preserve">pass</x:t>
        </x:is>
      </x:c>
      <x:c r="H57" s="93" t="inlineStr">
        <x:is>
          <x:t xml:space="preserve">covered</x:t>
        </x:is>
      </x:c>
      <x:c r="I57" s="94" t="inlineStr">
        <x:is>
          <x:t xml:space="preserve">Menu playground manual verification.</x:t>
        </x:is>
      </x:c>
      <x:c r="J57" s="94" t="n"/>
      <x:c r="K57" s="95" t="n">
        <x:f>IF(AND(E57="yes",F57="yes",H57="covered"),1,IF(H57="partial",0.5,0))</x:f>
        <x:v>1</x:v>
      </x:c>
    </x:row>
    <x:row r="58" s="51" customFormat="1" ht="30" customHeight="1">
      <x:c r="A58" s="93" t="n">
        <x:v>50</x:v>
      </x:c>
      <x:c r="B58" s="94" t="inlineStr">
        <x:is>
          <x:t xml:space="preserve">Public API</x:t>
        </x:is>
      </x:c>
      <x:c r="C58" s="94" t="inlineStr">
        <x:is>
          <x:t xml:space="preserve">Checkbox Item</x:t>
        </x:is>
      </x:c>
      <x:c r="D58" s="94" t="inlineStr">
        <x:is>
          <x:t xml:space="preserve">checked true exposes data-checked</x:t>
        </x:is>
      </x:c>
      <x:c r="E58" s="93" t="inlineStr">
        <x:is>
          <x:t xml:space="preserve">yes</x:t>
        </x:is>
      </x:c>
      <x:c r="F58" s="93" t="inlineStr">
        <x:is>
          <x:t xml:space="preserve">yes</x:t>
        </x:is>
      </x:c>
      <x:c r="G58" s="93" t="inlineStr">
        <x:is>
          <x:t xml:space="preserve">pass</x:t>
        </x:is>
      </x:c>
      <x:c r="H58" s="93" t="inlineStr">
        <x:is>
          <x:t xml:space="preserve">covered</x:t>
        </x:is>
      </x:c>
      <x:c r="I58" s="94" t="inlineStr">
        <x:is>
          <x:t xml:space="preserve">Menu playground manual verification.</x:t>
        </x:is>
      </x:c>
      <x:c r="J58" s="94" t="n"/>
      <x:c r="K58" s="95" t="n">
        <x:f>IF(AND(E58="yes",F58="yes",H58="covered"),1,IF(H58="partial",0.5,0))</x:f>
        <x:v>1</x:v>
      </x:c>
    </x:row>
    <x:row r="59" s="51" customFormat="1" ht="30" customHeight="1">
      <x:c r="A59" s="93" t="n">
        <x:v>51</x:v>
      </x:c>
      <x:c r="B59" s="94" t="inlineStr">
        <x:is>
          <x:t xml:space="preserve">Public API</x:t>
        </x:is>
      </x:c>
      <x:c r="C59" s="94" t="inlineStr">
        <x:is>
          <x:t xml:space="preserve">Checkbox Item</x:t>
        </x:is>
      </x:c>
      <x:c r="D59" s="94" t="inlineStr">
        <x:is>
          <x:t xml:space="preserve">onCheckedChange toggles checked state</x:t>
        </x:is>
      </x:c>
      <x:c r="E59" s="93" t="inlineStr">
        <x:is>
          <x:t xml:space="preserve">yes</x:t>
        </x:is>
      </x:c>
      <x:c r="F59" s="93" t="inlineStr">
        <x:is>
          <x:t xml:space="preserve">yes</x:t>
        </x:is>
      </x:c>
      <x:c r="G59" s="93" t="inlineStr">
        <x:is>
          <x:t xml:space="preserve">pass</x:t>
        </x:is>
      </x:c>
      <x:c r="H59" s="93" t="inlineStr">
        <x:is>
          <x:t xml:space="preserve">covered</x:t>
        </x:is>
      </x:c>
      <x:c r="I59" s="94" t="inlineStr">
        <x:is>
          <x:t xml:space="preserve">Menu playground manual verification.</x:t>
        </x:is>
      </x:c>
      <x:c r="J59" s="94" t="n"/>
      <x:c r="K59" s="95" t="n">
        <x:f>IF(AND(E59="yes",F59="yes",H59="covered"),1,IF(H59="partial",0.5,0))</x:f>
        <x:v>1</x:v>
      </x:c>
    </x:row>
    <x:row r="60" s="51" customFormat="1" ht="30" customHeight="1">
      <x:c r="A60" s="93" t="n">
        <x:v>52</x:v>
      </x:c>
      <x:c r="B60" s="94" t="inlineStr">
        <x:is>
          <x:t xml:space="preserve">Public API</x:t>
        </x:is>
      </x:c>
      <x:c r="C60" s="94" t="inlineStr">
        <x:is>
          <x:t xml:space="preserve">Checkbox Item</x:t>
        </x:is>
      </x:c>
      <x:c r="D60" s="94" t="inlineStr">
        <x:is>
          <x:t xml:space="preserve">default closeOnSelect false keeps menu open</x:t>
        </x:is>
      </x:c>
      <x:c r="E60" s="93" t="inlineStr">
        <x:is>
          <x:t xml:space="preserve">yes</x:t>
        </x:is>
      </x:c>
      <x:c r="F60" s="93" t="inlineStr">
        <x:is>
          <x:t xml:space="preserve">yes</x:t>
        </x:is>
      </x:c>
      <x:c r="G60" s="93" t="inlineStr">
        <x:is>
          <x:t xml:space="preserve">pass</x:t>
        </x:is>
      </x:c>
      <x:c r="H60" s="93" t="inlineStr">
        <x:is>
          <x:t xml:space="preserve">covered</x:t>
        </x:is>
      </x:c>
      <x:c r="I60" s="94" t="inlineStr">
        <x:is>
          <x:t xml:space="preserve">Menu playground manual verification.</x:t>
        </x:is>
      </x:c>
      <x:c r="J60" s="94" t="n"/>
      <x:c r="K60" s="95" t="n">
        <x:f>IF(AND(E60="yes",F60="yes",H60="covered"),1,IF(H60="partial",0.5,0))</x:f>
        <x:v>1</x:v>
      </x:c>
    </x:row>
    <x:row r="61" s="51" customFormat="1" ht="30" customHeight="1">
      <x:c r="A61" s="93" t="n">
        <x:v>53</x:v>
      </x:c>
      <x:c r="B61" s="94" t="inlineStr">
        <x:is>
          <x:t xml:space="preserve">Public API</x:t>
        </x:is>
      </x:c>
      <x:c r="C61" s="94" t="inlineStr">
        <x:is>
          <x:t xml:space="preserve">Checkbox Item</x:t>
        </x:is>
      </x:c>
      <x:c r="D61" s="94" t="inlineStr">
        <x:is>
          <x:t xml:space="preserve">closeOnSelect true closes menu</x:t>
        </x:is>
      </x:c>
      <x:c r="E61" s="93" t="inlineStr">
        <x:is>
          <x:t xml:space="preserve">yes</x:t>
        </x:is>
      </x:c>
      <x:c r="F61" s="93" t="inlineStr">
        <x:is>
          <x:t xml:space="preserve">yes</x:t>
        </x:is>
      </x:c>
      <x:c r="G61" s="93" t="inlineStr">
        <x:is>
          <x:t xml:space="preserve">pass</x:t>
        </x:is>
      </x:c>
      <x:c r="H61" s="93" t="inlineStr">
        <x:is>
          <x:t xml:space="preserve">covered</x:t>
        </x:is>
      </x:c>
      <x:c r="I61" s="94" t="inlineStr">
        <x:is>
          <x:t xml:space="preserve">Menu playground manual verification.</x:t>
        </x:is>
      </x:c>
      <x:c r="J61" s="94" t="n"/>
      <x:c r="K61" s="95" t="n">
        <x:f>IF(AND(E61="yes",F61="yes",H61="covered"),1,IF(H61="partial",0.5,0))</x:f>
        <x:v>1</x:v>
      </x:c>
    </x:row>
    <x:row r="62" s="51" customFormat="1" ht="30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Checkbox Item</x:t>
        </x:is>
      </x:c>
      <x:c r="D62" s="84" t="inlineStr">
        <x:is>
          <x:t xml:space="preserve">disabled checkbox receives real keyboard focus but cannot toggle or close the menu</x:t>
        </x:is>
      </x:c>
      <x:c r="E62" s="76" t="inlineStr">
        <x:is>
          <x:t xml:space="preserve">yes</x:t>
        </x:is>
      </x:c>
      <x:c r="F62" s="85" t="inlineStr">
        <x:is>
          <x:t xml:space="preserve">no</x:t>
        </x:is>
      </x:c>
      <x:c r="G62" s="73" t="inlineStr">
        <x:is>
          <x:t xml:space="preserve">automated tests pass; manual pending</x:t>
        </x:is>
      </x:c>
      <x:c r="H62" s="86" t="inlineStr">
        <x:is>
          <x:t xml:space="preserve">untested</x:t>
        </x:is>
      </x:c>
      <x:c r="I62" s="84" t="inlineStr">
        <x:is>
          <x:t xml:space="preserve">playground/.manual-tests/menu.md (draft)</x:t>
        </x:is>
      </x:c>
      <x:c r="J62" s="84" t="inlineStr">
        <x:is>
          <x:t xml:space="preserve">Run the updated component Manual Test Protocol and named browser/device matrix.</x:t>
        </x:is>
      </x:c>
      <x:c r="K62" s="87" t="n">
        <x:f>IF(AND(E62="yes",F62="yes",H62="covered"),1,IF(H62="partial",0.5,0))</x:f>
        <x:v>0</x:v>
      </x:c>
    </x:row>
    <x:row r="63" s="51" customFormat="1" ht="30" customHeight="1">
      <x:c r="A63" s="93" t="n">
        <x:v>55</x:v>
      </x:c>
      <x:c r="B63" s="94" t="inlineStr">
        <x:is>
          <x:t xml:space="preserve">Public API</x:t>
        </x:is>
      </x:c>
      <x:c r="C63" s="94" t="inlineStr">
        <x:is>
          <x:t xml:space="preserve">Checkbox Item</x:t>
        </x:is>
      </x:c>
      <x:c r="D63" s="94" t="inlineStr">
        <x:is>
          <x:t xml:space="preserve">textValue is used for typeahead</x:t>
        </x:is>
      </x:c>
      <x:c r="E63" s="93" t="inlineStr">
        <x:is>
          <x:t xml:space="preserve">yes</x:t>
        </x:is>
      </x:c>
      <x:c r="F63" s="93" t="inlineStr">
        <x:is>
          <x:t xml:space="preserve">yes</x:t>
        </x:is>
      </x:c>
      <x:c r="G63" s="93" t="inlineStr">
        <x:is>
          <x:t xml:space="preserve">pass</x:t>
        </x:is>
      </x:c>
      <x:c r="H63" s="93" t="inlineStr">
        <x:is>
          <x:t xml:space="preserve">covered</x:t>
        </x:is>
      </x:c>
      <x:c r="I63" s="94" t="inlineStr">
        <x:is>
          <x:t xml:space="preserve">Menu playground manual verification.</x:t>
        </x:is>
      </x:c>
      <x:c r="J63" s="94" t="n"/>
      <x:c r="K63" s="95" t="n">
        <x:f>IF(AND(E63="yes",F63="yes",H63="covered"),1,IF(H63="partial",0.5,0))</x:f>
        <x:v>1</x:v>
      </x:c>
    </x:row>
    <x:row r="64" s="51" customFormat="1" ht="30" customHeight="1">
      <x:c r="A64" s="93" t="n">
        <x:v>56</x:v>
      </x:c>
      <x:c r="B64" s="94" t="inlineStr">
        <x:is>
          <x:t xml:space="preserve">Public API</x:t>
        </x:is>
      </x:c>
      <x:c r="C64" s="94" t="inlineStr">
        <x:is>
          <x:t xml:space="preserve">Radio Group</x:t>
        </x:is>
      </x:c>
      <x:c r="D64" s="94" t="inlineStr">
        <x:is>
          <x:t xml:space="preserve">renders role group</x:t>
        </x:is>
      </x:c>
      <x:c r="E64" s="93" t="inlineStr">
        <x:is>
          <x:t xml:space="preserve">yes</x:t>
        </x:is>
      </x:c>
      <x:c r="F64" s="93" t="inlineStr">
        <x:is>
          <x:t xml:space="preserve">yes</x:t>
        </x:is>
      </x:c>
      <x:c r="G64" s="93" t="inlineStr">
        <x:is>
          <x:t xml:space="preserve">pass</x:t>
        </x:is>
      </x:c>
      <x:c r="H64" s="93" t="inlineStr">
        <x:is>
          <x:t xml:space="preserve">covered</x:t>
        </x:is>
      </x:c>
      <x:c r="I64" s="94" t="inlineStr">
        <x:is>
          <x:t xml:space="preserve">Menu playground manual verification.</x:t>
        </x:is>
      </x:c>
      <x:c r="J64" s="94" t="n"/>
      <x:c r="K64" s="95" t="n">
        <x:f>IF(AND(E64="yes",F64="yes",H64="covered"),1,IF(H64="partial",0.5,0))</x:f>
        <x:v>1</x:v>
      </x:c>
    </x:row>
    <x:row r="65" s="51" customFormat="1" ht="30" customHeight="1">
      <x:c r="A65" s="93" t="n">
        <x:v>57</x:v>
      </x:c>
      <x:c r="B65" s="94" t="inlineStr">
        <x:is>
          <x:t xml:space="preserve">Public API</x:t>
        </x:is>
      </x:c>
      <x:c r="C65" s="94" t="inlineStr">
        <x:is>
          <x:t xml:space="preserve">Radio Group</x:t>
        </x:is>
      </x:c>
      <x:c r="D65" s="94" t="inlineStr">
        <x:is>
          <x:t xml:space="preserve">data-slot is menu-radio-group</x:t>
        </x:is>
      </x:c>
      <x:c r="E65" s="93" t="inlineStr">
        <x:is>
          <x:t xml:space="preserve">yes</x:t>
        </x:is>
      </x:c>
      <x:c r="F65" s="93" t="inlineStr">
        <x:is>
          <x:t xml:space="preserve">yes</x:t>
        </x:is>
      </x:c>
      <x:c r="G65" s="93" t="inlineStr">
        <x:is>
          <x:t xml:space="preserve">pass</x:t>
        </x:is>
      </x:c>
      <x:c r="H65" s="93" t="inlineStr">
        <x:is>
          <x:t xml:space="preserve">covered</x:t>
        </x:is>
      </x:c>
      <x:c r="I65" s="94" t="inlineStr">
        <x:is>
          <x:t xml:space="preserve">Menu playground manual verification.</x:t>
        </x:is>
      </x:c>
      <x:c r="J65" s="94" t="n"/>
      <x:c r="K65" s="95" t="n">
        <x:f>IF(AND(E65="yes",F65="yes",H65="covered"),1,IF(H65="partial",0.5,0))</x:f>
        <x:v>1</x:v>
      </x:c>
    </x:row>
    <x:row r="66" s="51" customFormat="1" ht="45" customHeight="1">
      <x:c r="A66" s="93" t="n">
        <x:v>58</x:v>
      </x:c>
      <x:c r="B66" s="94" t="inlineStr">
        <x:is>
          <x:t xml:space="preserve">Public API</x:t>
        </x:is>
      </x:c>
      <x:c r="C66" s="94" t="inlineStr">
        <x:is>
          <x:t xml:space="preserve">Radio Group</x:t>
        </x:is>
      </x:c>
      <x:c r="D66" s="94" t="inlineStr">
        <x:is>
          <x:t xml:space="preserve">value controls checked item</x:t>
        </x:is>
      </x:c>
      <x:c r="E66" s="93" t="inlineStr">
        <x:is>
          <x:t xml:space="preserve">yes</x:t>
        </x:is>
      </x:c>
      <x:c r="F66" s="93" t="inlineStr">
        <x:is>
          <x:t xml:space="preserve">yes</x:t>
        </x:is>
      </x:c>
      <x:c r="G66" s="93" t="inlineStr">
        <x:is>
          <x:t xml:space="preserve">pass</x:t>
        </x:is>
      </x:c>
      <x:c r="H66" s="93" t="inlineStr">
        <x:is>
          <x:t xml:space="preserve">covered</x:t>
        </x:is>
      </x:c>
      <x:c r="I66" s="94" t="inlineStr">
        <x:is>
          <x:t xml:space="preserve">Menu playground manual verification.</x:t>
        </x:is>
      </x:c>
      <x:c r="J66" s="94" t="n"/>
      <x:c r="K66" s="95" t="n">
        <x:f>IF(AND(E66="yes",F66="yes",H66="covered"),1,IF(H66="partial",0.5,0))</x:f>
        <x:v>1</x:v>
      </x:c>
    </x:row>
    <x:row r="67" s="51" customFormat="1" ht="45" customHeight="1">
      <x:c r="A67" s="93" t="n">
        <x:v>59</x:v>
      </x:c>
      <x:c r="B67" s="94" t="inlineStr">
        <x:is>
          <x:t xml:space="preserve">Public API</x:t>
        </x:is>
      </x:c>
      <x:c r="C67" s="94" t="inlineStr">
        <x:is>
          <x:t xml:space="preserve">Radio Group</x:t>
        </x:is>
      </x:c>
      <x:c r="D67" s="94" t="inlineStr">
        <x:is>
          <x:t xml:space="preserve">onValueChange fires when selecting radio item</x:t>
        </x:is>
      </x:c>
      <x:c r="E67" s="93" t="inlineStr">
        <x:is>
          <x:t xml:space="preserve">yes</x:t>
        </x:is>
      </x:c>
      <x:c r="F67" s="93" t="inlineStr">
        <x:is>
          <x:t xml:space="preserve">yes</x:t>
        </x:is>
      </x:c>
      <x:c r="G67" s="93" t="inlineStr">
        <x:is>
          <x:t xml:space="preserve">pass</x:t>
        </x:is>
      </x:c>
      <x:c r="H67" s="93" t="inlineStr">
        <x:is>
          <x:t xml:space="preserve">covered</x:t>
        </x:is>
      </x:c>
      <x:c r="I67" s="94" t="inlineStr">
        <x:is>
          <x:t xml:space="preserve">Menu playground manual verification.</x:t>
        </x:is>
      </x:c>
      <x:c r="J67" s="94" t="n"/>
      <x:c r="K67" s="95" t="n">
        <x:f>IF(AND(E67="yes",F67="yes",H67="covered"),1,IF(H67="partial",0.5,0))</x:f>
        <x:v>1</x:v>
      </x:c>
    </x:row>
    <x:row r="68" s="51" customFormat="1" ht="30" customHeight="1">
      <x:c r="A68" s="93" t="n">
        <x:v>60</x:v>
      </x:c>
      <x:c r="B68" s="94" t="inlineStr">
        <x:is>
          <x:t xml:space="preserve">Public API</x:t>
        </x:is>
      </x:c>
      <x:c r="C68" s="94" t="inlineStr">
        <x:is>
          <x:t xml:space="preserve">Radio Group</x:t>
        </x:is>
      </x:c>
      <x:c r="D68" s="94" t="inlineStr">
        <x:is>
          <x:t xml:space="preserve">duplicate public radio values in different groups do not conflict</x:t>
        </x:is>
      </x:c>
      <x:c r="E68" s="93" t="inlineStr">
        <x:is>
          <x:t xml:space="preserve">yes</x:t>
        </x:is>
      </x:c>
      <x:c r="F68" s="93" t="inlineStr">
        <x:is>
          <x:t xml:space="preserve">yes</x:t>
        </x:is>
      </x:c>
      <x:c r="G68" s="93" t="inlineStr">
        <x:is>
          <x:t xml:space="preserve">pass</x:t>
        </x:is>
      </x:c>
      <x:c r="H68" s="93" t="inlineStr">
        <x:is>
          <x:t xml:space="preserve">covered</x:t>
        </x:is>
      </x:c>
      <x:c r="I68" s="94" t="inlineStr">
        <x:is>
          <x:t xml:space="preserve">Menu playground manual verification.</x:t>
        </x:is>
      </x:c>
      <x:c r="J68" s="94" t="n"/>
      <x:c r="K68" s="95" t="n">
        <x:f>IF(AND(E68="yes",F68="yes",H68="covered"),1,IF(H68="partial",0.5,0))</x:f>
        <x:v>1</x:v>
      </x:c>
    </x:row>
    <x:row r="69" s="51" customFormat="1" ht="30" customHeight="1">
      <x:c r="A69" s="93" t="n">
        <x:v>61</x:v>
      </x:c>
      <x:c r="B69" s="94" t="inlineStr">
        <x:is>
          <x:t xml:space="preserve">Public API</x:t>
        </x:is>
      </x:c>
      <x:c r="C69" s="94" t="inlineStr">
        <x:is>
          <x:t xml:space="preserve">Radio Group</x:t>
        </x:is>
      </x:c>
      <x:c r="D69" s="94" t="inlineStr">
        <x:is>
          <x:t xml:space="preserve">native className and data props pass through</x:t>
        </x:is>
      </x:c>
      <x:c r="E69" s="93" t="inlineStr">
        <x:is>
          <x:t xml:space="preserve">yes</x:t>
        </x:is>
      </x:c>
      <x:c r="F69" s="93" t="inlineStr">
        <x:is>
          <x:t xml:space="preserve">yes</x:t>
        </x:is>
      </x:c>
      <x:c r="G69" s="93" t="inlineStr">
        <x:is>
          <x:t xml:space="preserve">pass</x:t>
        </x:is>
      </x:c>
      <x:c r="H69" s="93" t="inlineStr">
        <x:is>
          <x:t xml:space="preserve">covered</x:t>
        </x:is>
      </x:c>
      <x:c r="I69" s="94" t="inlineStr">
        <x:is>
          <x:t xml:space="preserve">Menu playground manual verification.</x:t>
        </x:is>
      </x:c>
      <x:c r="J69" s="94" t="n"/>
      <x:c r="K69" s="95" t="n">
        <x:f>IF(AND(E69="yes",F69="yes",H69="covered"),1,IF(H69="partial",0.5,0))</x:f>
        <x:v>1</x:v>
      </x:c>
    </x:row>
    <x:row r="70" s="51" customFormat="1" ht="30" customHeight="1">
      <x:c r="A70" s="93" t="n">
        <x:v>62</x:v>
      </x:c>
      <x:c r="B70" s="94" t="inlineStr">
        <x:is>
          <x:t xml:space="preserve">Public API</x:t>
        </x:is>
      </x:c>
      <x:c r="C70" s="94" t="inlineStr">
        <x:is>
          <x:t xml:space="preserve">Radio Item</x:t>
        </x:is>
      </x:c>
      <x:c r="D70" s="94" t="inlineStr">
        <x:is>
          <x:t xml:space="preserve">renders role menuitemradio</x:t>
        </x:is>
      </x:c>
      <x:c r="E70" s="93" t="inlineStr">
        <x:is>
          <x:t xml:space="preserve">yes</x:t>
        </x:is>
      </x:c>
      <x:c r="F70" s="93" t="inlineStr">
        <x:is>
          <x:t xml:space="preserve">yes</x:t>
        </x:is>
      </x:c>
      <x:c r="G70" s="93" t="inlineStr">
        <x:is>
          <x:t xml:space="preserve">pass</x:t>
        </x:is>
      </x:c>
      <x:c r="H70" s="93" t="inlineStr">
        <x:is>
          <x:t xml:space="preserve">covered</x:t>
        </x:is>
      </x:c>
      <x:c r="I70" s="94" t="inlineStr">
        <x:is>
          <x:t xml:space="preserve">Menu playground manual verification.</x:t>
        </x:is>
      </x:c>
      <x:c r="J70" s="94" t="n"/>
      <x:c r="K70" s="95" t="n">
        <x:f>IF(AND(E70="yes",F70="yes",H70="covered"),1,IF(H70="partial",0.5,0))</x:f>
        <x:v>1</x:v>
      </x:c>
    </x:row>
    <x:row r="71" s="51" customFormat="1" ht="30" customHeight="1">
      <x:c r="A71" s="93" t="n">
        <x:v>63</x:v>
      </x:c>
      <x:c r="B71" s="94" t="inlineStr">
        <x:is>
          <x:t xml:space="preserve">Public API</x:t>
        </x:is>
      </x:c>
      <x:c r="C71" s="94" t="inlineStr">
        <x:is>
          <x:t xml:space="preserve">Radio Item</x:t>
        </x:is>
      </x:c>
      <x:c r="D71" s="94" t="inlineStr">
        <x:is>
          <x:t xml:space="preserve">checked item exposes aria-checked true</x:t>
        </x:is>
      </x:c>
      <x:c r="E71" s="93" t="inlineStr">
        <x:is>
          <x:t xml:space="preserve">yes</x:t>
        </x:is>
      </x:c>
      <x:c r="F71" s="93" t="inlineStr">
        <x:is>
          <x:t xml:space="preserve">yes</x:t>
        </x:is>
      </x:c>
      <x:c r="G71" s="93" t="inlineStr">
        <x:is>
          <x:t xml:space="preserve">pass</x:t>
        </x:is>
      </x:c>
      <x:c r="H71" s="93" t="inlineStr">
        <x:is>
          <x:t xml:space="preserve">covered</x:t>
        </x:is>
      </x:c>
      <x:c r="I71" s="94" t="inlineStr">
        <x:is>
          <x:t xml:space="preserve">Menu playground manual verification.</x:t>
        </x:is>
      </x:c>
      <x:c r="J71" s="94" t="n"/>
      <x:c r="K71" s="95" t="n">
        <x:f>IF(AND(E71="yes",F71="yes",H71="covered"),1,IF(H71="partial",0.5,0))</x:f>
        <x:v>1</x:v>
      </x:c>
    </x:row>
    <x:row r="72" s="51" customFormat="1" ht="30" customHeight="1">
      <x:c r="A72" s="93" t="n">
        <x:v>64</x:v>
      </x:c>
      <x:c r="B72" s="94" t="inlineStr">
        <x:is>
          <x:t xml:space="preserve">Public API</x:t>
        </x:is>
      </x:c>
      <x:c r="C72" s="94" t="inlineStr">
        <x:is>
          <x:t xml:space="preserve">Radio Item</x:t>
        </x:is>
      </x:c>
      <x:c r="D72" s="94" t="inlineStr">
        <x:is>
          <x:t xml:space="preserve">unchecked item exposes aria-checked false</x:t>
        </x:is>
      </x:c>
      <x:c r="E72" s="93" t="inlineStr">
        <x:is>
          <x:t xml:space="preserve">yes</x:t>
        </x:is>
      </x:c>
      <x:c r="F72" s="93" t="inlineStr">
        <x:is>
          <x:t xml:space="preserve">yes</x:t>
        </x:is>
      </x:c>
      <x:c r="G72" s="93" t="inlineStr">
        <x:is>
          <x:t xml:space="preserve">pass</x:t>
        </x:is>
      </x:c>
      <x:c r="H72" s="93" t="inlineStr">
        <x:is>
          <x:t xml:space="preserve">covered</x:t>
        </x:is>
      </x:c>
      <x:c r="I72" s="94" t="inlineStr">
        <x:is>
          <x:t xml:space="preserve">Menu playground manual verification.</x:t>
        </x:is>
      </x:c>
      <x:c r="J72" s="94" t="n"/>
      <x:c r="K72" s="95" t="n">
        <x:f>IF(AND(E72="yes",F72="yes",H72="covered"),1,IF(H72="partial",0.5,0))</x:f>
        <x:v>1</x:v>
      </x:c>
    </x:row>
    <x:row r="73" s="51" customFormat="1" ht="30" customHeight="1">
      <x:c r="A73" s="93" t="n">
        <x:v>65</x:v>
      </x:c>
      <x:c r="B73" s="94" t="inlineStr">
        <x:is>
          <x:t xml:space="preserve">Public API</x:t>
        </x:is>
      </x:c>
      <x:c r="C73" s="94" t="inlineStr">
        <x:is>
          <x:t xml:space="preserve">Radio Item</x:t>
        </x:is>
      </x:c>
      <x:c r="D73" s="94" t="inlineStr">
        <x:is>
          <x:t xml:space="preserve">checked item exposes data-checked</x:t>
        </x:is>
      </x:c>
      <x:c r="E73" s="93" t="inlineStr">
        <x:is>
          <x:t xml:space="preserve">yes</x:t>
        </x:is>
      </x:c>
      <x:c r="F73" s="93" t="inlineStr">
        <x:is>
          <x:t xml:space="preserve">yes</x:t>
        </x:is>
      </x:c>
      <x:c r="G73" s="93" t="inlineStr">
        <x:is>
          <x:t xml:space="preserve">pass</x:t>
        </x:is>
      </x:c>
      <x:c r="H73" s="93" t="inlineStr">
        <x:is>
          <x:t xml:space="preserve">covered</x:t>
        </x:is>
      </x:c>
      <x:c r="I73" s="94" t="inlineStr">
        <x:is>
          <x:t xml:space="preserve">Menu playground manual verification.</x:t>
        </x:is>
      </x:c>
      <x:c r="J73" s="94" t="n"/>
      <x:c r="K73" s="95" t="n">
        <x:f>IF(AND(E73="yes",F73="yes",H73="covered"),1,IF(H73="partial",0.5,0))</x:f>
        <x:v>1</x:v>
      </x:c>
    </x:row>
    <x:row r="74" s="51" customFormat="1" ht="30" customHeight="1">
      <x:c r="A74" s="93" t="n">
        <x:v>66</x:v>
      </x:c>
      <x:c r="B74" s="94" t="inlineStr">
        <x:is>
          <x:t xml:space="preserve">Public API</x:t>
        </x:is>
      </x:c>
      <x:c r="C74" s="94" t="inlineStr">
        <x:is>
          <x:t xml:space="preserve">Radio Item</x:t>
        </x:is>
      </x:c>
      <x:c r="D74" s="94" t="inlineStr">
        <x:is>
          <x:t xml:space="preserve">value appears as data-value without internal group id</x:t>
        </x:is>
      </x:c>
      <x:c r="E74" s="93" t="inlineStr">
        <x:is>
          <x:t xml:space="preserve">yes</x:t>
        </x:is>
      </x:c>
      <x:c r="F74" s="93" t="inlineStr">
        <x:is>
          <x:t xml:space="preserve">yes</x:t>
        </x:is>
      </x:c>
      <x:c r="G74" s="93" t="inlineStr">
        <x:is>
          <x:t xml:space="preserve">pass</x:t>
        </x:is>
      </x:c>
      <x:c r="H74" s="93" t="inlineStr">
        <x:is>
          <x:t xml:space="preserve">covered</x:t>
        </x:is>
      </x:c>
      <x:c r="I74" s="94" t="inlineStr">
        <x:is>
          <x:t xml:space="preserve">Menu playground manual verification.</x:t>
        </x:is>
      </x:c>
      <x:c r="J74" s="94" t="n"/>
      <x:c r="K74" s="95" t="n">
        <x:f>IF(AND(E74="yes",F74="yes",H74="covered"),1,IF(H74="partial",0.5,0))</x:f>
        <x:v>1</x:v>
      </x:c>
    </x:row>
    <x:row r="75" s="51" customFormat="1" ht="30" customHeight="1">
      <x:c r="A75" s="73" t="n">
        <x:v>67</x:v>
      </x:c>
      <x:c r="B75" s="84" t="inlineStr">
        <x:is>
          <x:t xml:space="preserve">Public API</x:t>
        </x:is>
      </x:c>
      <x:c r="C75" s="84" t="inlineStr">
        <x:is>
          <x:t xml:space="preserve">Radio Item</x:t>
        </x:is>
      </x:c>
      <x:c r="D75" s="84" t="inlineStr">
        <x:is>
          <x:t xml:space="preserve">disabled radio item receives real keyboard focus but cannot change selection</x:t>
        </x:is>
      </x:c>
      <x:c r="E75" s="76" t="inlineStr">
        <x:is>
          <x:t xml:space="preserve">yes</x:t>
        </x:is>
      </x:c>
      <x:c r="F75" s="85" t="inlineStr">
        <x:is>
          <x:t xml:space="preserve">no</x:t>
        </x:is>
      </x:c>
      <x:c r="G75" s="73" t="inlineStr">
        <x:is>
          <x:t xml:space="preserve">automated tests pass; manual pending</x:t>
        </x:is>
      </x:c>
      <x:c r="H75" s="86" t="inlineStr">
        <x:is>
          <x:t xml:space="preserve">untested</x:t>
        </x:is>
      </x:c>
      <x:c r="I75" s="84" t="inlineStr">
        <x:is>
          <x:t xml:space="preserve">playground/.manual-tests/menu.md (draft)</x:t>
        </x:is>
      </x:c>
      <x:c r="J75" s="84" t="inlineStr">
        <x:is>
          <x:t xml:space="preserve">Run the updated component Manual Test Protocol and named browser/device matrix.</x:t>
        </x:is>
      </x:c>
      <x:c r="K75" s="87" t="n">
        <x:f>IF(AND(E75="yes",F75="yes",H75="covered"),1,IF(H75="partial",0.5,0))</x:f>
        <x:v>0</x:v>
      </x:c>
    </x:row>
    <x:row r="76" s="51" customFormat="1" ht="30" customHeight="1">
      <x:c r="A76" s="93" t="n">
        <x:v>68</x:v>
      </x:c>
      <x:c r="B76" s="94" t="inlineStr">
        <x:is>
          <x:t xml:space="preserve">Public API</x:t>
        </x:is>
      </x:c>
      <x:c r="C76" s="94" t="inlineStr">
        <x:is>
          <x:t xml:space="preserve">Radio Item</x:t>
        </x:is>
      </x:c>
      <x:c r="D76" s="94" t="inlineStr">
        <x:is>
          <x:t xml:space="preserve">default closeOnSelect false keeps menu open</x:t>
        </x:is>
      </x:c>
      <x:c r="E76" s="93" t="inlineStr">
        <x:is>
          <x:t xml:space="preserve">yes</x:t>
        </x:is>
      </x:c>
      <x:c r="F76" s="93" t="inlineStr">
        <x:is>
          <x:t xml:space="preserve">yes</x:t>
        </x:is>
      </x:c>
      <x:c r="G76" s="93" t="inlineStr">
        <x:is>
          <x:t xml:space="preserve">pass</x:t>
        </x:is>
      </x:c>
      <x:c r="H76" s="93" t="inlineStr">
        <x:is>
          <x:t xml:space="preserve">covered</x:t>
        </x:is>
      </x:c>
      <x:c r="I76" s="94" t="inlineStr">
        <x:is>
          <x:t xml:space="preserve">Menu playground manual verification.</x:t>
        </x:is>
      </x:c>
      <x:c r="J76" s="94" t="n"/>
      <x:c r="K76" s="95" t="n">
        <x:f>IF(AND(E76="yes",F76="yes",H76="covered"),1,IF(H76="partial",0.5,0))</x:f>
        <x:v>1</x:v>
      </x:c>
    </x:row>
    <x:row r="77" s="51" customFormat="1" ht="30" customHeight="1">
      <x:c r="A77" s="93" t="n">
        <x:v>69</x:v>
      </x:c>
      <x:c r="B77" s="94" t="inlineStr">
        <x:is>
          <x:t xml:space="preserve">Public API</x:t>
        </x:is>
      </x:c>
      <x:c r="C77" s="94" t="inlineStr">
        <x:is>
          <x:t xml:space="preserve">Radio Item</x:t>
        </x:is>
      </x:c>
      <x:c r="D77" s="94" t="inlineStr">
        <x:is>
          <x:t xml:space="preserve">closeOnSelect true closes menu</x:t>
        </x:is>
      </x:c>
      <x:c r="E77" s="93" t="inlineStr">
        <x:is>
          <x:t xml:space="preserve">yes</x:t>
        </x:is>
      </x:c>
      <x:c r="F77" s="93" t="inlineStr">
        <x:is>
          <x:t xml:space="preserve">yes</x:t>
        </x:is>
      </x:c>
      <x:c r="G77" s="93" t="inlineStr">
        <x:is>
          <x:t xml:space="preserve">pass</x:t>
        </x:is>
      </x:c>
      <x:c r="H77" s="93" t="inlineStr">
        <x:is>
          <x:t xml:space="preserve">covered</x:t>
        </x:is>
      </x:c>
      <x:c r="I77" s="94" t="inlineStr">
        <x:is>
          <x:t xml:space="preserve">Menu playground manual verification.</x:t>
        </x:is>
      </x:c>
      <x:c r="J77" s="94" t="n"/>
      <x:c r="K77" s="95" t="n">
        <x:f>IF(AND(E77="yes",F77="yes",H77="covered"),1,IF(H77="partial",0.5,0))</x:f>
        <x:v>1</x:v>
      </x:c>
    </x:row>
    <x:row r="78" s="51" customFormat="1" ht="30" customHeight="1">
      <x:c r="A78" s="93" t="n">
        <x:v>70</x:v>
      </x:c>
      <x:c r="B78" s="94" t="inlineStr">
        <x:is>
          <x:t xml:space="preserve">Public API</x:t>
        </x:is>
      </x:c>
      <x:c r="C78" s="94" t="inlineStr">
        <x:is>
          <x:t xml:space="preserve">Radio Item</x:t>
        </x:is>
      </x:c>
      <x:c r="D78" s="94" t="inlineStr">
        <x:is>
          <x:t xml:space="preserve">textValue is used for typeahead</x:t>
        </x:is>
      </x:c>
      <x:c r="E78" s="93" t="inlineStr">
        <x:is>
          <x:t xml:space="preserve">yes</x:t>
        </x:is>
      </x:c>
      <x:c r="F78" s="93" t="inlineStr">
        <x:is>
          <x:t xml:space="preserve">yes</x:t>
        </x:is>
      </x:c>
      <x:c r="G78" s="93" t="inlineStr">
        <x:is>
          <x:t xml:space="preserve">pass</x:t>
        </x:is>
      </x:c>
      <x:c r="H78" s="93" t="inlineStr">
        <x:is>
          <x:t xml:space="preserve">covered</x:t>
        </x:is>
      </x:c>
      <x:c r="I78" s="94" t="inlineStr">
        <x:is>
          <x:t xml:space="preserve">Menu playground manual verification.</x:t>
        </x:is>
      </x:c>
      <x:c r="J78" s="94" t="n"/>
      <x:c r="K78" s="95" t="n">
        <x:f>IF(AND(E78="yes",F78="yes",H78="covered"),1,IF(H78="partial",0.5,0))</x:f>
        <x:v>1</x:v>
      </x:c>
    </x:row>
    <x:row r="79" s="51" customFormat="1" ht="45" customHeight="1">
      <x:c r="A79" s="93" t="n">
        <x:v>71</x:v>
      </x:c>
      <x:c r="B79" s="94" t="inlineStr">
        <x:is>
          <x:t xml:space="preserve">Public API</x:t>
        </x:is>
      </x:c>
      <x:c r="C79" s="94" t="inlineStr">
        <x:is>
          <x:t xml:space="preserve">Group</x:t>
        </x:is>
      </x:c>
      <x:c r="D79" s="94" t="inlineStr">
        <x:is>
          <x:t xml:space="preserve">renders role group</x:t>
        </x:is>
      </x:c>
      <x:c r="E79" s="93" t="inlineStr">
        <x:is>
          <x:t xml:space="preserve">yes</x:t>
        </x:is>
      </x:c>
      <x:c r="F79" s="93" t="inlineStr">
        <x:is>
          <x:t xml:space="preserve">yes</x:t>
        </x:is>
      </x:c>
      <x:c r="G79" s="93" t="inlineStr">
        <x:is>
          <x:t xml:space="preserve">pass</x:t>
        </x:is>
      </x:c>
      <x:c r="H79" s="93" t="inlineStr">
        <x:is>
          <x:t xml:space="preserve">covered</x:t>
        </x:is>
      </x:c>
      <x:c r="I79" s="94" t="inlineStr">
        <x:is>
          <x:t xml:space="preserve">Menu playground manual verification.</x:t>
        </x:is>
      </x:c>
      <x:c r="J79" s="94" t="n"/>
      <x:c r="K79" s="95" t="n">
        <x:f>IF(AND(E79="yes",F79="yes",H79="covered"),1,IF(H79="partial",0.5,0))</x:f>
        <x:v>1</x:v>
      </x:c>
    </x:row>
    <x:row r="80" s="51" customFormat="1" ht="30" customHeight="1">
      <x:c r="A80" s="93" t="n">
        <x:v>72</x:v>
      </x:c>
      <x:c r="B80" s="94" t="inlineStr">
        <x:is>
          <x:t xml:space="preserve">Public API</x:t>
        </x:is>
      </x:c>
      <x:c r="C80" s="94" t="inlineStr">
        <x:is>
          <x:t xml:space="preserve">Group</x:t>
        </x:is>
      </x:c>
      <x:c r="D80" s="94" t="inlineStr">
        <x:is>
          <x:t xml:space="preserve">data-slot is menu-group</x:t>
        </x:is>
      </x:c>
      <x:c r="E80" s="93" t="inlineStr">
        <x:is>
          <x:t xml:space="preserve">yes</x:t>
        </x:is>
      </x:c>
      <x:c r="F80" s="93" t="inlineStr">
        <x:is>
          <x:t xml:space="preserve">yes</x:t>
        </x:is>
      </x:c>
      <x:c r="G80" s="93" t="inlineStr">
        <x:is>
          <x:t xml:space="preserve">pass</x:t>
        </x:is>
      </x:c>
      <x:c r="H80" s="93" t="inlineStr">
        <x:is>
          <x:t xml:space="preserve">covered</x:t>
        </x:is>
      </x:c>
      <x:c r="I80" s="94" t="inlineStr">
        <x:is>
          <x:t xml:space="preserve">Menu playground manual verification.</x:t>
        </x:is>
      </x:c>
      <x:c r="J80" s="94" t="n"/>
      <x:c r="K80" s="95" t="n">
        <x:f>IF(AND(E80="yes",F80="yes",H80="covered"),1,IF(H80="partial",0.5,0))</x:f>
        <x:v>1</x:v>
      </x:c>
    </x:row>
    <x:row r="81" s="51" customFormat="1" ht="30" customHeight="1">
      <x:c r="A81" s="93" t="n">
        <x:v>73</x:v>
      </x:c>
      <x:c r="B81" s="94" t="inlineStr">
        <x:is>
          <x:t xml:space="preserve">Public API</x:t>
        </x:is>
      </x:c>
      <x:c r="C81" s="94" t="inlineStr">
        <x:is>
          <x:t xml:space="preserve">Group</x:t>
        </x:is>
      </x:c>
      <x:c r="D81" s="94" t="inlineStr">
        <x:is>
          <x:t xml:space="preserve">native className and data props pass through</x:t>
        </x:is>
      </x:c>
      <x:c r="E81" s="93" t="inlineStr">
        <x:is>
          <x:t xml:space="preserve">yes</x:t>
        </x:is>
      </x:c>
      <x:c r="F81" s="93" t="inlineStr">
        <x:is>
          <x:t xml:space="preserve">yes</x:t>
        </x:is>
      </x:c>
      <x:c r="G81" s="93" t="inlineStr">
        <x:is>
          <x:t xml:space="preserve">pass</x:t>
        </x:is>
      </x:c>
      <x:c r="H81" s="93" t="inlineStr">
        <x:is>
          <x:t xml:space="preserve">covered</x:t>
        </x:is>
      </x:c>
      <x:c r="I81" s="94" t="inlineStr">
        <x:is>
          <x:t xml:space="preserve">Menu playground manual verification.</x:t>
        </x:is>
      </x:c>
      <x:c r="J81" s="94" t="n"/>
      <x:c r="K81" s="95" t="n">
        <x:f>IF(AND(E81="yes",F81="yes",H81="covered"),1,IF(H81="partial",0.5,0))</x:f>
        <x:v>1</x:v>
      </x:c>
    </x:row>
    <x:row r="82" s="51" customFormat="1" ht="30" customHeight="1">
      <x:c r="A82" s="93" t="n">
        <x:v>74</x:v>
      </x:c>
      <x:c r="B82" s="94" t="inlineStr">
        <x:is>
          <x:t xml:space="preserve">Public API</x:t>
        </x:is>
      </x:c>
      <x:c r="C82" s="94" t="inlineStr">
        <x:is>
          <x:t xml:space="preserve">Separator</x:t>
        </x:is>
      </x:c>
      <x:c r="D82" s="94" t="inlineStr">
        <x:is>
          <x:t xml:space="preserve">renders role separator</x:t>
        </x:is>
      </x:c>
      <x:c r="E82" s="93" t="inlineStr">
        <x:is>
          <x:t xml:space="preserve">yes</x:t>
        </x:is>
      </x:c>
      <x:c r="F82" s="93" t="inlineStr">
        <x:is>
          <x:t xml:space="preserve">yes</x:t>
        </x:is>
      </x:c>
      <x:c r="G82" s="93" t="inlineStr">
        <x:is>
          <x:t xml:space="preserve">pass</x:t>
        </x:is>
      </x:c>
      <x:c r="H82" s="93" t="inlineStr">
        <x:is>
          <x:t xml:space="preserve">covered</x:t>
        </x:is>
      </x:c>
      <x:c r="I82" s="94" t="inlineStr">
        <x:is>
          <x:t xml:space="preserve">Menu playground manual verification.</x:t>
        </x:is>
      </x:c>
      <x:c r="J82" s="94" t="n"/>
      <x:c r="K82" s="95" t="n">
        <x:f>IF(AND(E82="yes",F82="yes",H82="covered"),1,IF(H82="partial",0.5,0))</x:f>
        <x:v>1</x:v>
      </x:c>
    </x:row>
    <x:row r="83" s="51" customFormat="1" ht="30" customHeight="1">
      <x:c r="A83" s="93" t="n">
        <x:v>75</x:v>
      </x:c>
      <x:c r="B83" s="94" t="inlineStr">
        <x:is>
          <x:t xml:space="preserve">Public API</x:t>
        </x:is>
      </x:c>
      <x:c r="C83" s="94" t="inlineStr">
        <x:is>
          <x:t xml:space="preserve">Separator</x:t>
        </x:is>
      </x:c>
      <x:c r="D83" s="94" t="inlineStr">
        <x:is>
          <x:t xml:space="preserve">aria-orientation is horizontal</x:t>
        </x:is>
      </x:c>
      <x:c r="E83" s="93" t="inlineStr">
        <x:is>
          <x:t xml:space="preserve">yes</x:t>
        </x:is>
      </x:c>
      <x:c r="F83" s="93" t="inlineStr">
        <x:is>
          <x:t xml:space="preserve">yes</x:t>
        </x:is>
      </x:c>
      <x:c r="G83" s="93" t="inlineStr">
        <x:is>
          <x:t xml:space="preserve">pass</x:t>
        </x:is>
      </x:c>
      <x:c r="H83" s="93" t="inlineStr">
        <x:is>
          <x:t xml:space="preserve">covered</x:t>
        </x:is>
      </x:c>
      <x:c r="I83" s="94" t="inlineStr">
        <x:is>
          <x:t xml:space="preserve">Menu playground manual verification.</x:t>
        </x:is>
      </x:c>
      <x:c r="J83" s="94" t="n"/>
      <x:c r="K83" s="95" t="n">
        <x:f>IF(AND(E83="yes",F83="yes",H83="covered"),1,IF(H83="partial",0.5,0))</x:f>
        <x:v>1</x:v>
      </x:c>
    </x:row>
    <x:row r="84" s="51" customFormat="1" ht="30" customHeight="1">
      <x:c r="A84" s="93" t="n">
        <x:v>76</x:v>
      </x:c>
      <x:c r="B84" s="94" t="inlineStr">
        <x:is>
          <x:t xml:space="preserve">Public API</x:t>
        </x:is>
      </x:c>
      <x:c r="C84" s="94" t="inlineStr">
        <x:is>
          <x:t xml:space="preserve">Separator</x:t>
        </x:is>
      </x:c>
      <x:c r="D84" s="94" t="inlineStr">
        <x:is>
          <x:t xml:space="preserve">data-slot is menu-separator</x:t>
        </x:is>
      </x:c>
      <x:c r="E84" s="93" t="inlineStr">
        <x:is>
          <x:t xml:space="preserve">yes</x:t>
        </x:is>
      </x:c>
      <x:c r="F84" s="93" t="inlineStr">
        <x:is>
          <x:t xml:space="preserve">yes</x:t>
        </x:is>
      </x:c>
      <x:c r="G84" s="93" t="inlineStr">
        <x:is>
          <x:t xml:space="preserve">pass</x:t>
        </x:is>
      </x:c>
      <x:c r="H84" s="93" t="inlineStr">
        <x:is>
          <x:t xml:space="preserve">covered</x:t>
        </x:is>
      </x:c>
      <x:c r="I84" s="94" t="inlineStr">
        <x:is>
          <x:t xml:space="preserve">Menu playground manual verification.</x:t>
        </x:is>
      </x:c>
      <x:c r="J84" s="94" t="n"/>
      <x:c r="K84" s="95" t="n">
        <x:f>IF(AND(E84="yes",F84="yes",H84="covered"),1,IF(H84="partial",0.5,0))</x:f>
        <x:v>1</x:v>
      </x:c>
    </x:row>
    <x:row r="85" s="51" customFormat="1" ht="30" customHeight="1">
      <x:c r="A85" s="93" t="n">
        <x:v>77</x:v>
      </x:c>
      <x:c r="B85" s="94" t="inlineStr">
        <x:is>
          <x:t xml:space="preserve">Public API</x:t>
        </x:is>
      </x:c>
      <x:c r="C85" s="94" t="inlineStr">
        <x:is>
          <x:t xml:space="preserve">Separator</x:t>
        </x:is>
      </x:c>
      <x:c r="D85" s="94" t="inlineStr">
        <x:is>
          <x:t xml:space="preserve">is not keyboard highlightable</x:t>
        </x:is>
      </x:c>
      <x:c r="E85" s="93" t="inlineStr">
        <x:is>
          <x:t xml:space="preserve">yes</x:t>
        </x:is>
      </x:c>
      <x:c r="F85" s="93" t="inlineStr">
        <x:is>
          <x:t xml:space="preserve">yes</x:t>
        </x:is>
      </x:c>
      <x:c r="G85" s="93" t="inlineStr">
        <x:is>
          <x:t xml:space="preserve">pass</x:t>
        </x:is>
      </x:c>
      <x:c r="H85" s="93" t="inlineStr">
        <x:is>
          <x:t xml:space="preserve">covered</x:t>
        </x:is>
      </x:c>
      <x:c r="I85" s="94" t="inlineStr">
        <x:is>
          <x:t xml:space="preserve">Menu playground manual verification.</x:t>
        </x:is>
      </x:c>
      <x:c r="J85" s="94" t="n"/>
      <x:c r="K85" s="95" t="n">
        <x:f>IF(AND(E85="yes",F85="yes",H85="covered"),1,IF(H85="partial",0.5,0))</x:f>
        <x:v>1</x:v>
      </x:c>
    </x:row>
    <x:row r="86" s="51" customFormat="1" ht="30" customHeight="1">
      <x:c r="A86" s="93" t="n">
        <x:v>78</x:v>
      </x:c>
      <x:c r="B86" s="94" t="inlineStr">
        <x:is>
          <x:t xml:space="preserve">Public API</x:t>
        </x:is>
      </x:c>
      <x:c r="C86" s="94" t="inlineStr">
        <x:is>
          <x:t xml:space="preserve">Sub</x:t>
        </x:is>
      </x:c>
      <x:c r="D86" s="94" t="inlineStr">
        <x:is>
          <x:t xml:space="preserve">defaultOpen initializes uncontrolled submenu</x:t>
        </x:is>
      </x:c>
      <x:c r="E86" s="93" t="inlineStr">
        <x:is>
          <x:t xml:space="preserve">yes</x:t>
        </x:is>
      </x:c>
      <x:c r="F86" s="93" t="inlineStr">
        <x:is>
          <x:t xml:space="preserve">yes</x:t>
        </x:is>
      </x:c>
      <x:c r="G86" s="93" t="inlineStr">
        <x:is>
          <x:t xml:space="preserve">pass</x:t>
        </x:is>
      </x:c>
      <x:c r="H86" s="93" t="inlineStr">
        <x:is>
          <x:t xml:space="preserve">covered</x:t>
        </x:is>
      </x:c>
      <x:c r="I86" s="94" t="inlineStr">
        <x:is>
          <x:t xml:space="preserve">Menu playground manual verification.</x:t>
        </x:is>
      </x:c>
      <x:c r="J86" s="94" t="n"/>
      <x:c r="K86" s="95" t="n">
        <x:f>IF(AND(E86="yes",F86="yes",H86="covered"),1,IF(H86="partial",0.5,0))</x:f>
        <x:v>1</x:v>
      </x:c>
    </x:row>
    <x:row r="87" s="51" customFormat="1" ht="30" customHeight="1">
      <x:c r="A87" s="93" t="n">
        <x:v>79</x:v>
      </x:c>
      <x:c r="B87" s="94" t="inlineStr">
        <x:is>
          <x:t xml:space="preserve">Public API</x:t>
        </x:is>
      </x:c>
      <x:c r="C87" s="94" t="inlineStr">
        <x:is>
          <x:t xml:space="preserve">Sub</x:t>
        </x:is>
      </x:c>
      <x:c r="D87" s="94" t="inlineStr">
        <x:is>
          <x:t xml:space="preserve">open prop controls submenu</x:t>
        </x:is>
      </x:c>
      <x:c r="E87" s="93" t="inlineStr">
        <x:is>
          <x:t xml:space="preserve">yes</x:t>
        </x:is>
      </x:c>
      <x:c r="F87" s="93" t="inlineStr">
        <x:is>
          <x:t xml:space="preserve">yes</x:t>
        </x:is>
      </x:c>
      <x:c r="G87" s="93" t="inlineStr">
        <x:is>
          <x:t xml:space="preserve">pass</x:t>
        </x:is>
      </x:c>
      <x:c r="H87" s="93" t="inlineStr">
        <x:is>
          <x:t xml:space="preserve">covered</x:t>
        </x:is>
      </x:c>
      <x:c r="I87" s="94" t="inlineStr">
        <x:is>
          <x:t xml:space="preserve">Menu playground manual verification.</x:t>
        </x:is>
      </x:c>
      <x:c r="J87" s="94" t="n"/>
      <x:c r="K87" s="95" t="n">
        <x:f>IF(AND(E87="yes",F87="yes",H87="covered"),1,IF(H87="partial",0.5,0))</x:f>
        <x:v>1</x:v>
      </x:c>
    </x:row>
    <x:row r="88" s="51" customFormat="1" ht="30" customHeight="1">
      <x:c r="A88" s="93" t="n">
        <x:v>80</x:v>
      </x:c>
      <x:c r="B88" s="94" t="inlineStr">
        <x:is>
          <x:t xml:space="preserve">Public API</x:t>
        </x:is>
      </x:c>
      <x:c r="C88" s="94" t="inlineStr">
        <x:is>
          <x:t xml:space="preserve">Sub</x:t>
        </x:is>
      </x:c>
      <x:c r="D88" s="94" t="inlineStr">
        <x:is>
          <x:t xml:space="preserve">onOpenChange fires for controlled submenu</x:t>
        </x:is>
      </x:c>
      <x:c r="E88" s="93" t="inlineStr">
        <x:is>
          <x:t xml:space="preserve">yes</x:t>
        </x:is>
      </x:c>
      <x:c r="F88" s="93" t="inlineStr">
        <x:is>
          <x:t xml:space="preserve">yes</x:t>
        </x:is>
      </x:c>
      <x:c r="G88" s="93" t="inlineStr">
        <x:is>
          <x:t xml:space="preserve">pass</x:t>
        </x:is>
      </x:c>
      <x:c r="H88" s="93" t="inlineStr">
        <x:is>
          <x:t xml:space="preserve">covered</x:t>
        </x:is>
      </x:c>
      <x:c r="I88" s="94" t="inlineStr">
        <x:is>
          <x:t xml:space="preserve">Menu playground manual verification.</x:t>
        </x:is>
      </x:c>
      <x:c r="J88" s="94" t="n"/>
      <x:c r="K88" s="95" t="n">
        <x:f>IF(AND(E88="yes",F88="yes",H88="covered"),1,IF(H88="partial",0.5,0))</x:f>
        <x:v>1</x:v>
      </x:c>
    </x:row>
    <x:row r="89" s="51" customFormat="1" ht="30" customHeight="1">
      <x:c r="A89" s="93" t="n">
        <x:v>81</x:v>
      </x:c>
      <x:c r="B89" s="94" t="inlineStr">
        <x:is>
          <x:t xml:space="preserve">Public API</x:t>
        </x:is>
      </x:c>
      <x:c r="C89" s="94" t="inlineStr">
        <x:is>
          <x:t xml:space="preserve">Sub</x:t>
        </x:is>
      </x:c>
      <x:c r="D89" s="94" t="inlineStr">
        <x:is>
          <x:t xml:space="preserve">only one uncontrolled submenu is open at a time</x:t>
        </x:is>
      </x:c>
      <x:c r="E89" s="93" t="inlineStr">
        <x:is>
          <x:t xml:space="preserve">yes</x:t>
        </x:is>
      </x:c>
      <x:c r="F89" s="93" t="inlineStr">
        <x:is>
          <x:t xml:space="preserve">yes</x:t>
        </x:is>
      </x:c>
      <x:c r="G89" s="93" t="inlineStr">
        <x:is>
          <x:t xml:space="preserve">pass</x:t>
        </x:is>
      </x:c>
      <x:c r="H89" s="93" t="inlineStr">
        <x:is>
          <x:t xml:space="preserve">covered</x:t>
        </x:is>
      </x:c>
      <x:c r="I89" s="94" t="inlineStr">
        <x:is>
          <x:t xml:space="preserve">Menu playground manual verification.</x:t>
        </x:is>
      </x:c>
      <x:c r="J89" s="94" t="n"/>
      <x:c r="K89" s="95" t="n">
        <x:f>IF(AND(E89="yes",F89="yes",H89="covered"),1,IF(H89="partial",0.5,0))</x:f>
        <x:v>1</x:v>
      </x:c>
    </x:row>
    <x:row r="90" s="51" customFormat="1" ht="30" customHeight="1">
      <x:c r="A90" s="93" t="n">
        <x:v>82</x:v>
      </x:c>
      <x:c r="B90" s="94" t="inlineStr">
        <x:is>
          <x:t xml:space="preserve">Public API</x:t>
        </x:is>
      </x:c>
      <x:c r="C90" s="94" t="inlineStr">
        <x:is>
          <x:t xml:space="preserve">Sub Trigger</x:t>
        </x:is>
      </x:c>
      <x:c r="D90" s="94" t="inlineStr">
        <x:is>
          <x:t xml:space="preserve">renders role menuitem</x:t>
        </x:is>
      </x:c>
      <x:c r="E90" s="93" t="inlineStr">
        <x:is>
          <x:t xml:space="preserve">yes</x:t>
        </x:is>
      </x:c>
      <x:c r="F90" s="93" t="inlineStr">
        <x:is>
          <x:t xml:space="preserve">yes</x:t>
        </x:is>
      </x:c>
      <x:c r="G90" s="93" t="inlineStr">
        <x:is>
          <x:t xml:space="preserve">pass</x:t>
        </x:is>
      </x:c>
      <x:c r="H90" s="93" t="inlineStr">
        <x:is>
          <x:t xml:space="preserve">covered</x:t>
        </x:is>
      </x:c>
      <x:c r="I90" s="94" t="inlineStr">
        <x:is>
          <x:t xml:space="preserve">Menu playground manual verification.</x:t>
        </x:is>
      </x:c>
      <x:c r="J90" s="94" t="n"/>
      <x:c r="K90" s="95" t="n">
        <x:f>IF(AND(E90="yes",F90="yes",H90="covered"),1,IF(H90="partial",0.5,0))</x:f>
        <x:v>1</x:v>
      </x:c>
    </x:row>
    <x:row r="91" s="51" customFormat="1" ht="30" customHeight="1">
      <x:c r="A91" s="93" t="n">
        <x:v>83</x:v>
      </x:c>
      <x:c r="B91" s="94" t="inlineStr">
        <x:is>
          <x:t xml:space="preserve">Public API</x:t>
        </x:is>
      </x:c>
      <x:c r="C91" s="94" t="inlineStr">
        <x:is>
          <x:t xml:space="preserve">Sub Trigger</x:t>
        </x:is>
      </x:c>
      <x:c r="D91" s="94" t="inlineStr">
        <x:is>
          <x:t xml:space="preserve">aria-haspopup is menu</x:t>
        </x:is>
      </x:c>
      <x:c r="E91" s="93" t="inlineStr">
        <x:is>
          <x:t xml:space="preserve">yes</x:t>
        </x:is>
      </x:c>
      <x:c r="F91" s="93" t="inlineStr">
        <x:is>
          <x:t xml:space="preserve">yes</x:t>
        </x:is>
      </x:c>
      <x:c r="G91" s="93" t="inlineStr">
        <x:is>
          <x:t xml:space="preserve">pass</x:t>
        </x:is>
      </x:c>
      <x:c r="H91" s="93" t="inlineStr">
        <x:is>
          <x:t xml:space="preserve">covered</x:t>
        </x:is>
      </x:c>
      <x:c r="I91" s="94" t="inlineStr">
        <x:is>
          <x:t xml:space="preserve">Menu playground manual verification.</x:t>
        </x:is>
      </x:c>
      <x:c r="J91" s="94" t="n"/>
      <x:c r="K91" s="95" t="n">
        <x:f>IF(AND(E91="yes",F91="yes",H91="covered"),1,IF(H91="partial",0.5,0))</x:f>
        <x:v>1</x:v>
      </x:c>
    </x:row>
    <x:row r="92" s="51" customFormat="1" ht="30" customHeight="1">
      <x:c r="A92" s="93" t="n">
        <x:v>84</x:v>
      </x:c>
      <x:c r="B92" s="94" t="inlineStr">
        <x:is>
          <x:t xml:space="preserve">Public API</x:t>
        </x:is>
      </x:c>
      <x:c r="C92" s="94" t="inlineStr">
        <x:is>
          <x:t xml:space="preserve">Sub Trigger</x:t>
        </x:is>
      </x:c>
      <x:c r="D92" s="94" t="inlineStr">
        <x:is>
          <x:t xml:space="preserve">aria-expanded reflects submenu open state</x:t>
        </x:is>
      </x:c>
      <x:c r="E92" s="93" t="inlineStr">
        <x:is>
          <x:t xml:space="preserve">yes</x:t>
        </x:is>
      </x:c>
      <x:c r="F92" s="93" t="inlineStr">
        <x:is>
          <x:t xml:space="preserve">yes</x:t>
        </x:is>
      </x:c>
      <x:c r="G92" s="93" t="inlineStr">
        <x:is>
          <x:t xml:space="preserve">pass</x:t>
        </x:is>
      </x:c>
      <x:c r="H92" s="93" t="inlineStr">
        <x:is>
          <x:t xml:space="preserve">covered</x:t>
        </x:is>
      </x:c>
      <x:c r="I92" s="94" t="inlineStr">
        <x:is>
          <x:t xml:space="preserve">Menu playground manual verification.</x:t>
        </x:is>
      </x:c>
      <x:c r="J92" s="94" t="n"/>
      <x:c r="K92" s="95" t="n">
        <x:f>IF(AND(E92="yes",F92="yes",H92="covered"),1,IF(H92="partial",0.5,0))</x:f>
        <x:v>1</x:v>
      </x:c>
    </x:row>
    <x:row r="93" s="51" customFormat="1" ht="30" customHeight="1">
      <x:c r="A93" s="93" t="n">
        <x:v>85</x:v>
      </x:c>
      <x:c r="B93" s="94" t="inlineStr">
        <x:is>
          <x:t xml:space="preserve">Public API</x:t>
        </x:is>
      </x:c>
      <x:c r="C93" s="94" t="inlineStr">
        <x:is>
          <x:t xml:space="preserve">Sub Trigger</x:t>
        </x:is>
      </x:c>
      <x:c r="D93" s="94" t="inlineStr">
        <x:is>
          <x:t xml:space="preserve">data-state reflects submenu state</x:t>
        </x:is>
      </x:c>
      <x:c r="E93" s="93" t="inlineStr">
        <x:is>
          <x:t xml:space="preserve">yes</x:t>
        </x:is>
      </x:c>
      <x:c r="F93" s="93" t="inlineStr">
        <x:is>
          <x:t xml:space="preserve">yes</x:t>
        </x:is>
      </x:c>
      <x:c r="G93" s="93" t="inlineStr">
        <x:is>
          <x:t xml:space="preserve">pass</x:t>
        </x:is>
      </x:c>
      <x:c r="H93" s="93" t="inlineStr">
        <x:is>
          <x:t xml:space="preserve">covered</x:t>
        </x:is>
      </x:c>
      <x:c r="I93" s="94" t="inlineStr">
        <x:is>
          <x:t xml:space="preserve">Menu playground manual verification.</x:t>
        </x:is>
      </x:c>
      <x:c r="J93" s="94" t="n"/>
      <x:c r="K93" s="95" t="n">
        <x:f>IF(AND(E93="yes",F93="yes",H93="covered"),1,IF(H93="partial",0.5,0))</x:f>
        <x:v>1</x:v>
      </x:c>
    </x:row>
    <x:row r="94" s="51" customFormat="1" ht="30" customHeight="1">
      <x:c r="A94" s="93" t="n">
        <x:v>86</x:v>
      </x:c>
      <x:c r="B94" s="94" t="inlineStr">
        <x:is>
          <x:t xml:space="preserve">Public API</x:t>
        </x:is>
      </x:c>
      <x:c r="C94" s="94" t="inlineStr">
        <x:is>
          <x:t xml:space="preserve">Sub Trigger</x:t>
        </x:is>
      </x:c>
      <x:c r="D94" s="94" t="inlineStr">
        <x:is>
          <x:t xml:space="preserve">data-slot is menu-sub-trigger</x:t>
        </x:is>
      </x:c>
      <x:c r="E94" s="93" t="inlineStr">
        <x:is>
          <x:t xml:space="preserve">yes</x:t>
        </x:is>
      </x:c>
      <x:c r="F94" s="93" t="inlineStr">
        <x:is>
          <x:t xml:space="preserve">yes</x:t>
        </x:is>
      </x:c>
      <x:c r="G94" s="93" t="inlineStr">
        <x:is>
          <x:t xml:space="preserve">pass</x:t>
        </x:is>
      </x:c>
      <x:c r="H94" s="93" t="inlineStr">
        <x:is>
          <x:t xml:space="preserve">covered</x:t>
        </x:is>
      </x:c>
      <x:c r="I94" s="94" t="inlineStr">
        <x:is>
          <x:t xml:space="preserve">Menu playground manual verification.</x:t>
        </x:is>
      </x:c>
      <x:c r="J94" s="94" t="n"/>
      <x:c r="K94" s="95" t="n">
        <x:f>IF(AND(E94="yes",F94="yes",H94="covered"),1,IF(H94="partial",0.5,0))</x:f>
        <x:v>1</x:v>
      </x:c>
    </x:row>
    <x:row r="95" s="51" customFormat="1" ht="30" customHeight="1">
      <x:c r="A95" s="93" t="n">
        <x:v>87</x:v>
      </x:c>
      <x:c r="B95" s="94" t="inlineStr">
        <x:is>
          <x:t xml:space="preserve">Public API</x:t>
        </x:is>
      </x:c>
      <x:c r="C95" s="94" t="inlineStr">
        <x:is>
          <x:t xml:space="preserve">Sub Trigger</x:t>
        </x:is>
      </x:c>
      <x:c r="D95" s="94" t="inlineStr">
        <x:is>
          <x:t xml:space="preserve">hover opens submenu after delay</x:t>
        </x:is>
      </x:c>
      <x:c r="E95" s="93" t="inlineStr">
        <x:is>
          <x:t xml:space="preserve">yes</x:t>
        </x:is>
      </x:c>
      <x:c r="F95" s="93" t="inlineStr">
        <x:is>
          <x:t xml:space="preserve">yes</x:t>
        </x:is>
      </x:c>
      <x:c r="G95" s="93" t="inlineStr">
        <x:is>
          <x:t xml:space="preserve">pass</x:t>
        </x:is>
      </x:c>
      <x:c r="H95" s="93" t="inlineStr">
        <x:is>
          <x:t xml:space="preserve">covered</x:t>
        </x:is>
      </x:c>
      <x:c r="I95" s="94" t="inlineStr">
        <x:is>
          <x:t xml:space="preserve">Menu playground manual verification.</x:t>
        </x:is>
      </x:c>
      <x:c r="J95" s="94" t="n"/>
      <x:c r="K95" s="95" t="n">
        <x:f>IF(AND(E95="yes",F95="yes",H95="covered"),1,IF(H95="partial",0.5,0))</x:f>
        <x:v>1</x:v>
      </x:c>
    </x:row>
    <x:row r="96" s="51" customFormat="1" ht="45" customHeight="1">
      <x:c r="A96" s="93" t="n">
        <x:v>88</x:v>
      </x:c>
      <x:c r="B96" s="94" t="inlineStr">
        <x:is>
          <x:t xml:space="preserve">Public API</x:t>
        </x:is>
      </x:c>
      <x:c r="C96" s="94" t="inlineStr">
        <x:is>
          <x:t xml:space="preserve">Sub Trigger</x:t>
        </x:is>
      </x:c>
      <x:c r="D96" s="94" t="inlineStr">
        <x:is>
          <x:t xml:space="preserve">click toggles submenu</x:t>
        </x:is>
      </x:c>
      <x:c r="E96" s="93" t="inlineStr">
        <x:is>
          <x:t xml:space="preserve">yes</x:t>
        </x:is>
      </x:c>
      <x:c r="F96" s="93" t="inlineStr">
        <x:is>
          <x:t xml:space="preserve">yes</x:t>
        </x:is>
      </x:c>
      <x:c r="G96" s="93" t="inlineStr">
        <x:is>
          <x:t xml:space="preserve">pass</x:t>
        </x:is>
      </x:c>
      <x:c r="H96" s="93" t="inlineStr">
        <x:is>
          <x:t xml:space="preserve">covered</x:t>
        </x:is>
      </x:c>
      <x:c r="I96" s="94" t="inlineStr">
        <x:is>
          <x:t xml:space="preserve">Menu playground manual verification.</x:t>
        </x:is>
      </x:c>
      <x:c r="J96" s="94" t="n"/>
      <x:c r="K96" s="95" t="n">
        <x:f>IF(AND(E96="yes",F96="yes",H96="covered"),1,IF(H96="partial",0.5,0))</x:f>
        <x:v>1</x:v>
      </x:c>
    </x:row>
    <x:row r="97" s="51" customFormat="1" ht="30" customHeight="1">
      <x:c r="A97" s="93" t="n">
        <x:v>89</x:v>
      </x:c>
      <x:c r="B97" s="94" t="inlineStr">
        <x:is>
          <x:t xml:space="preserve">Public API</x:t>
        </x:is>
      </x:c>
      <x:c r="C97" s="94" t="inlineStr">
        <x:is>
          <x:t xml:space="preserve">Sub Trigger</x:t>
        </x:is>
      </x:c>
      <x:c r="D97" s="94" t="inlineStr">
        <x:is>
          <x:t xml:space="preserve">ArrowRight opens submenu</x:t>
        </x:is>
      </x:c>
      <x:c r="E97" s="93" t="inlineStr">
        <x:is>
          <x:t xml:space="preserve">yes</x:t>
        </x:is>
      </x:c>
      <x:c r="F97" s="93" t="inlineStr">
        <x:is>
          <x:t xml:space="preserve">yes</x:t>
        </x:is>
      </x:c>
      <x:c r="G97" s="93" t="inlineStr">
        <x:is>
          <x:t xml:space="preserve">pass</x:t>
        </x:is>
      </x:c>
      <x:c r="H97" s="93" t="inlineStr">
        <x:is>
          <x:t xml:space="preserve">covered</x:t>
        </x:is>
      </x:c>
      <x:c r="I97" s="94" t="inlineStr">
        <x:is>
          <x:t xml:space="preserve">Menu playground manual verification.</x:t>
        </x:is>
      </x:c>
      <x:c r="J97" s="94" t="n"/>
      <x:c r="K97" s="95" t="n">
        <x:f>IF(AND(E97="yes",F97="yes",H97="covered"),1,IF(H97="partial",0.5,0))</x:f>
        <x:v>1</x:v>
      </x:c>
    </x:row>
    <x:row r="98" s="51" customFormat="1" ht="30" customHeight="1">
      <x:c r="A98" s="73" t="n">
        <x:v>90</x:v>
      </x:c>
      <x:c r="B98" s="84" t="inlineStr">
        <x:is>
          <x:t xml:space="preserve">Public API</x:t>
        </x:is>
      </x:c>
      <x:c r="C98" s="84" t="inlineStr">
        <x:is>
          <x:t xml:space="preserve">Sub Trigger</x:t>
        </x:is>
      </x:c>
      <x:c r="D98" s="84" t="inlineStr">
        <x:is>
          <x:t xml:space="preserve">disabled sub trigger receives real keyboard focus but cannot open its submenu</x:t>
        </x:is>
      </x:c>
      <x:c r="E98" s="76" t="inlineStr">
        <x:is>
          <x:t xml:space="preserve">yes</x:t>
        </x:is>
      </x:c>
      <x:c r="F98" s="85" t="inlineStr">
        <x:is>
          <x:t xml:space="preserve">no</x:t>
        </x:is>
      </x:c>
      <x:c r="G98" s="73" t="inlineStr">
        <x:is>
          <x:t xml:space="preserve">automated tests pass; manual pending</x:t>
        </x:is>
      </x:c>
      <x:c r="H98" s="86" t="inlineStr">
        <x:is>
          <x:t xml:space="preserve">untested</x:t>
        </x:is>
      </x:c>
      <x:c r="I98" s="84" t="inlineStr">
        <x:is>
          <x:t xml:space="preserve">playground/.manual-tests/menu.md (draft)</x:t>
        </x:is>
      </x:c>
      <x:c r="J98" s="84" t="inlineStr">
        <x:is>
          <x:t xml:space="preserve">Run the updated component Manual Test Protocol and named browser/device matrix.</x:t>
        </x:is>
      </x:c>
      <x:c r="K98" s="87" t="n">
        <x:f>IF(AND(E98="yes",F98="yes",H98="covered"),1,IF(H98="partial",0.5,0))</x:f>
        <x:v>0</x:v>
      </x:c>
    </x:row>
    <x:row r="99" s="51" customFormat="1" ht="30" customHeight="1">
      <x:c r="A99" s="93" t="n">
        <x:v>91</x:v>
      </x:c>
      <x:c r="B99" s="94" t="inlineStr">
        <x:is>
          <x:t xml:space="preserve">Public API</x:t>
        </x:is>
      </x:c>
      <x:c r="C99" s="94" t="inlineStr">
        <x:is>
          <x:t xml:space="preserve">Sub Trigger</x:t>
        </x:is>
      </x:c>
      <x:c r="D99" s="94" t="inlineStr">
        <x:is>
          <x:t xml:space="preserve">textValue is used for typeahead</x:t>
        </x:is>
      </x:c>
      <x:c r="E99" s="93" t="inlineStr">
        <x:is>
          <x:t xml:space="preserve">yes</x:t>
        </x:is>
      </x:c>
      <x:c r="F99" s="93" t="inlineStr">
        <x:is>
          <x:t xml:space="preserve">yes</x:t>
        </x:is>
      </x:c>
      <x:c r="G99" s="93" t="inlineStr">
        <x:is>
          <x:t xml:space="preserve">pass</x:t>
        </x:is>
      </x:c>
      <x:c r="H99" s="93" t="inlineStr">
        <x:is>
          <x:t xml:space="preserve">covered</x:t>
        </x:is>
      </x:c>
      <x:c r="I99" s="94" t="inlineStr">
        <x:is>
          <x:t xml:space="preserve">Menu playground manual verification.</x:t>
        </x:is>
      </x:c>
      <x:c r="J99" s="94" t="n"/>
      <x:c r="K99" s="95" t="n">
        <x:f>IF(AND(E99="yes",F99="yes",H99="covered"),1,IF(H99="partial",0.5,0))</x:f>
        <x:v>1</x:v>
      </x:c>
    </x:row>
    <x:row r="100" s="51" customFormat="1" ht="30" customHeight="1">
      <x:c r="A100" s="93" t="n">
        <x:v>92</x:v>
      </x:c>
      <x:c r="B100" s="94" t="inlineStr">
        <x:is>
          <x:t xml:space="preserve">Public API</x:t>
        </x:is>
      </x:c>
      <x:c r="C100" s="94" t="inlineStr">
        <x:is>
          <x:t xml:space="preserve">Sub Content</x:t>
        </x:is>
      </x:c>
      <x:c r="D100" s="94" t="inlineStr">
        <x:is>
          <x:t xml:space="preserve">renders role menu</x:t>
        </x:is>
      </x:c>
      <x:c r="E100" s="93" t="inlineStr">
        <x:is>
          <x:t xml:space="preserve">yes</x:t>
        </x:is>
      </x:c>
      <x:c r="F100" s="93" t="inlineStr">
        <x:is>
          <x:t xml:space="preserve">yes</x:t>
        </x:is>
      </x:c>
      <x:c r="G100" s="93" t="inlineStr">
        <x:is>
          <x:t xml:space="preserve">pass</x:t>
        </x:is>
      </x:c>
      <x:c r="H100" s="93" t="inlineStr">
        <x:is>
          <x:t xml:space="preserve">covered</x:t>
        </x:is>
      </x:c>
      <x:c r="I100" s="94" t="inlineStr">
        <x:is>
          <x:t xml:space="preserve">Menu playground manual verification.</x:t>
        </x:is>
      </x:c>
      <x:c r="J100" s="94" t="n"/>
      <x:c r="K100" s="95" t="n">
        <x:f>IF(AND(E100="yes",F100="yes",H100="covered"),1,IF(H100="partial",0.5,0))</x:f>
        <x:v>1</x:v>
      </x:c>
    </x:row>
    <x:row r="101" s="51" customFormat="1" ht="30" customHeight="1">
      <x:c r="A101" s="93" t="n">
        <x:v>93</x:v>
      </x:c>
      <x:c r="B101" s="94" t="inlineStr">
        <x:is>
          <x:t xml:space="preserve">Public API</x:t>
        </x:is>
      </x:c>
      <x:c r="C101" s="94" t="inlineStr">
        <x:is>
          <x:t xml:space="preserve">Sub Content</x:t>
        </x:is>
      </x:c>
      <x:c r="D101" s="94" t="inlineStr">
        <x:is>
          <x:t xml:space="preserve">aria-label prop names submenu</x:t>
        </x:is>
      </x:c>
      <x:c r="E101" s="93" t="inlineStr">
        <x:is>
          <x:t xml:space="preserve">yes</x:t>
        </x:is>
      </x:c>
      <x:c r="F101" s="93" t="inlineStr">
        <x:is>
          <x:t xml:space="preserve">yes</x:t>
        </x:is>
      </x:c>
      <x:c r="G101" s="93" t="inlineStr">
        <x:is>
          <x:t xml:space="preserve">pass</x:t>
        </x:is>
      </x:c>
      <x:c r="H101" s="93" t="inlineStr">
        <x:is>
          <x:t xml:space="preserve">covered</x:t>
        </x:is>
      </x:c>
      <x:c r="I101" s="94" t="inlineStr">
        <x:is>
          <x:t xml:space="preserve">Menu playground manual verification.</x:t>
        </x:is>
      </x:c>
      <x:c r="J101" s="94" t="n"/>
      <x:c r="K101" s="95" t="n">
        <x:f>IF(AND(E101="yes",F101="yes",H101="covered"),1,IF(H101="partial",0.5,0))</x:f>
        <x:v>1</x:v>
      </x:c>
    </x:row>
    <x:row r="102" s="51" customFormat="1" ht="30" customHeight="1">
      <x:c r="A102" s="93" t="n">
        <x:v>94</x:v>
      </x:c>
      <x:c r="B102" s="94" t="inlineStr">
        <x:is>
          <x:t xml:space="preserve">Public API</x:t>
        </x:is>
      </x:c>
      <x:c r="C102" s="94" t="inlineStr">
        <x:is>
          <x:t xml:space="preserve">Sub Content</x:t>
        </x:is>
      </x:c>
      <x:c r="D102" s="94" t="inlineStr">
        <x:is>
          <x:t xml:space="preserve">aria-labelledby references sub trigger when ariaLabel is absent</x:t>
        </x:is>
      </x:c>
      <x:c r="E102" s="93" t="inlineStr">
        <x:is>
          <x:t xml:space="preserve">yes</x:t>
        </x:is>
      </x:c>
      <x:c r="F102" s="93" t="inlineStr">
        <x:is>
          <x:t xml:space="preserve">yes</x:t>
        </x:is>
      </x:c>
      <x:c r="G102" s="93" t="inlineStr">
        <x:is>
          <x:t xml:space="preserve">pass</x:t>
        </x:is>
      </x:c>
      <x:c r="H102" s="93" t="inlineStr">
        <x:is>
          <x:t xml:space="preserve">covered</x:t>
        </x:is>
      </x:c>
      <x:c r="I102" s="94" t="inlineStr">
        <x:is>
          <x:t xml:space="preserve">Menu playground manual verification.</x:t>
        </x:is>
      </x:c>
      <x:c r="J102" s="94" t="n"/>
      <x:c r="K102" s="95" t="n">
        <x:f>IF(AND(E102="yes",F102="yes",H102="covered"),1,IF(H102="partial",0.5,0))</x:f>
        <x:v>1</x:v>
      </x:c>
    </x:row>
    <x:row r="103" s="51" customFormat="1" ht="30" customHeight="1">
      <x:c r="A103" s="93" t="n">
        <x:v>95</x:v>
      </x:c>
      <x:c r="B103" s="94" t="inlineStr">
        <x:is>
          <x:t xml:space="preserve">Public API</x:t>
        </x:is>
      </x:c>
      <x:c r="C103" s="94" t="inlineStr">
        <x:is>
          <x:t xml:space="preserve">Sub Content</x:t>
        </x:is>
      </x:c>
      <x:c r="D103" s="94" t="inlineStr">
        <x:is>
          <x:t xml:space="preserve">data-slot is menu-sub-content</x:t>
        </x:is>
      </x:c>
      <x:c r="E103" s="93" t="inlineStr">
        <x:is>
          <x:t xml:space="preserve">yes</x:t>
        </x:is>
      </x:c>
      <x:c r="F103" s="93" t="inlineStr">
        <x:is>
          <x:t xml:space="preserve">yes</x:t>
        </x:is>
      </x:c>
      <x:c r="G103" s="93" t="inlineStr">
        <x:is>
          <x:t xml:space="preserve">pass</x:t>
        </x:is>
      </x:c>
      <x:c r="H103" s="93" t="inlineStr">
        <x:is>
          <x:t xml:space="preserve">covered</x:t>
        </x:is>
      </x:c>
      <x:c r="I103" s="94" t="inlineStr">
        <x:is>
          <x:t xml:space="preserve">Menu playground manual verification.</x:t>
        </x:is>
      </x:c>
      <x:c r="J103" s="94" t="n"/>
      <x:c r="K103" s="95" t="n">
        <x:f>IF(AND(E103="yes",F103="yes",H103="covered"),1,IF(H103="partial",0.5,0))</x:f>
        <x:v>1</x:v>
      </x:c>
    </x:row>
    <x:row r="104" s="51" customFormat="1" ht="30" customHeight="1">
      <x:c r="A104" s="93" t="n">
        <x:v>96</x:v>
      </x:c>
      <x:c r="B104" s="94" t="inlineStr">
        <x:is>
          <x:t xml:space="preserve">Public API</x:t>
        </x:is>
      </x:c>
      <x:c r="C104" s="94" t="inlineStr">
        <x:is>
          <x:t xml:space="preserve">Sub Content</x:t>
        </x:is>
      </x:c>
      <x:c r="D104" s="94" t="inlineStr">
        <x:is>
          <x:t xml:space="preserve">data-state is open</x:t>
        </x:is>
      </x:c>
      <x:c r="E104" s="93" t="inlineStr">
        <x:is>
          <x:t xml:space="preserve">yes</x:t>
        </x:is>
      </x:c>
      <x:c r="F104" s="93" t="inlineStr">
        <x:is>
          <x:t xml:space="preserve">yes</x:t>
        </x:is>
      </x:c>
      <x:c r="G104" s="93" t="inlineStr">
        <x:is>
          <x:t xml:space="preserve">pass</x:t>
        </x:is>
      </x:c>
      <x:c r="H104" s="93" t="inlineStr">
        <x:is>
          <x:t xml:space="preserve">covered</x:t>
        </x:is>
      </x:c>
      <x:c r="I104" s="94" t="inlineStr">
        <x:is>
          <x:t xml:space="preserve">Menu playground manual verification.</x:t>
        </x:is>
      </x:c>
      <x:c r="J104" s="94" t="n"/>
      <x:c r="K104" s="95" t="n">
        <x:f>IF(AND(E104="yes",F104="yes",H104="covered"),1,IF(H104="partial",0.5,0))</x:f>
        <x:v>1</x:v>
      </x:c>
    </x:row>
    <x:row r="105" s="51" customFormat="1" ht="30" customHeight="1">
      <x:c r="A105" s="93" t="n">
        <x:v>97</x:v>
      </x:c>
      <x:c r="B105" s="94" t="inlineStr">
        <x:is>
          <x:t xml:space="preserve">Public API</x:t>
        </x:is>
      </x:c>
      <x:c r="C105" s="94" t="inlineStr">
        <x:is>
          <x:t xml:space="preserve">Sub Content</x:t>
        </x:is>
      </x:c>
      <x:c r="D105" s="94" t="inlineStr">
        <x:is>
          <x:t xml:space="preserve">data-side reflects final placement</x:t>
        </x:is>
      </x:c>
      <x:c r="E105" s="93" t="inlineStr">
        <x:is>
          <x:t xml:space="preserve">yes</x:t>
        </x:is>
      </x:c>
      <x:c r="F105" s="93" t="inlineStr">
        <x:is>
          <x:t xml:space="preserve">yes</x:t>
        </x:is>
      </x:c>
      <x:c r="G105" s="93" t="inlineStr">
        <x:is>
          <x:t xml:space="preserve">pass</x:t>
        </x:is>
      </x:c>
      <x:c r="H105" s="93" t="inlineStr">
        <x:is>
          <x:t xml:space="preserve">covered</x:t>
        </x:is>
      </x:c>
      <x:c r="I105" s="94" t="inlineStr">
        <x:is>
          <x:t xml:space="preserve">Menu playground manual verification.</x:t>
        </x:is>
      </x:c>
      <x:c r="J105" s="94" t="n"/>
      <x:c r="K105" s="95" t="n">
        <x:f>IF(AND(E105="yes",F105="yes",H105="covered"),1,IF(H105="partial",0.5,0))</x:f>
        <x:v>1</x:v>
      </x:c>
    </x:row>
    <x:row r="106" s="51" customFormat="1" ht="30" customHeight="1">
      <x:c r="A106" s="93" t="n">
        <x:v>98</x:v>
      </x:c>
      <x:c r="B106" s="94" t="inlineStr">
        <x:is>
          <x:t xml:space="preserve">Public API</x:t>
        </x:is>
      </x:c>
      <x:c r="C106" s="94" t="inlineStr">
        <x:is>
          <x:t xml:space="preserve">Sub Content</x:t>
        </x:is>
      </x:c>
      <x:c r="D106" s="94" t="inlineStr">
        <x:is>
          <x:t xml:space="preserve">data-positioned appears after positioning</x:t>
        </x:is>
      </x:c>
      <x:c r="E106" s="93" t="inlineStr">
        <x:is>
          <x:t xml:space="preserve">yes</x:t>
        </x:is>
      </x:c>
      <x:c r="F106" s="93" t="inlineStr">
        <x:is>
          <x:t xml:space="preserve">yes</x:t>
        </x:is>
      </x:c>
      <x:c r="G106" s="93" t="inlineStr">
        <x:is>
          <x:t xml:space="preserve">pass</x:t>
        </x:is>
      </x:c>
      <x:c r="H106" s="93" t="inlineStr">
        <x:is>
          <x:t xml:space="preserve">covered</x:t>
        </x:is>
      </x:c>
      <x:c r="I106" s="94" t="inlineStr">
        <x:is>
          <x:t xml:space="preserve">Menu playground manual verification.</x:t>
        </x:is>
      </x:c>
      <x:c r="J106" s="94" t="n"/>
      <x:c r="K106" s="95" t="n">
        <x:f>IF(AND(E106="yes",F106="yes",H106="covered"),1,IF(H106="partial",0.5,0))</x:f>
        <x:v>1</x:v>
      </x:c>
    </x:row>
    <x:row r="107" s="51" customFormat="1" ht="30" customHeight="1">
      <x:c r="A107" s="93" t="n">
        <x:v>99</x:v>
      </x:c>
      <x:c r="B107" s="94" t="inlineStr">
        <x:is>
          <x:t xml:space="preserve">Public API</x:t>
        </x:is>
      </x:c>
      <x:c r="C107" s="94" t="inlineStr">
        <x:is>
          <x:t xml:space="preserve">Sub Content</x:t>
        </x:is>
      </x:c>
      <x:c r="D107" s="94" t="inlineStr">
        <x:is>
          <x:t xml:space="preserve">sideOffset changes submenu distance</x:t>
        </x:is>
      </x:c>
      <x:c r="E107" s="93" t="inlineStr">
        <x:is>
          <x:t xml:space="preserve">yes</x:t>
        </x:is>
      </x:c>
      <x:c r="F107" s="93" t="inlineStr">
        <x:is>
          <x:t xml:space="preserve">yes</x:t>
        </x:is>
      </x:c>
      <x:c r="G107" s="93" t="inlineStr">
        <x:is>
          <x:t xml:space="preserve">pass</x:t>
        </x:is>
      </x:c>
      <x:c r="H107" s="93" t="inlineStr">
        <x:is>
          <x:t xml:space="preserve">covered</x:t>
        </x:is>
      </x:c>
      <x:c r="I107" s="94" t="inlineStr">
        <x:is>
          <x:t xml:space="preserve">Menu playground manual verification.</x:t>
        </x:is>
      </x:c>
      <x:c r="J107" s="94" t="n"/>
      <x:c r="K107" s="95" t="n">
        <x:f>IF(AND(E107="yes",F107="yes",H107="covered"),1,IF(H107="partial",0.5,0))</x:f>
        <x:v>1</x:v>
      </x:c>
    </x:row>
    <x:row r="108" s="51" customFormat="1" ht="30" customHeight="1">
      <x:c r="A108" s="93" t="n">
        <x:v>100</x:v>
      </x:c>
      <x:c r="B108" s="94" t="inlineStr">
        <x:is>
          <x:t xml:space="preserve">Public API</x:t>
        </x:is>
      </x:c>
      <x:c r="C108" s="94" t="inlineStr">
        <x:is>
          <x:t xml:space="preserve">Sub Content</x:t>
        </x:is>
      </x:c>
      <x:c r="D108" s="94" t="inlineStr">
        <x:is>
          <x:t xml:space="preserve">loop prop controls submenu wrapping</x:t>
        </x:is>
      </x:c>
      <x:c r="E108" s="93" t="inlineStr">
        <x:is>
          <x:t xml:space="preserve">yes</x:t>
        </x:is>
      </x:c>
      <x:c r="F108" s="93" t="inlineStr">
        <x:is>
          <x:t xml:space="preserve">yes</x:t>
        </x:is>
      </x:c>
      <x:c r="G108" s="93" t="inlineStr">
        <x:is>
          <x:t xml:space="preserve">pass</x:t>
        </x:is>
      </x:c>
      <x:c r="H108" s="93" t="inlineStr">
        <x:is>
          <x:t xml:space="preserve">covered</x:t>
        </x:is>
      </x:c>
      <x:c r="I108" s="94" t="inlineStr">
        <x:is>
          <x:t xml:space="preserve">Menu playground manual verification.</x:t>
        </x:is>
      </x:c>
      <x:c r="J108" s="94" t="n"/>
      <x:c r="K108" s="95" t="n">
        <x:f>IF(AND(E108="yes",F108="yes",H108="covered"),1,IF(H108="partial",0.5,0))</x:f>
        <x:v>1</x:v>
      </x:c>
    </x:row>
    <x:row r="109" s="51" customFormat="1" ht="30" customHeight="1">
      <x:c r="A109" s="93" t="n">
        <x:v>101</x:v>
      </x:c>
      <x:c r="B109" s="94" t="inlineStr">
        <x:is>
          <x:t xml:space="preserve">Interaction</x:t>
        </x:is>
      </x:c>
      <x:c r="C109" s="94" t="inlineStr">
        <x:is>
          <x:t xml:space="preserve">Open And Close</x:t>
        </x:is>
      </x:c>
      <x:c r="D109" s="94" t="inlineStr">
        <x:is>
          <x:t xml:space="preserve">open button opens menu</x:t>
        </x:is>
      </x:c>
      <x:c r="E109" s="93" t="inlineStr">
        <x:is>
          <x:t xml:space="preserve">yes</x:t>
        </x:is>
      </x:c>
      <x:c r="F109" s="93" t="inlineStr">
        <x:is>
          <x:t xml:space="preserve">yes</x:t>
        </x:is>
      </x:c>
      <x:c r="G109" s="93" t="inlineStr">
        <x:is>
          <x:t xml:space="preserve">pass</x:t>
        </x:is>
      </x:c>
      <x:c r="H109" s="93" t="inlineStr">
        <x:is>
          <x:t xml:space="preserve">covered</x:t>
        </x:is>
      </x:c>
      <x:c r="I109" s="94" t="inlineStr">
        <x:is>
          <x:t xml:space="preserve">Menu playground manual verification.</x:t>
        </x:is>
      </x:c>
      <x:c r="J109" s="94" t="n"/>
      <x:c r="K109" s="95" t="n">
        <x:f>IF(AND(E109="yes",F109="yes",H109="covered"),1,IF(H109="partial",0.5,0))</x:f>
        <x:v>1</x:v>
      </x:c>
    </x:row>
    <x:row r="110" s="51" customFormat="1" ht="30" customHeight="1">
      <x:c r="A110" s="93" t="n">
        <x:v>102</x:v>
      </x:c>
      <x:c r="B110" s="94" t="inlineStr">
        <x:is>
          <x:t xml:space="preserve">Interaction</x:t>
        </x:is>
      </x:c>
      <x:c r="C110" s="94" t="inlineStr">
        <x:is>
          <x:t xml:space="preserve">Open And Close</x:t>
        </x:is>
      </x:c>
      <x:c r="D110" s="94" t="inlineStr">
        <x:is>
          <x:t xml:space="preserve">controlled open button opens menu</x:t>
        </x:is>
      </x:c>
      <x:c r="E110" s="93" t="inlineStr">
        <x:is>
          <x:t xml:space="preserve">yes</x:t>
        </x:is>
      </x:c>
      <x:c r="F110" s="93" t="inlineStr">
        <x:is>
          <x:t xml:space="preserve">yes</x:t>
        </x:is>
      </x:c>
      <x:c r="G110" s="93" t="inlineStr">
        <x:is>
          <x:t xml:space="preserve">pass</x:t>
        </x:is>
      </x:c>
      <x:c r="H110" s="93" t="inlineStr">
        <x:is>
          <x:t xml:space="preserve">covered</x:t>
        </x:is>
      </x:c>
      <x:c r="I110" s="94" t="inlineStr">
        <x:is>
          <x:t xml:space="preserve">Menu playground manual verification.</x:t>
        </x:is>
      </x:c>
      <x:c r="J110" s="94" t="n"/>
      <x:c r="K110" s="95" t="n">
        <x:f>IF(AND(E110="yes",F110="yes",H110="covered"),1,IF(H110="partial",0.5,0))</x:f>
        <x:v>1</x:v>
      </x:c>
    </x:row>
    <x:row r="111" s="51" customFormat="1" ht="30" customHeight="1">
      <x:c r="A111" s="93" t="n">
        <x:v>103</x:v>
      </x:c>
      <x:c r="B111" s="94" t="inlineStr">
        <x:is>
          <x:t xml:space="preserve">Interaction</x:t>
        </x:is>
      </x:c>
      <x:c r="C111" s="94" t="inlineStr">
        <x:is>
          <x:t xml:space="preserve">Open And Close</x:t>
        </x:is>
      </x:c>
      <x:c r="D111" s="94" t="inlineStr">
        <x:is>
          <x:t xml:space="preserve">controlled close button closes menu</x:t>
        </x:is>
      </x:c>
      <x:c r="E111" s="93" t="inlineStr">
        <x:is>
          <x:t xml:space="preserve">yes</x:t>
        </x:is>
      </x:c>
      <x:c r="F111" s="93" t="inlineStr">
        <x:is>
          <x:t xml:space="preserve">yes</x:t>
        </x:is>
      </x:c>
      <x:c r="G111" s="93" t="inlineStr">
        <x:is>
          <x:t xml:space="preserve">pass</x:t>
        </x:is>
      </x:c>
      <x:c r="H111" s="93" t="inlineStr">
        <x:is>
          <x:t xml:space="preserve">covered</x:t>
        </x:is>
      </x:c>
      <x:c r="I111" s="94" t="inlineStr">
        <x:is>
          <x:t xml:space="preserve">Menu playground manual verification.</x:t>
        </x:is>
      </x:c>
      <x:c r="J111" s="94" t="n"/>
      <x:c r="K111" s="95" t="n">
        <x:f>IF(AND(E111="yes",F111="yes",H111="covered"),1,IF(H111="partial",0.5,0))</x:f>
        <x:v>1</x:v>
      </x:c>
    </x:row>
    <x:row r="112" s="51" customFormat="1" ht="30" customHeight="1">
      <x:c r="A112" s="93" t="n">
        <x:v>104</x:v>
      </x:c>
      <x:c r="B112" s="94" t="inlineStr">
        <x:is>
          <x:t xml:space="preserve">Interaction</x:t>
        </x:is>
      </x:c>
      <x:c r="C112" s="94" t="inlineStr">
        <x:is>
          <x:t xml:space="preserve">Open And Close</x:t>
        </x:is>
      </x:c>
      <x:c r="D112" s="94" t="inlineStr">
        <x:is>
          <x:t xml:space="preserve">outside click closes root menu</x:t>
        </x:is>
      </x:c>
      <x:c r="E112" s="93" t="inlineStr">
        <x:is>
          <x:t xml:space="preserve">yes</x:t>
        </x:is>
      </x:c>
      <x:c r="F112" s="93" t="inlineStr">
        <x:is>
          <x:t xml:space="preserve">yes</x:t>
        </x:is>
      </x:c>
      <x:c r="G112" s="93" t="inlineStr">
        <x:is>
          <x:t xml:space="preserve">pass</x:t>
        </x:is>
      </x:c>
      <x:c r="H112" s="93" t="inlineStr">
        <x:is>
          <x:t xml:space="preserve">covered</x:t>
        </x:is>
      </x:c>
      <x:c r="I112" s="94" t="inlineStr">
        <x:is>
          <x:t xml:space="preserve">Menu playground manual verification.</x:t>
        </x:is>
      </x:c>
      <x:c r="J112" s="94" t="n"/>
      <x:c r="K112" s="95" t="n">
        <x:f>IF(AND(E112="yes",F112="yes",H112="covered"),1,IF(H112="partial",0.5,0))</x:f>
        <x:v>1</x:v>
      </x:c>
    </x:row>
    <x:row r="113" s="51" customFormat="1" ht="30" customHeight="1">
      <x:c r="A113" s="93" t="n">
        <x:v>105</x:v>
      </x:c>
      <x:c r="B113" s="94" t="inlineStr">
        <x:is>
          <x:t xml:space="preserve">Interaction</x:t>
        </x:is>
      </x:c>
      <x:c r="C113" s="94" t="inlineStr">
        <x:is>
          <x:t xml:space="preserve">Open And Close</x:t>
        </x:is>
      </x:c>
      <x:c r="D113" s="94" t="inlineStr">
        <x:is>
          <x:t xml:space="preserve">outside click closes submenu</x:t>
        </x:is>
      </x:c>
      <x:c r="E113" s="93" t="inlineStr">
        <x:is>
          <x:t xml:space="preserve">yes</x:t>
        </x:is>
      </x:c>
      <x:c r="F113" s="93" t="inlineStr">
        <x:is>
          <x:t xml:space="preserve">yes</x:t>
        </x:is>
      </x:c>
      <x:c r="G113" s="93" t="inlineStr">
        <x:is>
          <x:t xml:space="preserve">pass</x:t>
        </x:is>
      </x:c>
      <x:c r="H113" s="93" t="inlineStr">
        <x:is>
          <x:t xml:space="preserve">covered</x:t>
        </x:is>
      </x:c>
      <x:c r="I113" s="94" t="inlineStr">
        <x:is>
          <x:t xml:space="preserve">Menu playground manual verification.</x:t>
        </x:is>
      </x:c>
      <x:c r="J113" s="94" t="n"/>
      <x:c r="K113" s="95" t="n">
        <x:f>IF(AND(E113="yes",F113="yes",H113="covered"),1,IF(H113="partial",0.5,0))</x:f>
        <x:v>1</x:v>
      </x:c>
    </x:row>
    <x:row r="114" s="51" customFormat="1" ht="30" customHeight="1">
      <x:c r="A114" s="73" t="n">
        <x:v>106</x:v>
      </x:c>
      <x:c r="B114" s="84" t="inlineStr">
        <x:is>
          <x:t xml:space="preserve">Interaction</x:t>
        </x:is>
      </x:c>
      <x:c r="C114" s="84" t="inlineStr">
        <x:is>
          <x:t xml:space="preserve">Open And Close</x:t>
        </x:is>
      </x:c>
      <x:c r="D114" s="84" t="inlineStr">
        <x:is>
          <x:t xml:space="preserve">Tab closes every menu level and moves focus after the complete owner boundary</x:t>
        </x:is>
      </x:c>
      <x:c r="E114" s="76" t="inlineStr">
        <x:is>
          <x:t xml:space="preserve">yes</x:t>
        </x:is>
      </x:c>
      <x:c r="F114" s="85" t="inlineStr">
        <x:is>
          <x:t xml:space="preserve">no</x:t>
        </x:is>
      </x:c>
      <x:c r="G114" s="73" t="inlineStr">
        <x:is>
          <x:t xml:space="preserve">automated tests pass; manual pending</x:t>
        </x:is>
      </x:c>
      <x:c r="H114" s="86" t="inlineStr">
        <x:is>
          <x:t xml:space="preserve">untested</x:t>
        </x:is>
      </x:c>
      <x:c r="I114" s="84" t="inlineStr">
        <x:is>
          <x:t xml:space="preserve">playground/.manual-tests/menu.md (draft)</x:t>
        </x:is>
      </x:c>
      <x:c r="J114" s="84" t="inlineStr">
        <x:is>
          <x:t xml:space="preserve">Run the updated component Manual Test Protocol and named browser/device matrix.</x:t>
        </x:is>
      </x:c>
      <x:c r="K114" s="87" t="n">
        <x:f>IF(AND(E114="yes",F114="yes",H114="covered"),1,IF(H114="partial",0.5,0))</x:f>
        <x:v>0</x:v>
      </x:c>
    </x:row>
    <x:row r="115" s="51" customFormat="1" ht="30" customHeight="1">
      <x:c r="A115" s="93" t="n">
        <x:v>107</x:v>
      </x:c>
      <x:c r="B115" s="94" t="inlineStr">
        <x:is>
          <x:t xml:space="preserve">Interaction</x:t>
        </x:is>
      </x:c>
      <x:c r="C115" s="94" t="inlineStr">
        <x:is>
          <x:t xml:space="preserve">Open And Close</x:t>
        </x:is>
      </x:c>
      <x:c r="D115" s="94" t="inlineStr">
        <x:is>
          <x:t xml:space="preserve">Escape closes root menu and returns focus</x:t>
        </x:is>
      </x:c>
      <x:c r="E115" s="93" t="inlineStr">
        <x:is>
          <x:t xml:space="preserve">yes</x:t>
        </x:is>
      </x:c>
      <x:c r="F115" s="93" t="inlineStr">
        <x:is>
          <x:t xml:space="preserve">yes</x:t>
        </x:is>
      </x:c>
      <x:c r="G115" s="93" t="inlineStr">
        <x:is>
          <x:t xml:space="preserve">pass</x:t>
        </x:is>
      </x:c>
      <x:c r="H115" s="93" t="inlineStr">
        <x:is>
          <x:t xml:space="preserve">covered</x:t>
        </x:is>
      </x:c>
      <x:c r="I115" s="94" t="inlineStr">
        <x:is>
          <x:t xml:space="preserve">Menu playground manual verification.</x:t>
        </x:is>
      </x:c>
      <x:c r="J115" s="94" t="n"/>
      <x:c r="K115" s="95" t="n">
        <x:f>IF(AND(E115="yes",F115="yes",H115="covered"),1,IF(H115="partial",0.5,0))</x:f>
        <x:v>1</x:v>
      </x:c>
    </x:row>
    <x:row r="116" s="51" customFormat="1" ht="30" customHeight="1">
      <x:c r="A116" s="73" t="n">
        <x:v>108</x:v>
      </x:c>
      <x:c r="B116" s="84" t="inlineStr">
        <x:is>
          <x:t xml:space="preserve">Interaction</x:t>
        </x:is>
      </x:c>
      <x:c r="C116" s="84" t="inlineStr">
        <x:is>
          <x:t xml:space="preserve">Open And Close</x:t>
        </x:is>
      </x:c>
      <x:c r="D116" s="84" t="inlineStr">
        <x:is>
          <x:t xml:space="preserve">Escape closes the innermost submenu first and restores real focus to its SubTrigger</x:t>
        </x:is>
      </x:c>
      <x:c r="E116" s="76" t="inlineStr">
        <x:is>
          <x:t xml:space="preserve">yes</x:t>
        </x:is>
      </x:c>
      <x:c r="F116" s="85" t="inlineStr">
        <x:is>
          <x:t xml:space="preserve">no</x:t>
        </x:is>
      </x:c>
      <x:c r="G116" s="73" t="inlineStr">
        <x:is>
          <x:t xml:space="preserve">automated tests pass; manual pending</x:t>
        </x:is>
      </x:c>
      <x:c r="H116" s="86" t="inlineStr">
        <x:is>
          <x:t xml:space="preserve">untested</x:t>
        </x:is>
      </x:c>
      <x:c r="I116" s="84" t="inlineStr">
        <x:is>
          <x:t xml:space="preserve">playground/.manual-tests/menu.md (draft)</x:t>
        </x:is>
      </x:c>
      <x:c r="J116" s="84" t="inlineStr">
        <x:is>
          <x:t xml:space="preserve">Run the updated component Manual Test Protocol and named browser/device matrix.</x:t>
        </x:is>
      </x:c>
      <x:c r="K116" s="87" t="n">
        <x:f>IF(AND(E116="yes",F116="yes",H116="covered"),1,IF(H116="partial",0.5,0))</x:f>
        <x:v>0</x:v>
      </x:c>
    </x:row>
    <x:row r="117" s="51" customFormat="1" ht="30" customHeight="1">
      <x:c r="A117" s="93" t="n">
        <x:v>109</x:v>
      </x:c>
      <x:c r="B117" s="94" t="inlineStr">
        <x:is>
          <x:t xml:space="preserve">Interaction</x:t>
        </x:is>
      </x:c>
      <x:c r="C117" s="94" t="inlineStr">
        <x:is>
          <x:t xml:space="preserve">Open And Close</x:t>
        </x:is>
      </x:c>
      <x:c r="D117" s="94" t="inlineStr">
        <x:is>
          <x:t xml:space="preserve">selecting action item closes menu when enabled</x:t>
        </x:is>
      </x:c>
      <x:c r="E117" s="93" t="inlineStr">
        <x:is>
          <x:t xml:space="preserve">yes</x:t>
        </x:is>
      </x:c>
      <x:c r="F117" s="93" t="inlineStr">
        <x:is>
          <x:t xml:space="preserve">yes</x:t>
        </x:is>
      </x:c>
      <x:c r="G117" s="93" t="inlineStr">
        <x:is>
          <x:t xml:space="preserve">pass</x:t>
        </x:is>
      </x:c>
      <x:c r="H117" s="93" t="inlineStr">
        <x:is>
          <x:t xml:space="preserve">covered</x:t>
        </x:is>
      </x:c>
      <x:c r="I117" s="94" t="inlineStr">
        <x:is>
          <x:t xml:space="preserve">Menu playground manual verification.</x:t>
        </x:is>
      </x:c>
      <x:c r="J117" s="94" t="n"/>
      <x:c r="K117" s="95" t="n">
        <x:f>IF(AND(E117="yes",F117="yes",H117="covered"),1,IF(H117="partial",0.5,0))</x:f>
        <x:v>1</x:v>
      </x:c>
    </x:row>
    <x:row r="118" s="51" customFormat="1" ht="30" customHeight="1">
      <x:c r="A118" s="93" t="n">
        <x:v>110</x:v>
      </x:c>
      <x:c r="B118" s="94" t="inlineStr">
        <x:is>
          <x:t xml:space="preserve">Interaction</x:t>
        </x:is>
      </x:c>
      <x:c r="C118" s="94" t="inlineStr">
        <x:is>
          <x:t xml:space="preserve">Open And Close</x:t>
        </x:is>
      </x:c>
      <x:c r="D118" s="94" t="inlineStr">
        <x:is>
          <x:t xml:space="preserve">selecting checkbox/radio stays open by default</x:t>
        </x:is>
      </x:c>
      <x:c r="E118" s="93" t="inlineStr">
        <x:is>
          <x:t xml:space="preserve">yes</x:t>
        </x:is>
      </x:c>
      <x:c r="F118" s="93" t="inlineStr">
        <x:is>
          <x:t xml:space="preserve">yes</x:t>
        </x:is>
      </x:c>
      <x:c r="G118" s="93" t="inlineStr">
        <x:is>
          <x:t xml:space="preserve">pass</x:t>
        </x:is>
      </x:c>
      <x:c r="H118" s="93" t="inlineStr">
        <x:is>
          <x:t xml:space="preserve">covered</x:t>
        </x:is>
      </x:c>
      <x:c r="I118" s="94" t="inlineStr">
        <x:is>
          <x:t xml:space="preserve">Menu playground manual verification.</x:t>
        </x:is>
      </x:c>
      <x:c r="J118" s="94" t="n"/>
      <x:c r="K118" s="95" t="n">
        <x:f>IF(AND(E118="yes",F118="yes",H118="covered"),1,IF(H118="partial",0.5,0))</x:f>
        <x:v>1</x:v>
      </x:c>
    </x:row>
    <x:row r="119" s="51" customFormat="1" ht="30" customHeight="1">
      <x:c r="A119" s="73" t="n">
        <x:v>111</x:v>
      </x:c>
      <x:c r="B119" s="84" t="inlineStr">
        <x:is>
          <x:t xml:space="preserve">Keyboard</x:t>
        </x:is>
      </x:c>
      <x:c r="C119" s="84" t="inlineStr">
        <x:is>
          <x:t xml:space="preserve">Navigation</x:t>
        </x:is>
      </x:c>
      <x:c r="D119" s="84" t="inlineStr">
        <x:is>
          <x:t xml:space="preserve">ArrowDown moves real focus to the next item, including disabled items</x:t>
        </x:is>
      </x:c>
      <x:c r="E119" s="76" t="inlineStr">
        <x:is>
          <x:t xml:space="preserve">yes</x:t>
        </x:is>
      </x:c>
      <x:c r="F119" s="85" t="inlineStr">
        <x:is>
          <x:t xml:space="preserve">no</x:t>
        </x:is>
      </x:c>
      <x:c r="G119" s="73" t="inlineStr">
        <x:is>
          <x:t xml:space="preserve">automated tests pass; manual pending</x:t>
        </x:is>
      </x:c>
      <x:c r="H119" s="86" t="inlineStr">
        <x:is>
          <x:t xml:space="preserve">untested</x:t>
        </x:is>
      </x:c>
      <x:c r="I119" s="84" t="inlineStr">
        <x:is>
          <x:t xml:space="preserve">playground/.manual-tests/menu.md (draft)</x:t>
        </x:is>
      </x:c>
      <x:c r="J119" s="84" t="inlineStr">
        <x:is>
          <x:t xml:space="preserve">Run the updated component Manual Test Protocol and named browser/device matrix.</x:t>
        </x:is>
      </x:c>
      <x:c r="K119" s="87" t="n">
        <x:f>IF(AND(E119="yes",F119="yes",H119="covered"),1,IF(H119="partial",0.5,0))</x:f>
        <x:v>0</x:v>
      </x:c>
    </x:row>
    <x:row r="120" s="51" customFormat="1" ht="30" customHeight="1">
      <x:c r="A120" s="73" t="n">
        <x:v>112</x:v>
      </x:c>
      <x:c r="B120" s="84" t="inlineStr">
        <x:is>
          <x:t xml:space="preserve">Keyboard</x:t>
        </x:is>
      </x:c>
      <x:c r="C120" s="84" t="inlineStr">
        <x:is>
          <x:t xml:space="preserve">Navigation</x:t>
        </x:is>
      </x:c>
      <x:c r="D120" s="84" t="inlineStr">
        <x:is>
          <x:t xml:space="preserve">ArrowUp moves real focus to the previous item, including disabled items</x:t>
        </x:is>
      </x:c>
      <x:c r="E120" s="76" t="inlineStr">
        <x:is>
          <x:t xml:space="preserve">yes</x:t>
        </x:is>
      </x:c>
      <x:c r="F120" s="85" t="inlineStr">
        <x:is>
          <x:t xml:space="preserve">no</x:t>
        </x:is>
      </x:c>
      <x:c r="G120" s="73" t="inlineStr">
        <x:is>
          <x:t xml:space="preserve">automated tests pass; manual pending</x:t>
        </x:is>
      </x:c>
      <x:c r="H120" s="86" t="inlineStr">
        <x:is>
          <x:t xml:space="preserve">untested</x:t>
        </x:is>
      </x:c>
      <x:c r="I120" s="84" t="inlineStr">
        <x:is>
          <x:t xml:space="preserve">playground/.manual-tests/menu.md (draft)</x:t>
        </x:is>
      </x:c>
      <x:c r="J120" s="84" t="inlineStr">
        <x:is>
          <x:t xml:space="preserve">Run the updated component Manual Test Protocol and named browser/device matrix.</x:t>
        </x:is>
      </x:c>
      <x:c r="K120" s="87" t="n">
        <x:f>IF(AND(E120="yes",F120="yes",H120="covered"),1,IF(H120="partial",0.5,0))</x:f>
        <x:v>0</x:v>
      </x:c>
    </x:row>
    <x:row r="121" s="51" customFormat="1" ht="30" customHeight="1">
      <x:c r="A121" s="73" t="n">
        <x:v>113</x:v>
      </x:c>
      <x:c r="B121" s="84" t="inlineStr">
        <x:is>
          <x:t xml:space="preserve">Keyboard</x:t>
        </x:is>
      </x:c>
      <x:c r="C121" s="84" t="inlineStr">
        <x:is>
          <x:t xml:space="preserve">Navigation</x:t>
        </x:is>
      </x:c>
      <x:c r="D121" s="84" t="inlineStr">
        <x:is>
          <x:t xml:space="preserve">Home moves real focus to the first item</x:t>
        </x:is>
      </x:c>
      <x:c r="E121" s="76" t="inlineStr">
        <x:is>
          <x:t xml:space="preserve">yes</x:t>
        </x:is>
      </x:c>
      <x:c r="F121" s="85" t="inlineStr">
        <x:is>
          <x:t xml:space="preserve">no</x:t>
        </x:is>
      </x:c>
      <x:c r="G121" s="73" t="inlineStr">
        <x:is>
          <x:t xml:space="preserve">automated tests pass; manual pending</x:t>
        </x:is>
      </x:c>
      <x:c r="H121" s="86" t="inlineStr">
        <x:is>
          <x:t xml:space="preserve">untested</x:t>
        </x:is>
      </x:c>
      <x:c r="I121" s="84" t="inlineStr">
        <x:is>
          <x:t xml:space="preserve">playground/.manual-tests/menu.md (draft)</x:t>
        </x:is>
      </x:c>
      <x:c r="J121" s="84" t="inlineStr">
        <x:is>
          <x:t xml:space="preserve">Run the updated component Manual Test Protocol and named browser/device matrix.</x:t>
        </x:is>
      </x:c>
      <x:c r="K121" s="87" t="n">
        <x:f>IF(AND(E121="yes",F121="yes",H121="covered"),1,IF(H121="partial",0.5,0))</x:f>
        <x:v>0</x:v>
      </x:c>
    </x:row>
    <x:row r="122" s="51" customFormat="1" ht="30" customHeight="1">
      <x:c r="A122" s="73" t="n">
        <x:v>114</x:v>
      </x:c>
      <x:c r="B122" s="84" t="inlineStr">
        <x:is>
          <x:t xml:space="preserve">Keyboard</x:t>
        </x:is>
      </x:c>
      <x:c r="C122" s="84" t="inlineStr">
        <x:is>
          <x:t xml:space="preserve">Navigation</x:t>
        </x:is>
      </x:c>
      <x:c r="D122" s="84" t="inlineStr">
        <x:is>
          <x:t xml:space="preserve">End moves real focus to the last item</x:t>
        </x:is>
      </x:c>
      <x:c r="E122" s="76" t="inlineStr">
        <x:is>
          <x:t xml:space="preserve">yes</x:t>
        </x:is>
      </x:c>
      <x:c r="F122" s="85" t="inlineStr">
        <x:is>
          <x:t xml:space="preserve">no</x:t>
        </x:is>
      </x:c>
      <x:c r="G122" s="73" t="inlineStr">
        <x:is>
          <x:t xml:space="preserve">automated tests pass; manual pending</x:t>
        </x:is>
      </x:c>
      <x:c r="H122" s="86" t="inlineStr">
        <x:is>
          <x:t xml:space="preserve">untested</x:t>
        </x:is>
      </x:c>
      <x:c r="I122" s="84" t="inlineStr">
        <x:is>
          <x:t xml:space="preserve">playground/.manual-tests/menu.md (draft)</x:t>
        </x:is>
      </x:c>
      <x:c r="J122" s="84" t="inlineStr">
        <x:is>
          <x:t xml:space="preserve">Run the updated component Manual Test Protocol and named browser/device matrix.</x:t>
        </x:is>
      </x:c>
      <x:c r="K122" s="87" t="n">
        <x:f>IF(AND(E122="yes",F122="yes",H122="covered"),1,IF(H122="partial",0.5,0))</x:f>
        <x:v>0</x:v>
      </x:c>
    </x:row>
    <x:row r="123" s="51" customFormat="1" ht="30" customHeight="1">
      <x:c r="A123" s="93" t="n">
        <x:v>115</x:v>
      </x:c>
      <x:c r="B123" s="94" t="inlineStr">
        <x:is>
          <x:t xml:space="preserve">Keyboard</x:t>
        </x:is>
      </x:c>
      <x:c r="C123" s="94" t="inlineStr">
        <x:is>
          <x:t xml:space="preserve">Navigation</x:t>
        </x:is>
      </x:c>
      <x:c r="D123" s="94" t="inlineStr">
        <x:is>
          <x:t xml:space="preserve">loop forward wraps to first</x:t>
        </x:is>
      </x:c>
      <x:c r="E123" s="93" t="inlineStr">
        <x:is>
          <x:t xml:space="preserve">yes</x:t>
        </x:is>
      </x:c>
      <x:c r="F123" s="93" t="inlineStr">
        <x:is>
          <x:t xml:space="preserve">yes</x:t>
        </x:is>
      </x:c>
      <x:c r="G123" s="93" t="inlineStr">
        <x:is>
          <x:t xml:space="preserve">pass</x:t>
        </x:is>
      </x:c>
      <x:c r="H123" s="93" t="inlineStr">
        <x:is>
          <x:t xml:space="preserve">covered</x:t>
        </x:is>
      </x:c>
      <x:c r="I123" s="94" t="inlineStr">
        <x:is>
          <x:t xml:space="preserve">Menu playground manual verification.</x:t>
        </x:is>
      </x:c>
      <x:c r="J123" s="94" t="n"/>
      <x:c r="K123" s="95" t="n">
        <x:f>IF(AND(E123="yes",F123="yes",H123="covered"),1,IF(H123="partial",0.5,0))</x:f>
        <x:v>1</x:v>
      </x:c>
    </x:row>
    <x:row r="124" s="51" customFormat="1" ht="30" customHeight="1">
      <x:c r="A124" s="93" t="n">
        <x:v>116</x:v>
      </x:c>
      <x:c r="B124" s="94" t="inlineStr">
        <x:is>
          <x:t xml:space="preserve">Keyboard</x:t>
        </x:is>
      </x:c>
      <x:c r="C124" s="94" t="inlineStr">
        <x:is>
          <x:t xml:space="preserve">Navigation</x:t>
        </x:is>
      </x:c>
      <x:c r="D124" s="94" t="inlineStr">
        <x:is>
          <x:t xml:space="preserve">loop backward wraps to last</x:t>
        </x:is>
      </x:c>
      <x:c r="E124" s="93" t="inlineStr">
        <x:is>
          <x:t xml:space="preserve">yes</x:t>
        </x:is>
      </x:c>
      <x:c r="F124" s="93" t="inlineStr">
        <x:is>
          <x:t xml:space="preserve">yes</x:t>
        </x:is>
      </x:c>
      <x:c r="G124" s="93" t="inlineStr">
        <x:is>
          <x:t xml:space="preserve">pass</x:t>
        </x:is>
      </x:c>
      <x:c r="H124" s="93" t="inlineStr">
        <x:is>
          <x:t xml:space="preserve">covered</x:t>
        </x:is>
      </x:c>
      <x:c r="I124" s="94" t="inlineStr">
        <x:is>
          <x:t xml:space="preserve">Menu playground manual verification.</x:t>
        </x:is>
      </x:c>
      <x:c r="J124" s="94" t="n"/>
      <x:c r="K124" s="95" t="n">
        <x:f>IF(AND(E124="yes",F124="yes",H124="covered"),1,IF(H124="partial",0.5,0))</x:f>
        <x:v>1</x:v>
      </x:c>
    </x:row>
    <x:row r="125" s="51" customFormat="1" ht="30" customHeight="1">
      <x:c r="A125" s="73" t="n">
        <x:v>117</x:v>
      </x:c>
      <x:c r="B125" s="84" t="inlineStr">
        <x:is>
          <x:t xml:space="preserve">Keyboard</x:t>
        </x:is>
      </x:c>
      <x:c r="C125" s="84" t="inlineStr">
        <x:is>
          <x:t xml:space="preserve">Navigation</x:t>
        </x:is>
      </x:c>
      <x:c r="D125" s="84" t="inlineStr">
        <x:is>
          <x:t xml:space="preserve">disabled items participate in Arrow and typeahead focus movement but never activate</x:t>
        </x:is>
      </x:c>
      <x:c r="E125" s="76" t="inlineStr">
        <x:is>
          <x:t xml:space="preserve">yes</x:t>
        </x:is>
      </x:c>
      <x:c r="F125" s="85" t="inlineStr">
        <x:is>
          <x:t xml:space="preserve">no</x:t>
        </x:is>
      </x:c>
      <x:c r="G125" s="73" t="inlineStr">
        <x:is>
          <x:t xml:space="preserve">automated tests pass; manual pending</x:t>
        </x:is>
      </x:c>
      <x:c r="H125" s="86" t="inlineStr">
        <x:is>
          <x:t xml:space="preserve">untested</x:t>
        </x:is>
      </x:c>
      <x:c r="I125" s="84" t="inlineStr">
        <x:is>
          <x:t xml:space="preserve">playground/.manual-tests/menu.md (draft)</x:t>
        </x:is>
      </x:c>
      <x:c r="J125" s="84" t="inlineStr">
        <x:is>
          <x:t xml:space="preserve">Run the updated component Manual Test Protocol and named browser/device matrix.</x:t>
        </x:is>
      </x:c>
      <x:c r="K125" s="87" t="n">
        <x:f>IF(AND(E125="yes",F125="yes",H125="covered"),1,IF(H125="partial",0.5,0))</x:f>
        <x:v>0</x:v>
      </x:c>
    </x:row>
    <x:row r="126" s="51" customFormat="1" ht="30" customHeight="1">
      <x:c r="A126" s="93" t="n">
        <x:v>118</x:v>
      </x:c>
      <x:c r="B126" s="94" t="inlineStr">
        <x:is>
          <x:t xml:space="preserve">Keyboard</x:t>
        </x:is>
      </x:c>
      <x:c r="C126" s="94" t="inlineStr">
        <x:is>
          <x:t xml:space="preserve">Navigation</x:t>
        </x:is>
      </x:c>
      <x:c r="D126" s="94" t="inlineStr">
        <x:is>
          <x:t xml:space="preserve">separator is skipped by Arrow keys</x:t>
        </x:is>
      </x:c>
      <x:c r="E126" s="93" t="inlineStr">
        <x:is>
          <x:t xml:space="preserve">yes</x:t>
        </x:is>
      </x:c>
      <x:c r="F126" s="93" t="inlineStr">
        <x:is>
          <x:t xml:space="preserve">yes</x:t>
        </x:is>
      </x:c>
      <x:c r="G126" s="93" t="inlineStr">
        <x:is>
          <x:t xml:space="preserve">pass</x:t>
        </x:is>
      </x:c>
      <x:c r="H126" s="93" t="inlineStr">
        <x:is>
          <x:t xml:space="preserve">covered</x:t>
        </x:is>
      </x:c>
      <x:c r="I126" s="94" t="inlineStr">
        <x:is>
          <x:t xml:space="preserve">Menu playground manual verification.</x:t>
        </x:is>
      </x:c>
      <x:c r="J126" s="94" t="n"/>
      <x:c r="K126" s="95" t="n">
        <x:f>IF(AND(E126="yes",F126="yes",H126="covered"),1,IF(H126="partial",0.5,0))</x:f>
        <x:v>1</x:v>
      </x:c>
    </x:row>
    <x:row r="127" s="51" customFormat="1" ht="30" customHeight="1">
      <x:c r="A127" s="93" t="n">
        <x:v>119</x:v>
      </x:c>
      <x:c r="B127" s="94" t="inlineStr">
        <x:is>
          <x:t xml:space="preserve">Keyboard</x:t>
        </x:is>
      </x:c>
      <x:c r="C127" s="94" t="inlineStr">
        <x:is>
          <x:t xml:space="preserve">Navigation</x:t>
        </x:is>
      </x:c>
      <x:c r="D127" s="94" t="inlineStr">
        <x:is>
          <x:t xml:space="preserve">Enter activates highlighted item</x:t>
        </x:is>
      </x:c>
      <x:c r="E127" s="93" t="inlineStr">
        <x:is>
          <x:t xml:space="preserve">yes</x:t>
        </x:is>
      </x:c>
      <x:c r="F127" s="93" t="inlineStr">
        <x:is>
          <x:t xml:space="preserve">yes</x:t>
        </x:is>
      </x:c>
      <x:c r="G127" s="93" t="inlineStr">
        <x:is>
          <x:t xml:space="preserve">pass</x:t>
        </x:is>
      </x:c>
      <x:c r="H127" s="93" t="inlineStr">
        <x:is>
          <x:t xml:space="preserve">covered</x:t>
        </x:is>
      </x:c>
      <x:c r="I127" s="94" t="inlineStr">
        <x:is>
          <x:t xml:space="preserve">Menu playground manual verification.</x:t>
        </x:is>
      </x:c>
      <x:c r="J127" s="94" t="n"/>
      <x:c r="K127" s="95" t="n">
        <x:f>IF(AND(E127="yes",F127="yes",H127="covered"),1,IF(H127="partial",0.5,0))</x:f>
        <x:v>1</x:v>
      </x:c>
    </x:row>
    <x:row r="128" s="51" customFormat="1" ht="30" customHeight="1">
      <x:c r="A128" s="93" t="n">
        <x:v>120</x:v>
      </x:c>
      <x:c r="B128" s="94" t="inlineStr">
        <x:is>
          <x:t xml:space="preserve">Keyboard</x:t>
        </x:is>
      </x:c>
      <x:c r="C128" s="94" t="inlineStr">
        <x:is>
          <x:t xml:space="preserve">Navigation</x:t>
        </x:is>
      </x:c>
      <x:c r="D128" s="94" t="inlineStr">
        <x:is>
          <x:t xml:space="preserve">Space activates highlighted item</x:t>
        </x:is>
      </x:c>
      <x:c r="E128" s="93" t="inlineStr">
        <x:is>
          <x:t xml:space="preserve">yes</x:t>
        </x:is>
      </x:c>
      <x:c r="F128" s="93" t="inlineStr">
        <x:is>
          <x:t xml:space="preserve">yes</x:t>
        </x:is>
      </x:c>
      <x:c r="G128" s="93" t="inlineStr">
        <x:is>
          <x:t xml:space="preserve">pass</x:t>
        </x:is>
      </x:c>
      <x:c r="H128" s="93" t="inlineStr">
        <x:is>
          <x:t xml:space="preserve">covered</x:t>
        </x:is>
      </x:c>
      <x:c r="I128" s="94" t="inlineStr">
        <x:is>
          <x:t xml:space="preserve">Menu playground manual verification.</x:t>
        </x:is>
      </x:c>
      <x:c r="J128" s="94" t="n"/>
      <x:c r="K128" s="95" t="n">
        <x:f>IF(AND(E128="yes",F128="yes",H128="covered"),1,IF(H128="partial",0.5,0))</x:f>
        <x:v>1</x:v>
      </x:c>
    </x:row>
    <x:row r="129" s="51" customFormat="1" ht="30" customHeight="1">
      <x:c r="A129" s="93" t="n">
        <x:v>121</x:v>
      </x:c>
      <x:c r="B129" s="94" t="inlineStr">
        <x:is>
          <x:t xml:space="preserve">Keyboard</x:t>
        </x:is>
      </x:c>
      <x:c r="C129" s="94" t="inlineStr">
        <x:is>
          <x:t xml:space="preserve">Navigation</x:t>
        </x:is>
      </x:c>
      <x:c r="D129" s="94" t="inlineStr">
        <x:is>
          <x:t xml:space="preserve">typeahead highlights matching item</x:t>
        </x:is>
      </x:c>
      <x:c r="E129" s="93" t="inlineStr">
        <x:is>
          <x:t xml:space="preserve">yes</x:t>
        </x:is>
      </x:c>
      <x:c r="F129" s="93" t="inlineStr">
        <x:is>
          <x:t xml:space="preserve">yes</x:t>
        </x:is>
      </x:c>
      <x:c r="G129" s="93" t="inlineStr">
        <x:is>
          <x:t xml:space="preserve">pass</x:t>
        </x:is>
      </x:c>
      <x:c r="H129" s="93" t="inlineStr">
        <x:is>
          <x:t xml:space="preserve">covered</x:t>
        </x:is>
      </x:c>
      <x:c r="I129" s="94" t="inlineStr">
        <x:is>
          <x:t xml:space="preserve">Menu playground manual verification.</x:t>
        </x:is>
      </x:c>
      <x:c r="J129" s="94" t="n"/>
      <x:c r="K129" s="95" t="n">
        <x:f>IF(AND(E129="yes",F129="yes",H129="covered"),1,IF(H129="partial",0.5,0))</x:f>
        <x:v>1</x:v>
      </x:c>
    </x:row>
    <x:row r="130" s="51" customFormat="1" ht="30" customHeight="1">
      <x:c r="A130" s="93" t="n">
        <x:v>122</x:v>
      </x:c>
      <x:c r="B130" s="94" t="inlineStr">
        <x:is>
          <x:t xml:space="preserve">Keyboard</x:t>
        </x:is>
      </x:c>
      <x:c r="C130" s="94" t="inlineStr">
        <x:is>
          <x:t xml:space="preserve">Navigation</x:t>
        </x:is>
      </x:c>
      <x:c r="D130" s="94" t="inlineStr">
        <x:is>
          <x:t xml:space="preserve">typeahead uses explicit textValue</x:t>
        </x:is>
      </x:c>
      <x:c r="E130" s="93" t="inlineStr">
        <x:is>
          <x:t xml:space="preserve">yes</x:t>
        </x:is>
      </x:c>
      <x:c r="F130" s="93" t="inlineStr">
        <x:is>
          <x:t xml:space="preserve">yes</x:t>
        </x:is>
      </x:c>
      <x:c r="G130" s="93" t="inlineStr">
        <x:is>
          <x:t xml:space="preserve">pass</x:t>
        </x:is>
      </x:c>
      <x:c r="H130" s="93" t="inlineStr">
        <x:is>
          <x:t xml:space="preserve">covered</x:t>
        </x:is>
      </x:c>
      <x:c r="I130" s="94" t="inlineStr">
        <x:is>
          <x:t xml:space="preserve">Menu playground manual verification.</x:t>
        </x:is>
      </x:c>
      <x:c r="J130" s="94" t="n"/>
      <x:c r="K130" s="95" t="n">
        <x:f>IF(AND(E130="yes",F130="yes",H130="covered"),1,IF(H130="partial",0.5,0))</x:f>
        <x:v>1</x:v>
      </x:c>
    </x:row>
    <x:row r="131" s="51" customFormat="1" ht="30" customHeight="1">
      <x:c r="A131" s="93" t="n">
        <x:v>123</x:v>
      </x:c>
      <x:c r="B131" s="94" t="inlineStr">
        <x:is>
          <x:t xml:space="preserve">Keyboard</x:t>
        </x:is>
      </x:c>
      <x:c r="C131" s="94" t="inlineStr">
        <x:is>
          <x:t xml:space="preserve">Navigation</x:t>
        </x:is>
      </x:c>
      <x:c r="D131" s="94" t="inlineStr">
        <x:is>
          <x:t xml:space="preserve">typeahead buffer resets after delay</x:t>
        </x:is>
      </x:c>
      <x:c r="E131" s="93" t="inlineStr">
        <x:is>
          <x:t xml:space="preserve">yes</x:t>
        </x:is>
      </x:c>
      <x:c r="F131" s="93" t="inlineStr">
        <x:is>
          <x:t xml:space="preserve">yes</x:t>
        </x:is>
      </x:c>
      <x:c r="G131" s="93" t="inlineStr">
        <x:is>
          <x:t xml:space="preserve">pass</x:t>
        </x:is>
      </x:c>
      <x:c r="H131" s="93" t="inlineStr">
        <x:is>
          <x:t xml:space="preserve">covered</x:t>
        </x:is>
      </x:c>
      <x:c r="I131" s="94" t="inlineStr">
        <x:is>
          <x:t xml:space="preserve">Menu playground manual verification.</x:t>
        </x:is>
      </x:c>
      <x:c r="J131" s="94" t="n"/>
      <x:c r="K131" s="95" t="n">
        <x:f>IF(AND(E131="yes",F131="yes",H131="covered"),1,IF(H131="partial",0.5,0))</x:f>
        <x:v>1</x:v>
      </x:c>
    </x:row>
    <x:row r="132" s="51" customFormat="1" ht="30" customHeight="1">
      <x:c r="A132" s="93" t="n">
        <x:v>124</x:v>
      </x:c>
      <x:c r="B132" s="94" t="inlineStr">
        <x:is>
          <x:t xml:space="preserve">Keyboard</x:t>
        </x:is>
      </x:c>
      <x:c r="C132" s="94" t="inlineStr">
        <x:is>
          <x:t xml:space="preserve">Navigation</x:t>
        </x:is>
      </x:c>
      <x:c r="D132" s="94" t="inlineStr">
        <x:is>
          <x:t xml:space="preserve">submenu has independent highlight state</x:t>
        </x:is>
      </x:c>
      <x:c r="E132" s="93" t="inlineStr">
        <x:is>
          <x:t xml:space="preserve">yes</x:t>
        </x:is>
      </x:c>
      <x:c r="F132" s="93" t="inlineStr">
        <x:is>
          <x:t xml:space="preserve">yes</x:t>
        </x:is>
      </x:c>
      <x:c r="G132" s="93" t="inlineStr">
        <x:is>
          <x:t xml:space="preserve">pass</x:t>
        </x:is>
      </x:c>
      <x:c r="H132" s="93" t="inlineStr">
        <x:is>
          <x:t xml:space="preserve">covered</x:t>
        </x:is>
      </x:c>
      <x:c r="I132" s="94" t="inlineStr">
        <x:is>
          <x:t xml:space="preserve">Menu playground manual verification.</x:t>
        </x:is>
      </x:c>
      <x:c r="J132" s="94" t="n"/>
      <x:c r="K132" s="95" t="n">
        <x:f>IF(AND(E132="yes",F132="yes",H132="covered"),1,IF(H132="partial",0.5,0))</x:f>
        <x:v>1</x:v>
      </x:c>
    </x:row>
    <x:row r="133" s="51" customFormat="1" ht="30" customHeight="1">
      <x:c r="A133" s="93" t="n">
        <x:v>125</x:v>
      </x:c>
      <x:c r="B133" s="94" t="inlineStr">
        <x:is>
          <x:t xml:space="preserve">Keyboard</x:t>
        </x:is>
      </x:c>
      <x:c r="C133" s="94" t="inlineStr">
        <x:is>
          <x:t xml:space="preserve">Navigation</x:t>
        </x:is>
      </x:c>
      <x:c r="D133" s="94" t="inlineStr">
        <x:is>
          <x:t xml:space="preserve">ArrowLeft closes submenu</x:t>
        </x:is>
      </x:c>
      <x:c r="E133" s="93" t="inlineStr">
        <x:is>
          <x:t xml:space="preserve">yes</x:t>
        </x:is>
      </x:c>
      <x:c r="F133" s="93" t="inlineStr">
        <x:is>
          <x:t xml:space="preserve">yes</x:t>
        </x:is>
      </x:c>
      <x:c r="G133" s="93" t="inlineStr">
        <x:is>
          <x:t xml:space="preserve">pass</x:t>
        </x:is>
      </x:c>
      <x:c r="H133" s="93" t="inlineStr">
        <x:is>
          <x:t xml:space="preserve">covered</x:t>
        </x:is>
      </x:c>
      <x:c r="I133" s="94" t="inlineStr">
        <x:is>
          <x:t xml:space="preserve">Menu playground manual verification.</x:t>
        </x:is>
      </x:c>
      <x:c r="J133" s="94" t="n"/>
      <x:c r="K133" s="95" t="n">
        <x:f>IF(AND(E133="yes",F133="yes",H133="covered"),1,IF(H133="partial",0.5,0))</x:f>
        <x:v>1</x:v>
      </x:c>
    </x:row>
    <x:row r="134" s="51" customFormat="1" ht="30" customHeight="1">
      <x:c r="A134" s="93" t="n">
        <x:v>126</x:v>
      </x:c>
      <x:c r="B134" s="94" t="inlineStr">
        <x:is>
          <x:t xml:space="preserve">Keyboard</x:t>
        </x:is>
      </x:c>
      <x:c r="C134" s="94" t="inlineStr">
        <x:is>
          <x:t xml:space="preserve">Navigation</x:t>
        </x:is>
      </x:c>
      <x:c r="D134" s="94" t="inlineStr">
        <x:is>
          <x:t xml:space="preserve">ArrowRight opens nested submenu from submenu</x:t>
        </x:is>
      </x:c>
      <x:c r="E134" s="93" t="inlineStr">
        <x:is>
          <x:t xml:space="preserve">yes</x:t>
        </x:is>
      </x:c>
      <x:c r="F134" s="93" t="inlineStr">
        <x:is>
          <x:t xml:space="preserve">yes</x:t>
        </x:is>
      </x:c>
      <x:c r="G134" s="93" t="inlineStr">
        <x:is>
          <x:t xml:space="preserve">pass</x:t>
        </x:is>
      </x:c>
      <x:c r="H134" s="93" t="inlineStr">
        <x:is>
          <x:t xml:space="preserve">covered</x:t>
        </x:is>
      </x:c>
      <x:c r="I134" s="94" t="inlineStr">
        <x:is>
          <x:t xml:space="preserve">Menu playground manual verification.</x:t>
        </x:is>
      </x:c>
      <x:c r="J134" s="94" t="n"/>
      <x:c r="K134" s="95" t="n">
        <x:f>IF(AND(E134="yes",F134="yes",H134="covered"),1,IF(H134="partial",0.5,0))</x:f>
        <x:v>1</x:v>
      </x:c>
    </x:row>
    <x:row r="135" s="51" customFormat="1" ht="30" customHeight="1">
      <x:c r="A135" s="73" t="n">
        <x:v>127</x:v>
      </x:c>
      <x:c r="B135" s="84" t="inlineStr">
        <x:is>
          <x:t xml:space="preserve">Pointer</x:t>
        </x:is>
      </x:c>
      <x:c r="C135" s="84" t="inlineStr">
        <x:is>
          <x:t xml:space="preserve">Highlight</x:t>
        </x:is>
      </x:c>
      <x:c r="D135" s="84" t="inlineStr">
        <x:is>
          <x:t xml:space="preserve">mouse pointer enter moves real focus and highlight to the item</x:t>
        </x:is>
      </x:c>
      <x:c r="E135" s="76" t="inlineStr">
        <x:is>
          <x:t xml:space="preserve">yes</x:t>
        </x:is>
      </x:c>
      <x:c r="F135" s="85" t="inlineStr">
        <x:is>
          <x:t xml:space="preserve">no</x:t>
        </x:is>
      </x:c>
      <x:c r="G135" s="73" t="inlineStr">
        <x:is>
          <x:t xml:space="preserve">automated tests pass; manual pending</x:t>
        </x:is>
      </x:c>
      <x:c r="H135" s="86" t="inlineStr">
        <x:is>
          <x:t xml:space="preserve">untested</x:t>
        </x:is>
      </x:c>
      <x:c r="I135" s="84" t="inlineStr">
        <x:is>
          <x:t xml:space="preserve">playground/.manual-tests/menu.md (draft)</x:t>
        </x:is>
      </x:c>
      <x:c r="J135" s="84" t="inlineStr">
        <x:is>
          <x:t xml:space="preserve">Run the updated component Manual Test Protocol and named browser/device matrix.</x:t>
        </x:is>
      </x:c>
      <x:c r="K135" s="87" t="n">
        <x:f>IF(AND(E135="yes",F135="yes",H135="covered"),1,IF(H135="partial",0.5,0))</x:f>
        <x:v>0</x:v>
      </x:c>
    </x:row>
    <x:row r="136" s="51" customFormat="1" ht="30" customHeight="1">
      <x:c r="A136" s="73" t="n">
        <x:v>128</x:v>
      </x:c>
      <x:c r="B136" s="84" t="inlineStr">
        <x:is>
          <x:t xml:space="preserve">Pointer</x:t>
        </x:is>
      </x:c>
      <x:c r="C136" s="84" t="inlineStr">
        <x:is>
          <x:t xml:space="preserve">Highlight</x:t>
        </x:is>
      </x:c>
      <x:c r="D136" s="84" t="inlineStr">
        <x:is>
          <x:t xml:space="preserve">pointer leave preserves the current real item focus</x:t>
        </x:is>
      </x:c>
      <x:c r="E136" s="76" t="inlineStr">
        <x:is>
          <x:t xml:space="preserve">yes</x:t>
        </x:is>
      </x:c>
      <x:c r="F136" s="85" t="inlineStr">
        <x:is>
          <x:t xml:space="preserve">no</x:t>
        </x:is>
      </x:c>
      <x:c r="G136" s="73" t="inlineStr">
        <x:is>
          <x:t xml:space="preserve">automated tests pass; manual pending</x:t>
        </x:is>
      </x:c>
      <x:c r="H136" s="86" t="inlineStr">
        <x:is>
          <x:t xml:space="preserve">untested</x:t>
        </x:is>
      </x:c>
      <x:c r="I136" s="84" t="inlineStr">
        <x:is>
          <x:t xml:space="preserve">playground/.manual-tests/menu.md (draft)</x:t>
        </x:is>
      </x:c>
      <x:c r="J136" s="84" t="inlineStr">
        <x:is>
          <x:t xml:space="preserve">Run the updated component Manual Test Protocol and named browser/device matrix.</x:t>
        </x:is>
      </x:c>
      <x:c r="K136" s="87" t="n">
        <x:f>IF(AND(E136="yes",F136="yes",H136="covered"),1,IF(H136="partial",0.5,0))</x:f>
        <x:v>0</x:v>
      </x:c>
    </x:row>
    <x:row r="137" s="51" customFormat="1" ht="30" customHeight="1">
      <x:c r="A137" s="93" t="n">
        <x:v>129</x:v>
      </x:c>
      <x:c r="B137" s="94" t="inlineStr">
        <x:is>
          <x:t xml:space="preserve">Pointer</x:t>
        </x:is>
      </x:c>
      <x:c r="C137" s="94" t="inlineStr">
        <x:is>
          <x:t xml:space="preserve">Highlight</x:t>
        </x:is>
      </x:c>
      <x:c r="D137" s="94" t="inlineStr">
        <x:is>
          <x:t xml:space="preserve">hovering group labels or gaps does not reset initial highlight</x:t>
        </x:is>
      </x:c>
      <x:c r="E137" s="93" t="inlineStr">
        <x:is>
          <x:t xml:space="preserve">yes</x:t>
        </x:is>
      </x:c>
      <x:c r="F137" s="93" t="inlineStr">
        <x:is>
          <x:t xml:space="preserve">yes</x:t>
        </x:is>
      </x:c>
      <x:c r="G137" s="93" t="inlineStr">
        <x:is>
          <x:t xml:space="preserve">pass</x:t>
        </x:is>
      </x:c>
      <x:c r="H137" s="93" t="inlineStr">
        <x:is>
          <x:t xml:space="preserve">covered</x:t>
        </x:is>
      </x:c>
      <x:c r="I137" s="94" t="inlineStr">
        <x:is>
          <x:t xml:space="preserve">Menu playground manual verification.</x:t>
        </x:is>
      </x:c>
      <x:c r="J137" s="94" t="n"/>
      <x:c r="K137" s="95" t="n">
        <x:f>IF(AND(E137="yes",F137="yes",H137="covered"),1,IF(H137="partial",0.5,0))</x:f>
        <x:v>1</x:v>
      </x:c>
    </x:row>
    <x:row r="138" s="51" customFormat="1" ht="30" customHeight="1">
      <x:c r="A138" s="93" t="n">
        <x:v>130</x:v>
      </x:c>
      <x:c r="B138" s="94" t="inlineStr">
        <x:is>
          <x:t xml:space="preserve">Pointer</x:t>
        </x:is>
      </x:c>
      <x:c r="C138" s="94" t="inlineStr">
        <x:is>
          <x:t xml:space="preserve">Highlight</x:t>
        </x:is>
      </x:c>
      <x:c r="D138" s="94" t="inlineStr">
        <x:is>
          <x:t xml:space="preserve">hovering item closes previously open submenu</x:t>
        </x:is>
      </x:c>
      <x:c r="E138" s="93" t="inlineStr">
        <x:is>
          <x:t xml:space="preserve">yes</x:t>
        </x:is>
      </x:c>
      <x:c r="F138" s="93" t="inlineStr">
        <x:is>
          <x:t xml:space="preserve">yes</x:t>
        </x:is>
      </x:c>
      <x:c r="G138" s="93" t="inlineStr">
        <x:is>
          <x:t xml:space="preserve">pass</x:t>
        </x:is>
      </x:c>
      <x:c r="H138" s="93" t="inlineStr">
        <x:is>
          <x:t xml:space="preserve">covered</x:t>
        </x:is>
      </x:c>
      <x:c r="I138" s="94" t="inlineStr">
        <x:is>
          <x:t xml:space="preserve">Menu playground manual verification.</x:t>
        </x:is>
      </x:c>
      <x:c r="J138" s="94" t="n"/>
      <x:c r="K138" s="95" t="n">
        <x:f>IF(AND(E138="yes",F138="yes",H138="covered"),1,IF(H138="partial",0.5,0))</x:f>
        <x:v>1</x:v>
      </x:c>
    </x:row>
    <x:row r="139" s="51" customFormat="1" ht="30" customHeight="1">
      <x:c r="A139" s="73" t="n">
        <x:v>131</x:v>
      </x:c>
      <x:c r="B139" s="84" t="inlineStr">
        <x:is>
          <x:t xml:space="preserve">Pointer</x:t>
        </x:is>
      </x:c>
      <x:c r="C139" s="84" t="inlineStr">
        <x:is>
          <x:t xml:space="preserve">Highlight</x:t>
        </x:is>
      </x:c>
      <x:c r="D139" s="84" t="inlineStr">
        <x:is>
          <x:t xml:space="preserve">mouse hover may focus and highlight a disabled item without activating it</x:t>
        </x:is>
      </x:c>
      <x:c r="E139" s="76" t="inlineStr">
        <x:is>
          <x:t xml:space="preserve">yes</x:t>
        </x:is>
      </x:c>
      <x:c r="F139" s="85" t="inlineStr">
        <x:is>
          <x:t xml:space="preserve">no</x:t>
        </x:is>
      </x:c>
      <x:c r="G139" s="73" t="inlineStr">
        <x:is>
          <x:t xml:space="preserve">automated tests pass; manual pending</x:t>
        </x:is>
      </x:c>
      <x:c r="H139" s="86" t="inlineStr">
        <x:is>
          <x:t xml:space="preserve">untested</x:t>
        </x:is>
      </x:c>
      <x:c r="I139" s="84" t="inlineStr">
        <x:is>
          <x:t xml:space="preserve">playground/.manual-tests/menu.md (draft)</x:t>
        </x:is>
      </x:c>
      <x:c r="J139" s="84" t="inlineStr">
        <x:is>
          <x:t xml:space="preserve">Run the updated component Manual Test Protocol and named browser/device matrix.</x:t>
        </x:is>
      </x:c>
      <x:c r="K139" s="87" t="n">
        <x:f>IF(AND(E139="yes",F139="yes",H139="covered"),1,IF(H139="partial",0.5,0))</x:f>
        <x:v>0</x:v>
      </x:c>
    </x:row>
    <x:row r="140" s="51" customFormat="1" ht="30" customHeight="1">
      <x:c r="A140" s="93" t="n">
        <x:v>132</x:v>
      </x:c>
      <x:c r="B140" s="94" t="inlineStr">
        <x:is>
          <x:t xml:space="preserve">Accessibility</x:t>
        </x:is>
      </x:c>
      <x:c r="C140" s="94" t="inlineStr">
        <x:is>
          <x:t xml:space="preserve">Relationships</x:t>
        </x:is>
      </x:c>
      <x:c r="D140" s="94" t="inlineStr">
        <x:is>
          <x:t xml:space="preserve">content has accessible name</x:t>
        </x:is>
      </x:c>
      <x:c r="E140" s="93" t="inlineStr">
        <x:is>
          <x:t xml:space="preserve">yes</x:t>
        </x:is>
      </x:c>
      <x:c r="F140" s="93" t="inlineStr">
        <x:is>
          <x:t xml:space="preserve">yes</x:t>
        </x:is>
      </x:c>
      <x:c r="G140" s="93" t="inlineStr">
        <x:is>
          <x:t xml:space="preserve">pass</x:t>
        </x:is>
      </x:c>
      <x:c r="H140" s="93" t="inlineStr">
        <x:is>
          <x:t xml:space="preserve">covered</x:t>
        </x:is>
      </x:c>
      <x:c r="I140" s="94" t="inlineStr">
        <x:is>
          <x:t xml:space="preserve">Menu playground manual verification.</x:t>
        </x:is>
      </x:c>
      <x:c r="J140" s="94" t="n"/>
      <x:c r="K140" s="95" t="n">
        <x:f>IF(AND(E140="yes",F140="yes",H140="covered"),1,IF(H140="partial",0.5,0))</x:f>
        <x:v>1</x:v>
      </x:c>
    </x:row>
    <x:row r="141" s="51" customFormat="1" ht="30" customHeight="1">
      <x:c r="A141" s="93" t="n">
        <x:v>133</x:v>
      </x:c>
      <x:c r="B141" s="94" t="inlineStr">
        <x:is>
          <x:t xml:space="preserve">Accessibility</x:t>
        </x:is>
      </x:c>
      <x:c r="C141" s="94" t="inlineStr">
        <x:is>
          <x:t xml:space="preserve">Relationships</x:t>
        </x:is>
      </x:c>
      <x:c r="D141" s="94" t="inlineStr">
        <x:is>
          <x:t xml:space="preserve">content references trigger when unnamed</x:t>
        </x:is>
      </x:c>
      <x:c r="E141" s="93" t="inlineStr">
        <x:is>
          <x:t xml:space="preserve">yes</x:t>
        </x:is>
      </x:c>
      <x:c r="F141" s="93" t="inlineStr">
        <x:is>
          <x:t xml:space="preserve">yes</x:t>
        </x:is>
      </x:c>
      <x:c r="G141" s="93" t="inlineStr">
        <x:is>
          <x:t xml:space="preserve">pass</x:t>
        </x:is>
      </x:c>
      <x:c r="H141" s="93" t="inlineStr">
        <x:is>
          <x:t xml:space="preserve">covered</x:t>
        </x:is>
      </x:c>
      <x:c r="I141" s="94" t="inlineStr">
        <x:is>
          <x:t xml:space="preserve">Menu playground manual verification.</x:t>
        </x:is>
      </x:c>
      <x:c r="J141" s="94" t="n"/>
      <x:c r="K141" s="95" t="n">
        <x:f>IF(AND(E141="yes",F141="yes",H141="covered"),1,IF(H141="partial",0.5,0))</x:f>
        <x:v>1</x:v>
      </x:c>
    </x:row>
    <x:row r="142" s="51" customFormat="1" ht="30" customHeight="1">
      <x:c r="A142" s="93" t="n">
        <x:v>134</x:v>
      </x:c>
      <x:c r="B142" s="94" t="inlineStr">
        <x:is>
          <x:t xml:space="preserve">Accessibility</x:t>
        </x:is>
      </x:c>
      <x:c r="C142" s="94" t="inlineStr">
        <x:is>
          <x:t xml:space="preserve">Relationships</x:t>
        </x:is>
      </x:c>
      <x:c r="D142" s="94" t="inlineStr">
        <x:is>
          <x:t xml:space="preserve">sub content references sub trigger when unnamed</x:t>
        </x:is>
      </x:c>
      <x:c r="E142" s="93" t="inlineStr">
        <x:is>
          <x:t xml:space="preserve">yes</x:t>
        </x:is>
      </x:c>
      <x:c r="F142" s="93" t="inlineStr">
        <x:is>
          <x:t xml:space="preserve">yes</x:t>
        </x:is>
      </x:c>
      <x:c r="G142" s="93" t="inlineStr">
        <x:is>
          <x:t xml:space="preserve">pass</x:t>
        </x:is>
      </x:c>
      <x:c r="H142" s="93" t="inlineStr">
        <x:is>
          <x:t xml:space="preserve">covered</x:t>
        </x:is>
      </x:c>
      <x:c r="I142" s="94" t="inlineStr">
        <x:is>
          <x:t xml:space="preserve">Menu playground manual verification.</x:t>
        </x:is>
      </x:c>
      <x:c r="J142" s="94" t="n"/>
      <x:c r="K142" s="95" t="n">
        <x:f>IF(AND(E142="yes",F142="yes",H142="covered"),1,IF(H142="partial",0.5,0))</x:f>
        <x:v>1</x:v>
      </x:c>
    </x:row>
    <x:row r="143" s="51" customFormat="1" ht="30" customHeight="1">
      <x:c r="A143" s="93" t="n">
        <x:v>135</x:v>
      </x:c>
      <x:c r="B143" s="94" t="inlineStr">
        <x:is>
          <x:t xml:space="preserve">Accessibility</x:t>
        </x:is>
      </x:c>
      <x:c r="C143" s="94" t="inlineStr">
        <x:is>
          <x:t xml:space="preserve">Relationships</x:t>
        </x:is>
      </x:c>
      <x:c r="D143" s="94" t="inlineStr">
        <x:is>
          <x:t xml:space="preserve">checked states are exposed through aria-checked</x:t>
        </x:is>
      </x:c>
      <x:c r="E143" s="93" t="inlineStr">
        <x:is>
          <x:t xml:space="preserve">yes</x:t>
        </x:is>
      </x:c>
      <x:c r="F143" s="93" t="inlineStr">
        <x:is>
          <x:t xml:space="preserve">yes</x:t>
        </x:is>
      </x:c>
      <x:c r="G143" s="93" t="inlineStr">
        <x:is>
          <x:t xml:space="preserve">pass</x:t>
        </x:is>
      </x:c>
      <x:c r="H143" s="93" t="inlineStr">
        <x:is>
          <x:t xml:space="preserve">covered</x:t>
        </x:is>
      </x:c>
      <x:c r="I143" s="94" t="inlineStr">
        <x:is>
          <x:t xml:space="preserve">Menu playground manual verification.</x:t>
        </x:is>
      </x:c>
      <x:c r="J143" s="94" t="n"/>
      <x:c r="K143" s="95" t="n">
        <x:f>IF(AND(E143="yes",F143="yes",H143="covered"),1,IF(H143="partial",0.5,0))</x:f>
        <x:v>1</x:v>
      </x:c>
    </x:row>
    <x:row r="144" s="51" customFormat="1" ht="45" customHeight="1">
      <x:c r="A144" s="93" t="n">
        <x:v>136</x:v>
      </x:c>
      <x:c r="B144" s="94" t="inlineStr">
        <x:is>
          <x:t xml:space="preserve">Accessibility</x:t>
        </x:is>
      </x:c>
      <x:c r="C144" s="94" t="inlineStr">
        <x:is>
          <x:t xml:space="preserve">Relationships</x:t>
        </x:is>
      </x:c>
      <x:c r="D144" s="94" t="inlineStr">
        <x:is>
          <x:t xml:space="preserve">disabled states are exposed through aria-disabled</x:t>
        </x:is>
      </x:c>
      <x:c r="E144" s="93" t="inlineStr">
        <x:is>
          <x:t xml:space="preserve">yes</x:t>
        </x:is>
      </x:c>
      <x:c r="F144" s="93" t="inlineStr">
        <x:is>
          <x:t xml:space="preserve">yes</x:t>
        </x:is>
      </x:c>
      <x:c r="G144" s="93" t="inlineStr">
        <x:is>
          <x:t xml:space="preserve">pass</x:t>
        </x:is>
      </x:c>
      <x:c r="H144" s="93" t="inlineStr">
        <x:is>
          <x:t xml:space="preserve">covered</x:t>
        </x:is>
      </x:c>
      <x:c r="I144" s="94" t="inlineStr">
        <x:is>
          <x:t xml:space="preserve">Menu playground manual verification.</x:t>
        </x:is>
      </x:c>
      <x:c r="J144" s="94" t="n"/>
      <x:c r="K144" s="95" t="n">
        <x:f>IF(AND(E144="yes",F144="yes",H144="covered"),1,IF(H144="partial",0.5,0))</x:f>
        <x:v>1</x:v>
      </x:c>
    </x:row>
    <x:row r="145" s="51" customFormat="1" ht="30" customHeight="1">
      <x:c r="A145" s="73" t="n">
        <x:v>137</x:v>
      </x:c>
      <x:c r="B145" s="84" t="inlineStr">
        <x:is>
          <x:t xml:space="preserve">Accessibility</x:t>
        </x:is>
      </x:c>
      <x:c r="C145" s="84" t="inlineStr">
        <x:is>
          <x:t xml:space="preserve">Relationships</x:t>
        </x:is>
      </x:c>
      <x:c r="D145" s="84" t="inlineStr">
        <x:is>
          <x:t xml:space="preserve">modal menu traps focus, isolates and locks the background, and keeps owned nested portals interactive</x:t>
        </x:is>
      </x:c>
      <x:c r="E145" s="76" t="inlineStr">
        <x:is>
          <x:t xml:space="preserve">yes</x:t>
        </x:is>
      </x:c>
      <x:c r="F145" s="85" t="inlineStr">
        <x:is>
          <x:t xml:space="preserve">no</x:t>
        </x:is>
      </x:c>
      <x:c r="G145" s="73" t="inlineStr">
        <x:is>
          <x:t xml:space="preserve">automated tests pass; manual pending</x:t>
        </x:is>
      </x:c>
      <x:c r="H145" s="86" t="inlineStr">
        <x:is>
          <x:t xml:space="preserve">untested</x:t>
        </x:is>
      </x:c>
      <x:c r="I145" s="84" t="inlineStr">
        <x:is>
          <x:t xml:space="preserve">playground/.manual-tests/menu.md (draft)</x:t>
        </x:is>
      </x:c>
      <x:c r="J145" s="84" t="inlineStr">
        <x:is>
          <x:t xml:space="preserve">Run the updated component Manual Test Protocol and named browser/device matrix.</x:t>
        </x:is>
      </x:c>
      <x:c r="K145" s="87" t="n">
        <x:f>IF(AND(E145="yes",F145="yes",H145="covered"),1,IF(H145="partial",0.5,0))</x:f>
        <x:v>0</x:v>
      </x:c>
    </x:row>
    <x:row r="146" s="51" customFormat="1" ht="30" customHeight="1">
      <x:c r="A146" s="93" t="n">
        <x:v>138</x:v>
      </x:c>
      <x:c r="B146" s="94" t="inlineStr">
        <x:is>
          <x:t xml:space="preserve">Accessibility</x:t>
        </x:is>
      </x:c>
      <x:c r="C146" s="94" t="inlineStr">
        <x:is>
          <x:t xml:space="preserve">Relationships</x:t>
        </x:is>
      </x:c>
      <x:c r="D146" s="94" t="inlineStr">
        <x:is>
          <x:t xml:space="preserve">portalled menu registers with parent modal focus scope</x:t>
        </x:is>
      </x:c>
      <x:c r="E146" s="93" t="inlineStr">
        <x:is>
          <x:t xml:space="preserve">yes</x:t>
        </x:is>
      </x:c>
      <x:c r="F146" s="93" t="inlineStr">
        <x:is>
          <x:t xml:space="preserve">yes</x:t>
        </x:is>
      </x:c>
      <x:c r="G146" s="93" t="inlineStr">
        <x:is>
          <x:t xml:space="preserve">pass</x:t>
        </x:is>
      </x:c>
      <x:c r="H146" s="93" t="inlineStr">
        <x:is>
          <x:t xml:space="preserve">covered</x:t>
        </x:is>
      </x:c>
      <x:c r="I146" s="94" t="inlineStr">
        <x:is>
          <x:t xml:space="preserve">Menu playground manual verification.</x:t>
        </x:is>
      </x:c>
      <x:c r="J146" s="94" t="n"/>
      <x:c r="K146" s="95" t="n">
        <x:f>IF(AND(E146="yes",F146="yes",H146="covered"),1,IF(H146="partial",0.5,0))</x:f>
        <x:v>1</x:v>
      </x:c>
    </x:row>
    <x:row r="147" s="51" customFormat="1" ht="30" customHeight="1">
      <x:c r="A147" s="93" t="n">
        <x:v>139</x:v>
      </x:c>
      <x:c r="B147" s="94" t="inlineStr">
        <x:is>
          <x:t xml:space="preserve">Accessibility</x:t>
        </x:is>
      </x:c>
      <x:c r="C147" s="94" t="inlineStr">
        <x:is>
          <x:t xml:space="preserve">Relationships</x:t>
        </x:is>
      </x:c>
      <x:c r="D147" s="94" t="inlineStr">
        <x:is>
          <x:t xml:space="preserve">nested menu Escape does not close parent overlay</x:t>
        </x:is>
      </x:c>
      <x:c r="E147" s="93" t="inlineStr">
        <x:is>
          <x:t xml:space="preserve">yes</x:t>
        </x:is>
      </x:c>
      <x:c r="F147" s="93" t="inlineStr">
        <x:is>
          <x:t xml:space="preserve">yes</x:t>
        </x:is>
      </x:c>
      <x:c r="G147" s="93" t="inlineStr">
        <x:is>
          <x:t xml:space="preserve">pass</x:t>
        </x:is>
      </x:c>
      <x:c r="H147" s="93" t="inlineStr">
        <x:is>
          <x:t xml:space="preserve">covered</x:t>
        </x:is>
      </x:c>
      <x:c r="I147" s="94" t="inlineStr">
        <x:is>
          <x:t xml:space="preserve">Menu playground manual verification.</x:t>
        </x:is>
      </x:c>
      <x:c r="J147" s="94" t="n"/>
      <x:c r="K147" s="95" t="n">
        <x:f>IF(AND(E147="yes",F147="yes",H147="covered"),1,IF(H147="partial",0.5,0))</x:f>
        <x:v>1</x:v>
      </x:c>
    </x:row>
    <x:row r="148" s="51" customFormat="1" ht="30" customHeight="1">
      <x:c r="A148" s="93" t="n">
        <x:v>140</x:v>
      </x:c>
      <x:c r="B148" s="94" t="inlineStr">
        <x:is>
          <x:t xml:space="preserve">Composition</x:t>
        </x:is>
      </x:c>
      <x:c r="C148" s="94" t="inlineStr">
        <x:is>
          <x:t xml:space="preserve">Rendering</x:t>
        </x:is>
      </x:c>
      <x:c r="D148" s="94" t="inlineStr">
        <x:is>
          <x:t xml:space="preserve">Item asChild preserves child content</x:t>
        </x:is>
      </x:c>
      <x:c r="E148" s="93" t="inlineStr">
        <x:is>
          <x:t xml:space="preserve">yes</x:t>
        </x:is>
      </x:c>
      <x:c r="F148" s="93" t="inlineStr">
        <x:is>
          <x:t xml:space="preserve">yes</x:t>
        </x:is>
      </x:c>
      <x:c r="G148" s="93" t="inlineStr">
        <x:is>
          <x:t xml:space="preserve">pass</x:t>
        </x:is>
      </x:c>
      <x:c r="H148" s="93" t="inlineStr">
        <x:is>
          <x:t xml:space="preserve">covered</x:t>
        </x:is>
      </x:c>
      <x:c r="I148" s="94" t="inlineStr">
        <x:is>
          <x:t xml:space="preserve">Menu playground manual verification.</x:t>
        </x:is>
      </x:c>
      <x:c r="J148" s="94" t="n"/>
      <x:c r="K148" s="95" t="n">
        <x:f>IF(AND(E148="yes",F148="yes",H148="covered"),1,IF(H148="partial",0.5,0))</x:f>
        <x:v>1</x:v>
      </x:c>
    </x:row>
    <x:row r="149" s="51" customFormat="1" ht="45" customHeight="1">
      <x:c r="A149" s="93" t="n">
        <x:v>141</x:v>
      </x:c>
      <x:c r="B149" s="94" t="inlineStr">
        <x:is>
          <x:t xml:space="preserve">Composition</x:t>
        </x:is>
      </x:c>
      <x:c r="C149" s="94" t="inlineStr">
        <x:is>
          <x:t xml:space="preserve">Rendering</x:t>
        </x:is>
      </x:c>
      <x:c r="D149" s="94" t="inlineStr">
        <x:is>
          <x:t xml:space="preserve">Item render preserves child content</x:t>
        </x:is>
      </x:c>
      <x:c r="E149" s="93" t="inlineStr">
        <x:is>
          <x:t xml:space="preserve">yes</x:t>
        </x:is>
      </x:c>
      <x:c r="F149" s="93" t="inlineStr">
        <x:is>
          <x:t xml:space="preserve">yes</x:t>
        </x:is>
      </x:c>
      <x:c r="G149" s="93" t="inlineStr">
        <x:is>
          <x:t xml:space="preserve">pass</x:t>
        </x:is>
      </x:c>
      <x:c r="H149" s="93" t="inlineStr">
        <x:is>
          <x:t xml:space="preserve">covered</x:t>
        </x:is>
      </x:c>
      <x:c r="I149" s="94" t="inlineStr">
        <x:is>
          <x:t xml:space="preserve">Menu playground manual verification.</x:t>
        </x:is>
      </x:c>
      <x:c r="J149" s="94" t="n"/>
      <x:c r="K149" s="95" t="n">
        <x:f>IF(AND(E149="yes",F149="yes",H149="covered"),1,IF(H149="partial",0.5,0))</x:f>
        <x:v>1</x:v>
      </x:c>
    </x:row>
    <x:row r="150" s="51" customFormat="1" ht="45" customHeight="1">
      <x:c r="A150" s="93" t="n">
        <x:v>142</x:v>
      </x:c>
      <x:c r="B150" s="94" t="inlineStr">
        <x:is>
          <x:t xml:space="preserve">Composition</x:t>
        </x:is>
      </x:c>
      <x:c r="C150" s="94" t="inlineStr">
        <x:is>
          <x:t xml:space="preserve">Rendering</x:t>
        </x:is>
      </x:c>
      <x:c r="D150" s="94" t="inlineStr">
        <x:is>
          <x:t xml:space="preserve">Item consumer event can block selection</x:t>
        </x:is>
      </x:c>
      <x:c r="E150" s="93" t="inlineStr">
        <x:is>
          <x:t xml:space="preserve">yes</x:t>
        </x:is>
      </x:c>
      <x:c r="F150" s="93" t="inlineStr">
        <x:is>
          <x:t xml:space="preserve">yes</x:t>
        </x:is>
      </x:c>
      <x:c r="G150" s="93" t="inlineStr">
        <x:is>
          <x:t xml:space="preserve">pass</x:t>
        </x:is>
      </x:c>
      <x:c r="H150" s="93" t="inlineStr">
        <x:is>
          <x:t xml:space="preserve">covered</x:t>
        </x:is>
      </x:c>
      <x:c r="I150" s="94" t="inlineStr">
        <x:is>
          <x:t xml:space="preserve">Menu playground manual verification.</x:t>
        </x:is>
      </x:c>
      <x:c r="J150" s="94" t="n"/>
      <x:c r="K150" s="95" t="n">
        <x:f>IF(AND(E150="yes",F150="yes",H150="covered"),1,IF(H150="partial",0.5,0))</x:f>
        <x:v>1</x:v>
      </x:c>
    </x:row>
    <x:row r="151" s="51" customFormat="1" ht="45" customHeight="1">
      <x:c r="A151" s="93" t="n">
        <x:v>143</x:v>
      </x:c>
      <x:c r="B151" s="94" t="inlineStr">
        <x:is>
          <x:t xml:space="preserve">Composition</x:t>
        </x:is>
      </x:c>
      <x:c r="C151" s="94" t="inlineStr">
        <x:is>
          <x:t xml:space="preserve">Rendering</x:t>
        </x:is>
      </x:c>
      <x:c r="D151" s="94" t="inlineStr">
        <x:is>
          <x:t xml:space="preserve">CheckboxItem native props pass through</x:t>
        </x:is>
      </x:c>
      <x:c r="E151" s="93" t="inlineStr">
        <x:is>
          <x:t xml:space="preserve">yes</x:t>
        </x:is>
      </x:c>
      <x:c r="F151" s="93" t="inlineStr">
        <x:is>
          <x:t xml:space="preserve">yes</x:t>
        </x:is>
      </x:c>
      <x:c r="G151" s="93" t="inlineStr">
        <x:is>
          <x:t xml:space="preserve">pass</x:t>
        </x:is>
      </x:c>
      <x:c r="H151" s="93" t="inlineStr">
        <x:is>
          <x:t xml:space="preserve">covered</x:t>
        </x:is>
      </x:c>
      <x:c r="I151" s="94" t="inlineStr">
        <x:is>
          <x:t xml:space="preserve">Menu playground manual verification.</x:t>
        </x:is>
      </x:c>
      <x:c r="J151" s="94" t="n"/>
      <x:c r="K151" s="95" t="n">
        <x:f>IF(AND(E151="yes",F151="yes",H151="covered"),1,IF(H151="partial",0.5,0))</x:f>
        <x:v>1</x:v>
      </x:c>
    </x:row>
    <x:row r="152" s="51" customFormat="1" ht="45" customHeight="1">
      <x:c r="A152" s="93" t="n">
        <x:v>144</x:v>
      </x:c>
      <x:c r="B152" s="94" t="inlineStr">
        <x:is>
          <x:t xml:space="preserve">Composition</x:t>
        </x:is>
      </x:c>
      <x:c r="C152" s="94" t="inlineStr">
        <x:is>
          <x:t xml:space="preserve">Rendering</x:t>
        </x:is>
      </x:c>
      <x:c r="D152" s="94" t="inlineStr">
        <x:is>
          <x:t xml:space="preserve">RadioItem native props pass through</x:t>
        </x:is>
      </x:c>
      <x:c r="E152" s="93" t="inlineStr">
        <x:is>
          <x:t xml:space="preserve">yes</x:t>
        </x:is>
      </x:c>
      <x:c r="F152" s="93" t="inlineStr">
        <x:is>
          <x:t xml:space="preserve">yes</x:t>
        </x:is>
      </x:c>
      <x:c r="G152" s="93" t="inlineStr">
        <x:is>
          <x:t xml:space="preserve">pass</x:t>
        </x:is>
      </x:c>
      <x:c r="H152" s="93" t="inlineStr">
        <x:is>
          <x:t xml:space="preserve">covered</x:t>
        </x:is>
      </x:c>
      <x:c r="I152" s="94" t="inlineStr">
        <x:is>
          <x:t xml:space="preserve">Menu playground manual verification.</x:t>
        </x:is>
      </x:c>
      <x:c r="J152" s="94" t="n"/>
      <x:c r="K152" s="95" t="n">
        <x:f>IF(AND(E152="yes",F152="yes",H152="covered"),1,IF(H152="partial",0.5,0))</x:f>
        <x:v>1</x:v>
      </x:c>
    </x:row>
    <x:row r="153" s="51" customFormat="1" ht="30" customHeight="1">
      <x:c r="A153" s="93" t="n">
        <x:v>145</x:v>
      </x:c>
      <x:c r="B153" s="94" t="inlineStr">
        <x:is>
          <x:t xml:space="preserve">Composition</x:t>
        </x:is>
      </x:c>
      <x:c r="C153" s="94" t="inlineStr">
        <x:is>
          <x:t xml:space="preserve">Rendering</x:t>
        </x:is>
      </x:c>
      <x:c r="D153" s="94" t="inlineStr">
        <x:is>
          <x:t xml:space="preserve">Content native props pass through</x:t>
        </x:is>
      </x:c>
      <x:c r="E153" s="93" t="inlineStr">
        <x:is>
          <x:t xml:space="preserve">yes</x:t>
        </x:is>
      </x:c>
      <x:c r="F153" s="93" t="inlineStr">
        <x:is>
          <x:t xml:space="preserve">yes</x:t>
        </x:is>
      </x:c>
      <x:c r="G153" s="93" t="inlineStr">
        <x:is>
          <x:t xml:space="preserve">pass</x:t>
        </x:is>
      </x:c>
      <x:c r="H153" s="93" t="inlineStr">
        <x:is>
          <x:t xml:space="preserve">covered</x:t>
        </x:is>
      </x:c>
      <x:c r="I153" s="94" t="inlineStr">
        <x:is>
          <x:t xml:space="preserve">Menu playground manual verification.</x:t>
        </x:is>
      </x:c>
      <x:c r="J153" s="94" t="n"/>
      <x:c r="K153" s="95" t="n">
        <x:f>IF(AND(E153="yes",F153="yes",H153="covered"),1,IF(H153="partial",0.5,0))</x:f>
        <x:v>1</x:v>
      </x:c>
    </x:row>
    <x:row r="154" s="51" customFormat="1" ht="30" customHeight="1">
      <x:c r="A154" s="93" t="n">
        <x:v>146</x:v>
      </x:c>
      <x:c r="B154" s="94" t="inlineStr">
        <x:is>
          <x:t xml:space="preserve">Composition</x:t>
        </x:is>
      </x:c>
      <x:c r="C154" s="94" t="inlineStr">
        <x:is>
          <x:t xml:space="preserve">Rendering</x:t>
        </x:is>
      </x:c>
      <x:c r="D154" s="94" t="inlineStr">
        <x:is>
          <x:t xml:space="preserve">SubContent native props pass through</x:t>
        </x:is>
      </x:c>
      <x:c r="E154" s="93" t="inlineStr">
        <x:is>
          <x:t xml:space="preserve">yes</x:t>
        </x:is>
      </x:c>
      <x:c r="F154" s="93" t="inlineStr">
        <x:is>
          <x:t xml:space="preserve">yes</x:t>
        </x:is>
      </x:c>
      <x:c r="G154" s="93" t="inlineStr">
        <x:is>
          <x:t xml:space="preserve">pass</x:t>
        </x:is>
      </x:c>
      <x:c r="H154" s="93" t="inlineStr">
        <x:is>
          <x:t xml:space="preserve">covered</x:t>
        </x:is>
      </x:c>
      <x:c r="I154" s="94" t="inlineStr">
        <x:is>
          <x:t xml:space="preserve">Menu playground manual verification.</x:t>
        </x:is>
      </x:c>
      <x:c r="J154" s="94" t="n"/>
      <x:c r="K154" s="95" t="n">
        <x:f>IF(AND(E154="yes",F154="yes",H154="covered"),1,IF(H154="partial",0.5,0))</x:f>
        <x:v>1</x:v>
      </x:c>
    </x:row>
    <x:row r="155" s="51" customFormat="1" ht="30" customHeight="1">
      <x:c r="A155" s="93" t="n">
        <x:v>147</x:v>
      </x:c>
      <x:c r="B155" s="94" t="inlineStr">
        <x:is>
          <x:t xml:space="preserve">Styling Hooks</x:t>
        </x:is>
      </x:c>
      <x:c r="C155" s="94" t="inlineStr">
        <x:is>
          <x:t xml:space="preserve">Data Attributes</x:t>
        </x:is>
      </x:c>
      <x:c r="D155" s="94" t="inlineStr">
        <x:is>
          <x:t xml:space="preserve">root open state visible through content data-state</x:t>
        </x:is>
      </x:c>
      <x:c r="E155" s="93" t="inlineStr">
        <x:is>
          <x:t xml:space="preserve">yes</x:t>
        </x:is>
      </x:c>
      <x:c r="F155" s="93" t="inlineStr">
        <x:is>
          <x:t xml:space="preserve">yes</x:t>
        </x:is>
      </x:c>
      <x:c r="G155" s="93" t="inlineStr">
        <x:is>
          <x:t xml:space="preserve">pass</x:t>
        </x:is>
      </x:c>
      <x:c r="H155" s="93" t="inlineStr">
        <x:is>
          <x:t xml:space="preserve">covered</x:t>
        </x:is>
      </x:c>
      <x:c r="I155" s="94" t="inlineStr">
        <x:is>
          <x:t xml:space="preserve">Menu playground manual verification.</x:t>
        </x:is>
      </x:c>
      <x:c r="J155" s="94" t="n"/>
      <x:c r="K155" s="95" t="n">
        <x:f>IF(AND(E155="yes",F155="yes",H155="covered"),1,IF(H155="partial",0.5,0))</x:f>
        <x:v>1</x:v>
      </x:c>
    </x:row>
    <x:row r="156" s="51" customFormat="1" ht="30" customHeight="1">
      <x:c r="A156" s="93" t="n">
        <x:v>148</x:v>
      </x:c>
      <x:c r="B156" s="94" t="inlineStr">
        <x:is>
          <x:t xml:space="preserve">Styling Hooks</x:t>
        </x:is>
      </x:c>
      <x:c r="C156" s="94" t="inlineStr">
        <x:is>
          <x:t xml:space="preserve">Data Attributes</x:t>
        </x:is>
      </x:c>
      <x:c r="D156" s="94" t="inlineStr">
        <x:is>
          <x:t xml:space="preserve">highlighted item visible through data-highlighted</x:t>
        </x:is>
      </x:c>
      <x:c r="E156" s="93" t="inlineStr">
        <x:is>
          <x:t xml:space="preserve">yes</x:t>
        </x:is>
      </x:c>
      <x:c r="F156" s="93" t="inlineStr">
        <x:is>
          <x:t xml:space="preserve">yes</x:t>
        </x:is>
      </x:c>
      <x:c r="G156" s="93" t="inlineStr">
        <x:is>
          <x:t xml:space="preserve">pass</x:t>
        </x:is>
      </x:c>
      <x:c r="H156" s="93" t="inlineStr">
        <x:is>
          <x:t xml:space="preserve">covered</x:t>
        </x:is>
      </x:c>
      <x:c r="I156" s="94" t="inlineStr">
        <x:is>
          <x:t xml:space="preserve">Menu playground manual verification.</x:t>
        </x:is>
      </x:c>
      <x:c r="J156" s="94" t="n"/>
      <x:c r="K156" s="95" t="n">
        <x:f>IF(AND(E156="yes",F156="yes",H156="covered"),1,IF(H156="partial",0.5,0))</x:f>
        <x:v>1</x:v>
      </x:c>
    </x:row>
    <x:row r="157" s="51" customFormat="1" ht="30" customHeight="1">
      <x:c r="A157" s="93" t="n">
        <x:v>149</x:v>
      </x:c>
      <x:c r="B157" s="94" t="inlineStr">
        <x:is>
          <x:t xml:space="preserve">Styling Hooks</x:t>
        </x:is>
      </x:c>
      <x:c r="C157" s="94" t="inlineStr">
        <x:is>
          <x:t xml:space="preserve">Data Attributes</x:t>
        </x:is>
      </x:c>
      <x:c r="D157" s="94" t="inlineStr">
        <x:is>
          <x:t xml:space="preserve">disabled item visible through data-disabled</x:t>
        </x:is>
      </x:c>
      <x:c r="E157" s="93" t="inlineStr">
        <x:is>
          <x:t xml:space="preserve">yes</x:t>
        </x:is>
      </x:c>
      <x:c r="F157" s="93" t="inlineStr">
        <x:is>
          <x:t xml:space="preserve">yes</x:t>
        </x:is>
      </x:c>
      <x:c r="G157" s="93" t="inlineStr">
        <x:is>
          <x:t xml:space="preserve">pass</x:t>
        </x:is>
      </x:c>
      <x:c r="H157" s="93" t="inlineStr">
        <x:is>
          <x:t xml:space="preserve">covered</x:t>
        </x:is>
      </x:c>
      <x:c r="I157" s="94" t="inlineStr">
        <x:is>
          <x:t xml:space="preserve">Menu playground manual verification.</x:t>
        </x:is>
      </x:c>
      <x:c r="J157" s="94" t="n"/>
      <x:c r="K157" s="95" t="n">
        <x:f>IF(AND(E157="yes",F157="yes",H157="covered"),1,IF(H157="partial",0.5,0))</x:f>
        <x:v>1</x:v>
      </x:c>
    </x:row>
    <x:row r="158" s="51" customFormat="1" ht="30" customHeight="1">
      <x:c r="A158" s="93" t="n">
        <x:v>150</x:v>
      </x:c>
      <x:c r="B158" s="94" t="inlineStr">
        <x:is>
          <x:t xml:space="preserve">Styling Hooks</x:t>
        </x:is>
      </x:c>
      <x:c r="C158" s="94" t="inlineStr">
        <x:is>
          <x:t xml:space="preserve">Data Attributes</x:t>
        </x:is>
      </x:c>
      <x:c r="D158" s="94" t="inlineStr">
        <x:is>
          <x:t xml:space="preserve">checked item visible through data-checked</x:t>
        </x:is>
      </x:c>
      <x:c r="E158" s="93" t="inlineStr">
        <x:is>
          <x:t xml:space="preserve">yes</x:t>
        </x:is>
      </x:c>
      <x:c r="F158" s="93" t="inlineStr">
        <x:is>
          <x:t xml:space="preserve">yes</x:t>
        </x:is>
      </x:c>
      <x:c r="G158" s="93" t="inlineStr">
        <x:is>
          <x:t xml:space="preserve">pass</x:t>
        </x:is>
      </x:c>
      <x:c r="H158" s="93" t="inlineStr">
        <x:is>
          <x:t xml:space="preserve">covered</x:t>
        </x:is>
      </x:c>
      <x:c r="I158" s="94" t="inlineStr">
        <x:is>
          <x:t xml:space="preserve">Menu playground manual verification.</x:t>
        </x:is>
      </x:c>
      <x:c r="J158" s="94" t="n"/>
      <x:c r="K158" s="95" t="n">
        <x:f>IF(AND(E158="yes",F158="yes",H158="covered"),1,IF(H158="partial",0.5,0))</x:f>
        <x:v>1</x:v>
      </x:c>
    </x:row>
    <x:row r="159" s="51" customFormat="1" ht="30" customHeight="1">
      <x:c r="A159" s="93" t="n">
        <x:v>151</x:v>
      </x:c>
      <x:c r="B159" s="94" t="inlineStr">
        <x:is>
          <x:t xml:space="preserve">Styling Hooks</x:t>
        </x:is>
      </x:c>
      <x:c r="C159" s="94" t="inlineStr">
        <x:is>
          <x:t xml:space="preserve">Data Attributes</x:t>
        </x:is>
      </x:c>
      <x:c r="D159" s="94" t="inlineStr">
        <x:is>
          <x:t xml:space="preserve">placement visible through data-side and data-align</x:t>
        </x:is>
      </x:c>
      <x:c r="E159" s="93" t="inlineStr">
        <x:is>
          <x:t xml:space="preserve">yes</x:t>
        </x:is>
      </x:c>
      <x:c r="F159" s="93" t="inlineStr">
        <x:is>
          <x:t xml:space="preserve">yes</x:t>
        </x:is>
      </x:c>
      <x:c r="G159" s="93" t="inlineStr">
        <x:is>
          <x:t xml:space="preserve">pass</x:t>
        </x:is>
      </x:c>
      <x:c r="H159" s="93" t="inlineStr">
        <x:is>
          <x:t xml:space="preserve">covered</x:t>
        </x:is>
      </x:c>
      <x:c r="I159" s="94" t="inlineStr">
        <x:is>
          <x:t xml:space="preserve">Menu playground manual verification.</x:t>
        </x:is>
      </x:c>
      <x:c r="J159" s="94" t="n"/>
      <x:c r="K159" s="95" t="n">
        <x:f>IF(AND(E159="yes",F159="yes",H159="covered"),1,IF(H159="partial",0.5,0))</x:f>
        <x:v>1</x:v>
      </x:c>
    </x:row>
    <x:row r="160" s="51" customFormat="1" ht="30" customHeight="1">
      <x:c r="A160" s="93" t="n">
        <x:v>152</x:v>
      </x:c>
      <x:c r="B160" s="94" t="inlineStr">
        <x:is>
          <x:t xml:space="preserve">Styling Hooks</x:t>
        </x:is>
      </x:c>
      <x:c r="C160" s="94" t="inlineStr">
        <x:is>
          <x:t xml:space="preserve">Data Attributes</x:t>
        </x:is>
      </x:c>
      <x:c r="D160" s="94" t="inlineStr">
        <x:is>
          <x:t xml:space="preserve">positioned state visible through data-positioned</x:t>
        </x:is>
      </x:c>
      <x:c r="E160" s="93" t="inlineStr">
        <x:is>
          <x:t xml:space="preserve">yes</x:t>
        </x:is>
      </x:c>
      <x:c r="F160" s="93" t="inlineStr">
        <x:is>
          <x:t xml:space="preserve">yes</x:t>
        </x:is>
      </x:c>
      <x:c r="G160" s="93" t="inlineStr">
        <x:is>
          <x:t xml:space="preserve">pass</x:t>
        </x:is>
      </x:c>
      <x:c r="H160" s="93" t="inlineStr">
        <x:is>
          <x:t xml:space="preserve">covered</x:t>
        </x:is>
      </x:c>
      <x:c r="I160" s="94" t="inlineStr">
        <x:is>
          <x:t xml:space="preserve">Menu playground manual verification.</x:t>
        </x:is>
      </x:c>
      <x:c r="J160" s="94" t="n"/>
      <x:c r="K160" s="95" t="n">
        <x:f>IF(AND(E160="yes",F160="yes",H160="covered"),1,IF(H160="partial",0.5,0))</x:f>
        <x:v>1</x:v>
      </x:c>
    </x:row>
    <x:row r="161" s="51" customFormat="1" ht="30" customHeight="1">
      <x:c r="A161" s="93" t="n">
        <x:v>153</x:v>
      </x:c>
      <x:c r="B161" s="94" t="inlineStr">
        <x:is>
          <x:t xml:space="preserve">Portal And Positioning</x:t>
        </x:is>
      </x:c>
      <x:c r="C161" s="94" t="inlineStr">
        <x:is>
          <x:t xml:space="preserve">Portal</x:t>
        </x:is>
      </x:c>
      <x:c r="D161" s="94" t="inlineStr">
        <x:is>
          <x:t xml:space="preserve">root content portals to body</x:t>
        </x:is>
      </x:c>
      <x:c r="E161" s="93" t="inlineStr">
        <x:is>
          <x:t xml:space="preserve">yes</x:t>
        </x:is>
      </x:c>
      <x:c r="F161" s="93" t="inlineStr">
        <x:is>
          <x:t xml:space="preserve">yes</x:t>
        </x:is>
      </x:c>
      <x:c r="G161" s="93" t="inlineStr">
        <x:is>
          <x:t xml:space="preserve">pass</x:t>
        </x:is>
      </x:c>
      <x:c r="H161" s="93" t="inlineStr">
        <x:is>
          <x:t xml:space="preserve">covered</x:t>
        </x:is>
      </x:c>
      <x:c r="I161" s="94" t="inlineStr">
        <x:is>
          <x:t xml:space="preserve">Menu playground manual verification.</x:t>
        </x:is>
      </x:c>
      <x:c r="J161" s="94" t="n"/>
      <x:c r="K161" s="95" t="n">
        <x:f>IF(AND(E161="yes",F161="yes",H161="covered"),1,IF(H161="partial",0.5,0))</x:f>
        <x:v>1</x:v>
      </x:c>
    </x:row>
    <x:row r="162" s="51" customFormat="1" ht="30" customHeight="1">
      <x:c r="A162" s="93" t="n">
        <x:v>154</x:v>
      </x:c>
      <x:c r="B162" s="94" t="inlineStr">
        <x:is>
          <x:t xml:space="preserve">Portal And Positioning</x:t>
        </x:is>
      </x:c>
      <x:c r="C162" s="94" t="inlineStr">
        <x:is>
          <x:t xml:space="preserve">Portal</x:t>
        </x:is>
      </x:c>
      <x:c r="D162" s="94" t="inlineStr">
        <x:is>
          <x:t xml:space="preserve">sub content portals to body</x:t>
        </x:is>
      </x:c>
      <x:c r="E162" s="93" t="inlineStr">
        <x:is>
          <x:t xml:space="preserve">yes</x:t>
        </x:is>
      </x:c>
      <x:c r="F162" s="93" t="inlineStr">
        <x:is>
          <x:t xml:space="preserve">yes</x:t>
        </x:is>
      </x:c>
      <x:c r="G162" s="93" t="inlineStr">
        <x:is>
          <x:t xml:space="preserve">pass</x:t>
        </x:is>
      </x:c>
      <x:c r="H162" s="93" t="inlineStr">
        <x:is>
          <x:t xml:space="preserve">covered</x:t>
        </x:is>
      </x:c>
      <x:c r="I162" s="94" t="inlineStr">
        <x:is>
          <x:t xml:space="preserve">Menu playground manual verification.</x:t>
        </x:is>
      </x:c>
      <x:c r="J162" s="94" t="n"/>
      <x:c r="K162" s="95" t="n">
        <x:f>IF(AND(E162="yes",F162="yes",H162="covered"),1,IF(H162="partial",0.5,0))</x:f>
        <x:v>1</x:v>
      </x:c>
    </x:row>
    <x:row r="163" s="51" customFormat="1" ht="30" customHeight="1">
      <x:c r="A163" s="93" t="n">
        <x:v>155</x:v>
      </x:c>
      <x:c r="B163" s="94" t="inlineStr">
        <x:is>
          <x:t xml:space="preserve">Portal And Positioning</x:t>
        </x:is>
      </x:c>
      <x:c r="C163" s="94" t="inlineStr">
        <x:is>
          <x:t xml:space="preserve">Portal</x:t>
        </x:is>
      </x:c>
      <x:c r="D163" s="94" t="inlineStr">
        <x:is>
          <x:t xml:space="preserve">anchorPoint opens at pointer location</x:t>
        </x:is>
      </x:c>
      <x:c r="E163" s="93" t="inlineStr">
        <x:is>
          <x:t xml:space="preserve">yes</x:t>
        </x:is>
      </x:c>
      <x:c r="F163" s="93" t="inlineStr">
        <x:is>
          <x:t xml:space="preserve">yes</x:t>
        </x:is>
      </x:c>
      <x:c r="G163" s="93" t="inlineStr">
        <x:is>
          <x:t xml:space="preserve">pass</x:t>
        </x:is>
      </x:c>
      <x:c r="H163" s="93" t="inlineStr">
        <x:is>
          <x:t xml:space="preserve">covered</x:t>
        </x:is>
      </x:c>
      <x:c r="I163" s="94" t="inlineStr">
        <x:is>
          <x:t xml:space="preserve">Menu playground manual verification.</x:t>
        </x:is>
      </x:c>
      <x:c r="J163" s="94" t="n"/>
      <x:c r="K163" s="95" t="n">
        <x:f>IF(AND(E163="yes",F163="yes",H163="covered"),1,IF(H163="partial",0.5,0))</x:f>
        <x:v>1</x:v>
      </x:c>
    </x:row>
    <x:row r="164" s="51" customFormat="1" ht="45" customHeight="1">
      <x:c r="A164" s="93" t="n">
        <x:v>156</x:v>
      </x:c>
      <x:c r="B164" s="94" t="inlineStr">
        <x:is>
          <x:t xml:space="preserve">Portal And Positioning</x:t>
        </x:is>
      </x:c>
      <x:c r="C164" s="94" t="inlineStr">
        <x:is>
          <x:t xml:space="preserve">Portal</x:t>
        </x:is>
      </x:c>
      <x:c r="D164" s="94" t="inlineStr">
        <x:is>
          <x:t xml:space="preserve">placement flips or shifts near the edge of the manually tested desktop layout viewport</x:t>
        </x:is>
      </x:c>
      <x:c r="E164" s="93" t="inlineStr">
        <x:is>
          <x:t xml:space="preserve">yes</x:t>
        </x:is>
      </x:c>
      <x:c r="F164" s="93" t="inlineStr">
        <x:is>
          <x:t xml:space="preserve">yes</x:t>
        </x:is>
      </x:c>
      <x:c r="G164" s="93" t="inlineStr">
        <x:is>
          <x:t xml:space="preserve">passed existing desktop browser/manual baseline; mobile device qualification not run</x:t>
        </x:is>
      </x:c>
      <x:c r="H164" s="93" t="inlineStr">
        <x:is>
          <x:t xml:space="preserve">covered</x:t>
        </x:is>
      </x:c>
      <x:c r="I164" s="94" t="inlineStr">
        <x:is>
          <x:t xml:space="preserve">Existing desktop browser/manual baseline; not real iOS Safari or Android Chrome evidence.</x:t>
        </x:is>
      </x:c>
      <x:c r="J164" s="94" t="n"/>
      <x:c r="K164" s="95" t="n">
        <x:f>IF(AND(E164="yes",F164="yes",H164="covered"),1,IF(H164="partial",0.5,0))</x:f>
        <x:v>1</x:v>
      </x:c>
    </x:row>
    <x:row r="165" s="51" customFormat="1" ht="30" customHeight="1">
      <x:c r="A165" s="93" t="n">
        <x:v>157</x:v>
      </x:c>
      <x:c r="B165" s="94" t="inlineStr">
        <x:is>
          <x:t xml:space="preserve">Portal And Positioning</x:t>
        </x:is>
      </x:c>
      <x:c r="C165" s="94" t="inlineStr">
        <x:is>
          <x:t xml:space="preserve">Portal</x:t>
        </x:is>
      </x:c>
      <x:c r="D165" s="94" t="inlineStr">
        <x:is>
          <x:t xml:space="preserve">scroll lock applies only when modal</x:t>
        </x:is>
      </x:c>
      <x:c r="E165" s="93" t="inlineStr">
        <x:is>
          <x:t xml:space="preserve">yes</x:t>
        </x:is>
      </x:c>
      <x:c r="F165" s="93" t="inlineStr">
        <x:is>
          <x:t xml:space="preserve">yes</x:t>
        </x:is>
      </x:c>
      <x:c r="G165" s="93" t="inlineStr">
        <x:is>
          <x:t xml:space="preserve">pass</x:t>
        </x:is>
      </x:c>
      <x:c r="H165" s="93" t="inlineStr">
        <x:is>
          <x:t xml:space="preserve">covered</x:t>
        </x:is>
      </x:c>
      <x:c r="I165" s="94" t="inlineStr">
        <x:is>
          <x:t xml:space="preserve">Menu playground manual verification.</x:t>
        </x:is>
      </x:c>
      <x:c r="J165" s="94" t="n"/>
      <x:c r="K165" s="95" t="n">
        <x:f>IF(AND(E165="yes",F165="yes",H165="covered"),1,IF(H165="partial",0.5,0))</x:f>
        <x:v>1</x:v>
      </x:c>
    </x:row>
    <x:row r="166" s="51" customFormat="1" ht="30" customHeight="1">
      <x:c r="A166" s="93" t="n">
        <x:v>158</x:v>
      </x:c>
      <x:c r="B166" s="94" t="inlineStr">
        <x:is>
          <x:t xml:space="preserve">Portal And Positioning</x:t>
        </x:is>
      </x:c>
      <x:c r="C166" s="94" t="inlineStr">
        <x:is>
          <x:t xml:space="preserve">Portal</x:t>
        </x:is>
      </x:c>
      <x:c r="D166" s="94" t="inlineStr">
        <x:is>
          <x:t xml:space="preserve">menu works inside Dialog without focus escape</x:t>
        </x:is>
      </x:c>
      <x:c r="E166" s="93" t="inlineStr">
        <x:is>
          <x:t xml:space="preserve">yes</x:t>
        </x:is>
      </x:c>
      <x:c r="F166" s="93" t="inlineStr">
        <x:is>
          <x:t xml:space="preserve">yes</x:t>
        </x:is>
      </x:c>
      <x:c r="G166" s="93" t="inlineStr">
        <x:is>
          <x:t xml:space="preserve">pass</x:t>
        </x:is>
      </x:c>
      <x:c r="H166" s="93" t="inlineStr">
        <x:is>
          <x:t xml:space="preserve">covered</x:t>
        </x:is>
      </x:c>
      <x:c r="I166" s="94" t="inlineStr">
        <x:is>
          <x:t xml:space="preserve">Menu playground manual verification.</x:t>
        </x:is>
      </x:c>
      <x:c r="J166" s="94" t="n"/>
      <x:c r="K166" s="95" t="n">
        <x:f>IF(AND(E166="yes",F166="yes",H166="covered"),1,IF(H166="partial",0.5,0))</x:f>
        <x:v>1</x:v>
      </x:c>
    </x:row>
    <x:row r="167" s="51" customFormat="1" ht="30" customHeight="1">
      <x:c r="A167" s="93" t="n">
        <x:v>159</x:v>
      </x:c>
      <x:c r="B167" s="94" t="inlineStr">
        <x:is>
          <x:t xml:space="preserve">Regression</x:t>
        </x:is>
      </x:c>
      <x:c r="C167" s="94" t="inlineStr">
        <x:is>
          <x:t xml:space="preserve">Recent Fixes</x:t>
        </x:is>
      </x:c>
      <x:c r="D167" s="94" t="inlineStr">
        <x:is>
          <x:t xml:space="preserve">radio groups with duplicate values highlight independently</x:t>
        </x:is>
      </x:c>
      <x:c r="E167" s="93" t="inlineStr">
        <x:is>
          <x:t xml:space="preserve">yes</x:t>
        </x:is>
      </x:c>
      <x:c r="F167" s="93" t="inlineStr">
        <x:is>
          <x:t xml:space="preserve">yes</x:t>
        </x:is>
      </x:c>
      <x:c r="G167" s="93" t="inlineStr">
        <x:is>
          <x:t xml:space="preserve">pass</x:t>
        </x:is>
      </x:c>
      <x:c r="H167" s="93" t="inlineStr">
        <x:is>
          <x:t xml:space="preserve">covered</x:t>
        </x:is>
      </x:c>
      <x:c r="I167" s="94" t="inlineStr">
        <x:is>
          <x:t xml:space="preserve">Menu playground manual verification.</x:t>
        </x:is>
      </x:c>
      <x:c r="J167" s="94" t="n"/>
      <x:c r="K167" s="95" t="n">
        <x:f>IF(AND(E167="yes",F167="yes",H167="covered"),1,IF(H167="partial",0.5,0))</x:f>
        <x:v>1</x:v>
      </x:c>
    </x:row>
    <x:row r="168" s="51" customFormat="1" ht="30" customHeight="1">
      <x:c r="A168" s="93" t="n">
        <x:v>160</x:v>
      </x:c>
      <x:c r="B168" s="94" t="inlineStr">
        <x:is>
          <x:t xml:space="preserve">Regression</x:t>
        </x:is>
      </x:c>
      <x:c r="C168" s="94" t="inlineStr">
        <x:is>
          <x:t xml:space="preserve">Recent Fixes</x:t>
        </x:is>
      </x:c>
      <x:c r="D168" s="94" t="inlineStr">
        <x:is>
          <x:t xml:space="preserve">hovering non-item content does not reset highlight to first item</x:t>
        </x:is>
      </x:c>
      <x:c r="E168" s="93" t="inlineStr">
        <x:is>
          <x:t xml:space="preserve">yes</x:t>
        </x:is>
      </x:c>
      <x:c r="F168" s="93" t="inlineStr">
        <x:is>
          <x:t xml:space="preserve">yes</x:t>
        </x:is>
      </x:c>
      <x:c r="G168" s="93" t="inlineStr">
        <x:is>
          <x:t xml:space="preserve">pass</x:t>
        </x:is>
      </x:c>
      <x:c r="H168" s="93" t="inlineStr">
        <x:is>
          <x:t xml:space="preserve">covered</x:t>
        </x:is>
      </x:c>
      <x:c r="I168" s="94" t="inlineStr">
        <x:is>
          <x:t xml:space="preserve">Menu playground manual verification.</x:t>
        </x:is>
      </x:c>
      <x:c r="J168" s="94" t="n"/>
      <x:c r="K168" s="95" t="n">
        <x:f>IF(AND(E168="yes",F168="yes",H168="covered"),1,IF(H168="partial",0.5,0))</x:f>
        <x:v>1</x:v>
      </x:c>
    </x:row>
    <x:row r="169" s="51" customFormat="1" ht="30" customHeight="1">
      <x:c r="A169" s="93" t="n">
        <x:v>161</x:v>
      </x:c>
      <x:c r="B169" s="94" t="inlineStr">
        <x:is>
          <x:t xml:space="preserve">Regression</x:t>
        </x:is>
      </x:c>
      <x:c r="C169" s="94" t="inlineStr">
        <x:is>
          <x:t xml:space="preserve">Recent Fixes</x:t>
        </x:is>
      </x:c>
      <x:c r="D169" s="94" t="inlineStr">
        <x:is>
          <x:t xml:space="preserve">outside click closes portalled menu</x:t>
        </x:is>
      </x:c>
      <x:c r="E169" s="93" t="inlineStr">
        <x:is>
          <x:t xml:space="preserve">yes</x:t>
        </x:is>
      </x:c>
      <x:c r="F169" s="93" t="inlineStr">
        <x:is>
          <x:t xml:space="preserve">yes</x:t>
        </x:is>
      </x:c>
      <x:c r="G169" s="93" t="inlineStr">
        <x:is>
          <x:t xml:space="preserve">pass</x:t>
        </x:is>
      </x:c>
      <x:c r="H169" s="93" t="inlineStr">
        <x:is>
          <x:t xml:space="preserve">covered</x:t>
        </x:is>
      </x:c>
      <x:c r="I169" s="94" t="inlineStr">
        <x:is>
          <x:t xml:space="preserve">Menu playground manual verification.</x:t>
        </x:is>
      </x:c>
      <x:c r="J169" s="94" t="n"/>
      <x:c r="K169" s="95" t="n">
        <x:f>IF(AND(E169="yes",F169="yes",H169="covered"),1,IF(H169="partial",0.5,0))</x:f>
        <x:v>1</x:v>
      </x:c>
    </x:row>
    <x:row r="170" s="51" customFormat="1" ht="15" customHeight="1">
      <x:c r="A170" s="93" t="n">
        <x:v>162</x:v>
      </x:c>
      <x:c r="B170" s="94" t="inlineStr">
        <x:is>
          <x:t xml:space="preserve">Regression</x:t>
        </x:is>
      </x:c>
      <x:c r="C170" s="94" t="inlineStr">
        <x:is>
          <x:t xml:space="preserve">Recent Fixes</x:t>
        </x:is>
      </x:c>
      <x:c r="D170" s="94" t="inlineStr">
        <x:is>
          <x:t xml:space="preserve">Escape closes topmost overlay only</x:t>
        </x:is>
      </x:c>
      <x:c r="E170" s="93" t="inlineStr">
        <x:is>
          <x:t xml:space="preserve">yes</x:t>
        </x:is>
      </x:c>
      <x:c r="F170" s="93" t="inlineStr">
        <x:is>
          <x:t xml:space="preserve">yes</x:t>
        </x:is>
      </x:c>
      <x:c r="G170" s="93" t="inlineStr">
        <x:is>
          <x:t xml:space="preserve">pass</x:t>
        </x:is>
      </x:c>
      <x:c r="H170" s="93" t="inlineStr">
        <x:is>
          <x:t xml:space="preserve">covered</x:t>
        </x:is>
      </x:c>
      <x:c r="I170" s="94" t="inlineStr">
        <x:is>
          <x:t xml:space="preserve">Menu playground manual verification.</x:t>
        </x:is>
      </x:c>
      <x:c r="J170" s="94" t="n"/>
      <x:c r="K170" s="95" t="n">
        <x:f>IF(AND(E170="yes",F170="yes",H170="covered"),1,IF(H170="partial",0.5,0))</x:f>
        <x:v>1</x:v>
      </x:c>
    </x:row>
    <x:row r="171" s="51" customFormat="1" ht="30" customHeight="1">
      <x:c r="A171" s="73" t="n">
        <x:v>163</x:v>
      </x:c>
      <x:c r="B171" s="84" t="inlineStr">
        <x:is>
          <x:t xml:space="preserve">Regression</x:t>
        </x:is>
      </x:c>
      <x:c r="C171" s="84" t="inlineStr">
        <x:is>
          <x:t xml:space="preserve">Recent Fixes</x:t>
        </x:is>
      </x:c>
      <x:c r="D171" s="84" t="inlineStr">
        <x:is>
          <x:t xml:space="preserve">submenu focus returns to its immediate SubTrigger on close</x:t>
        </x:is>
      </x:c>
      <x:c r="E171" s="76" t="inlineStr">
        <x:is>
          <x:t xml:space="preserve">yes</x:t>
        </x:is>
      </x:c>
      <x:c r="F171" s="85" t="inlineStr">
        <x:is>
          <x:t xml:space="preserve">no</x:t>
        </x:is>
      </x:c>
      <x:c r="G171" s="73" t="inlineStr">
        <x:is>
          <x:t xml:space="preserve">automated tests pass; manual pending</x:t>
        </x:is>
      </x:c>
      <x:c r="H171" s="86" t="inlineStr">
        <x:is>
          <x:t xml:space="preserve">untested</x:t>
        </x:is>
      </x:c>
      <x:c r="I171" s="84" t="inlineStr">
        <x:is>
          <x:t xml:space="preserve">playground/.manual-tests/menu.md (draft)</x:t>
        </x:is>
      </x:c>
      <x:c r="J171" s="84" t="inlineStr">
        <x:is>
          <x:t xml:space="preserve">Run the updated component Manual Test Protocol and named browser/device matrix.</x:t>
        </x:is>
      </x:c>
      <x:c r="K171" s="87" t="n">
        <x:f>IF(AND(E171="yes",F171="yes",H171="covered"),1,IF(H171="partial",0.5,0))</x:f>
        <x:v>0</x:v>
      </x:c>
    </x:row>
    <x:row r="172" s="51" customFormat="1" ht="30" customHeight="1">
      <x:c r="A172" s="93" t="n">
        <x:v>164</x:v>
      </x:c>
      <x:c r="B172" s="94" t="inlineStr">
        <x:is>
          <x:t xml:space="preserve">Interaction</x:t>
        </x:is>
      </x:c>
      <x:c r="C172" s="94" t="inlineStr">
        <x:is>
          <x:t xml:space="preserve">Trigger</x:t>
        </x:is>
      </x:c>
      <x:c r="D172" s="94" t="inlineStr">
        <x:is>
          <x:t xml:space="preserve">pointer/click activation opens Menu in the existing desktop manual scenario</x:t>
        </x:is>
      </x:c>
      <x:c r="E172" s="93" t="inlineStr">
        <x:is>
          <x:t xml:space="preserve">yes</x:t>
        </x:is>
      </x:c>
      <x:c r="F172" s="93" t="inlineStr">
        <x:is>
          <x:t xml:space="preserve">yes</x:t>
        </x:is>
      </x:c>
      <x:c r="G172" s="93" t="inlineStr">
        <x:is>
          <x:t xml:space="preserve">passed existing desktop browser/manual baseline; mobile device qualification not run</x:t>
        </x:is>
      </x:c>
      <x:c r="H172" s="93" t="inlineStr">
        <x:is>
          <x:t xml:space="preserve">covered</x:t>
        </x:is>
      </x:c>
      <x:c r="I172" s="94" t="inlineStr">
        <x:is>
          <x:t xml:space="preserve">Existing desktop browser/manual baseline; not real iOS Safari or Android Chrome evidence.</x:t>
        </x:is>
      </x:c>
      <x:c r="J172" s="94" t="n"/>
      <x:c r="K172" s="95" t="n">
        <x:f>IF(AND(E172="yes",F172="yes",H172="covered"),1,IF(H172="partial",0.5,0))</x:f>
        <x:v>1</x:v>
      </x:c>
    </x:row>
    <x:row r="173" s="51" customFormat="1" ht="15" customHeight="1">
      <x:c r="A173" s="93" t="n">
        <x:v>165</x:v>
      </x:c>
      <x:c r="B173" s="94" t="inlineStr">
        <x:is>
          <x:t xml:space="preserve">Interaction</x:t>
        </x:is>
      </x:c>
      <x:c r="C173" s="94" t="inlineStr">
        <x:is>
          <x:t xml:space="preserve">Item</x:t>
        </x:is>
      </x:c>
      <x:c r="D173" s="94" t="inlineStr">
        <x:is>
          <x:t xml:space="preserve">pointer/click activation selects an action item in the existing desktop manual scenario</x:t>
        </x:is>
      </x:c>
      <x:c r="E173" s="93" t="inlineStr">
        <x:is>
          <x:t xml:space="preserve">yes</x:t>
        </x:is>
      </x:c>
      <x:c r="F173" s="93" t="inlineStr">
        <x:is>
          <x:t xml:space="preserve">yes</x:t>
        </x:is>
      </x:c>
      <x:c r="G173" s="93" t="inlineStr">
        <x:is>
          <x:t xml:space="preserve">passed existing desktop browser/manual baseline; mobile device qualification not run</x:t>
        </x:is>
      </x:c>
      <x:c r="H173" s="93" t="inlineStr">
        <x:is>
          <x:t xml:space="preserve">covered</x:t>
        </x:is>
      </x:c>
      <x:c r="I173" s="94" t="inlineStr">
        <x:is>
          <x:t xml:space="preserve">Existing desktop browser/manual baseline; not real iOS Safari or Android Chrome evidence.</x:t>
        </x:is>
      </x:c>
      <x:c r="J173" s="94" t="n"/>
      <x:c r="K173" s="95" t="n">
        <x:f>IF(AND(E173="yes",F173="yes",H173="covered"),1,IF(H173="partial",0.5,0))</x:f>
        <x:v>1</x:v>
      </x:c>
    </x:row>
    <x:row r="174" s="51" customFormat="1" ht="15" customHeight="1">
      <x:c r="A174" s="93" t="n">
        <x:v>166</x:v>
      </x:c>
      <x:c r="B174" s="94" t="inlineStr">
        <x:is>
          <x:t xml:space="preserve">Interaction</x:t>
        </x:is>
      </x:c>
      <x:c r="C174" s="94" t="inlineStr">
        <x:is>
          <x:t xml:space="preserve">Checkbox item</x:t>
        </x:is>
      </x:c>
      <x:c r="D174" s="94" t="inlineStr">
        <x:is>
          <x:t xml:space="preserve">pointer/click activation toggles a checkbox item in the existing desktop manual scenario</x:t>
        </x:is>
      </x:c>
      <x:c r="E174" s="93" t="inlineStr">
        <x:is>
          <x:t xml:space="preserve">yes</x:t>
        </x:is>
      </x:c>
      <x:c r="F174" s="93" t="inlineStr">
        <x:is>
          <x:t xml:space="preserve">yes</x:t>
        </x:is>
      </x:c>
      <x:c r="G174" s="93" t="inlineStr">
        <x:is>
          <x:t xml:space="preserve">passed existing desktop browser/manual baseline; mobile device qualification not run</x:t>
        </x:is>
      </x:c>
      <x:c r="H174" s="93" t="inlineStr">
        <x:is>
          <x:t xml:space="preserve">covered</x:t>
        </x:is>
      </x:c>
      <x:c r="I174" s="94" t="inlineStr">
        <x:is>
          <x:t xml:space="preserve">Existing desktop browser/manual baseline; not real iOS Safari or Android Chrome evidence.</x:t>
        </x:is>
      </x:c>
      <x:c r="J174" s="94" t="n"/>
      <x:c r="K174" s="95" t="n">
        <x:f>IF(AND(E174="yes",F174="yes",H174="covered"),1,IF(H174="partial",0.5,0))</x:f>
        <x:v>1</x:v>
      </x:c>
    </x:row>
    <x:row r="175" s="51" customFormat="1" ht="30" customHeight="1">
      <x:c r="A175" s="93" t="n">
        <x:v>167</x:v>
      </x:c>
      <x:c r="B175" s="94" t="inlineStr">
        <x:is>
          <x:t xml:space="preserve">Interaction</x:t>
        </x:is>
      </x:c>
      <x:c r="C175" s="94" t="inlineStr">
        <x:is>
          <x:t xml:space="preserve">Radio item</x:t>
        </x:is>
      </x:c>
      <x:c r="D175" s="94" t="inlineStr">
        <x:is>
          <x:t xml:space="preserve">pointer/click activation selects a radio item in the existing desktop manual scenario</x:t>
        </x:is>
      </x:c>
      <x:c r="E175" s="93" t="inlineStr">
        <x:is>
          <x:t xml:space="preserve">yes</x:t>
        </x:is>
      </x:c>
      <x:c r="F175" s="93" t="inlineStr">
        <x:is>
          <x:t xml:space="preserve">yes</x:t>
        </x:is>
      </x:c>
      <x:c r="G175" s="93" t="inlineStr">
        <x:is>
          <x:t xml:space="preserve">passed existing desktop browser/manual baseline; mobile device qualification not run</x:t>
        </x:is>
      </x:c>
      <x:c r="H175" s="93" t="inlineStr">
        <x:is>
          <x:t xml:space="preserve">covered</x:t>
        </x:is>
      </x:c>
      <x:c r="I175" s="94" t="inlineStr">
        <x:is>
          <x:t xml:space="preserve">Existing desktop browser/manual baseline; not real iOS Safari or Android Chrome evidence.</x:t>
        </x:is>
      </x:c>
      <x:c r="J175" s="94" t="n"/>
      <x:c r="K175" s="95" t="n">
        <x:f>IF(AND(E175="yes",F175="yes",H175="covered"),1,IF(H175="partial",0.5,0))</x:f>
        <x:v>1</x:v>
      </x:c>
    </x:row>
    <x:row r="176" s="51" customFormat="1" ht="30" customHeight="1">
      <x:c r="A176" s="93" t="n">
        <x:v>168</x:v>
      </x:c>
      <x:c r="B176" s="94" t="inlineStr">
        <x:is>
          <x:t xml:space="preserve">Interaction</x:t>
        </x:is>
      </x:c>
      <x:c r="C176" s="94" t="inlineStr">
        <x:is>
          <x:t xml:space="preserve">Submenu</x:t>
        </x:is>
      </x:c>
      <x:c r="D176" s="94" t="inlineStr">
        <x:is>
          <x:t xml:space="preserve">pointer/click activation opens a submenu in the existing desktop manual scenario</x:t>
        </x:is>
      </x:c>
      <x:c r="E176" s="93" t="inlineStr">
        <x:is>
          <x:t xml:space="preserve">yes</x:t>
        </x:is>
      </x:c>
      <x:c r="F176" s="93" t="inlineStr">
        <x:is>
          <x:t xml:space="preserve">yes</x:t>
        </x:is>
      </x:c>
      <x:c r="G176" s="93" t="inlineStr">
        <x:is>
          <x:t xml:space="preserve">passed existing desktop browser/manual baseline; mobile device qualification not run</x:t>
        </x:is>
      </x:c>
      <x:c r="H176" s="93" t="inlineStr">
        <x:is>
          <x:t xml:space="preserve">covered</x:t>
        </x:is>
      </x:c>
      <x:c r="I176" s="94" t="inlineStr">
        <x:is>
          <x:t xml:space="preserve">Existing desktop browser/manual baseline; not real iOS Safari or Android Chrome evidence.</x:t>
        </x:is>
      </x:c>
      <x:c r="J176" s="94" t="n"/>
      <x:c r="K176" s="95" t="n">
        <x:f>IF(AND(E176="yes",F176="yes",H176="covered"),1,IF(H176="partial",0.5,0))</x:f>
        <x:v>1</x:v>
      </x:c>
    </x:row>
    <x:row r="177" s="51" customFormat="1" ht="30" customHeight="1">
      <x:c r="A177" s="73" t="n">
        <x:v>169</x:v>
      </x:c>
      <x:c r="B177" s="84" t="inlineStr">
        <x:is>
          <x:t xml:space="preserve">Interaction</x:t>
        </x:is>
      </x:c>
      <x:c r="C177" s="84" t="inlineStr">
        <x:is>
          <x:t xml:space="preserve">Outside interaction</x:t>
        </x:is>
      </x:c>
      <x:c r="D177" s="84" t="inlineStr">
        <x:is>
          <x:t xml:space="preserve">mouse outside press closes immediately; touch or pen outside release closes only after an uncancelled gesture</x:t>
        </x:is>
      </x:c>
      <x:c r="E177" s="76" t="inlineStr">
        <x:is>
          <x:t xml:space="preserve">yes</x:t>
        </x:is>
      </x:c>
      <x:c r="F177" s="85" t="inlineStr">
        <x:is>
          <x:t xml:space="preserve">no</x:t>
        </x:is>
      </x:c>
      <x:c r="G177" s="73" t="inlineStr">
        <x:is>
          <x:t xml:space="preserve">automated tests pass; manual pending</x:t>
        </x:is>
      </x:c>
      <x:c r="H177" s="86" t="inlineStr">
        <x:is>
          <x:t xml:space="preserve">untested</x:t>
        </x:is>
      </x:c>
      <x:c r="I177" s="84" t="inlineStr">
        <x:is>
          <x:t xml:space="preserve">playground/.manual-tests/menu.md (draft)</x:t>
        </x:is>
      </x:c>
      <x:c r="J177" s="84" t="inlineStr">
        <x:is>
          <x:t xml:space="preserve">Run the updated component Manual Test Protocol and named browser/device matrix.</x:t>
        </x:is>
      </x:c>
      <x:c r="K177" s="87" t="n">
        <x:f>IF(AND(E177="yes",F177="yes",H177="covered"),1,IF(H177="partial",0.5,0))</x:f>
        <x:v>0</x:v>
      </x:c>
    </x:row>
    <x:row r="178" s="51" customFormat="1" ht="30" customHeight="1">
      <x:c r="A178" s="93" t="n">
        <x:v>170</x:v>
      </x:c>
      <x:c r="B178" s="94" t="inlineStr">
        <x:is>
          <x:t xml:space="preserve">Keyboard</x:t>
        </x:is>
      </x:c>
      <x:c r="C178" s="94" t="inlineStr">
        <x:is>
          <x:t xml:space="preserve">Typeahead</x:t>
        </x:is>
      </x:c>
      <x:c r="D178" s="94" t="inlineStr">
        <x:is>
          <x:t xml:space="preserve">single-character typeahead cycles from current matching item after buffer reset</x:t>
        </x:is>
      </x:c>
      <x:c r="E178" s="93" t="inlineStr">
        <x:is>
          <x:t xml:space="preserve">yes</x:t>
        </x:is>
      </x:c>
      <x:c r="F178" s="93" t="inlineStr">
        <x:is>
          <x:t xml:space="preserve">yes</x:t>
        </x:is>
      </x:c>
      <x:c r="G178" s="93" t="inlineStr">
        <x:is>
          <x:t xml:space="preserve">pass</x:t>
        </x:is>
      </x:c>
      <x:c r="H178" s="93" t="inlineStr">
        <x:is>
          <x:t xml:space="preserve">covered</x:t>
        </x:is>
      </x:c>
      <x:c r="I178" s="94" t="inlineStr">
        <x:is>
          <x:t xml:space="preserve">Menu playground manual verification.</x:t>
        </x:is>
      </x:c>
      <x:c r="J178" s="94" t="n"/>
      <x:c r="K178" s="95" t="n">
        <x:f>IF(AND(E178="yes",F178="yes",H178="covered"),1,IF(H178="partial",0.5,0))</x:f>
        <x:v>1</x:v>
      </x:c>
    </x:row>
    <x:row r="179" s="51" customFormat="1" ht="30" customHeight="1">
      <x:c r="A179" s="93" t="n">
        <x:v>171</x:v>
      </x:c>
      <x:c r="B179" s="94" t="inlineStr">
        <x:is>
          <x:t xml:space="preserve">Direction</x:t>
        </x:is>
      </x:c>
      <x:c r="C179" s="94" t="inlineStr">
        <x:is>
          <x:t xml:space="preserve">Submenu</x:t>
        </x:is>
      </x:c>
      <x:c r="D179" s="94" t="inlineStr">
        <x:is>
          <x:t xml:space="preserve">reads Direction.Provider context for submenu keyboard behavior</x:t>
        </x:is>
      </x:c>
      <x:c r="E179" s="93" t="inlineStr">
        <x:is>
          <x:t xml:space="preserve">yes</x:t>
        </x:is>
      </x:c>
      <x:c r="F179" s="93" t="inlineStr">
        <x:is>
          <x:t xml:space="preserve">yes</x:t>
        </x:is>
      </x:c>
      <x:c r="G179" s="93" t="inlineStr">
        <x:is>
          <x:t xml:space="preserve">pass</x:t>
        </x:is>
      </x:c>
      <x:c r="H179" s="93" t="inlineStr">
        <x:is>
          <x:t xml:space="preserve">covered</x:t>
        </x:is>
      </x:c>
      <x:c r="I179" s="94" t="inlineStr">
        <x:is>
          <x:t xml:space="preserve">Menu playground manual verification.</x:t>
        </x:is>
      </x:c>
      <x:c r="J179" s="94" t="n"/>
      <x:c r="K179" s="95" t="n">
        <x:f>IF(AND(E179="yes",F179="yes",H179="covered"),1,IF(H179="partial",0.5,0))</x:f>
        <x:v>1</x:v>
      </x:c>
    </x:row>
    <x:row r="180" s="51" customFormat="1" ht="30" customHeight="1">
      <x:c r="A180" s="93" t="n">
        <x:v>172</x:v>
      </x:c>
      <x:c r="B180" s="94" t="inlineStr">
        <x:is>
          <x:t xml:space="preserve">Direction</x:t>
        </x:is>
      </x:c>
      <x:c r="C180" s="94" t="inlineStr">
        <x:is>
          <x:t xml:space="preserve">Submenu</x:t>
        </x:is>
      </x:c>
      <x:c r="D180" s="94" t="inlineStr">
        <x:is>
          <x:t xml:space="preserve">RTL mirrors submenu ArrowLeft and ArrowRight open/close behavior</x:t>
        </x:is>
      </x:c>
      <x:c r="E180" s="93" t="inlineStr">
        <x:is>
          <x:t xml:space="preserve">yes</x:t>
        </x:is>
      </x:c>
      <x:c r="F180" s="93" t="inlineStr">
        <x:is>
          <x:t xml:space="preserve">yes</x:t>
        </x:is>
      </x:c>
      <x:c r="G180" s="93" t="inlineStr">
        <x:is>
          <x:t xml:space="preserve">pass</x:t>
        </x:is>
      </x:c>
      <x:c r="H180" s="93" t="inlineStr">
        <x:is>
          <x:t xml:space="preserve">covered</x:t>
        </x:is>
      </x:c>
      <x:c r="I180" s="94" t="inlineStr">
        <x:is>
          <x:t xml:space="preserve">Menu playground manual verification.</x:t>
        </x:is>
      </x:c>
      <x:c r="J180" s="94" t="n"/>
      <x:c r="K180" s="95" t="n">
        <x:f>IF(AND(E180="yes",F180="yes",H180="covered"),1,IF(H180="partial",0.5,0))</x:f>
        <x:v>1</x:v>
      </x:c>
    </x:row>
    <x:row r="181" s="51" customFormat="1" ht="30" customHeight="1">
      <x:c r="A181" s="93" t="n">
        <x:v>173</x:v>
      </x:c>
      <x:c r="B181" s="94" t="inlineStr">
        <x:is>
          <x:t xml:space="preserve">Playground</x:t>
        </x:is>
      </x:c>
      <x:c r="C181" s="94" t="inlineStr">
        <x:is>
          <x:t xml:space="preserve">Direction controls</x:t>
        </x:is>
      </x:c>
      <x:c r="D181" s="94" t="inlineStr">
        <x:is>
          <x:t xml:space="preserve">scenario exposes provider direction controls</x:t>
        </x:is>
      </x:c>
      <x:c r="E181" s="93" t="inlineStr">
        <x:is>
          <x:t xml:space="preserve">yes</x:t>
        </x:is>
      </x:c>
      <x:c r="F181" s="93" t="inlineStr">
        <x:is>
          <x:t xml:space="preserve">yes</x:t>
        </x:is>
      </x:c>
      <x:c r="G181" s="93" t="inlineStr">
        <x:is>
          <x:t xml:space="preserve">pass</x:t>
        </x:is>
      </x:c>
      <x:c r="H181" s="93" t="inlineStr">
        <x:is>
          <x:t xml:space="preserve">covered</x:t>
        </x:is>
      </x:c>
      <x:c r="I181" s="94" t="inlineStr">
        <x:is>
          <x:t xml:space="preserve">Menu playground manual verification.</x:t>
        </x:is>
      </x:c>
      <x:c r="J181" s="94" t="n"/>
      <x:c r="K181" s="95" t="n">
        <x:f>IF(AND(E181="yes",F181="yes",H181="covered"),1,IF(H181="partial",0.5,0))</x:f>
        <x:v>1</x:v>
      </x:c>
    </x:row>
    <x:row r="182" s="51" customFormat="1" ht="30" customHeight="1">
      <x:c r="A182" s="73" t="n">
        <x:v>174</x:v>
      </x:c>
      <x:c r="B182" s="84" t="inlineStr">
        <x:is>
          <x:t xml:space="preserve">Public API</x:t>
        </x:is>
      </x:c>
      <x:c r="C182" s="84" t="inlineStr">
        <x:is>
          <x:t xml:space="preserve">Portal</x:t>
        </x:is>
      </x:c>
      <x:c r="D182" s="84" t="inlineStr">
        <x:is>
          <x:t xml:space="preserve">explicit Portal supports body, custom-container, and disabled inline emission without double portalling</x:t>
        </x:is>
      </x:c>
      <x:c r="E182" s="76" t="inlineStr">
        <x:is>
          <x:t xml:space="preserve">yes</x:t>
        </x:is>
      </x:c>
      <x:c r="F182" s="85" t="inlineStr">
        <x:is>
          <x:t xml:space="preserve">no</x:t>
        </x:is>
      </x:c>
      <x:c r="G182" s="73" t="inlineStr">
        <x:is>
          <x:t xml:space="preserve">automated tests pass; manual pending</x:t>
        </x:is>
      </x:c>
      <x:c r="H182" s="86" t="inlineStr">
        <x:is>
          <x:t xml:space="preserve">untested</x:t>
        </x:is>
      </x:c>
      <x:c r="I182" s="84" t="inlineStr">
        <x:is>
          <x:t xml:space="preserve">playground/.manual-tests/menu.md (draft)</x:t>
        </x:is>
      </x:c>
      <x:c r="J182" s="84" t="inlineStr">
        <x:is>
          <x:t xml:space="preserve">Run the updated component Manual Test Protocol and named browser/device matrix.</x:t>
        </x:is>
      </x:c>
      <x:c r="K182" s="87" t="n">
        <x:f>IF(AND(E182="yes",F182="yes",H182="covered"),1,IF(H182="partial",0.5,0))</x:f>
        <x:v>0</x:v>
      </x:c>
    </x:row>
    <x:row r="183" s="51" customFormat="1" ht="30" customHeight="1">
      <x:c r="A183" s="73" t="n">
        <x:v>175</x:v>
      </x:c>
      <x:c r="B183" s="84" t="inlineStr">
        <x:is>
          <x:t xml:space="preserve">Public API</x:t>
        </x:is>
      </x:c>
      <x:c r="C183" s="84" t="inlineStr">
        <x:is>
          <x:t xml:space="preserve">Arrow</x:t>
        </x:is>
      </x:c>
      <x:c r="D183" s="84" t="inlineStr">
        <x:is>
          <x:t xml:space="preserve">Arrow renders positioning geometry with menu-arrow slot and resolved side and align data</x:t>
        </x:is>
      </x:c>
      <x:c r="E183" s="76" t="inlineStr">
        <x:is>
          <x:t xml:space="preserve">yes</x:t>
        </x:is>
      </x:c>
      <x:c r="F183" s="85" t="inlineStr">
        <x:is>
          <x:t xml:space="preserve">no</x:t>
        </x:is>
      </x:c>
      <x:c r="G183" s="73" t="inlineStr">
        <x:is>
          <x:t xml:space="preserve">automated tests pass; manual pending</x:t>
        </x:is>
      </x:c>
      <x:c r="H183" s="86" t="inlineStr">
        <x:is>
          <x:t xml:space="preserve">untested</x:t>
        </x:is>
      </x:c>
      <x:c r="I183" s="84" t="inlineStr">
        <x:is>
          <x:t xml:space="preserve">playground/.manual-tests/menu.md (draft)</x:t>
        </x:is>
      </x:c>
      <x:c r="J183" s="84" t="inlineStr">
        <x:is>
          <x:t xml:space="preserve">Run the updated component Manual Test Protocol and named browser/device matrix.</x:t>
        </x:is>
      </x:c>
      <x:c r="K183" s="87" t="n">
        <x:f>IF(AND(E183="yes",F183="yes",H183="covered"),1,IF(H183="partial",0.5,0))</x:f>
        <x:v>0</x:v>
      </x:c>
    </x:row>
    <x:row r="184" s="51" customFormat="1" ht="30" customHeight="1">
      <x:c r="A184" s="73" t="n">
        <x:v>176</x:v>
      </x:c>
      <x:c r="B184" s="84" t="inlineStr">
        <x:is>
          <x:t xml:space="preserve">Accessibility</x:t>
        </x:is>
      </x:c>
      <x:c r="C184" s="84" t="inlineStr">
        <x:is>
          <x:t xml:space="preserve">Label</x:t>
        </x:is>
      </x:c>
      <x:c r="D184" s="84" t="inlineStr">
        <x:is>
          <x:t xml:space="preserve">a nested Label automatically names Group while explicit aria-label or aria-labelledby remains authoritative</x:t>
        </x:is>
      </x:c>
      <x:c r="E184" s="76" t="inlineStr">
        <x:is>
          <x:t xml:space="preserve">yes</x:t>
        </x:is>
      </x:c>
      <x:c r="F184" s="85" t="inlineStr">
        <x:is>
          <x:t xml:space="preserve">no</x:t>
        </x:is>
      </x:c>
      <x:c r="G184" s="73" t="inlineStr">
        <x:is>
          <x:t xml:space="preserve">automated tests pass; manual pending</x:t>
        </x:is>
      </x:c>
      <x:c r="H184" s="86" t="inlineStr">
        <x:is>
          <x:t xml:space="preserve">untested</x:t>
        </x:is>
      </x:c>
      <x:c r="I184" s="84" t="inlineStr">
        <x:is>
          <x:t xml:space="preserve">playground/.manual-tests/menu.md (draft)</x:t>
        </x:is>
      </x:c>
      <x:c r="J184" s="84" t="inlineStr">
        <x:is>
          <x:t xml:space="preserve">Run the updated component Manual Test Protocol and named browser/device matrix.</x:t>
        </x:is>
      </x:c>
      <x:c r="K184" s="87" t="n">
        <x:f>IF(AND(E184="yes",F184="yes",H184="covered"),1,IF(H184="partial",0.5,0))</x:f>
        <x:v>0</x:v>
      </x:c>
    </x:row>
    <x:row r="185" s="51" customFormat="1" ht="30" customHeight="1">
      <x:c r="A185" s="73" t="n">
        <x:v>177</x:v>
      </x:c>
      <x:c r="B185" s="84" t="inlineStr">
        <x:is>
          <x:t xml:space="preserve">Accessibility</x:t>
        </x:is>
      </x:c>
      <x:c r="C185" s="84" t="inlineStr">
        <x:is>
          <x:t xml:space="preserve">Label</x:t>
        </x:is>
      </x:c>
      <x:c r="D185" s="84" t="inlineStr">
        <x:is>
          <x:t xml:space="preserve">a nested Label automatically names Radio Group while explicit native naming remains authoritative</x:t>
        </x:is>
      </x:c>
      <x:c r="E185" s="76" t="inlineStr">
        <x:is>
          <x:t xml:space="preserve">yes</x:t>
        </x:is>
      </x:c>
      <x:c r="F185" s="85" t="inlineStr">
        <x:is>
          <x:t xml:space="preserve">no</x:t>
        </x:is>
      </x:c>
      <x:c r="G185" s="73" t="inlineStr">
        <x:is>
          <x:t xml:space="preserve">automated tests pass; manual pending</x:t>
        </x:is>
      </x:c>
      <x:c r="H185" s="86" t="inlineStr">
        <x:is>
          <x:t xml:space="preserve">untested</x:t>
        </x:is>
      </x:c>
      <x:c r="I185" s="84" t="inlineStr">
        <x:is>
          <x:t xml:space="preserve">playground/.manual-tests/menu.md (draft)</x:t>
        </x:is>
      </x:c>
      <x:c r="J185" s="84" t="inlineStr">
        <x:is>
          <x:t xml:space="preserve">Run the updated component Manual Test Protocol and named browser/device matrix.</x:t>
        </x:is>
      </x:c>
      <x:c r="K185" s="87" t="n">
        <x:f>IF(AND(E185="yes",F185="yes",H185="covered"),1,IF(H185="partial",0.5,0))</x:f>
        <x:v>0</x:v>
      </x:c>
    </x:row>
    <x:row r="186" s="51" customFormat="1" ht="30" customHeight="1">
      <x:c r="A186" s="73" t="n">
        <x:v>178</x:v>
      </x:c>
      <x:c r="B186" s="84" t="inlineStr">
        <x:is>
          <x:t xml:space="preserve">Public API</x:t>
        </x:is>
      </x:c>
      <x:c r="C186" s="84" t="inlineStr">
        <x:is>
          <x:t xml:space="preserve">Item Indicator</x:t>
        </x:is>
      </x:c>
      <x:c r="D186" s="84" t="inlineStr">
        <x:is>
          <x:t xml:space="preserve">Checkbox and Radio ItemIndicator mount only for checked or indeterminate state unless forceMount is set</x:t>
        </x:is>
      </x:c>
      <x:c r="E186" s="76" t="inlineStr">
        <x:is>
          <x:t xml:space="preserve">yes</x:t>
        </x:is>
      </x:c>
      <x:c r="F186" s="85" t="inlineStr">
        <x:is>
          <x:t xml:space="preserve">no</x:t>
        </x:is>
      </x:c>
      <x:c r="G186" s="73" t="inlineStr">
        <x:is>
          <x:t xml:space="preserve">automated tests pass; manual pending</x:t>
        </x:is>
      </x:c>
      <x:c r="H186" s="86" t="inlineStr">
        <x:is>
          <x:t xml:space="preserve">untested</x:t>
        </x:is>
      </x:c>
      <x:c r="I186" s="84" t="inlineStr">
        <x:is>
          <x:t xml:space="preserve">playground/.manual-tests/menu.md (draft)</x:t>
        </x:is>
      </x:c>
      <x:c r="J186" s="84" t="inlineStr">
        <x:is>
          <x:t xml:space="preserve">Run the updated component Manual Test Protocol and named browser/device matrix.</x:t>
        </x:is>
      </x:c>
      <x:c r="K186" s="87" t="n">
        <x:f>IF(AND(E186="yes",F186="yes",H186="covered"),1,IF(H186="partial",0.5,0))</x:f>
        <x:v>0</x:v>
      </x:c>
    </x:row>
    <x:row r="187" s="51" customFormat="1" ht="30" customHeight="1">
      <x:c r="A187" s="73" t="n">
        <x:v>179</x:v>
      </x:c>
      <x:c r="B187" s="84" t="inlineStr">
        <x:is>
          <x:t xml:space="preserve">Accessibility</x:t>
        </x:is>
      </x:c>
      <x:c r="C187" s="84" t="inlineStr">
        <x:is>
          <x:t xml:space="preserve">Checkbox Item</x:t>
        </x:is>
      </x:c>
      <x:c r="D187" s="84" t="inlineStr">
        <x:is>
          <x:t xml:space="preserve">indeterminate state exposes aria-checked mixed and data-state indeterminate</x:t>
        </x:is>
      </x:c>
      <x:c r="E187" s="76" t="inlineStr">
        <x:is>
          <x:t xml:space="preserve">yes</x:t>
        </x:is>
      </x:c>
      <x:c r="F187" s="85" t="inlineStr">
        <x:is>
          <x:t xml:space="preserve">no</x:t>
        </x:is>
      </x:c>
      <x:c r="G187" s="73" t="inlineStr">
        <x:is>
          <x:t xml:space="preserve">automated tests pass; manual pending</x:t>
        </x:is>
      </x:c>
      <x:c r="H187" s="86" t="inlineStr">
        <x:is>
          <x:t xml:space="preserve">untested</x:t>
        </x:is>
      </x:c>
      <x:c r="I187" s="84" t="inlineStr">
        <x:is>
          <x:t xml:space="preserve">playground/.manual-tests/menu.md (draft)</x:t>
        </x:is>
      </x:c>
      <x:c r="J187" s="84" t="inlineStr">
        <x:is>
          <x:t xml:space="preserve">Run the updated component Manual Test Protocol and named browser/device matrix.</x:t>
        </x:is>
      </x:c>
      <x:c r="K187" s="87" t="n">
        <x:f>IF(AND(E187="yes",F187="yes",H187="covered"),1,IF(H187="partial",0.5,0))</x:f>
        <x:v>0</x:v>
      </x:c>
    </x:row>
    <x:row r="188" s="51" customFormat="1" ht="30" customHeight="1">
      <x:c r="A188" s="73" t="n">
        <x:v>180</x:v>
      </x:c>
      <x:c r="B188" s="84" t="inlineStr">
        <x:is>
          <x:t xml:space="preserve">Focus</x:t>
        </x:is>
      </x:c>
      <x:c r="C188" s="84" t="inlineStr">
        <x:is>
          <x:t xml:space="preserve">Content</x:t>
        </x:is>
      </x:c>
      <x:c r="D188" s="84" t="inlineStr">
        <x:is>
          <x:t xml:space="preserve">Opening waits for placement; first/last item reveal scrolls only inside its menu, never the page or surrounding panels</x:t>
        </x:is>
      </x:c>
      <x:c r="E188" s="76" t="inlineStr">
        <x:is>
          <x:t xml:space="preserve">yes</x:t>
        </x:is>
      </x:c>
      <x:c r="F188" s="85" t="inlineStr">
        <x:is>
          <x:t xml:space="preserve">no</x:t>
        </x:is>
      </x:c>
      <x:c r="G188" s="73" t="inlineStr">
        <x:is>
          <x:t xml:space="preserve">automated tests pass; manual pending</x:t>
        </x:is>
      </x:c>
      <x:c r="H188" s="86" t="inlineStr">
        <x:is>
          <x:t xml:space="preserve">untested</x:t>
        </x:is>
      </x:c>
      <x:c r="I188" s="84" t="inlineStr">
        <x:is>
          <x:t xml:space="preserve">test/browser/menu-scroll.spec.ts: 12 checks pass across Chromium, Firefox and WebKit; manual pending.</x:t>
        </x:is>
      </x:c>
      <x:c r="J188" s="84" t="inlineStr">
        <x:is>
          <x:t xml:space="preserve">Run the updated component Manual Test Protocol and named browser/device matrix.</x:t>
        </x:is>
      </x:c>
      <x:c r="K188" s="87" t="n">
        <x:f>IF(AND(E188="yes",F188="yes",H188="covered"),1,IF(H188="partial",0.5,0))</x:f>
        <x:v>0</x:v>
      </x:c>
    </x:row>
    <x:row r="189" s="51" customFormat="1" ht="30" customHeight="1">
      <x:c r="A189" s="73" t="n">
        <x:v>181</x:v>
      </x:c>
      <x:c r="B189" s="84" t="inlineStr">
        <x:is>
          <x:t xml:space="preserve">Focus</x:t>
        </x:is>
      </x:c>
      <x:c r="C189" s="84" t="inlineStr">
        <x:is>
          <x:t xml:space="preserve">Open And Close</x:t>
        </x:is>
      </x:c>
      <x:c r="D189" s="84" t="inlineStr">
        <x:is>
          <x:t xml:space="preserve">Shift+Tab closes every menu level and moves focus before the complete owner boundary</x:t>
        </x:is>
      </x:c>
      <x:c r="E189" s="76" t="inlineStr">
        <x:is>
          <x:t xml:space="preserve">yes</x:t>
        </x:is>
      </x:c>
      <x:c r="F189" s="85" t="inlineStr">
        <x:is>
          <x:t xml:space="preserve">no</x:t>
        </x:is>
      </x:c>
      <x:c r="G189" s="73" t="inlineStr">
        <x:is>
          <x:t xml:space="preserve">automated tests pass; manual pending</x:t>
        </x:is>
      </x:c>
      <x:c r="H189" s="86" t="inlineStr">
        <x:is>
          <x:t xml:space="preserve">untested</x:t>
        </x:is>
      </x:c>
      <x:c r="I189" s="84" t="inlineStr">
        <x:is>
          <x:t xml:space="preserve">playground/.manual-tests/menu.md (draft)</x:t>
        </x:is>
      </x:c>
      <x:c r="J189" s="84" t="inlineStr">
        <x:is>
          <x:t xml:space="preserve">Run the updated component Manual Test Protocol and named browser/device matrix.</x:t>
        </x:is>
      </x:c>
      <x:c r="K189" s="87" t="n">
        <x:f>IF(AND(E189="yes",F189="yes",H189="covered"),1,IF(H189="partial",0.5,0))</x:f>
        <x:v>0</x:v>
      </x:c>
    </x:row>
    <x:row r="190" s="51" customFormat="1" ht="30" customHeight="1">
      <x:c r="A190" s="73" t="n">
        <x:v>182</x:v>
      </x:c>
      <x:c r="B190" s="84" t="inlineStr">
        <x:is>
          <x:t xml:space="preserve">Pointer</x:t>
        </x:is>
      </x:c>
      <x:c r="C190" s="84" t="inlineStr">
        <x:is>
          <x:t xml:space="preserve">Sub Trigger</x:t>
        </x:is>
      </x:c>
      <x:c r="D190" s="84" t="inlineStr">
        <x:is>
          <x:t xml:space="preserve">touch and pen contact cannot start mouse-hover submenu timers while click or tap remains usable</x:t>
        </x:is>
      </x:c>
      <x:c r="E190" s="76" t="inlineStr">
        <x:is>
          <x:t xml:space="preserve">yes</x:t>
        </x:is>
      </x:c>
      <x:c r="F190" s="85" t="inlineStr">
        <x:is>
          <x:t xml:space="preserve">no</x:t>
        </x:is>
      </x:c>
      <x:c r="G190" s="73" t="inlineStr">
        <x:is>
          <x:t xml:space="preserve">automated tests pass; manual pending</x:t>
        </x:is>
      </x:c>
      <x:c r="H190" s="86" t="inlineStr">
        <x:is>
          <x:t xml:space="preserve">untested</x:t>
        </x:is>
      </x:c>
      <x:c r="I190" s="84" t="inlineStr">
        <x:is>
          <x:t xml:space="preserve">playground/.manual-tests/menu.md (draft)</x:t>
        </x:is>
      </x:c>
      <x:c r="J190" s="84" t="inlineStr">
        <x:is>
          <x:t xml:space="preserve">Run the updated component Manual Test Protocol and named browser/device matrix.</x:t>
        </x:is>
      </x:c>
      <x:c r="K190" s="87" t="n">
        <x:f>IF(AND(E190="yes",F190="yes",H190="covered"),1,IF(H190="partial",0.5,0))</x:f>
        <x:v>0</x:v>
      </x:c>
    </x:row>
    <x:row r="191" s="51" customFormat="1" ht="30" customHeight="1">
      <x:c r="A191" s="73" t="n">
        <x:v>183</x:v>
      </x:c>
      <x:c r="B191" s="84" t="inlineStr">
        <x:is>
          <x:t xml:space="preserve">Pointer</x:t>
        </x:is>
      </x:c>
      <x:c r="C191" s="84" t="inlineStr">
        <x:is>
          <x:t xml:space="preserve">Outside interaction</x:t>
        </x:is>
      </x:c>
      <x:c r="D191" s="84" t="inlineStr">
        <x:is>
          <x:t xml:space="preserve">touch and pen outside dismissal cancels on movement, scroll, pointer cancellation, or a second pointer</x:t>
        </x:is>
      </x:c>
      <x:c r="E191" s="76" t="inlineStr">
        <x:is>
          <x:t xml:space="preserve">yes</x:t>
        </x:is>
      </x:c>
      <x:c r="F191" s="85" t="inlineStr">
        <x:is>
          <x:t xml:space="preserve">no</x:t>
        </x:is>
      </x:c>
      <x:c r="G191" s="73" t="inlineStr">
        <x:is>
          <x:t xml:space="preserve">automated tests pass; manual pending</x:t>
        </x:is>
      </x:c>
      <x:c r="H191" s="86" t="inlineStr">
        <x:is>
          <x:t xml:space="preserve">untested</x:t>
        </x:is>
      </x:c>
      <x:c r="I191" s="84" t="inlineStr">
        <x:is>
          <x:t xml:space="preserve">playground/.manual-tests/menu.md (draft)</x:t>
        </x:is>
      </x:c>
      <x:c r="J191" s="84" t="inlineStr">
        <x:is>
          <x:t xml:space="preserve">Run the updated component Manual Test Protocol and named browser/device matrix.</x:t>
        </x:is>
      </x:c>
      <x:c r="K191" s="87" t="n">
        <x:f>IF(AND(E191="yes",F191="yes",H191="covered"),1,IF(H191="partial",0.5,0))</x:f>
        <x:v>0</x:v>
      </x:c>
    </x:row>
    <x:row r="192" s="51" customFormat="1" ht="30" customHeight="1">
      <x:c r="A192" s="73" t="n">
        <x:v>184</x:v>
      </x:c>
      <x:c r="B192" s="84" t="inlineStr">
        <x:is>
          <x:t xml:space="preserve">Portal And Positioning</x:t>
        </x:is>
      </x:c>
      <x:c r="C192" s="84" t="inlineStr">
        <x:is>
          <x:t xml:space="preserve">Content</x:t>
        </x:is>
      </x:c>
      <x:c r="D192" s="84" t="inlineStr">
        <x:is>
          <x:t xml:space="preserve">Content exposes available width and height, trigger width and height, and transform-origin CSS variables</x:t>
        </x:is>
      </x:c>
      <x:c r="E192" s="76" t="inlineStr">
        <x:is>
          <x:t xml:space="preserve">yes</x:t>
        </x:is>
      </x:c>
      <x:c r="F192" s="85" t="inlineStr">
        <x:is>
          <x:t xml:space="preserve">no</x:t>
        </x:is>
      </x:c>
      <x:c r="G192" s="73" t="inlineStr">
        <x:is>
          <x:t xml:space="preserve">automated tests pass; manual pending</x:t>
        </x:is>
      </x:c>
      <x:c r="H192" s="86" t="inlineStr">
        <x:is>
          <x:t xml:space="preserve">untested</x:t>
        </x:is>
      </x:c>
      <x:c r="I192" s="84" t="inlineStr">
        <x:is>
          <x:t xml:space="preserve">playground/.manual-tests/menu.md (draft)</x:t>
        </x:is>
      </x:c>
      <x:c r="J192" s="84" t="inlineStr">
        <x:is>
          <x:t xml:space="preserve">Run the updated component Manual Test Protocol and named browser/device matrix.</x:t>
        </x:is>
      </x:c>
      <x:c r="K192" s="87" t="n">
        <x:f>IF(AND(E192="yes",F192="yes",H192="covered"),1,IF(H192="partial",0.5,0))</x:f>
        <x:v>0</x:v>
      </x:c>
    </x:row>
    <x:row r="193" s="51" customFormat="1" ht="30" customHeight="1">
      <x:c r="A193" s="73" t="n">
        <x:v>185</x:v>
      </x:c>
      <x:c r="B193" s="84" t="inlineStr">
        <x:is>
          <x:t xml:space="preserve">Portal And Positioning</x:t>
        </x:is>
      </x:c>
      <x:c r="C193" s="84" t="inlineStr">
        <x:is>
          <x:t xml:space="preserve">Sub Content</x:t>
        </x:is>
      </x:c>
      <x:c r="D193" s="84" t="inlineStr">
        <x:is>
          <x:t xml:space="preserve">Sub Content exposes available width and height, trigger width and height, and transform-origin CSS variables</x:t>
        </x:is>
      </x:c>
      <x:c r="E193" s="76" t="inlineStr">
        <x:is>
          <x:t xml:space="preserve">yes</x:t>
        </x:is>
      </x:c>
      <x:c r="F193" s="85" t="inlineStr">
        <x:is>
          <x:t xml:space="preserve">no</x:t>
        </x:is>
      </x:c>
      <x:c r="G193" s="73" t="inlineStr">
        <x:is>
          <x:t xml:space="preserve">automated tests pass; manual pending</x:t>
        </x:is>
      </x:c>
      <x:c r="H193" s="86" t="inlineStr">
        <x:is>
          <x:t xml:space="preserve">untested</x:t>
        </x:is>
      </x:c>
      <x:c r="I193" s="84" t="inlineStr">
        <x:is>
          <x:t xml:space="preserve">playground/.manual-tests/menu.md (draft)</x:t>
        </x:is>
      </x:c>
      <x:c r="J193" s="84" t="inlineStr">
        <x:is>
          <x:t xml:space="preserve">Run the updated component Manual Test Protocol and named browser/device matrix.</x:t>
        </x:is>
      </x:c>
      <x:c r="K193" s="87" t="n">
        <x:f>IF(AND(E193="yes",F193="yes",H193="covered"),1,IF(H193="partial",0.5,0))</x:f>
        <x:v>0</x:v>
      </x:c>
    </x:row>
    <x:row r="194" s="51" customFormat="1" ht="30" customHeight="1">
      <x:c r="A194" s="73" t="n">
        <x:v>186</x:v>
      </x:c>
      <x:c r="B194" s="84" t="inlineStr">
        <x:is>
          <x:t xml:space="preserve">Composition</x:t>
        </x:is>
      </x:c>
      <x:c r="C194" s="84" t="inlineStr">
        <x:is>
          <x:t xml:space="preserve">Rendering</x:t>
        </x:is>
      </x:c>
      <x:c r="D194" s="84" t="inlineStr">
        <x:is>
          <x:t xml:space="preserve">Content, Group, Label, Checkbox Item, Radio Group, Radio Item, Indicator, Separator, Sub Trigger, and Sub Content preserve refs and offered composition</x:t>
        </x:is>
      </x:c>
      <x:c r="E194" s="76" t="inlineStr">
        <x:is>
          <x:t xml:space="preserve">yes</x:t>
        </x:is>
      </x:c>
      <x:c r="F194" s="85" t="inlineStr">
        <x:is>
          <x:t xml:space="preserve">no</x:t>
        </x:is>
      </x:c>
      <x:c r="G194" s="73" t="inlineStr">
        <x:is>
          <x:t xml:space="preserve">automated tests pass; manual pending</x:t>
        </x:is>
      </x:c>
      <x:c r="H194" s="86" t="inlineStr">
        <x:is>
          <x:t xml:space="preserve">untested</x:t>
        </x:is>
      </x:c>
      <x:c r="I194" s="84" t="inlineStr">
        <x:is>
          <x:t xml:space="preserve">playground/.manual-tests/menu.md (draft)</x:t>
        </x:is>
      </x:c>
      <x:c r="J194" s="84" t="inlineStr">
        <x:is>
          <x:t xml:space="preserve">Run the updated component Manual Test Protocol and named browser/device matrix.</x:t>
        </x:is>
      </x:c>
      <x:c r="K194" s="87" t="n">
        <x:f>IF(AND(E194="yes",F194="yes",H194="covered"),1,IF(H194="partial",0.5,0))</x:f>
        <x:v>0</x:v>
      </x:c>
    </x:row>
    <x:row r="195" s="51" customFormat="1" ht="30" customHeight="1">
      <x:c r="A195" s="73" t="n">
        <x:v>187</x:v>
      </x:c>
      <x:c r="B195" s="84" t="inlineStr">
        <x:is>
          <x:t xml:space="preserve">Accessibility</x:t>
        </x:is>
      </x:c>
      <x:c r="C195" s="84" t="inlineStr">
        <x:is>
          <x:t xml:space="preserve">Layers</x:t>
        </x:is>
      </x:c>
      <x:c r="D195" s="84" t="inlineStr">
        <x:is>
          <x:t xml:space="preserve">modal isolation preserves owned submenu and nested overlay portal branches</x:t>
        </x:is>
      </x:c>
      <x:c r="E195" s="76" t="inlineStr">
        <x:is>
          <x:t xml:space="preserve">yes</x:t>
        </x:is>
      </x:c>
      <x:c r="F195" s="85" t="inlineStr">
        <x:is>
          <x:t xml:space="preserve">no</x:t>
        </x:is>
      </x:c>
      <x:c r="G195" s="73" t="inlineStr">
        <x:is>
          <x:t xml:space="preserve">automated tests pass; manual pending</x:t>
        </x:is>
      </x:c>
      <x:c r="H195" s="86" t="inlineStr">
        <x:is>
          <x:t xml:space="preserve">untested</x:t>
        </x:is>
      </x:c>
      <x:c r="I195" s="84" t="inlineStr">
        <x:is>
          <x:t xml:space="preserve">playground/.manual-tests/menu.md (draft)</x:t>
        </x:is>
      </x:c>
      <x:c r="J195" s="84" t="inlineStr">
        <x:is>
          <x:t xml:space="preserve">Run the updated component Manual Test Protocol and named browser/device matrix.</x:t>
        </x:is>
      </x:c>
      <x:c r="K195" s="87" t="n">
        <x:f>IF(AND(E195="yes",F195="yes",H195="covered"),1,IF(H195="partial",0.5,0))</x:f>
        <x:v>0</x:v>
      </x:c>
    </x:row>
    <x:row r="196" s="51" customFormat="1" ht="30" customHeight="1">
      <x:c r="A196" s="73" t="n">
        <x:v>188</x:v>
      </x:c>
      <x:c r="B196" s="84" t="inlineStr">
        <x:is>
          <x:t xml:space="preserve">Responsive</x:t>
        </x:is>
      </x:c>
      <x:c r="C196" s="84" t="inlineStr">
        <x:is>
          <x:t xml:space="preserve">Reflow</x:t>
        </x:is>
      </x:c>
      <x:c r="D196" s="84" t="inlineStr">
        <x:is>
          <x:t xml:space="preserve">real focused rows, Arrow, and long content remain reachable at 200%, 400%, and narrow viewport reflow</x:t>
        </x:is>
      </x:c>
      <x:c r="E196" s="76" t="inlineStr">
        <x:is>
          <x:t xml:space="preserve">yes</x:t>
        </x:is>
      </x:c>
      <x:c r="F196" s="85" t="inlineStr">
        <x:is>
          <x:t xml:space="preserve">no</x:t>
        </x:is>
      </x:c>
      <x:c r="G196" s="73" t="inlineStr">
        <x:is>
          <x:t xml:space="preserve">automated tests pass; manual pending</x:t>
        </x:is>
      </x:c>
      <x:c r="H196" s="86" t="inlineStr">
        <x:is>
          <x:t xml:space="preserve">untested</x:t>
        </x:is>
      </x:c>
      <x:c r="I196" s="84" t="inlineStr">
        <x:is>
          <x:t xml:space="preserve">playground/.manual-tests/menu.md (draft)</x:t>
        </x:is>
      </x:c>
      <x:c r="J196" s="84" t="inlineStr">
        <x:is>
          <x:t xml:space="preserve">Run the updated component Manual Test Protocol and named browser/device matrix.</x:t>
        </x:is>
      </x:c>
      <x:c r="K196" s="87" t="n">
        <x:f>IF(AND(E196="yes",F196="yes",H196="covered"),1,IF(H196="partial",0.5,0))</x:f>
        <x:v>0</x:v>
      </x:c>
    </x:row>
    <x:row r="197" s="51" customFormat="1" ht="82" customHeight="1">
      <x:c r="A197" s="73" t="n">
        <x:v>189</x:v>
      </x:c>
      <x:c r="B197" s="84" t="inlineStr">
        <x:is>
          <x:t xml:space="preserve">Controller</x:t>
        </x:is>
      </x:c>
      <x:c r="C197" s="84" t="inlineStr">
        <x:is>
          <x:t xml:space="preserve">RootProvider / Context</x:t>
        </x:is>
      </x:c>
      <x:c r="D197" s="84" t="inlineStr">
        <x:is>
          <x:t xml:space="preserve">External controller opens, closes, highlights and shares state with the root.</x:t>
        </x:is>
      </x:c>
      <x:c r="E197" s="76" t="inlineStr">
        <x:is>
          <x:t xml:space="preserve">yes</x:t>
        </x:is>
      </x:c>
      <x:c r="F197" s="85" t="inlineStr">
        <x:is>
          <x:t xml:space="preserve">no</x:t>
        </x:is>
      </x:c>
      <x:c r="G197" s="73" t="inlineStr">
        <x:is>
          <x:t xml:space="preserve">Fixture implemented; automated regression qualified; manual not performed</x:t>
        </x:is>
      </x:c>
      <x:c r="H197" s="86" t="inlineStr">
        <x:is>
          <x:t xml:space="preserve">partial</x:t>
        </x:is>
      </x:c>
      <x:c r="I197" s="84" t="inlineStr">
        <x:is>
          <x:t xml:space="preserve">/__tests/menu-policies?owner=Menu; playground/manual-tests/menu-policies.md; test/browser/menu-policies.spec.ts</x:t>
        </x:is>
      </x:c>
      <x:c r="J197" s="84" t="inlineStr">
        <x:is>
          <x:t xml:space="preserve">Run complete owning protocol, screen-reader, physical-device and actual browser zoom checks.</x:t>
        </x:is>
      </x:c>
      <x:c r="K197" s="87" t="n">
        <x:f>IF(AND(E197="yes",F197="yes",H197="covered"),1,IF(H197="partial",0.5,0))</x:f>
        <x:v>0.5</x:v>
      </x:c>
    </x:row>
    <x:row r="198" s="51" customFormat="1" ht="82" customHeight="1">
      <x:c r="A198" s="73" t="n">
        <x:v>190</x:v>
      </x:c>
      <x:c r="B198" s="84" t="inlineStr">
        <x:is>
          <x:t xml:space="preserve">Selection</x:t>
        </x:is>
      </x:c>
      <x:c r="C198" s="84" t="inlineStr">
        <x:is>
          <x:t xml:space="preserve">Root / Item</x:t>
        </x:is>
      </x:c>
      <x:c r="D198" s="84" t="inlineStr">
        <x:is>
          <x:t xml:space="preserve">Root onSelect follows item callback; preventDefault leaves checkbox/radio state unchanged.</x:t>
        </x:is>
      </x:c>
      <x:c r="E198" s="76" t="inlineStr">
        <x:is>
          <x:t xml:space="preserve">yes</x:t>
        </x:is>
      </x:c>
      <x:c r="F198" s="85" t="inlineStr">
        <x:is>
          <x:t xml:space="preserve">no</x:t>
        </x:is>
      </x:c>
      <x:c r="G198" s="73" t="inlineStr">
        <x:is>
          <x:t xml:space="preserve">Fixture implemented; automated regression qualified; manual not performed</x:t>
        </x:is>
      </x:c>
      <x:c r="H198" s="86" t="inlineStr">
        <x:is>
          <x:t xml:space="preserve">partial</x:t>
        </x:is>
      </x:c>
      <x:c r="I198" s="84" t="inlineStr">
        <x:is>
          <x:t xml:space="preserve">/__tests/menu-policies?owner=Menu; playground/manual-tests/menu-policies.md; test/browser/menu-policies.spec.ts</x:t>
        </x:is>
      </x:c>
      <x:c r="J198" s="84" t="inlineStr">
        <x:is>
          <x:t xml:space="preserve">Run complete owning protocol, screen-reader, physical-device and actual browser zoom checks.</x:t>
        </x:is>
      </x:c>
      <x:c r="K198" s="87" t="n">
        <x:f>IF(AND(E198="yes",F198="yes",H198="covered"),1,IF(H198="partial",0.5,0))</x:f>
        <x:v>0.5</x:v>
      </x:c>
    </x:row>
    <x:row r="199" s="51" customFormat="1" ht="82" customHeight="1">
      <x:c r="A199" s="73" t="n">
        <x:v>191</x:v>
      </x:c>
      <x:c r="B199" s="84" t="inlineStr">
        <x:is>
          <x:t xml:space="preserve">Keyboard</x:t>
        </x:is>
      </x:c>
      <x:c r="C199" s="84" t="inlineStr">
        <x:is>
          <x:t xml:space="preserve">Root</x:t>
        </x:is>
      </x:c>
      <x:c r="D199" s="84" t="inlineStr">
        <x:is>
          <x:t xml:space="preserve">Controlled/default highlight, disabled typeahead, loop options preserve focus.</x:t>
        </x:is>
      </x:c>
      <x:c r="E199" s="76" t="inlineStr">
        <x:is>
          <x:t xml:space="preserve">yes</x:t>
        </x:is>
      </x:c>
      <x:c r="F199" s="85" t="inlineStr">
        <x:is>
          <x:t xml:space="preserve">no</x:t>
        </x:is>
      </x:c>
      <x:c r="G199" s="73" t="inlineStr">
        <x:is>
          <x:t xml:space="preserve">Fixture implemented; automated regression qualified; manual not performed</x:t>
        </x:is>
      </x:c>
      <x:c r="H199" s="86" t="inlineStr">
        <x:is>
          <x:t xml:space="preserve">partial</x:t>
        </x:is>
      </x:c>
      <x:c r="I199" s="84" t="inlineStr">
        <x:is>
          <x:t xml:space="preserve">/__tests/menu-policies?owner=Menu; playground/manual-tests/menu-policies.md; test/browser/menu-policies.spec.ts</x:t>
        </x:is>
      </x:c>
      <x:c r="J199" s="84" t="inlineStr">
        <x:is>
          <x:t xml:space="preserve">Run complete owning protocol, screen-reader, physical-device and actual browser zoom checks.</x:t>
        </x:is>
      </x:c>
      <x:c r="K199" s="87" t="n">
        <x:f>IF(AND(E199="yes",F199="yes",H199="covered"),1,IF(H199="partial",0.5,0))</x:f>
        <x:v>0.5</x:v>
      </x:c>
    </x:row>
    <x:row r="200" s="51" customFormat="1" ht="82" customHeight="1">
      <x:c r="A200" s="73" t="n">
        <x:v>192</x:v>
      </x:c>
      <x:c r="B200" s="84" t="inlineStr">
        <x:is>
          <x:t xml:space="preserve">Navigation</x:t>
        </x:is>
      </x:c>
      <x:c r="C200" s="84" t="inlineStr">
        <x:is>
          <x:t xml:space="preserve">Item</x:t>
        </x:is>
      </x:c>
      <x:c r="D200" s="84" t="inlineStr">
        <x:is>
          <x:t xml:space="preserve">Navigate hook handles ordinary native/router links without intercepting modified navigation.</x:t>
        </x:is>
      </x:c>
      <x:c r="E200" s="76" t="inlineStr">
        <x:is>
          <x:t xml:space="preserve">yes</x:t>
        </x:is>
      </x:c>
      <x:c r="F200" s="85" t="inlineStr">
        <x:is>
          <x:t xml:space="preserve">no</x:t>
        </x:is>
      </x:c>
      <x:c r="G200" s="73" t="inlineStr">
        <x:is>
          <x:t xml:space="preserve">Fixture implemented; automated regression qualified; manual not performed</x:t>
        </x:is>
      </x:c>
      <x:c r="H200" s="86" t="inlineStr">
        <x:is>
          <x:t xml:space="preserve">partial</x:t>
        </x:is>
      </x:c>
      <x:c r="I200" s="84" t="inlineStr">
        <x:is>
          <x:t xml:space="preserve">/__tests/menu-policies?owner=Menu; playground/manual-tests/menu-policies.md; test/browser/menu-policies.spec.ts</x:t>
        </x:is>
      </x:c>
      <x:c r="J200" s="84" t="inlineStr">
        <x:is>
          <x:t xml:space="preserve">Run complete owning protocol, screen-reader, physical-device and actual browser zoom checks.</x:t>
        </x:is>
      </x:c>
      <x:c r="K200" s="87" t="n">
        <x:f>IF(AND(E200="yes",F200="yes",H200="covered"),1,IF(H200="partial",0.5,0))</x:f>
        <x:v>0.5</x:v>
      </x:c>
    </x:row>
    <x:row r="201" s="51" customFormat="1" ht="82" customHeight="1">
      <x:c r="A201" s="73" t="n">
        <x:v>193</x:v>
      </x:c>
      <x:c r="B201" s="84" t="inlineStr">
        <x:is>
          <x:t xml:space="preserve">Lifecycle</x:t>
        </x:is>
      </x:c>
      <x:c r="C201" s="84" t="inlineStr">
        <x:is>
          <x:t xml:space="preserve">Content</x:t>
        </x:is>
      </x:c>
      <x:c r="D201" s="84" t="inlineStr">
        <x:is>
          <x:t xml:space="preserve">lazyMount, unmountOnExit, skipAnimationOnMount and exit completion preserve hidden/inert content.</x:t>
        </x:is>
      </x:c>
      <x:c r="E201" s="76" t="inlineStr">
        <x:is>
          <x:t xml:space="preserve">yes</x:t>
        </x:is>
      </x:c>
      <x:c r="F201" s="85" t="inlineStr">
        <x:is>
          <x:t xml:space="preserve">no</x:t>
        </x:is>
      </x:c>
      <x:c r="G201" s="73" t="inlineStr">
        <x:is>
          <x:t xml:space="preserve">Fixture implemented; automated regression qualified; manual not performed</x:t>
        </x:is>
      </x:c>
      <x:c r="H201" s="86" t="inlineStr">
        <x:is>
          <x:t xml:space="preserve">partial</x:t>
        </x:is>
      </x:c>
      <x:c r="I201" s="84" t="inlineStr">
        <x:is>
          <x:t xml:space="preserve">/__tests/menu-policies?owner=Menu; playground/manual-tests/menu-policies.md; test/browser/menu-policies.spec.ts</x:t>
        </x:is>
      </x:c>
      <x:c r="J201" s="84" t="inlineStr">
        <x:is>
          <x:t xml:space="preserve">Run complete owning protocol, screen-reader, physical-device and actual browser zoom checks.</x:t>
        </x:is>
      </x:c>
      <x:c r="K201" s="87" t="n">
        <x:f>IF(AND(E201="yes",F201="yes",H201="covered"),1,IF(H201="partial",0.5,0))</x:f>
        <x:v>0.5</x:v>
      </x:c>
    </x:row>
    <x:row r="202" s="51" customFormat="1" ht="82" customHeight="1">
      <x:c r="A202" s="73" t="n">
        <x:v>194</x:v>
      </x:c>
      <x:c r="B202" s="84" t="inlineStr">
        <x:is>
          <x:t xml:space="preserve">Positioning</x:t>
        </x:is>
      </x:c>
      <x:c r="C202" s="84" t="inlineStr">
        <x:is>
          <x:t xml:space="preserve">Content / SubContent</x:t>
        </x:is>
      </x:c>
      <x:c r="D202" s="84" t="inlineStr">
        <x:is>
          <x:t xml:space="preserve">Positioning options expose anchor, collision, sameWidth and fitViewport without unsolicited dimensions.</x:t>
        </x:is>
      </x:c>
      <x:c r="E202" s="76" t="inlineStr">
        <x:is>
          <x:t xml:space="preserve">yes</x:t>
        </x:is>
      </x:c>
      <x:c r="F202" s="85" t="inlineStr">
        <x:is>
          <x:t xml:space="preserve">no</x:t>
        </x:is>
      </x:c>
      <x:c r="G202" s="73" t="inlineStr">
        <x:is>
          <x:t xml:space="preserve">Fixture implemented; automated regression qualified; manual not performed</x:t>
        </x:is>
      </x:c>
      <x:c r="H202" s="86" t="inlineStr">
        <x:is>
          <x:t xml:space="preserve">partial</x:t>
        </x:is>
      </x:c>
      <x:c r="I202" s="84" t="inlineStr">
        <x:is>
          <x:t xml:space="preserve">/__tests/menu-policies?owner=Menu; playground/manual-tests/menu-policies.md; test/browser/menu-policies.spec.ts</x:t>
        </x:is>
      </x:c>
      <x:c r="J202" s="84" t="inlineStr">
        <x:is>
          <x:t xml:space="preserve">Run complete owning protocol, screen-reader, physical-device and actual browser zoom checks.</x:t>
        </x:is>
      </x:c>
      <x:c r="K202" s="87" t="n">
        <x:f>IF(AND(E202="yes",F202="yes",H202="covered"),1,IF(H202="partial",0.5,0))</x:f>
        <x:v>0.5</x:v>
      </x:c>
    </x:row>
    <x:row r="203" s="51" customFormat="1" ht="82" customHeight="1">
      <x:c r="A203" s="73" t="n">
        <x:v>195</x:v>
      </x:c>
      <x:c r="B203" s="84" t="inlineStr">
        <x:is>
          <x:t xml:space="preserve">Events</x:t>
        </x:is>
      </x:c>
      <x:c r="C203" s="84" t="inlineStr">
        <x:is>
          <x:t xml:space="preserve">Content</x:t>
        </x:is>
      </x:c>
      <x:c r="D203" s="84" t="inlineStr">
        <x:is>
          <x:t xml:space="preserve">Cancelable escape, outside interaction callbacks and focus return retain owner focus.</x:t>
        </x:is>
      </x:c>
      <x:c r="E203" s="76" t="inlineStr">
        <x:is>
          <x:t xml:space="preserve">yes</x:t>
        </x:is>
      </x:c>
      <x:c r="F203" s="85" t="inlineStr">
        <x:is>
          <x:t xml:space="preserve">no</x:t>
        </x:is>
      </x:c>
      <x:c r="G203" s="73" t="inlineStr">
        <x:is>
          <x:t xml:space="preserve">Fixture implemented; automated regression qualified; manual not performed</x:t>
        </x:is>
      </x:c>
      <x:c r="H203" s="86" t="inlineStr">
        <x:is>
          <x:t xml:space="preserve">partial</x:t>
        </x:is>
      </x:c>
      <x:c r="I203" s="84" t="inlineStr">
        <x:is>
          <x:t xml:space="preserve">/__tests/menu-policies?owner=Menu; playground/manual-tests/menu-policies.md; test/browser/menu-policies.spec.ts</x:t>
        </x:is>
      </x:c>
      <x:c r="J203" s="84" t="inlineStr">
        <x:is>
          <x:t xml:space="preserve">Run complete owning protocol, screen-reader, physical-device and actual browser zoom checks.</x:t>
        </x:is>
      </x:c>
      <x:c r="K203" s="87" t="n">
        <x:f>IF(AND(E203="yes",F203="yes",H203="covered"),1,IF(H203="partial",0.5,0))</x:f>
        <x:v>0.5</x:v>
      </x:c>
    </x:row>
    <x:row r="204" s="51" customFormat="1" ht="82" customHeight="1">
      <x:c r="A204" s="73" t="n">
        <x:v>196</x:v>
      </x:c>
      <x:c r="B204" s="84" t="inlineStr">
        <x:is>
          <x:t xml:space="preserve">Composition</x:t>
        </x:is>
      </x:c>
      <x:c r="C204" s="84" t="inlineStr">
        <x:is>
          <x:t xml:space="preserve">Context / Portal</x:t>
        </x:is>
      </x:c>
      <x:c r="D204" s="84" t="inlineStr">
        <x:is>
          <x:t xml:space="preserve">Context-derived state indicator and disabled Portal preserve caller-owned composition.</x:t>
        </x:is>
      </x:c>
      <x:c r="E204" s="76" t="inlineStr">
        <x:is>
          <x:t xml:space="preserve">yes</x:t>
        </x:is>
      </x:c>
      <x:c r="F204" s="85" t="inlineStr">
        <x:is>
          <x:t xml:space="preserve">no</x:t>
        </x:is>
      </x:c>
      <x:c r="G204" s="73" t="inlineStr">
        <x:is>
          <x:t xml:space="preserve">Fixture implemented; automated regression qualified; manual not performed</x:t>
        </x:is>
      </x:c>
      <x:c r="H204" s="86" t="inlineStr">
        <x:is>
          <x:t xml:space="preserve">partial</x:t>
        </x:is>
      </x:c>
      <x:c r="I204" s="84" t="inlineStr">
        <x:is>
          <x:t xml:space="preserve">/__tests/menu-policies?owner=Menu; playground/manual-tests/menu-policies.md; test/browser/menu-policies.spec.ts</x:t>
        </x:is>
      </x:c>
      <x:c r="J204" s="84" t="inlineStr">
        <x:is>
          <x:t xml:space="preserve">Run complete owning protocol, screen-reader, physical-device and actual browser zoom checks.</x:t>
        </x:is>
      </x:c>
      <x:c r="K204" s="87" t="n">
        <x:f>IF(AND(E204="yes",F204="yes",H204="covered"),1,IF(H204="partial",0.5,0))</x:f>
        <x:v>0.5</x:v>
      </x:c>
    </x:row>
    <x:row r="205" s="51" customFormat="1" ht="82" customHeight="1">
      <x:c r="A205" s="73" t="n">
        <x:v>197</x:v>
      </x:c>
      <x:c r="B205" s="84" t="inlineStr">
        <x:is>
          <x:t xml:space="preserve">Submenu</x:t>
        </x:is>
      </x:c>
      <x:c r="C205" s="84" t="inlineStr">
        <x:is>
          <x:t xml:space="preserve">Sub</x:t>
        </x:is>
      </x:c>
      <x:c r="D205" s="84" t="inlineStr">
        <x:is>
          <x:t xml:space="preserve">defaultOpen initializes after commit; uncontrolled onOpenChange reports changes.</x:t>
        </x:is>
      </x:c>
      <x:c r="E205" s="76" t="inlineStr">
        <x:is>
          <x:t xml:space="preserve">yes</x:t>
        </x:is>
      </x:c>
      <x:c r="F205" s="85" t="inlineStr">
        <x:is>
          <x:t xml:space="preserve">no</x:t>
        </x:is>
      </x:c>
      <x:c r="G205" s="73" t="inlineStr">
        <x:is>
          <x:t xml:space="preserve">Fixture implemented; automated regression qualified; manual not performed</x:t>
        </x:is>
      </x:c>
      <x:c r="H205" s="86" t="inlineStr">
        <x:is>
          <x:t xml:space="preserve">partial</x:t>
        </x:is>
      </x:c>
      <x:c r="I205" s="84" t="inlineStr">
        <x:is>
          <x:t xml:space="preserve">/__tests/menu-policies?owner=Menu; playground/manual-tests/menu-policies.md; test/browser/menu-policies.spec.ts</x:t>
        </x:is>
      </x:c>
      <x:c r="J205" s="84" t="inlineStr">
        <x:is>
          <x:t xml:space="preserve">Run complete owning protocol, screen-reader, physical-device and actual browser zoom checks.</x:t>
        </x:is>
      </x:c>
      <x:c r="K205" s="87" t="n">
        <x:f>IF(AND(E205="yes",F205="yes",H205="covered"),1,IF(H205="partial",0.5,0))</x:f>
        <x:v>0.5</x:v>
      </x:c>
    </x:row>
  </x:sheetData>
  <x:mergeCells>
    <x:mergeCell ref="A6:K6"/>
    <x:mergeCell ref="A2:H2"/>
    <x:mergeCell ref="A1:H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Menubar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0.7215189873417721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57</x:v>
      </x:c>
      <x:c r="E4" s="70" t="inlineStr">
        <x:is>
          <x:t xml:space="preserve">Partial</x:t>
        </x:is>
      </x:c>
      <x:c r="F4" s="82" t="n">
        <x:f>COUNTIFS(A9:A1000,"&lt;&gt;",H9:H1000,"partial")</x:f>
        <x:v>9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22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Step 7 Props And Slots.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representative custom data-slot override controls are available for slot-owning DOM parts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Step 7 Props And Slots.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Menubar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Step 0 Playground Smoke Check.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Menubar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Steps 0 and 9 Source / Inspector / Logs.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30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Menubar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Steps 0, 3, 6, and 7.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Menubar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Steps 0 and 9 Source / Inspector / Logs.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Menubar</x:t>
        </x:is>
      </x:c>
      <x:c r="D15" s="84" t="inlineStr">
        <x:is>
          <x:t xml:space="preserve">renders role="menubar" with trigger and content behavior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Steps 0, 3, and 6.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Menubar</x:t>
        </x:is>
      </x:c>
      <x:c r="D16" s="84" t="inlineStr">
        <x:is>
          <x:t xml:space="preserve">opens adjacent top-level menus with arrow keys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Steps 3 and 4.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Menubar</x:t>
        </x:is>
      </x:c>
      <x:c r="D17" s="84" t="inlineStr">
        <x:is>
          <x:t xml:space="preserve">uses shared Menu item, checkbox, radio, group, separator, and submenu behavior as integration smoke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Step 5 Shared Menu Integration Smoke.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Menubar</x:t>
        </x:is>
      </x:c>
      <x:c r="D18" s="84" t="inlineStr">
        <x:is>
          <x:t xml:space="preserve">supports controlled and uncontrolled active menu state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Step 1 Root State And Direction.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Menubar</x:t>
        </x:is>
      </x:c>
      <x:c r="D19" s="84" t="inlineStr">
        <x:is>
          <x:t xml:space="preserve">supports configurable closeOnSelect, looping, and escape close per menu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Step 2 Menu Behavior.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Direction</x:t>
        </x:is>
      </x:c>
      <x:c r="C20" s="84" t="inlineStr">
        <x:is>
          <x:t xml:space="preserve">Root</x:t>
        </x:is>
      </x:c>
      <x:c r="D20" s="84" t="inlineStr">
        <x:is>
          <x:t xml:space="preserve">supports Direction.Provider and Root dir modes for horizontal menubar navigation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Step 1 Root State And Direction.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Direction</x:t>
        </x:is>
      </x:c>
      <x:c r="C21" s="84" t="inlineStr">
        <x:is>
          <x:t xml:space="preserve">Submenu</x:t>
        </x:is>
      </x:c>
      <x:c r="D21" s="84" t="inlineStr">
        <x:is>
          <x:t xml:space="preserve">RTL mirrors submenu placement and keyboard open/close behavior in provider and root direction modes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Step 1 Root State And Direction follow-up.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renders Root in the documented anatomy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Steps 0 and 7.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tag, role, aria-orientation, and dir are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Steps 1 and 7.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default and custom data-slot are visible in Anatomy/Inspector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Step 7 Props And Slots.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Step 7 Props And Slots.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value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Step 1 Root State And Direction.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defaultValue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Step 1 Root State And Direction.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onValueChange behavior is visible through current value and logs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Step 1 Root State And Direction.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loop prop behavior controls top-level trigger wrapping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Steps 2 and 4.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Anatomy</x:t>
        </x:is>
      </x:c>
      <x:c r="C30" s="84" t="inlineStr">
        <x:is>
          <x:t xml:space="preserve">Menu</x:t>
        </x:is>
      </x:c>
      <x:c r="D30" s="84" t="inlineStr">
        <x:is>
          <x:t xml:space="preserve">non-DOM Menu part coordinates File and View menu values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Step 2 Menu Behavior.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Menu</x:t>
        </x:is>
      </x:c>
      <x:c r="D31" s="84" t="inlineStr">
        <x:is>
          <x:t xml:space="preserve">value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Step 2 Menu Behavior.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Menu</x:t>
        </x:is>
      </x:c>
      <x:c r="D32" s="84" t="inlineStr">
        <x:is>
          <x:t xml:space="preserve">closeOnSelect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Step 2 Menu Behavior.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30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Menu</x:t>
        </x:is>
      </x:c>
      <x:c r="D33" s="84" t="inlineStr">
        <x:is>
          <x:t xml:space="preserve">loop prop behavior controls item wrapping inside content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Step 2 Menu Behavior.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Menu</x:t>
        </x:is>
      </x:c>
      <x:c r="D34" s="84" t="inlineStr">
        <x:is>
          <x:t xml:space="preserve">closeOnEscape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Step 2 Menu Behavior.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Anatomy</x:t>
        </x:is>
      </x:c>
      <x:c r="C35" s="84" t="inlineStr">
        <x:is>
          <x:t xml:space="preserve">Trigger</x:t>
        </x:is>
      </x:c>
      <x:c r="D35" s="84" t="inlineStr">
        <x:is>
          <x:t xml:space="preserve">File and View triggers render in the documented anatomy order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Step 3 Trigger And Top-Level Focus.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Identity</x:t>
        </x:is>
      </x:c>
      <x:c r="C36" s="84" t="inlineStr">
        <x:is>
          <x:t xml:space="preserve">Trigger</x:t>
        </x:is>
      </x:c>
      <x:c r="D36" s="84" t="inlineStr">
        <x:is>
          <x:t xml:space="preserve">default tag and role are visible in Anatomy/Inspector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Step 3 Trigger And Top-Level Focus.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ARIA</x:t>
        </x:is>
      </x:c>
      <x:c r="C37" s="84" t="inlineStr">
        <x:is>
          <x:t xml:space="preserve">Trigger</x:t>
        </x:is>
      </x:c>
      <x:c r="D37" s="84" t="inlineStr">
        <x:is>
          <x:t xml:space="preserve">aria-haspopup, aria-expanded, and aria-controls are present at the correct time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Step 3 Trigger And Top-Level Focus.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Identity</x:t>
        </x:is>
      </x:c>
      <x:c r="C38" s="84" t="inlineStr">
        <x:is>
          <x:t xml:space="preserve">Trigger</x:t>
        </x:is>
      </x:c>
      <x:c r="D38" s="84" t="inlineStr">
        <x:is>
          <x:t xml:space="preserve">default and custom data-slot are visible in Anatomy/Inspector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Step 7 Props And Slots.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Props</x:t>
        </x:is>
      </x:c>
      <x:c r="C39" s="84" t="inlineStr">
        <x:is>
          <x:t xml:space="preserve">Trigger</x:t>
        </x:is>
      </x:c>
      <x:c r="D39" s="84" t="inlineStr">
        <x:is>
          <x:t xml:space="preserve">native props pass through with data-prop-check marker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Step 7 Props And Slots.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Data</x:t>
        </x:is>
      </x:c>
      <x:c r="C40" s="84" t="inlineStr">
        <x:is>
          <x:t xml:space="preserve">Trigger</x:t>
        </x:is>
      </x:c>
      <x:c r="D40" s="84" t="inlineStr">
        <x:is>
          <x:t xml:space="preserve">data-state reflects open and closed trigger state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Step 3 Trigger And Top-Level Focus.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Trigger</x:t>
        </x:is>
      </x:c>
      <x:c r="D41" s="84" t="inlineStr">
        <x:is>
          <x:t xml:space="preserve">disabled trigger blocks pointer and keyboard activation and exposes data-disabled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Step 3 Trigger And Top-Level Focus.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30" customHeight="1">
      <x:c r="A42" s="73" t="n">
        <x:v>34</x:v>
      </x:c>
      <x:c r="B42" s="84" t="inlineStr">
        <x:is>
          <x:t xml:space="preserve">Interaction</x:t>
        </x:is>
      </x:c>
      <x:c r="C42" s="84" t="inlineStr">
        <x:is>
          <x:t xml:space="preserve">Trigger</x:t>
        </x:is>
      </x:c>
      <x:c r="D42" s="84" t="inlineStr">
        <x:is>
          <x:t xml:space="preserve">pointer activation opens and closes the focused menu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Step 3 Trigger And Top-Level Focus.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Interaction</x:t>
        </x:is>
      </x:c>
      <x:c r="C43" s="84" t="inlineStr">
        <x:is>
          <x:t xml:space="preserve">Trigger</x:t>
        </x:is>
      </x:c>
      <x:c r="D43" s="84" t="inlineStr">
        <x:is>
          <x:t xml:space="preserve">Enter key activation opens and closes the focused menu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Step 3 Trigger And Top-Level Focus.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Interaction</x:t>
        </x:is>
      </x:c>
      <x:c r="C44" s="84" t="inlineStr">
        <x:is>
          <x:t xml:space="preserve">Trigger</x:t>
        </x:is>
      </x:c>
      <x:c r="D44" s="84" t="inlineStr">
        <x:is>
          <x:t xml:space="preserve">Space key activation opens and closes the focused menu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Step 3 Trigger And Top-Level Focus.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30" customHeight="1">
      <x:c r="A45" s="73" t="n">
        <x:v>37</x:v>
      </x:c>
      <x:c r="B45" s="84" t="inlineStr">
        <x:is>
          <x:t xml:space="preserve">Focus</x:t>
        </x:is>
      </x:c>
      <x:c r="C45" s="84" t="inlineStr">
        <x:is>
          <x:t xml:space="preserve">Trigger</x:t>
        </x:is>
      </x:c>
      <x:c r="D45" s="84" t="inlineStr">
        <x:is>
          <x:t xml:space="preserve">adjacent open-menu handoff moves real focus into the new content and close restores the active trigger</x:t>
        </x:is>
      </x:c>
      <x:c r="E45" s="76" t="inlineStr">
        <x:is>
          <x:t xml:space="preserve">yes</x:t>
        </x:is>
      </x:c>
      <x:c r="F45" s="85" t="inlineStr">
        <x:is>
          <x:t xml:space="preserve">no</x:t>
        </x:is>
      </x:c>
      <x:c r="G45" s="73" t="inlineStr">
        <x:is>
          <x:t xml:space="preserve">automated tests pass; manual pending</x:t>
        </x:is>
      </x:c>
      <x:c r="H45" s="86" t="inlineStr">
        <x:is>
          <x:t xml:space="preserve">untested</x:t>
        </x:is>
      </x:c>
      <x:c r="I45" s="84" t="inlineStr">
        <x:is>
          <x:t xml:space="preserve">playground/manual-tests/menubar.md</x:t>
        </x:is>
      </x:c>
      <x:c r="J45" s="84" t="inlineStr">
        <x:is>
          <x:t xml:space="preserve">Run the updated component Manual Test Protocol and named browser/device matrix.</x:t>
        </x:is>
      </x:c>
      <x:c r="K45" s="87" t="n">
        <x:f>IF(AND(E45="yes",F45="yes",H45="covered"),1,IF(H45="partial",0.5,0))</x:f>
        <x:v>0</x:v>
      </x:c>
    </x:row>
    <x:row r="46" s="51" customFormat="1" ht="1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Content</x:t>
        </x:is>
      </x:c>
      <x:c r="D46" s="84" t="inlineStr">
        <x:is>
          <x:t xml:space="preserve">File and View content render when expected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Step 6 Content Accessibility And Positioning Smoke.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Content</x:t>
        </x:is>
      </x:c>
      <x:c r="D47" s="84" t="inlineStr">
        <x:is>
          <x:t xml:space="preserve">default tag and role are visible in Anatomy/Inspector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Step 6 Content Accessibility And Positioning Smoke.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30" customHeight="1">
      <x:c r="A48" s="73" t="n">
        <x:v>40</x:v>
      </x:c>
      <x:c r="B48" s="84" t="inlineStr">
        <x:is>
          <x:t xml:space="preserve">ARIA</x:t>
        </x:is>
      </x:c>
      <x:c r="C48" s="84" t="inlineStr">
        <x:is>
          <x:t xml:space="preserve">Content</x:t>
        </x:is>
      </x:c>
      <x:c r="D48" s="84" t="inlineStr">
        <x:is>
          <x:t xml:space="preserve">ariaLabel prop adds and removes aria-label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Step 6 Content Accessibility And Positioning Smoke.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Content</x:t>
        </x:is>
      </x:c>
      <x:c r="D49" s="84" t="inlineStr">
        <x:is>
          <x:t xml:space="preserve">default and custom data-slot are visible in Anatomy/Inspector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Steps 6 and 7.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Data</x:t>
        </x:is>
      </x:c>
      <x:c r="C50" s="84" t="inlineStr">
        <x:is>
          <x:t xml:space="preserve">Content</x:t>
        </x:is>
      </x:c>
      <x:c r="D50" s="84" t="inlineStr">
        <x:is>
          <x:t xml:space="preserve">data-state, data-side, data-align, and data-positioned are visible for open content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Step 6 Content Accessibility And Positioning Smoke.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Props</x:t>
        </x:is>
      </x:c>
      <x:c r="C51" s="84" t="inlineStr">
        <x:is>
          <x:t xml:space="preserve">Content</x:t>
        </x:is>
      </x:c>
      <x:c r="D51" s="84" t="inlineStr">
        <x:is>
          <x:t xml:space="preserve">native props pass through with data-prop-check marker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Step 7 Props And Slots.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Keyboard</x:t>
        </x:is>
      </x:c>
      <x:c r="C52" s="84" t="inlineStr">
        <x:is>
          <x:t xml:space="preserve">Menubar</x:t>
        </x:is>
      </x:c>
      <x:c r="D52" s="84" t="inlineStr">
        <x:is>
          <x:t xml:space="preserve">ArrowLeft and ArrowRight behavior in LTR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Step 4 Top-Level Keyboard And RTL.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Keyboard</x:t>
        </x:is>
      </x:c>
      <x:c r="C53" s="84" t="inlineStr">
        <x:is>
          <x:t xml:space="preserve">Menubar</x:t>
        </x:is>
      </x:c>
      <x:c r="D53" s="84" t="inlineStr">
        <x:is>
          <x:t xml:space="preserve">Home and End navigation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Step 4 Top-Level Keyboard And RTL.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30" customHeight="1">
      <x:c r="A54" s="73" t="n">
        <x:v>46</x:v>
      </x:c>
      <x:c r="B54" s="84" t="inlineStr">
        <x:is>
          <x:t xml:space="preserve">Keyboard</x:t>
        </x:is>
      </x:c>
      <x:c r="C54" s="84" t="inlineStr">
        <x:is>
          <x:t xml:space="preserve">Menubar</x:t>
        </x:is>
      </x:c>
      <x:c r="D54" s="84" t="inlineStr">
        <x:is>
          <x:t xml:space="preserve">ArrowDown and ArrowUp open content and move real focus to the requested first or last item</x:t>
        </x:is>
      </x:c>
      <x:c r="E54" s="76" t="inlineStr">
        <x:is>
          <x:t xml:space="preserve">yes</x:t>
        </x:is>
      </x:c>
      <x:c r="F54" s="85" t="inlineStr">
        <x:is>
          <x:t xml:space="preserve">no</x:t>
        </x:is>
      </x:c>
      <x:c r="G54" s="73" t="inlineStr">
        <x:is>
          <x:t xml:space="preserve">automated tests pass; manual pending</x:t>
        </x:is>
      </x:c>
      <x:c r="H54" s="86" t="inlineStr">
        <x:is>
          <x:t xml:space="preserve">untested</x:t>
        </x:is>
      </x:c>
      <x:c r="I54" s="84" t="inlineStr">
        <x:is>
          <x:t xml:space="preserve">playground/manual-tests/menubar.md</x:t>
        </x:is>
      </x:c>
      <x:c r="J54" s="84" t="inlineStr">
        <x:is>
          <x:t xml:space="preserve">Run the updated component Manual Test Protocol and named browser/device matrix.</x:t>
        </x:is>
      </x:c>
      <x:c r="K54" s="87" t="n">
        <x:f>IF(AND(E54="yes",F54="yes",H54="covered"),1,IF(H54="partial",0.5,0))</x:f>
        <x:v>0</x:v>
      </x:c>
    </x:row>
    <x:row r="55" s="51" customFormat="1" ht="15" customHeight="1">
      <x:c r="A55" s="73" t="n">
        <x:v>47</x:v>
      </x:c>
      <x:c r="B55" s="84" t="inlineStr">
        <x:is>
          <x:t xml:space="preserve">Keyboard</x:t>
        </x:is>
      </x:c>
      <x:c r="C55" s="84" t="inlineStr">
        <x:is>
          <x:t xml:space="preserve">Menubar</x:t>
        </x:is>
      </x:c>
      <x:c r="D55" s="84" t="inlineStr">
        <x:is>
          <x:t xml:space="preserve">ArrowLeft and ArrowRight behavior mirrors in RTL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Step 4 Top-Level Keyboard And RTL.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Focus</x:t>
        </x:is>
      </x:c>
      <x:c r="C56" s="84" t="inlineStr">
        <x:is>
          <x:t xml:space="preserve">Menubar</x:t>
        </x:is>
      </x:c>
      <x:c r="D56" s="84" t="inlineStr">
        <x:is>
          <x:t xml:space="preserve">roving focus state is visible in Focused inspector evidence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Step 4 Top-Level Keyboard And RTL.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Dismiss</x:t>
        </x:is>
      </x:c>
      <x:c r="C57" s="84" t="inlineStr">
        <x:is>
          <x:t xml:space="preserve">Menubar</x:t>
        </x:is>
      </x:c>
      <x:c r="D57" s="84" t="inlineStr">
        <x:is>
          <x:t xml:space="preserve">Escape closes only the topmost active menu layer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Steps 2 and 5.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Focus</x:t>
        </x:is>
      </x:c>
      <x:c r="C58" s="84" t="inlineStr">
        <x:is>
          <x:t xml:space="preserve">Menubar</x:t>
        </x:is>
      </x:c>
      <x:c r="D58" s="84" t="inlineStr">
        <x:is>
          <x:t xml:space="preserve">focus returns to the correct trigger after close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Step 3 Trigger And Top-Level Focus.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Menu Integration</x:t>
        </x:is>
      </x:c>
      <x:c r="C59" s="84" t="inlineStr">
        <x:is>
          <x:t xml:space="preserve">Item</x:t>
        </x:is>
      </x:c>
      <x:c r="D59" s="84" t="inlineStr">
        <x:is>
          <x:t xml:space="preserve">item selection logs selected value and closes according to Menu settings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Steps 2 and 5.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30" customHeight="1">
      <x:c r="A60" s="73" t="n">
        <x:v>52</x:v>
      </x:c>
      <x:c r="B60" s="84" t="inlineStr">
        <x:is>
          <x:t xml:space="preserve">Menu Integration</x:t>
        </x:is>
      </x:c>
      <x:c r="C60" s="84" t="inlineStr">
        <x:is>
          <x:t xml:space="preserve">CheckboxItem</x:t>
        </x:is>
      </x:c>
      <x:c r="D60" s="84" t="inlineStr">
        <x:is>
          <x:t xml:space="preserve">checkbox item toggles checked state and exposes menuitemcheckbox semantics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Step 5 Shared Menu Integration Smoke.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Menu Integration</x:t>
        </x:is>
      </x:c>
      <x:c r="C61" s="84" t="inlineStr">
        <x:is>
          <x:t xml:space="preserve">RadioItem</x:t>
        </x:is>
      </x:c>
      <x:c r="D61" s="84" t="inlineStr">
        <x:is>
          <x:t xml:space="preserve">radio items are exclusive and expose menuitemradio semantics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Step 5 Shared Menu Integration Smoke.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Menu Integration</x:t>
        </x:is>
      </x:c>
      <x:c r="C62" s="84" t="inlineStr">
        <x:is>
          <x:t xml:space="preserve">Group and Separator</x:t>
        </x:is>
      </x:c>
      <x:c r="D62" s="84" t="inlineStr">
        <x:is>
          <x:t xml:space="preserve">group and separator render as shared Menu integration anatomy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Step 5 Shared Menu Integration Smoke.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Menu Integration</x:t>
        </x:is>
      </x:c>
      <x:c r="C63" s="84" t="inlineStr">
        <x:is>
          <x:t xml:space="preserve">SubTrigger</x:t>
        </x:is>
      </x:c>
      <x:c r="D63" s="84" t="inlineStr">
        <x:is>
          <x:t xml:space="preserve">submenu trigger opens SubContent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Step 5 Shared Menu Integration Smoke.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Menu Integration</x:t>
        </x:is>
      </x:c>
      <x:c r="C64" s="84" t="inlineStr">
        <x:is>
          <x:t xml:space="preserve">SubContent</x:t>
        </x:is>
      </x:c>
      <x:c r="D64" s="84" t="inlineStr">
        <x:is>
          <x:t xml:space="preserve">submenu content exposes role menu and closes before parent on Escape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Step 5 Shared Menu Integration Smoke.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Source</x:t>
        </x:is>
      </x:c>
      <x:c r="C65" s="84" t="inlineStr">
        <x:is>
          <x:t xml:space="preserve">Menubar</x:t>
        </x:is>
      </x:c>
      <x:c r="D65" s="84" t="inlineStr">
        <x:is>
          <x:t xml:space="preserve">Source panel shows public Atom JSX only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Step 9 Source / Inspector / Logs.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Inspector</x:t>
        </x:is>
      </x:c>
      <x:c r="C66" s="84" t="inlineStr">
        <x:is>
          <x:t xml:space="preserve">Menubar</x:t>
        </x:is>
      </x:c>
      <x:c r="D66" s="84" t="inlineStr">
        <x:is>
          <x:t xml:space="preserve">Selected and Focused tabs update independently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Step 9 Source / Inspector / Logs.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Logs</x:t>
        </x:is>
      </x:c>
      <x:c r="C67" s="84" t="inlineStr">
        <x:is>
          <x:t xml:space="preserve">Menubar</x:t>
        </x:is>
      </x:c>
      <x:c r="D67" s="84" t="inlineStr">
        <x:is>
          <x:t xml:space="preserve">logs record open, close, controlled actions, selection, and clear correctly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Step 9 Source / Inspector / Logs.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30" customHeight="1">
      <x:c r="A68" s="73" t="n">
        <x:v>60</x:v>
      </x:c>
      <x:c r="B68" s="84" t="inlineStr">
        <x:is>
          <x:t xml:space="preserve">Public API</x:t>
        </x:is>
      </x:c>
      <x:c r="C68" s="84" t="inlineStr">
        <x:is>
          <x:t xml:space="preserve">Root</x:t>
        </x:is>
      </x:c>
      <x:c r="D68" s="84" t="inlineStr">
        <x:is>
          <x:t xml:space="preserve">orientation defaults horizontal and supports vertical with matching aria-orientation and data-orientation</x:t>
        </x:is>
      </x:c>
      <x:c r="E68" s="76" t="inlineStr">
        <x:is>
          <x:t xml:space="preserve">yes</x:t>
        </x:is>
      </x:c>
      <x:c r="F68" s="85" t="inlineStr">
        <x:is>
          <x:t xml:space="preserve">no</x:t>
        </x:is>
      </x:c>
      <x:c r="G68" s="73" t="inlineStr">
        <x:is>
          <x:t xml:space="preserve">automated tests pass; manual pending</x:t>
        </x:is>
      </x:c>
      <x:c r="H68" s="86" t="inlineStr">
        <x:is>
          <x:t xml:space="preserve">untested</x:t>
        </x:is>
      </x:c>
      <x:c r="I68" s="84" t="inlineStr">
        <x:is>
          <x:t xml:space="preserve">playground/manual-tests/menubar.md</x:t>
        </x:is>
      </x:c>
      <x:c r="J68" s="84" t="inlineStr">
        <x:is>
          <x:t xml:space="preserve">Run the updated component Manual Test Protocol and named browser/device matrix.</x:t>
        </x:is>
      </x:c>
      <x:c r="K68" s="87" t="n">
        <x:f>IF(AND(E68="yes",F68="yes",H68="covered"),1,IF(H68="partial",0.5,0))</x:f>
        <x:v>0</x:v>
      </x:c>
    </x:row>
    <x:row r="69" s="51" customFormat="1" ht="30" customHeight="1">
      <x:c r="A69" s="73" t="n">
        <x:v>61</x:v>
      </x:c>
      <x:c r="B69" s="84" t="inlineStr">
        <x:is>
          <x:t xml:space="preserve">Keyboard</x:t>
        </x:is>
      </x:c>
      <x:c r="C69" s="84" t="inlineStr">
        <x:is>
          <x:t xml:space="preserve">Root</x:t>
        </x:is>
      </x:c>
      <x:c r="D69" s="84" t="inlineStr">
        <x:is>
          <x:t xml:space="preserve">vertical ArrowDown and ArrowUp move real focus across enabled top-level triggers while Home and End remain stable</x:t>
        </x:is>
      </x:c>
      <x:c r="E69" s="76" t="inlineStr">
        <x:is>
          <x:t xml:space="preserve">yes</x:t>
        </x:is>
      </x:c>
      <x:c r="F69" s="85" t="inlineStr">
        <x:is>
          <x:t xml:space="preserve">no</x:t>
        </x:is>
      </x:c>
      <x:c r="G69" s="73" t="inlineStr">
        <x:is>
          <x:t xml:space="preserve">automated tests pass; manual pending</x:t>
        </x:is>
      </x:c>
      <x:c r="H69" s="86" t="inlineStr">
        <x:is>
          <x:t xml:space="preserve">untested</x:t>
        </x:is>
      </x:c>
      <x:c r="I69" s="84" t="inlineStr">
        <x:is>
          <x:t xml:space="preserve">playground/manual-tests/menubar.md</x:t>
        </x:is>
      </x:c>
      <x:c r="J69" s="84" t="inlineStr">
        <x:is>
          <x:t xml:space="preserve">Run the updated component Manual Test Protocol and named browser/device matrix.</x:t>
        </x:is>
      </x:c>
      <x:c r="K69" s="87" t="n">
        <x:f>IF(AND(E69="yes",F69="yes",H69="covered"),1,IF(H69="partial",0.5,0))</x:f>
        <x:v>0</x:v>
      </x:c>
    </x:row>
    <x:row r="70" s="51" customFormat="1" ht="30" customHeight="1">
      <x:c r="A70" s="73" t="n">
        <x:v>62</x:v>
      </x:c>
      <x:c r="B70" s="84" t="inlineStr">
        <x:is>
          <x:t xml:space="preserve">Focus</x:t>
        </x:is>
      </x:c>
      <x:c r="C70" s="84" t="inlineStr">
        <x:is>
          <x:t xml:space="preserve">Content</x:t>
        </x:is>
      </x:c>
      <x:c r="D70" s="84" t="inlineStr">
        <x:is>
          <x:t xml:space="preserve">opening a top-level menu moves real focus to its requested first or last item</x:t>
        </x:is>
      </x:c>
      <x:c r="E70" s="76" t="inlineStr">
        <x:is>
          <x:t xml:space="preserve">yes</x:t>
        </x:is>
      </x:c>
      <x:c r="F70" s="85" t="inlineStr">
        <x:is>
          <x:t xml:space="preserve">no</x:t>
        </x:is>
      </x:c>
      <x:c r="G70" s="73" t="inlineStr">
        <x:is>
          <x:t xml:space="preserve">automated tests pass; manual pending</x:t>
        </x:is>
      </x:c>
      <x:c r="H70" s="86" t="inlineStr">
        <x:is>
          <x:t xml:space="preserve">untested</x:t>
        </x:is>
      </x:c>
      <x:c r="I70" s="84" t="inlineStr">
        <x:is>
          <x:t xml:space="preserve">playground/manual-tests/menubar.md</x:t>
        </x:is>
      </x:c>
      <x:c r="J70" s="84" t="inlineStr">
        <x:is>
          <x:t xml:space="preserve">Run the updated component Manual Test Protocol and named browser/device matrix.</x:t>
        </x:is>
      </x:c>
      <x:c r="K70" s="87" t="n">
        <x:f>IF(AND(E70="yes",F70="yes",H70="covered"),1,IF(H70="partial",0.5,0))</x:f>
        <x:v>0</x:v>
      </x:c>
    </x:row>
    <x:row r="71" s="51" customFormat="1" ht="30" customHeight="1">
      <x:c r="A71" s="73" t="n">
        <x:v>63</x:v>
      </x:c>
      <x:c r="B71" s="84" t="inlineStr">
        <x:is>
          <x:t xml:space="preserve">Focus</x:t>
        </x:is>
      </x:c>
      <x:c r="C71" s="84" t="inlineStr">
        <x:is>
          <x:t xml:space="preserve">Open And Close</x:t>
        </x:is>
      </x:c>
      <x:c r="D71" s="84" t="inlineStr">
        <x:is>
          <x:t xml:space="preserve">Tab exits the complete Menubar Root instead of returning to one Trigger</x:t>
        </x:is>
      </x:c>
      <x:c r="E71" s="76" t="inlineStr">
        <x:is>
          <x:t xml:space="preserve">yes</x:t>
        </x:is>
      </x:c>
      <x:c r="F71" s="85" t="inlineStr">
        <x:is>
          <x:t xml:space="preserve">no</x:t>
        </x:is>
      </x:c>
      <x:c r="G71" s="73" t="inlineStr">
        <x:is>
          <x:t xml:space="preserve">automated tests pass; manual pending</x:t>
        </x:is>
      </x:c>
      <x:c r="H71" s="86" t="inlineStr">
        <x:is>
          <x:t xml:space="preserve">untested</x:t>
        </x:is>
      </x:c>
      <x:c r="I71" s="84" t="inlineStr">
        <x:is>
          <x:t xml:space="preserve">playground/manual-tests/menubar.md</x:t>
        </x:is>
      </x:c>
      <x:c r="J71" s="84" t="inlineStr">
        <x:is>
          <x:t xml:space="preserve">Run the updated component Manual Test Protocol and named browser/device matrix.</x:t>
        </x:is>
      </x:c>
      <x:c r="K71" s="87" t="n">
        <x:f>IF(AND(E71="yes",F71="yes",H71="covered"),1,IF(H71="partial",0.5,0))</x:f>
        <x:v>0</x:v>
      </x:c>
    </x:row>
    <x:row r="72" s="51" customFormat="1" ht="30" customHeight="1">
      <x:c r="A72" s="73" t="n">
        <x:v>64</x:v>
      </x:c>
      <x:c r="B72" s="84" t="inlineStr">
        <x:is>
          <x:t xml:space="preserve">Composition</x:t>
        </x:is>
      </x:c>
      <x:c r="C72" s="84" t="inlineStr">
        <x:is>
          <x:t xml:space="preserve">Trigger</x:t>
        </x:is>
      </x:c>
      <x:c r="D72" s="84" t="inlineStr">
        <x:is>
          <x:t xml:space="preserve">Trigger preserves its consumer ref and offered asChild or render composition</x:t>
        </x:is>
      </x:c>
      <x:c r="E72" s="76" t="inlineStr">
        <x:is>
          <x:t xml:space="preserve">yes</x:t>
        </x:is>
      </x:c>
      <x:c r="F72" s="85" t="inlineStr">
        <x:is>
          <x:t xml:space="preserve">no</x:t>
        </x:is>
      </x:c>
      <x:c r="G72" s="73" t="inlineStr">
        <x:is>
          <x:t xml:space="preserve">automated tests pass; manual pending</x:t>
        </x:is>
      </x:c>
      <x:c r="H72" s="86" t="inlineStr">
        <x:is>
          <x:t xml:space="preserve">untested</x:t>
        </x:is>
      </x:c>
      <x:c r="I72" s="84" t="inlineStr">
        <x:is>
          <x:t xml:space="preserve">playground/manual-tests/menubar.md</x:t>
        </x:is>
      </x:c>
      <x:c r="J72" s="84" t="inlineStr">
        <x:is>
          <x:t xml:space="preserve">Run the updated component Manual Test Protocol and named browser/device matrix.</x:t>
        </x:is>
      </x:c>
      <x:c r="K72" s="87" t="n">
        <x:f>IF(AND(E72="yes",F72="yes",H72="covered"),1,IF(H72="partial",0.5,0))</x:f>
        <x:v>0</x:v>
      </x:c>
    </x:row>
    <x:row r="73" s="51" customFormat="1" ht="30" customHeight="1">
      <x:c r="A73" s="73" t="n">
        <x:v>65</x:v>
      </x:c>
      <x:c r="B73" s="84" t="inlineStr">
        <x:is>
          <x:t xml:space="preserve">Pointer</x:t>
        </x:is>
      </x:c>
      <x:c r="C73" s="84" t="inlineStr">
        <x:is>
          <x:t xml:space="preserve">Trigger</x:t>
        </x:is>
      </x:c>
      <x:c r="D73" s="84" t="inlineStr">
        <x:is>
          <x:t xml:space="preserve">touch tap opens or closes while touch and pen contact cannot run mouse-hover switching</x:t>
        </x:is>
      </x:c>
      <x:c r="E73" s="76" t="inlineStr">
        <x:is>
          <x:t xml:space="preserve">yes</x:t>
        </x:is>
      </x:c>
      <x:c r="F73" s="85" t="inlineStr">
        <x:is>
          <x:t xml:space="preserve">no</x:t>
        </x:is>
      </x:c>
      <x:c r="G73" s="73" t="inlineStr">
        <x:is>
          <x:t xml:space="preserve">automated tests pass; manual pending</x:t>
        </x:is>
      </x:c>
      <x:c r="H73" s="86" t="inlineStr">
        <x:is>
          <x:t xml:space="preserve">untested</x:t>
        </x:is>
      </x:c>
      <x:c r="I73" s="84" t="inlineStr">
        <x:is>
          <x:t xml:space="preserve">playground/manual-tests/menubar.md</x:t>
        </x:is>
      </x:c>
      <x:c r="J73" s="84" t="inlineStr">
        <x:is>
          <x:t xml:space="preserve">Run the updated component Manual Test Protocol and named browser/device matrix.</x:t>
        </x:is>
      </x:c>
      <x:c r="K73" s="87" t="n">
        <x:f>IF(AND(E73="yes",F73="yes",H73="covered"),1,IF(H73="partial",0.5,0))</x:f>
        <x:v>0</x:v>
      </x:c>
    </x:row>
    <x:row r="74" s="51" customFormat="1" ht="30" customHeight="1">
      <x:c r="A74" s="73" t="n">
        <x:v>66</x:v>
      </x:c>
      <x:c r="B74" s="84" t="inlineStr">
        <x:is>
          <x:t xml:space="preserve">Shared Menu Integration</x:t>
        </x:is>
      </x:c>
      <x:c r="C74" s="84" t="inlineStr">
        <x:is>
          <x:t xml:space="preserve">Anatomy</x:t>
        </x:is>
      </x:c>
      <x:c r="D74" s="84" t="inlineStr">
        <x:is>
          <x:t xml:space="preserve">Portal, Arrow, Label, and ItemIndicator integrate with shared Menu semantics</x:t>
        </x:is>
      </x:c>
      <x:c r="E74" s="76" t="inlineStr">
        <x:is>
          <x:t xml:space="preserve">yes</x:t>
        </x:is>
      </x:c>
      <x:c r="F74" s="85" t="inlineStr">
        <x:is>
          <x:t xml:space="preserve">no</x:t>
        </x:is>
      </x:c>
      <x:c r="G74" s="73" t="inlineStr">
        <x:is>
          <x:t xml:space="preserve">automated tests pass; manual pending</x:t>
        </x:is>
      </x:c>
      <x:c r="H74" s="86" t="inlineStr">
        <x:is>
          <x:t xml:space="preserve">untested</x:t>
        </x:is>
      </x:c>
      <x:c r="I74" s="84" t="inlineStr">
        <x:is>
          <x:t xml:space="preserve">playground/manual-tests/menubar.md</x:t>
        </x:is>
      </x:c>
      <x:c r="J74" s="84" t="inlineStr">
        <x:is>
          <x:t xml:space="preserve">Run the updated component Manual Test Protocol and named browser/device matrix.</x:t>
        </x:is>
      </x:c>
      <x:c r="K74" s="87" t="n">
        <x:f>IF(AND(E74="yes",F74="yes",H74="covered"),1,IF(H74="partial",0.5,0))</x:f>
        <x:v>0</x:v>
      </x:c>
    </x:row>
    <x:row r="75" s="51" customFormat="1" ht="30" customHeight="1">
      <x:c r="A75" s="73" t="n">
        <x:v>67</x:v>
      </x:c>
      <x:c r="B75" s="84" t="inlineStr">
        <x:is>
          <x:t xml:space="preserve">Shared Menu Integration</x:t>
        </x:is>
      </x:c>
      <x:c r="C75" s="84" t="inlineStr">
        <x:is>
          <x:t xml:space="preserve">Disabled Item</x:t>
        </x:is>
      </x:c>
      <x:c r="D75" s="84" t="inlineStr">
        <x:is>
          <x:t xml:space="preserve">disabled shared Menu items receive focus but never activate</x:t>
        </x:is>
      </x:c>
      <x:c r="E75" s="76" t="inlineStr">
        <x:is>
          <x:t xml:space="preserve">yes</x:t>
        </x:is>
      </x:c>
      <x:c r="F75" s="85" t="inlineStr">
        <x:is>
          <x:t xml:space="preserve">no</x:t>
        </x:is>
      </x:c>
      <x:c r="G75" s="73" t="inlineStr">
        <x:is>
          <x:t xml:space="preserve">automated tests pass; manual pending</x:t>
        </x:is>
      </x:c>
      <x:c r="H75" s="86" t="inlineStr">
        <x:is>
          <x:t xml:space="preserve">untested</x:t>
        </x:is>
      </x:c>
      <x:c r="I75" s="84" t="inlineStr">
        <x:is>
          <x:t xml:space="preserve">playground/manual-tests/menubar.md</x:t>
        </x:is>
      </x:c>
      <x:c r="J75" s="84" t="inlineStr">
        <x:is>
          <x:t xml:space="preserve">Run the updated component Manual Test Protocol and named browser/device matrix.</x:t>
        </x:is>
      </x:c>
      <x:c r="K75" s="87" t="n">
        <x:f>IF(AND(E75="yes",F75="yes",H75="covered"),1,IF(H75="partial",0.5,0))</x:f>
        <x:v>0</x:v>
      </x:c>
    </x:row>
    <x:row r="76" s="51" customFormat="1" ht="30" customHeight="1">
      <x:c r="A76" s="73" t="n">
        <x:v>68</x:v>
      </x:c>
      <x:c r="B76" s="84" t="inlineStr">
        <x:is>
          <x:t xml:space="preserve">Responsive</x:t>
        </x:is>
      </x:c>
      <x:c r="C76" s="84" t="inlineStr">
        <x:is>
          <x:t xml:space="preserve">Reflow</x:t>
        </x:is>
      </x:c>
      <x:c r="D76" s="84" t="inlineStr">
        <x:is>
          <x:t xml:space="preserve">horizontal and vertical Menubar remain reachable at 200%, 400%, and narrow viewport reflow</x:t>
        </x:is>
      </x:c>
      <x:c r="E76" s="76" t="inlineStr">
        <x:is>
          <x:t xml:space="preserve">yes</x:t>
        </x:is>
      </x:c>
      <x:c r="F76" s="85" t="inlineStr">
        <x:is>
          <x:t xml:space="preserve">no</x:t>
        </x:is>
      </x:c>
      <x:c r="G76" s="73" t="inlineStr">
        <x:is>
          <x:t xml:space="preserve">automated tests pass; manual pending</x:t>
        </x:is>
      </x:c>
      <x:c r="H76" s="86" t="inlineStr">
        <x:is>
          <x:t xml:space="preserve">untested</x:t>
        </x:is>
      </x:c>
      <x:c r="I76" s="84" t="inlineStr">
        <x:is>
          <x:t xml:space="preserve">playground/manual-tests/menubar.md</x:t>
        </x:is>
      </x:c>
      <x:c r="J76" s="84" t="inlineStr">
        <x:is>
          <x:t xml:space="preserve">Run the updated component Manual Test Protocol and named browser/device matrix.</x:t>
        </x:is>
      </x:c>
      <x:c r="K76" s="87" t="n">
        <x:f>IF(AND(E76="yes",F76="yes",H76="covered"),1,IF(H76="partial",0.5,0))</x:f>
        <x:v>0</x:v>
      </x:c>
    </x:row>
    <x:row r="77" s="51" customFormat="1" ht="30" customHeight="1">
      <x:c r="A77" s="73" t="n">
        <x:v>69</x:v>
      </x:c>
      <x:c r="B77" s="84" t="inlineStr">
        <x:is>
          <x:t xml:space="preserve">Composition</x:t>
        </x:is>
      </x:c>
      <x:c r="C77" s="84" t="inlineStr">
        <x:is>
          <x:t xml:space="preserve">Root</x:t>
        </x:is>
      </x:c>
      <x:c r="D77" s="84" t="inlineStr">
        <x:is>
          <x:t xml:space="preserve">Root preserves Menubar semantics, state, native props, children, and keyboard behavior through asChild and render</x:t>
        </x:is>
      </x:c>
      <x:c r="E77" s="76" t="inlineStr">
        <x:is>
          <x:t xml:space="preserve">yes</x:t>
        </x:is>
      </x:c>
      <x:c r="F77" s="85" t="inlineStr">
        <x:is>
          <x:t xml:space="preserve">no</x:t>
        </x:is>
      </x:c>
      <x:c r="G77" s="73" t="inlineStr">
        <x:is>
          <x:t xml:space="preserve">automated package/build coverage passes; manual pending</x:t>
        </x:is>
      </x:c>
      <x:c r="H77" s="86" t="inlineStr">
        <x:is>
          <x:t xml:space="preserve">untested</x:t>
        </x:is>
      </x:c>
      <x:c r="I77" s="84" t="inlineStr">
        <x:is>
          <x:t xml:space="preserve">Step 8 Root And Content Composition.</x:t>
        </x:is>
      </x:c>
      <x:c r="J77" s="84" t="inlineStr">
        <x:is>
          <x:t xml:space="preserve">Run Step 8 in the updated component Manual Test Protocol.</x:t>
        </x:is>
      </x:c>
      <x:c r="K77" s="87" t="n">
        <x:f>IF(AND(E77="yes",F77="yes",H77="covered"),1,IF(H77="partial",0.5,0))</x:f>
        <x:v>0</x:v>
      </x:c>
    </x:row>
    <x:row r="78" s="51" customFormat="1" ht="30" customHeight="1">
      <x:c r="A78" s="73" t="n">
        <x:v>70</x:v>
      </x:c>
      <x:c r="B78" s="84" t="inlineStr">
        <x:is>
          <x:t xml:space="preserve">Composition</x:t>
        </x:is>
      </x:c>
      <x:c r="C78" s="84" t="inlineStr">
        <x:is>
          <x:t xml:space="preserve">Content</x:t>
        </x:is>
      </x:c>
      <x:c r="D78" s="84" t="inlineStr">
        <x:is>
          <x:t xml:space="preserve">Content preserves menu semantics, focus, placement state, native props, children, and keyboard behavior through asChild and render</x:t>
        </x:is>
      </x:c>
      <x:c r="E78" s="76" t="inlineStr">
        <x:is>
          <x:t xml:space="preserve">yes</x:t>
        </x:is>
      </x:c>
      <x:c r="F78" s="85" t="inlineStr">
        <x:is>
          <x:t xml:space="preserve">no</x:t>
        </x:is>
      </x:c>
      <x:c r="G78" s="73" t="inlineStr">
        <x:is>
          <x:t xml:space="preserve">automated package/build coverage passes; manual pending</x:t>
        </x:is>
      </x:c>
      <x:c r="H78" s="86" t="inlineStr">
        <x:is>
          <x:t xml:space="preserve">untested</x:t>
        </x:is>
      </x:c>
      <x:c r="I78" s="84" t="inlineStr">
        <x:is>
          <x:t xml:space="preserve">Step 8 Root And Content Composition.</x:t>
        </x:is>
      </x:c>
      <x:c r="J78" s="84" t="inlineStr">
        <x:is>
          <x:t xml:space="preserve">Run Step 8 in the updated component Manual Test Protocol.</x:t>
        </x:is>
      </x:c>
      <x:c r="K78" s="87" t="n">
        <x:f>IF(AND(E78="yes",F78="yes",H78="covered"),1,IF(H78="partial",0.5,0))</x:f>
        <x:v>0</x:v>
      </x:c>
    </x:row>
    <x:row r="79" s="51" customFormat="1" ht="82" customHeight="1">
      <x:c r="A79" s="73" t="n">
        <x:v>71</x:v>
      </x:c>
      <x:c r="B79" s="84" t="inlineStr">
        <x:is>
          <x:t xml:space="preserve">Controller</x:t>
        </x:is>
      </x:c>
      <x:c r="C79" s="84" t="inlineStr">
        <x:is>
          <x:t xml:space="preserve">RootProvider / Context</x:t>
        </x:is>
      </x:c>
      <x:c r="D79" s="84" t="inlineStr">
        <x:is>
          <x:t xml:space="preserve">External controller opens, closes, highlights and shares state with the root.</x:t>
        </x:is>
      </x:c>
      <x:c r="E79" s="76" t="inlineStr">
        <x:is>
          <x:t xml:space="preserve">yes</x:t>
        </x:is>
      </x:c>
      <x:c r="F79" s="85" t="inlineStr">
        <x:is>
          <x:t xml:space="preserve">no</x:t>
        </x:is>
      </x:c>
      <x:c r="G79" s="73" t="inlineStr">
        <x:is>
          <x:t xml:space="preserve">Fixture implemented; automated regression qualified; manual not performed</x:t>
        </x:is>
      </x:c>
      <x:c r="H79" s="86" t="inlineStr">
        <x:is>
          <x:t xml:space="preserve">partial</x:t>
        </x:is>
      </x:c>
      <x:c r="I79" s="84" t="inlineStr">
        <x:is>
          <x:t xml:space="preserve">/__tests/menu-policies?owner=Menubar; playground/manual-tests/menu-policies.md; test/browser/menu-policies.spec.ts</x:t>
        </x:is>
      </x:c>
      <x:c r="J79" s="84" t="inlineStr">
        <x:is>
          <x:t xml:space="preserve">Run complete owning protocol, screen-reader, physical-device and actual browser zoom checks.</x:t>
        </x:is>
      </x:c>
      <x:c r="K79" s="87" t="n">
        <x:f>IF(AND(E79="yes",F79="yes",H79="covered"),1,IF(H79="partial",0.5,0))</x:f>
        <x:v>0.5</x:v>
      </x:c>
    </x:row>
    <x:row r="80" s="51" customFormat="1" ht="82" customHeight="1">
      <x:c r="A80" s="73" t="n">
        <x:v>72</x:v>
      </x:c>
      <x:c r="B80" s="84" t="inlineStr">
        <x:is>
          <x:t xml:space="preserve">Selection</x:t>
        </x:is>
      </x:c>
      <x:c r="C80" s="84" t="inlineStr">
        <x:is>
          <x:t xml:space="preserve">Root / Item</x:t>
        </x:is>
      </x:c>
      <x:c r="D80" s="84" t="inlineStr">
        <x:is>
          <x:t xml:space="preserve">Root onSelect follows item callback; preventDefault leaves checkbox/radio state unchanged.</x:t>
        </x:is>
      </x:c>
      <x:c r="E80" s="76" t="inlineStr">
        <x:is>
          <x:t xml:space="preserve">yes</x:t>
        </x:is>
      </x:c>
      <x:c r="F80" s="85" t="inlineStr">
        <x:is>
          <x:t xml:space="preserve">no</x:t>
        </x:is>
      </x:c>
      <x:c r="G80" s="73" t="inlineStr">
        <x:is>
          <x:t xml:space="preserve">Fixture implemented; automated regression qualified; manual not performed</x:t>
        </x:is>
      </x:c>
      <x:c r="H80" s="86" t="inlineStr">
        <x:is>
          <x:t xml:space="preserve">partial</x:t>
        </x:is>
      </x:c>
      <x:c r="I80" s="84" t="inlineStr">
        <x:is>
          <x:t xml:space="preserve">/__tests/menu-policies?owner=Menubar; playground/manual-tests/menu-policies.md; test/browser/menu-policies.spec.ts</x:t>
        </x:is>
      </x:c>
      <x:c r="J80" s="84" t="inlineStr">
        <x:is>
          <x:t xml:space="preserve">Run complete owning protocol, screen-reader, physical-device and actual browser zoom checks.</x:t>
        </x:is>
      </x:c>
      <x:c r="K80" s="87" t="n">
        <x:f>IF(AND(E80="yes",F80="yes",H80="covered"),1,IF(H80="partial",0.5,0))</x:f>
        <x:v>0.5</x:v>
      </x:c>
    </x:row>
    <x:row r="81" s="51" customFormat="1" ht="82" customHeight="1">
      <x:c r="A81" s="73" t="n">
        <x:v>73</x:v>
      </x:c>
      <x:c r="B81" s="84" t="inlineStr">
        <x:is>
          <x:t xml:space="preserve">Keyboard</x:t>
        </x:is>
      </x:c>
      <x:c r="C81" s="84" t="inlineStr">
        <x:is>
          <x:t xml:space="preserve">Root</x:t>
        </x:is>
      </x:c>
      <x:c r="D81" s="84" t="inlineStr">
        <x:is>
          <x:t xml:space="preserve">Controlled/default highlight, disabled typeahead, loop options preserve focus.</x:t>
        </x:is>
      </x:c>
      <x:c r="E81" s="76" t="inlineStr">
        <x:is>
          <x:t xml:space="preserve">yes</x:t>
        </x:is>
      </x:c>
      <x:c r="F81" s="85" t="inlineStr">
        <x:is>
          <x:t xml:space="preserve">no</x:t>
        </x:is>
      </x:c>
      <x:c r="G81" s="73" t="inlineStr">
        <x:is>
          <x:t xml:space="preserve">Fixture implemented; automated regression qualified; manual not performed</x:t>
        </x:is>
      </x:c>
      <x:c r="H81" s="86" t="inlineStr">
        <x:is>
          <x:t xml:space="preserve">partial</x:t>
        </x:is>
      </x:c>
      <x:c r="I81" s="84" t="inlineStr">
        <x:is>
          <x:t xml:space="preserve">/__tests/menu-policies?owner=Menubar; playground/manual-tests/menu-policies.md; test/browser/menu-policies.spec.ts</x:t>
        </x:is>
      </x:c>
      <x:c r="J81" s="84" t="inlineStr">
        <x:is>
          <x:t xml:space="preserve">Run complete owning protocol, screen-reader, physical-device and actual browser zoom checks.</x:t>
        </x:is>
      </x:c>
      <x:c r="K81" s="87" t="n">
        <x:f>IF(AND(E81="yes",F81="yes",H81="covered"),1,IF(H81="partial",0.5,0))</x:f>
        <x:v>0.5</x:v>
      </x:c>
    </x:row>
    <x:row r="82" s="51" customFormat="1" ht="82" customHeight="1">
      <x:c r="A82" s="73" t="n">
        <x:v>74</x:v>
      </x:c>
      <x:c r="B82" s="84" t="inlineStr">
        <x:is>
          <x:t xml:space="preserve">Navigation</x:t>
        </x:is>
      </x:c>
      <x:c r="C82" s="84" t="inlineStr">
        <x:is>
          <x:t xml:space="preserve">Item</x:t>
        </x:is>
      </x:c>
      <x:c r="D82" s="84" t="inlineStr">
        <x:is>
          <x:t xml:space="preserve">Navigate hook handles ordinary native/router links without intercepting modified navigation.</x:t>
        </x:is>
      </x:c>
      <x:c r="E82" s="76" t="inlineStr">
        <x:is>
          <x:t xml:space="preserve">yes</x:t>
        </x:is>
      </x:c>
      <x:c r="F82" s="85" t="inlineStr">
        <x:is>
          <x:t xml:space="preserve">no</x:t>
        </x:is>
      </x:c>
      <x:c r="G82" s="73" t="inlineStr">
        <x:is>
          <x:t xml:space="preserve">Fixture implemented; automated regression qualified; manual not performed</x:t>
        </x:is>
      </x:c>
      <x:c r="H82" s="86" t="inlineStr">
        <x:is>
          <x:t xml:space="preserve">partial</x:t>
        </x:is>
      </x:c>
      <x:c r="I82" s="84" t="inlineStr">
        <x:is>
          <x:t xml:space="preserve">/__tests/menu-policies?owner=Menubar; playground/manual-tests/menu-policies.md; test/browser/menu-policies.spec.ts</x:t>
        </x:is>
      </x:c>
      <x:c r="J82" s="84" t="inlineStr">
        <x:is>
          <x:t xml:space="preserve">Run complete owning protocol, screen-reader, physical-device and actual browser zoom checks.</x:t>
        </x:is>
      </x:c>
      <x:c r="K82" s="87" t="n">
        <x:f>IF(AND(E82="yes",F82="yes",H82="covered"),1,IF(H82="partial",0.5,0))</x:f>
        <x:v>0.5</x:v>
      </x:c>
    </x:row>
    <x:row r="83" s="51" customFormat="1" ht="82" customHeight="1">
      <x:c r="A83" s="73" t="n">
        <x:v>75</x:v>
      </x:c>
      <x:c r="B83" s="84" t="inlineStr">
        <x:is>
          <x:t xml:space="preserve">Lifecycle</x:t>
        </x:is>
      </x:c>
      <x:c r="C83" s="84" t="inlineStr">
        <x:is>
          <x:t xml:space="preserve">Content</x:t>
        </x:is>
      </x:c>
      <x:c r="D83" s="84" t="inlineStr">
        <x:is>
          <x:t xml:space="preserve">lazyMount, unmountOnExit, skipAnimationOnMount and exit completion preserve hidden/inert content.</x:t>
        </x:is>
      </x:c>
      <x:c r="E83" s="76" t="inlineStr">
        <x:is>
          <x:t xml:space="preserve">yes</x:t>
        </x:is>
      </x:c>
      <x:c r="F83" s="85" t="inlineStr">
        <x:is>
          <x:t xml:space="preserve">no</x:t>
        </x:is>
      </x:c>
      <x:c r="G83" s="73" t="inlineStr">
        <x:is>
          <x:t xml:space="preserve">Fixture implemented; automated regression qualified; manual not performed</x:t>
        </x:is>
      </x:c>
      <x:c r="H83" s="86" t="inlineStr">
        <x:is>
          <x:t xml:space="preserve">partial</x:t>
        </x:is>
      </x:c>
      <x:c r="I83" s="84" t="inlineStr">
        <x:is>
          <x:t xml:space="preserve">/__tests/menu-policies?owner=Menubar; playground/manual-tests/menu-policies.md; test/browser/menu-policies.spec.ts</x:t>
        </x:is>
      </x:c>
      <x:c r="J83" s="84" t="inlineStr">
        <x:is>
          <x:t xml:space="preserve">Run complete owning protocol, screen-reader, physical-device and actual browser zoom checks.</x:t>
        </x:is>
      </x:c>
      <x:c r="K83" s="87" t="n">
        <x:f>IF(AND(E83="yes",F83="yes",H83="covered"),1,IF(H83="partial",0.5,0))</x:f>
        <x:v>0.5</x:v>
      </x:c>
    </x:row>
    <x:row r="84" s="51" customFormat="1" ht="82" customHeight="1">
      <x:c r="A84" s="73" t="n">
        <x:v>76</x:v>
      </x:c>
      <x:c r="B84" s="84" t="inlineStr">
        <x:is>
          <x:t xml:space="preserve">Positioning</x:t>
        </x:is>
      </x:c>
      <x:c r="C84" s="84" t="inlineStr">
        <x:is>
          <x:t xml:space="preserve">Content / SubContent</x:t>
        </x:is>
      </x:c>
      <x:c r="D84" s="84" t="inlineStr">
        <x:is>
          <x:t xml:space="preserve">Positioning options expose anchor, collision, sameWidth and fitViewport without unsolicited dimensions.</x:t>
        </x:is>
      </x:c>
      <x:c r="E84" s="76" t="inlineStr">
        <x:is>
          <x:t xml:space="preserve">yes</x:t>
        </x:is>
      </x:c>
      <x:c r="F84" s="85" t="inlineStr">
        <x:is>
          <x:t xml:space="preserve">no</x:t>
        </x:is>
      </x:c>
      <x:c r="G84" s="73" t="inlineStr">
        <x:is>
          <x:t xml:space="preserve">Fixture implemented; automated regression qualified; manual not performed</x:t>
        </x:is>
      </x:c>
      <x:c r="H84" s="86" t="inlineStr">
        <x:is>
          <x:t xml:space="preserve">partial</x:t>
        </x:is>
      </x:c>
      <x:c r="I84" s="84" t="inlineStr">
        <x:is>
          <x:t xml:space="preserve">/__tests/menu-policies?owner=Menubar; playground/manual-tests/menu-policies.md; test/browser/menu-policies.spec.ts</x:t>
        </x:is>
      </x:c>
      <x:c r="J84" s="84" t="inlineStr">
        <x:is>
          <x:t xml:space="preserve">Run complete owning protocol, screen-reader, physical-device and actual browser zoom checks.</x:t>
        </x:is>
      </x:c>
      <x:c r="K84" s="87" t="n">
        <x:f>IF(AND(E84="yes",F84="yes",H84="covered"),1,IF(H84="partial",0.5,0))</x:f>
        <x:v>0.5</x:v>
      </x:c>
    </x:row>
    <x:row r="85" s="51" customFormat="1" ht="82" customHeight="1">
      <x:c r="A85" s="73" t="n">
        <x:v>77</x:v>
      </x:c>
      <x:c r="B85" s="84" t="inlineStr">
        <x:is>
          <x:t xml:space="preserve">Events</x:t>
        </x:is>
      </x:c>
      <x:c r="C85" s="84" t="inlineStr">
        <x:is>
          <x:t xml:space="preserve">Content</x:t>
        </x:is>
      </x:c>
      <x:c r="D85" s="84" t="inlineStr">
        <x:is>
          <x:t xml:space="preserve">Cancelable escape, outside interaction callbacks and focus return retain owner focus.</x:t>
        </x:is>
      </x:c>
      <x:c r="E85" s="76" t="inlineStr">
        <x:is>
          <x:t xml:space="preserve">yes</x:t>
        </x:is>
      </x:c>
      <x:c r="F85" s="85" t="inlineStr">
        <x:is>
          <x:t xml:space="preserve">no</x:t>
        </x:is>
      </x:c>
      <x:c r="G85" s="73" t="inlineStr">
        <x:is>
          <x:t xml:space="preserve">Fixture implemented; automated regression qualified; manual not performed</x:t>
        </x:is>
      </x:c>
      <x:c r="H85" s="86" t="inlineStr">
        <x:is>
          <x:t xml:space="preserve">partial</x:t>
        </x:is>
      </x:c>
      <x:c r="I85" s="84" t="inlineStr">
        <x:is>
          <x:t xml:space="preserve">/__tests/menu-policies?owner=Menubar; playground/manual-tests/menu-policies.md; test/browser/menu-policies.spec.ts</x:t>
        </x:is>
      </x:c>
      <x:c r="J85" s="84" t="inlineStr">
        <x:is>
          <x:t xml:space="preserve">Run complete owning protocol, screen-reader, physical-device and actual browser zoom checks.</x:t>
        </x:is>
      </x:c>
      <x:c r="K85" s="87" t="n">
        <x:f>IF(AND(E85="yes",F85="yes",H85="covered"),1,IF(H85="partial",0.5,0))</x:f>
        <x:v>0.5</x:v>
      </x:c>
    </x:row>
    <x:row r="86" s="51" customFormat="1" ht="82" customHeight="1">
      <x:c r="A86" s="73" t="n">
        <x:v>78</x:v>
      </x:c>
      <x:c r="B86" s="84" t="inlineStr">
        <x:is>
          <x:t xml:space="preserve">Composition</x:t>
        </x:is>
      </x:c>
      <x:c r="C86" s="84" t="inlineStr">
        <x:is>
          <x:t xml:space="preserve">Context / Portal</x:t>
        </x:is>
      </x:c>
      <x:c r="D86" s="84" t="inlineStr">
        <x:is>
          <x:t xml:space="preserve">Context-derived state indicator and disabled Portal preserve caller-owned composition.</x:t>
        </x:is>
      </x:c>
      <x:c r="E86" s="76" t="inlineStr">
        <x:is>
          <x:t xml:space="preserve">yes</x:t>
        </x:is>
      </x:c>
      <x:c r="F86" s="85" t="inlineStr">
        <x:is>
          <x:t xml:space="preserve">no</x:t>
        </x:is>
      </x:c>
      <x:c r="G86" s="73" t="inlineStr">
        <x:is>
          <x:t xml:space="preserve">Fixture implemented; automated regression qualified; manual not performed</x:t>
        </x:is>
      </x:c>
      <x:c r="H86" s="86" t="inlineStr">
        <x:is>
          <x:t xml:space="preserve">partial</x:t>
        </x:is>
      </x:c>
      <x:c r="I86" s="84" t="inlineStr">
        <x:is>
          <x:t xml:space="preserve">/__tests/menu-policies?owner=Menubar; playground/manual-tests/menu-policies.md; test/browser/menu-policies.spec.ts</x:t>
        </x:is>
      </x:c>
      <x:c r="J86" s="84" t="inlineStr">
        <x:is>
          <x:t xml:space="preserve">Run complete owning protocol, screen-reader, physical-device and actual browser zoom checks.</x:t>
        </x:is>
      </x:c>
      <x:c r="K86" s="87" t="n">
        <x:f>IF(AND(E86="yes",F86="yes",H86="covered"),1,IF(H86="partial",0.5,0))</x:f>
        <x:v>0.5</x:v>
      </x:c>
    </x:row>
    <x:row r="87" s="51" customFormat="1" ht="82" customHeight="1">
      <x:c r="A87" s="73" t="n">
        <x:v>79</x:v>
      </x:c>
      <x:c r="B87" s="84" t="inlineStr">
        <x:is>
          <x:t xml:space="preserve">Coordination</x:t>
        </x:is>
      </x:c>
      <x:c r="C87" s="84" t="inlineStr">
        <x:is>
          <x:t xml:space="preserve">Menu / Trigger</x:t>
        </x:is>
      </x:c>
      <x:c r="D87" s="84" t="inlineStr">
        <x:is>
          <x:t xml:space="preserve">Top-level roving coordinator remains independent of action controller; non-modal policy retained.</x:t>
        </x:is>
      </x:c>
      <x:c r="E87" s="76" t="inlineStr">
        <x:is>
          <x:t xml:space="preserve">yes</x:t>
        </x:is>
      </x:c>
      <x:c r="F87" s="85" t="inlineStr">
        <x:is>
          <x:t xml:space="preserve">no</x:t>
        </x:is>
      </x:c>
      <x:c r="G87" s="73" t="inlineStr">
        <x:is>
          <x:t xml:space="preserve">Fixture implemented; automated regression qualified; manual not performed</x:t>
        </x:is>
      </x:c>
      <x:c r="H87" s="86" t="inlineStr">
        <x:is>
          <x:t xml:space="preserve">partial</x:t>
        </x:is>
      </x:c>
      <x:c r="I87" s="84" t="inlineStr">
        <x:is>
          <x:t xml:space="preserve">/__tests/menu-policies?owner=Menubar; playground/manual-tests/menu-policies.md; test/browser/menu-policies.spec.ts</x:t>
        </x:is>
      </x:c>
      <x:c r="J87" s="84" t="inlineStr">
        <x:is>
          <x:t xml:space="preserve">Run complete owning protocol, screen-reader, physical-device and actual browser zoom checks.</x:t>
        </x:is>
      </x:c>
      <x:c r="K87" s="87" t="n">
        <x:f>IF(AND(E87="yes",F87="yes",H87="covered"),1,IF(H87="partial",0.5,0))</x:f>
        <x:v>0.5</x:v>
      </x:c>
    </x:row>
    <x:row r="88" s="51" customFormat="1" ht="30" customHeight="1"/>
    <x:row r="89" s="51" customFormat="1" ht="15" customHeight="1"/>
    <x:row r="90" s="51" customFormat="1" ht="15" customHeight="1"/>
    <x:row r="91" s="51" customFormat="1" ht="15" customHeight="1"/>
    <x:row r="92" s="51" customFormat="1" ht="15" customHeight="1"/>
    <x:row r="93" s="51" customFormat="1" ht="15" customHeight="1"/>
    <x:row r="94" s="51" customFormat="1" ht="30" customHeight="1"/>
    <x:row r="95" s="51" customFormat="1" ht="15" customHeight="1"/>
    <x:row r="96" s="51" customFormat="1" ht="15" customHeight="1"/>
    <x:row r="97" s="51" customFormat="1" ht="15" customHeight="1"/>
    <x:row r="98" s="51" customFormat="1" ht="15" customHeight="1"/>
    <x:row r="99" s="51" customFormat="1" ht="15" customHeight="1"/>
    <x:row r="100" s="51" customFormat="1" ht="30" customHeight="1"/>
    <x:row r="101" s="51" customFormat="1" ht="15" customHeight="1"/>
    <x:row r="102" s="51" customFormat="1" ht="15" customHeight="1"/>
    <x:row r="103" s="51" customFormat="1" ht="15" customHeight="1"/>
    <x:row r="104" s="51" customFormat="1" ht="15" customHeight="1"/>
    <x:row r="105" s="51" customFormat="1" ht="15" customHeight="1"/>
    <x:row r="106" s="51" customFormat="1" ht="15" customHeight="1"/>
    <x:row r="107" s="51" customFormat="1" ht="15" customHeight="1"/>
    <x:row r="108" s="51" customFormat="1" ht="15" customHeight="1"/>
    <x:row r="109" s="51" customFormat="1" ht="15" customHeight="1"/>
    <x:row r="110" s="51" customFormat="1" ht="15" customHeight="1"/>
    <x:row r="111" s="51" customFormat="1" ht="15" customHeight="1"/>
    <x:row r="112" s="51" customFormat="1" ht="15" customHeight="1"/>
    <x:row r="113" s="51" customFormat="1" ht="15" customHeight="1"/>
    <x:row r="114" s="51" customFormat="1" ht="15" customHeight="1"/>
    <x:row r="115" s="51" customFormat="1" ht="15" customHeight="1"/>
    <x:row r="116" s="51" customFormat="1" ht="15" customHeight="1"/>
    <x:row r="117" s="51" customFormat="1" ht="15" customHeight="1"/>
    <x:row r="118" s="51" customFormat="1" ht="15" customHeight="1"/>
    <x:row r="119" s="51" customFormat="1" ht="15" customHeight="1"/>
    <x:row r="120" s="51" customFormat="1" ht="15" customHeight="1"/>
    <x:row r="121" s="51" customFormat="1" ht="15" customHeight="1"/>
    <x:row r="122" s="51" customFormat="1" ht="15" customHeight="1"/>
    <x:row r="123" s="51" customFormat="1" ht="15" customHeight="1"/>
    <x:row r="124" s="51" customFormat="1" ht="15" customHeight="1"/>
    <x:row r="125" s="51" customFormat="1" ht="15" customHeight="1"/>
    <x:row r="126" s="51" customFormat="1" ht="15" customHeight="1"/>
    <x:row r="127" s="51" customFormat="1" ht="15" customHeight="1"/>
    <x:row r="128" s="51" customFormat="1" ht="15" customHeight="1"/>
    <x:row r="129" s="51" customFormat="1" ht="15" customHeight="1"/>
    <x:row r="130" s="51" customFormat="1" ht="15" customHeight="1"/>
    <x:row r="131" s="51" customFormat="1" ht="15" customHeight="1"/>
    <x:row r="132" s="51" customFormat="1" ht="15" customHeight="1"/>
    <x:row r="133" s="51" customFormat="1" ht="15" customHeight="1"/>
    <x:row r="134" s="51" customFormat="1" ht="15" customHeight="1"/>
    <x:row r="135" s="51" customFormat="1" ht="15" customHeight="1"/>
    <x:row r="136" s="51" customFormat="1" ht="15" customHeight="1"/>
    <x:row r="137" s="51" customFormat="1" ht="15" customHeight="1"/>
    <x:row r="138" s="51" customFormat="1" ht="15" customHeight="1"/>
    <x:row r="139" s="51" customFormat="1" ht="15" customHeight="1"/>
    <x:row r="140" s="51" customFormat="1" ht="30" customHeight="1"/>
    <x:row r="141" s="51" customFormat="1" ht="30" customHeight="1"/>
    <x:row r="142" s="51" customFormat="1" ht="30" customHeight="1"/>
    <x:row r="143" s="51" customFormat="1" ht="30" customHeight="1"/>
    <x:row r="144" s="51" customFormat="1" ht="30" customHeight="1"/>
    <x:row r="145" s="51" customFormat="1" ht="30" customHeight="1"/>
    <x:row r="146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Modal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112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Shared playground prop rule.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Shared playground prop rule.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Modal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Modal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Modal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Modal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Modal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Modal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Modal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Modal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Modal</x:t>
        </x:is>
      </x:c>
      <x:c r="D15" s="84" t="inlineStr">
        <x:is>
          <x:t xml:space="preserve">Controlled and uncontrolled open state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Modal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Modal</x:t>
        </x:is>
      </x:c>
      <x:c r="D16" s="84" t="inlineStr">
        <x:is>
          <x:t xml:space="preserve">Escape-key and backdrop dismissal controls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Modal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Modal</x:t>
        </x:is>
      </x:c>
      <x:c r="D17" s="84" t="inlineStr">
        <x:is>
          <x:t xml:space="preserve">Stack-aware Escape dismissal so nested overlays close before the parent modal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Modal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Modal</x:t>
        </x:is>
      </x:c>
      <x:c r="D18" s="84" t="inlineStr">
        <x:is>
          <x:t xml:space="preserve">Focus trap, focus restore, scroll lock, and initial focus management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Modal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30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Modal</x:t>
        </x:is>
      </x:c>
      <x:c r="D19" s="84" t="inlineStr">
        <x:is>
          <x:t xml:space="preserve">Optional keep-mounted content support through `useModalContent`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Modal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Modal</x:t>
        </x:is>
      </x:c>
      <x:c r="D20" s="84" t="inlineStr">
        <x:is>
          <x:t xml:space="preserve">Close reasons for action, cancel, backdrop, Escape, and close-button flows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Modal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Modal</x:t>
        </x:is>
      </x:c>
      <x:c r="D21" s="84" t="inlineStr">
        <x:is>
          <x:t xml:space="preserve">Live DOM shows Modal remains headless: no Atom-owned visual classes, icons, or animation DOM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Modal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Root provider state is represented without a fake DOM selector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Modal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Anatomy</x:t>
        </x:is>
      </x:c>
      <x:c r="C23" s="84" t="inlineStr">
        <x:is>
          <x:t xml:space="preserve">Root</x:t>
        </x:is>
      </x:c>
      <x:c r="D23" s="84" t="inlineStr">
        <x:is>
          <x:t xml:space="preserve">Source shows Root wrapping Trigger and Portal in documented order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Modal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30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Root has no default DOM tag and Anatomy shows provider state only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Modal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Identity</x:t>
        </x:is>
      </x:c>
      <x:c r="C25" s="84" t="inlineStr">
        <x:is>
          <x:t xml:space="preserve">Root</x:t>
        </x:is>
      </x:c>
      <x:c r="D25" s="84" t="inlineStr">
        <x:is>
          <x:t xml:space="preserve">Root has no data-slot because it renders no DOM element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Modal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Props</x:t>
        </x:is>
      </x:c>
      <x:c r="C26" s="84" t="inlineStr">
        <x:is>
          <x:t xml:space="preserve">Root</x:t>
        </x:is>
      </x:c>
      <x:c r="D26" s="84" t="inlineStr">
        <x:is>
          <x:t xml:space="preserve">Root props are verified through behavior, Source, and Anatomy state rows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Modal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Refs</x:t>
        </x:is>
      </x:c>
      <x:c r="C27" s="84" t="inlineStr">
        <x:is>
          <x:t xml:space="preserve">Root</x:t>
        </x:is>
      </x:c>
      <x:c r="D27" s="84" t="inlineStr">
        <x:is>
          <x:t xml:space="preserve">No Root DOM ref row is tracked because Root renders no element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Modal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open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Modal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defaultOpen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Modal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onOpenChange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Modal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closeOnEscape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Modal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closeOnBackdropClick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Modal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disabled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Modal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keepMounted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Modal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Anatomy</x:t>
        </x:is>
      </x:c>
      <x:c r="C35" s="84" t="inlineStr">
        <x:is>
          <x:t xml:space="preserve">Portal</x:t>
        </x:is>
      </x:c>
      <x:c r="D35" s="84" t="inlineStr">
        <x:is>
          <x:t xml:space="preserve">Portal behavior renders content/backdrop evidence under the Portal section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Modal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Anatomy</x:t>
        </x:is>
      </x:c>
      <x:c r="C36" s="84" t="inlineStr">
        <x:is>
          <x:t xml:space="preserve">Portal</x:t>
        </x:is>
      </x:c>
      <x:c r="D36" s="84" t="inlineStr">
        <x:is>
          <x:t xml:space="preserve">Source shows Portal in documented order after Trigger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Modal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30" customHeight="1">
      <x:c r="A37" s="73" t="n">
        <x:v>29</x:v>
      </x:c>
      <x:c r="B37" s="84" t="inlineStr">
        <x:is>
          <x:t xml:space="preserve">Identity</x:t>
        </x:is>
      </x:c>
      <x:c r="C37" s="84" t="inlineStr">
        <x:is>
          <x:t xml:space="preserve">Portal</x:t>
        </x:is>
      </x:c>
      <x:c r="D37" s="84" t="inlineStr">
        <x:is>
          <x:t xml:space="preserve">Portal has no default DOM tag; rendered content parent is verified instead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Modal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Identity</x:t>
        </x:is>
      </x:c>
      <x:c r="C38" s="84" t="inlineStr">
        <x:is>
          <x:t xml:space="preserve">Portal</x:t>
        </x:is>
      </x:c>
      <x:c r="D38" s="84" t="inlineStr">
        <x:is>
          <x:t xml:space="preserve">Portal has no data-slot because it renders no own DOM element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Modal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Props</x:t>
        </x:is>
      </x:c>
      <x:c r="C39" s="84" t="inlineStr">
        <x:is>
          <x:t xml:space="preserve">Portal</x:t>
        </x:is>
      </x:c>
      <x:c r="D39" s="84" t="inlineStr">
        <x:is>
          <x:t xml:space="preserve">Portal disabled and container props are verified through content parent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Modal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Refs</x:t>
        </x:is>
      </x:c>
      <x:c r="C40" s="84" t="inlineStr">
        <x:is>
          <x:t xml:space="preserve">Portal</x:t>
        </x:is>
      </x:c>
      <x:c r="D40" s="84" t="inlineStr">
        <x:is>
          <x:t xml:space="preserve">No Portal DOM ref row is tracked because Portal renders no own element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Modal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Positioning</x:t>
        </x:is>
      </x:c>
      <x:c r="C41" s="84" t="inlineStr">
        <x:is>
          <x:t xml:space="preserve">Portal</x:t>
        </x:is>
      </x:c>
      <x:c r="D41" s="84" t="inlineStr">
        <x:is>
          <x:t xml:space="preserve">container prop renders content into the custom container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Modal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Portal</x:t>
        </x:is>
      </x:c>
      <x:c r="D42" s="84" t="inlineStr">
        <x:is>
          <x:t xml:space="preserve">disabled prop renders content inline instead of portalling to body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Modal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Anatomy</x:t>
        </x:is>
      </x:c>
      <x:c r="C43" s="84" t="inlineStr">
        <x:is>
          <x:t xml:space="preserve">Trigger</x:t>
        </x:is>
      </x:c>
      <x:c r="D43" s="84" t="inlineStr">
        <x:is>
          <x:t xml:space="preserve">renders correct part when expected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Modal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Anatomy</x:t>
        </x:is>
      </x:c>
      <x:c r="C44" s="84" t="inlineStr">
        <x:is>
          <x:t xml:space="preserve">Trigger</x:t>
        </x:is>
      </x:c>
      <x:c r="D44" s="84" t="inlineStr">
        <x:is>
          <x:t xml:space="preserve">appears in documented order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Modal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30" customHeight="1">
      <x:c r="A45" s="73" t="n">
        <x:v>37</x:v>
      </x:c>
      <x:c r="B45" s="84" t="inlineStr">
        <x:is>
          <x:t xml:space="preserve">Identity</x:t>
        </x:is>
      </x:c>
      <x:c r="C45" s="84" t="inlineStr">
        <x:is>
          <x:t xml:space="preserve">Trigger</x:t>
        </x:is>
      </x:c>
      <x:c r="D45" s="84" t="inlineStr">
        <x:is>
          <x:t xml:space="preserve">default tag is visible in Anatomy/Inspector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Modal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Identity</x:t>
        </x:is>
      </x:c>
      <x:c r="C46" s="84" t="inlineStr">
        <x:is>
          <x:t xml:space="preserve">Trigger</x:t>
        </x:is>
      </x:c>
      <x:c r="D46" s="84" t="inlineStr">
        <x:is>
          <x:t xml:space="preserve">data-slot is present and correct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Modal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Props</x:t>
        </x:is>
      </x:c>
      <x:c r="C47" s="84" t="inlineStr">
        <x:is>
          <x:t xml:space="preserve">Trigger</x:t>
        </x:is>
      </x:c>
      <x:c r="D47" s="84" t="inlineStr">
        <x:is>
          <x:t xml:space="preserve">non-Atom native props pass through with data-prop-check marker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Modal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Refs</x:t>
        </x:is>
      </x:c>
      <x:c r="C48" s="84" t="inlineStr">
        <x:is>
          <x:t xml:space="preserve">Trigger</x:t>
        </x:is>
      </x:c>
      <x:c r="D48" s="84" t="inlineStr">
        <x:is>
          <x:t xml:space="preserve">consumer ref receives the rendered element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Modal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Composition</x:t>
        </x:is>
      </x:c>
      <x:c r="C49" s="84" t="inlineStr">
        <x:is>
          <x:t xml:space="preserve">Trigger</x:t>
        </x:is>
      </x:c>
      <x:c r="D49" s="84" t="inlineStr">
        <x:is>
          <x:t xml:space="preserve">asChild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Modal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Composition</x:t>
        </x:is>
      </x:c>
      <x:c r="C50" s="84" t="inlineStr">
        <x:is>
          <x:t xml:space="preserve">Trigger</x:t>
        </x:is>
      </x:c>
      <x:c r="D50" s="84" t="inlineStr">
        <x:is>
          <x:t xml:space="preserve">render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Modal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Public API</x:t>
        </x:is>
      </x:c>
      <x:c r="C51" s="84" t="inlineStr">
        <x:is>
          <x:t xml:space="preserve">Trigger</x:t>
        </x:is>
      </x:c>
      <x:c r="D51" s="84" t="inlineStr">
        <x:is>
          <x:t xml:space="preserve">data-slot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Modal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Trigger</x:t>
        </x:is>
      </x:c>
      <x:c r="D52" s="84" t="inlineStr">
        <x:is>
          <x:t xml:space="preserve">[data-slot]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Modal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Trigger</x:t>
        </x:is>
      </x:c>
      <x:c r="D53" s="84" t="inlineStr">
        <x:is>
          <x:t xml:space="preserve">[data-state]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Modal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State</x:t>
        </x:is>
      </x:c>
      <x:c r="C54" s="84" t="inlineStr">
        <x:is>
          <x:t xml:space="preserve">Trigger</x:t>
        </x:is>
      </x:c>
      <x:c r="D54" s="84" t="inlineStr">
        <x:is>
          <x:t xml:space="preserve">[data-disabled]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Modal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Anatomy</x:t>
        </x:is>
      </x:c>
      <x:c r="C55" s="84" t="inlineStr">
        <x:is>
          <x:t xml:space="preserve">Title</x:t>
        </x:is>
      </x:c>
      <x:c r="D55" s="84" t="inlineStr">
        <x:is>
          <x:t xml:space="preserve">renders correct part when expected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Modal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Anatomy</x:t>
        </x:is>
      </x:c>
      <x:c r="C56" s="84" t="inlineStr">
        <x:is>
          <x:t xml:space="preserve">Title</x:t>
        </x:is>
      </x:c>
      <x:c r="D56" s="84" t="inlineStr">
        <x:is>
          <x:t xml:space="preserve">appears in documented order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Modal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30" customHeight="1">
      <x:c r="A57" s="73" t="n">
        <x:v>49</x:v>
      </x:c>
      <x:c r="B57" s="84" t="inlineStr">
        <x:is>
          <x:t xml:space="preserve">Identity</x:t>
        </x:is>
      </x:c>
      <x:c r="C57" s="84" t="inlineStr">
        <x:is>
          <x:t xml:space="preserve">Title</x:t>
        </x:is>
      </x:c>
      <x:c r="D57" s="84" t="inlineStr">
        <x:is>
          <x:t xml:space="preserve">default tag is visible in Anatomy/Inspector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Modal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Identity</x:t>
        </x:is>
      </x:c>
      <x:c r="C58" s="84" t="inlineStr">
        <x:is>
          <x:t xml:space="preserve">Title</x:t>
        </x:is>
      </x:c>
      <x:c r="D58" s="84" t="inlineStr">
        <x:is>
          <x:t xml:space="preserve">data-slot is present and correct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Modal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Props</x:t>
        </x:is>
      </x:c>
      <x:c r="C59" s="84" t="inlineStr">
        <x:is>
          <x:t xml:space="preserve">Title</x:t>
        </x:is>
      </x:c>
      <x:c r="D59" s="84" t="inlineStr">
        <x:is>
          <x:t xml:space="preserve">non-Atom native props pass through with data-prop-check marker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Modal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Refs</x:t>
        </x:is>
      </x:c>
      <x:c r="C60" s="84" t="inlineStr">
        <x:is>
          <x:t xml:space="preserve">Title</x:t>
        </x:is>
      </x:c>
      <x:c r="D60" s="84" t="inlineStr">
        <x:is>
          <x:t xml:space="preserve">consumer ref receives the rendered element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Modal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Public API</x:t>
        </x:is>
      </x:c>
      <x:c r="C61" s="84" t="inlineStr">
        <x:is>
          <x:t xml:space="preserve">Title</x:t>
        </x:is>
      </x:c>
      <x:c r="D61" s="84" t="inlineStr">
        <x:is>
          <x:t xml:space="preserve">as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Modal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Title</x:t>
        </x:is>
      </x:c>
      <x:c r="D62" s="84" t="inlineStr">
        <x:is>
          <x:t xml:space="preserve">data-slot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Modal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Public API</x:t>
        </x:is>
      </x:c>
      <x:c r="C63" s="84" t="inlineStr">
        <x:is>
          <x:t xml:space="preserve">Title</x:t>
        </x:is>
      </x:c>
      <x:c r="D63" s="84" t="inlineStr">
        <x:is>
          <x:t xml:space="preserve">[data-slot]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Modal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Anatomy</x:t>
        </x:is>
      </x:c>
      <x:c r="C64" s="84" t="inlineStr">
        <x:is>
          <x:t xml:space="preserve">Description</x:t>
        </x:is>
      </x:c>
      <x:c r="D64" s="84" t="inlineStr">
        <x:is>
          <x:t xml:space="preserve">renders correct part when expected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Modal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Anatomy</x:t>
        </x:is>
      </x:c>
      <x:c r="C65" s="84" t="inlineStr">
        <x:is>
          <x:t xml:space="preserve">Description</x:t>
        </x:is>
      </x:c>
      <x:c r="D65" s="84" t="inlineStr">
        <x:is>
          <x:t xml:space="preserve">appears in documented order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Modal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30" customHeight="1">
      <x:c r="A66" s="73" t="n">
        <x:v>58</x:v>
      </x:c>
      <x:c r="B66" s="84" t="inlineStr">
        <x:is>
          <x:t xml:space="preserve">Identity</x:t>
        </x:is>
      </x:c>
      <x:c r="C66" s="84" t="inlineStr">
        <x:is>
          <x:t xml:space="preserve">Description</x:t>
        </x:is>
      </x:c>
      <x:c r="D66" s="84" t="inlineStr">
        <x:is>
          <x:t xml:space="preserve">default tag is visible in Anatomy/Inspector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Modal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Identity</x:t>
        </x:is>
      </x:c>
      <x:c r="C67" s="84" t="inlineStr">
        <x:is>
          <x:t xml:space="preserve">Description</x:t>
        </x:is>
      </x:c>
      <x:c r="D67" s="84" t="inlineStr">
        <x:is>
          <x:t xml:space="preserve">data-slot is present and correct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Modal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Props</x:t>
        </x:is>
      </x:c>
      <x:c r="C68" s="84" t="inlineStr">
        <x:is>
          <x:t xml:space="preserve">Description</x:t>
        </x:is>
      </x:c>
      <x:c r="D68" s="84" t="inlineStr">
        <x:is>
          <x:t xml:space="preserve">non-Atom native props pass through with data-prop-check marker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Modal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Refs</x:t>
        </x:is>
      </x:c>
      <x:c r="C69" s="84" t="inlineStr">
        <x:is>
          <x:t xml:space="preserve">Description</x:t>
        </x:is>
      </x:c>
      <x:c r="D69" s="84" t="inlineStr">
        <x:is>
          <x:t xml:space="preserve">consumer ref receives the rendered element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Modal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Public API</x:t>
        </x:is>
      </x:c>
      <x:c r="C70" s="84" t="inlineStr">
        <x:is>
          <x:t xml:space="preserve">Description</x:t>
        </x:is>
      </x:c>
      <x:c r="D70" s="84" t="inlineStr">
        <x:is>
          <x:t xml:space="preserve">data-slot prop behavior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Modal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Public API</x:t>
        </x:is>
      </x:c>
      <x:c r="C71" s="84" t="inlineStr">
        <x:is>
          <x:t xml:space="preserve">Description</x:t>
        </x:is>
      </x:c>
      <x:c r="D71" s="84" t="inlineStr">
        <x:is>
          <x:t xml:space="preserve">[data-slot] prop behavior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Modal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Anatomy</x:t>
        </x:is>
      </x:c>
      <x:c r="C72" s="84" t="inlineStr">
        <x:is>
          <x:t xml:space="preserve">Close</x:t>
        </x:is>
      </x:c>
      <x:c r="D72" s="84" t="inlineStr">
        <x:is>
          <x:t xml:space="preserve">renders correct part when expected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Modal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Anatomy</x:t>
        </x:is>
      </x:c>
      <x:c r="C73" s="84" t="inlineStr">
        <x:is>
          <x:t xml:space="preserve">Close</x:t>
        </x:is>
      </x:c>
      <x:c r="D73" s="84" t="inlineStr">
        <x:is>
          <x:t xml:space="preserve">appears in documented order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Modal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30" customHeight="1">
      <x:c r="A74" s="73" t="n">
        <x:v>66</x:v>
      </x:c>
      <x:c r="B74" s="84" t="inlineStr">
        <x:is>
          <x:t xml:space="preserve">Identity</x:t>
        </x:is>
      </x:c>
      <x:c r="C74" s="84" t="inlineStr">
        <x:is>
          <x:t xml:space="preserve">Close</x:t>
        </x:is>
      </x:c>
      <x:c r="D74" s="84" t="inlineStr">
        <x:is>
          <x:t xml:space="preserve">default tag is visible in Anatomy/Inspector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Modal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Identity</x:t>
        </x:is>
      </x:c>
      <x:c r="C75" s="84" t="inlineStr">
        <x:is>
          <x:t xml:space="preserve">Close</x:t>
        </x:is>
      </x:c>
      <x:c r="D75" s="84" t="inlineStr">
        <x:is>
          <x:t xml:space="preserve">data-slot is present and correct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Modal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Props</x:t>
        </x:is>
      </x:c>
      <x:c r="C76" s="84" t="inlineStr">
        <x:is>
          <x:t xml:space="preserve">Close</x:t>
        </x:is>
      </x:c>
      <x:c r="D76" s="84" t="inlineStr">
        <x:is>
          <x:t xml:space="preserve">non-Atom native props pass through with data-prop-check marker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Modal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Refs</x:t>
        </x:is>
      </x:c>
      <x:c r="C77" s="84" t="inlineStr">
        <x:is>
          <x:t xml:space="preserve">Close</x:t>
        </x:is>
      </x:c>
      <x:c r="D77" s="84" t="inlineStr">
        <x:is>
          <x:t xml:space="preserve">consumer ref receives the rendered element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Modal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Composition</x:t>
        </x:is>
      </x:c>
      <x:c r="C78" s="84" t="inlineStr">
        <x:is>
          <x:t xml:space="preserve">Close</x:t>
        </x:is>
      </x:c>
      <x:c r="D78" s="84" t="inlineStr">
        <x:is>
          <x:t xml:space="preserve">asChild prop behavior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Modal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Composition</x:t>
        </x:is>
      </x:c>
      <x:c r="C79" s="84" t="inlineStr">
        <x:is>
          <x:t xml:space="preserve">Close</x:t>
        </x:is>
      </x:c>
      <x:c r="D79" s="84" t="inlineStr">
        <x:is>
          <x:t xml:space="preserve">render prop behavior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Modal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Composition</x:t>
        </x:is>
      </x:c>
      <x:c r="C80" s="84" t="inlineStr">
        <x:is>
          <x:t xml:space="preserve">Close</x:t>
        </x:is>
      </x:c>
      <x:c r="D80" s="84" t="inlineStr">
        <x:is>
          <x:t xml:space="preserve">consumer click preventDefault blocks close behavior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Modal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ARIA</x:t>
        </x:is>
      </x:c>
      <x:c r="C81" s="84" t="inlineStr">
        <x:is>
          <x:t xml:space="preserve">Live DOM</x:t>
        </x:is>
      </x:c>
      <x:c r="D81" s="84" t="inlineStr">
        <x:is>
          <x:t xml:space="preserve">aria-controls is present at the correct time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Modal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ARIA</x:t>
        </x:is>
      </x:c>
      <x:c r="C82" s="84" t="inlineStr">
        <x:is>
          <x:t xml:space="preserve">Live DOM</x:t>
        </x:is>
      </x:c>
      <x:c r="D82" s="84" t="inlineStr">
        <x:is>
          <x:t xml:space="preserve">aria-describedby is present at the correct time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Modal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ARIA</x:t>
        </x:is>
      </x:c>
      <x:c r="C83" s="84" t="inlineStr">
        <x:is>
          <x:t xml:space="preserve">Live DOM</x:t>
        </x:is>
      </x:c>
      <x:c r="D83" s="84" t="inlineStr">
        <x:is>
          <x:t xml:space="preserve">aria-disabled is present at the correct time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Modal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ARIA</x:t>
        </x:is>
      </x:c>
      <x:c r="C84" s="84" t="inlineStr">
        <x:is>
          <x:t xml:space="preserve">Live DOM</x:t>
        </x:is>
      </x:c>
      <x:c r="D84" s="84" t="inlineStr">
        <x:is>
          <x:t xml:space="preserve">aria-expanded is present at the correct time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Modal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ARIA</x:t>
        </x:is>
      </x:c>
      <x:c r="C85" s="84" t="inlineStr">
        <x:is>
          <x:t xml:space="preserve">Live DOM</x:t>
        </x:is>
      </x:c>
      <x:c r="D85" s="84" t="inlineStr">
        <x:is>
          <x:t xml:space="preserve">aria-haspopup is present at the correct time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Modal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ARIA</x:t>
        </x:is>
      </x:c>
      <x:c r="C86" s="84" t="inlineStr">
        <x:is>
          <x:t xml:space="preserve">Live DOM</x:t>
        </x:is>
      </x:c>
      <x:c r="D86" s="84" t="inlineStr">
        <x:is>
          <x:t xml:space="preserve">aria-label is present at the correct time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Modal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ARIA</x:t>
        </x:is>
      </x:c>
      <x:c r="C87" s="84" t="inlineStr">
        <x:is>
          <x:t xml:space="preserve">Live DOM</x:t>
        </x:is>
      </x:c>
      <x:c r="D87" s="84" t="inlineStr">
        <x:is>
          <x:t xml:space="preserve">aria-labelledby is present at the correct time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Modal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ARIA</x:t>
        </x:is>
      </x:c>
      <x:c r="C88" s="84" t="inlineStr">
        <x:is>
          <x:t xml:space="preserve">Live DOM</x:t>
        </x:is>
      </x:c>
      <x:c r="D88" s="84" t="inlineStr">
        <x:is>
          <x:t xml:space="preserve">aria-modal is present at the correct time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Modal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Data</x:t>
        </x:is>
      </x:c>
      <x:c r="C89" s="84" t="inlineStr">
        <x:is>
          <x:t xml:space="preserve">Live DOM</x:t>
        </x:is>
      </x:c>
      <x:c r="D89" s="84" t="inlineStr">
        <x:is>
          <x:t xml:space="preserve">data-disabled is present at the correct time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Modal playground scenario.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Data</x:t>
        </x:is>
      </x:c>
      <x:c r="C90" s="84" t="inlineStr">
        <x:is>
          <x:t xml:space="preserve">Live DOM</x:t>
        </x:is>
      </x:c>
      <x:c r="D90" s="84" t="inlineStr">
        <x:is>
          <x:t xml:space="preserve">data-slot is present at the correct time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Modal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Data</x:t>
        </x:is>
      </x:c>
      <x:c r="C91" s="84" t="inlineStr">
        <x:is>
          <x:t xml:space="preserve">Live DOM</x:t>
        </x:is>
      </x:c>
      <x:c r="D91" s="84" t="inlineStr">
        <x:is>
          <x:t xml:space="preserve">data-state is present at the correct time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Modal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30" customHeight="1">
      <x:c r="A92" s="73" t="n">
        <x:v>84</x:v>
      </x:c>
      <x:c r="B92" s="84" t="inlineStr">
        <x:is>
          <x:t xml:space="preserve">Composition</x:t>
        </x:is>
      </x:c>
      <x:c r="C92" s="84" t="inlineStr">
        <x:is>
          <x:t xml:space="preserve">Trigger</x:t>
        </x:is>
      </x:c>
      <x:c r="D92" s="84" t="inlineStr">
        <x:is>
          <x:t xml:space="preserve">asChild preserves child content without double nesting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Modal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Composition</x:t>
        </x:is>
      </x:c>
      <x:c r="C93" s="84" t="inlineStr">
        <x:is>
          <x:t xml:space="preserve">Trigger</x:t>
        </x:is>
      </x:c>
      <x:c r="D93" s="84" t="inlineStr">
        <x:is>
          <x:t xml:space="preserve">asChild merges Atom props and consumer props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Modal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Composition</x:t>
        </x:is>
      </x:c>
      <x:c r="C94" s="84" t="inlineStr">
        <x:is>
          <x:t xml:space="preserve">Trigger</x:t>
        </x:is>
      </x:c>
      <x:c r="D94" s="84" t="inlineStr">
        <x:is>
          <x:t xml:space="preserve">consumer click preventDefault blocks open behavior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Modal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Composition</x:t>
        </x:is>
      </x:c>
      <x:c r="C95" s="84" t="inlineStr">
        <x:is>
          <x:t xml:space="preserve">Close</x:t>
        </x:is>
      </x:c>
      <x:c r="D95" s="84" t="inlineStr">
        <x:is>
          <x:t xml:space="preserve">render prop renders custom close element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Modal playground scenario.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Composition</x:t>
        </x:is>
      </x:c>
      <x:c r="C96" s="84" t="inlineStr">
        <x:is>
          <x:t xml:space="preserve">Close</x:t>
        </x:is>
      </x:c>
      <x:c r="D96" s="84" t="inlineStr">
        <x:is>
          <x:t xml:space="preserve">render prop preserves refs and behavior props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Modal playground scenario.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State</x:t>
        </x:is>
      </x:c>
      <x:c r="C97" s="84" t="inlineStr">
        <x:is>
          <x:t xml:space="preserve">Root</x:t>
        </x:is>
      </x:c>
      <x:c r="D97" s="84" t="inlineStr">
        <x:is>
          <x:t xml:space="preserve">controlled state path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Modal playground scenario.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State</x:t>
        </x:is>
      </x:c>
      <x:c r="C98" s="84" t="inlineStr">
        <x:is>
          <x:t xml:space="preserve">Root</x:t>
        </x:is>
      </x:c>
      <x:c r="D98" s="84" t="inlineStr">
        <x:is>
          <x:t xml:space="preserve">uncontrolled default state path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Modal playground scenario.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State</x:t>
        </x:is>
      </x:c>
      <x:c r="C99" s="84" t="inlineStr">
        <x:is>
          <x:t xml:space="preserve">Root</x:t>
        </x:is>
      </x:c>
      <x:c r="D99" s="84" t="inlineStr">
        <x:is>
          <x:t xml:space="preserve">state change callback fires once with correct value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Modal playground scenario.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Interaction</x:t>
        </x:is>
      </x:c>
      <x:c r="C100" s="84" t="inlineStr">
        <x:is>
          <x:t xml:space="preserve">Trigger</x:t>
        </x:is>
      </x:c>
      <x:c r="D100" s="84" t="inlineStr">
        <x:is>
          <x:t xml:space="preserve">mouse click or pointer activation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Modal playground scenario.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Interaction</x:t>
        </x:is>
      </x:c>
      <x:c r="C101" s="84" t="inlineStr">
        <x:is>
          <x:t xml:space="preserve">Trigger</x:t>
        </x:is>
      </x:c>
      <x:c r="D101" s="84" t="inlineStr">
        <x:is>
          <x:t xml:space="preserve">Enter key activation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Modal playground scenario.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Interaction</x:t>
        </x:is>
      </x:c>
      <x:c r="C102" s="84" t="inlineStr">
        <x:is>
          <x:t xml:space="preserve">Trigger</x:t>
        </x:is>
      </x:c>
      <x:c r="D102" s="84" t="inlineStr">
        <x:is>
          <x:t xml:space="preserve">Space key activation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Modal playground scenario.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Interaction</x:t>
        </x:is>
      </x:c>
      <x:c r="C103" s="84" t="inlineStr">
        <x:is>
          <x:t xml:space="preserve">Trigger</x:t>
        </x:is>
      </x:c>
      <x:c r="D103" s="84" t="inlineStr">
        <x:is>
          <x:t xml:space="preserve">disabled trigger blocks pointer and keyboard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Modal playground scenario.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Focus</x:t>
        </x:is>
      </x:c>
      <x:c r="C104" s="84" t="inlineStr">
        <x:is>
          <x:t xml:space="preserve">Trigger</x:t>
        </x:is>
      </x:c>
      <x:c r="D104" s="84" t="inlineStr">
        <x:is>
          <x:t xml:space="preserve">focus ring and focus restoration are correct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6" t="inlineStr">
        <x:is>
          <x:t xml:space="preserve">covered</x:t>
        </x:is>
      </x:c>
      <x:c r="I104" s="84" t="inlineStr">
        <x:is>
          <x:t xml:space="preserve">Modal playground scenario.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Dismiss</x:t>
        </x:is>
      </x:c>
      <x:c r="C105" s="84" t="inlineStr">
        <x:is>
          <x:t xml:space="preserve">Modal</x:t>
        </x:is>
      </x:c>
      <x:c r="D105" s="84" t="inlineStr">
        <x:is>
          <x:t xml:space="preserve">Escape closes only the topmost active layer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6" t="inlineStr">
        <x:is>
          <x:t xml:space="preserve">covered</x:t>
        </x:is>
      </x:c>
      <x:c r="I105" s="84" t="inlineStr">
        <x:is>
          <x:t xml:space="preserve">Modal playground scenario.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Dismiss</x:t>
        </x:is>
      </x:c>
      <x:c r="C106" s="84" t="inlineStr">
        <x:is>
          <x:t xml:space="preserve">Modal</x:t>
        </x:is>
      </x:c>
      <x:c r="D106" s="84" t="inlineStr">
        <x:is>
          <x:t xml:space="preserve">outside click/interact closes when enabled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6" t="inlineStr">
        <x:is>
          <x:t xml:space="preserve">covered</x:t>
        </x:is>
      </x:c>
      <x:c r="I106" s="84" t="inlineStr">
        <x:is>
          <x:t xml:space="preserve">Modal playground scenario.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Dismiss</x:t>
        </x:is>
      </x:c>
      <x:c r="C107" s="84" t="inlineStr">
        <x:is>
          <x:t xml:space="preserve">Modal</x:t>
        </x:is>
      </x:c>
      <x:c r="D107" s="84" t="inlineStr">
        <x:is>
          <x:t xml:space="preserve">outside click/interact is blocked when disabled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test</x:t>
        </x:is>
      </x:c>
      <x:c r="H107" s="86" t="inlineStr">
        <x:is>
          <x:t xml:space="preserve">covered</x:t>
        </x:is>
      </x:c>
      <x:c r="I107" s="84" t="inlineStr">
        <x:is>
          <x:t xml:space="preserve">Modal playground scenario.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Focus</x:t>
        </x:is>
      </x:c>
      <x:c r="C108" s="84" t="inlineStr">
        <x:is>
          <x:t xml:space="preserve">Modal</x:t>
        </x:is>
      </x:c>
      <x:c r="D108" s="84" t="inlineStr">
        <x:is>
          <x:t xml:space="preserve">focus returns to the correct trigger/anchor after close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test</x:t>
        </x:is>
      </x:c>
      <x:c r="H108" s="86" t="inlineStr">
        <x:is>
          <x:t xml:space="preserve">covered</x:t>
        </x:is>
      </x:c>
      <x:c r="I108" s="84" t="inlineStr">
        <x:is>
          <x:t xml:space="preserve">Modal playground scenario.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Focus</x:t>
        </x:is>
      </x:c>
      <x:c r="C109" s="84" t="inlineStr">
        <x:is>
          <x:t xml:space="preserve">Modal</x:t>
        </x:is>
      </x:c>
      <x:c r="D109" s="84" t="inlineStr">
        <x:is>
          <x:t xml:space="preserve">nested overlays keep focus and Escape order correct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test</x:t>
        </x:is>
      </x:c>
      <x:c r="H109" s="86" t="inlineStr">
        <x:is>
          <x:t xml:space="preserve">covered</x:t>
        </x:is>
      </x:c>
      <x:c r="I109" s="84" t="inlineStr">
        <x:is>
          <x:t xml:space="preserve">Modal playground scenario.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Responsive smoke</x:t>
        </x:is>
      </x:c>
      <x:c r="C110" s="84" t="inlineStr">
        <x:is>
          <x:t xml:space="preserve">Modal</x:t>
        </x:is>
      </x:c>
      <x:c r="D110" s="84" t="inlineStr">
        <x:is>
          <x:t xml:space="preserve">desktop browser responsive smoke covers pointer, keyboard, focus, and layout-viewport behavior only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desktop and iPhone Safari qualification; Android deferred</x:t>
        </x:is>
      </x:c>
      <x:c r="H110" s="86" t="inlineStr">
        <x:is>
          <x:t xml:space="preserve">covered</x:t>
        </x:is>
      </x:c>
      <x:c r="I110" s="84" t="inlineStr">
        <x:is>
          <x:t xml:space="preserve">Dialog Modal Foundation Manual Test Protocol, 2026-07-17; desktop, macOS VoiceOver, iPhone Safari, and iPhone VoiceOver.</x:t>
        </x:is>
      </x:c>
      <x:c r="J110" s="84" t="inlineStr">
        <x:is>
          <x:t xml:space="preserve">Android Chrome/TalkBack deferred — no device available.</x:t>
        </x:is>
      </x:c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Portal</x:t>
        </x:is>
      </x:c>
      <x:c r="C111" s="84" t="inlineStr">
        <x:is>
          <x:t xml:space="preserve">Modal</x:t>
        </x:is>
      </x:c>
      <x:c r="D111" s="84" t="inlineStr">
        <x:is>
          <x:t xml:space="preserve">portal renders in body by default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 manual test</x:t>
        </x:is>
      </x:c>
      <x:c r="H111" s="86" t="inlineStr">
        <x:is>
          <x:t xml:space="preserve">covered</x:t>
        </x:is>
      </x:c>
      <x:c r="I111" s="84" t="inlineStr">
        <x:is>
          <x:t xml:space="preserve">Modal playground scenario.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Portal</x:t>
        </x:is>
      </x:c>
      <x:c r="C112" s="84" t="inlineStr">
        <x:is>
          <x:t xml:space="preserve">Modal</x:t>
        </x:is>
      </x:c>
      <x:c r="D112" s="84" t="inlineStr">
        <x:is>
          <x:t xml:space="preserve">custom/disabled portal path works where supported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 manual test</x:t>
        </x:is>
      </x:c>
      <x:c r="H112" s="86" t="inlineStr">
        <x:is>
          <x:t xml:space="preserve">covered</x:t>
        </x:is>
      </x:c>
      <x:c r="I112" s="84" t="inlineStr">
        <x:is>
          <x:t xml:space="preserve">Modal playground scenario.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54" customHeight="1">
      <x:c r="A113" s="73" t="n">
        <x:v>105</x:v>
      </x:c>
      <x:c r="B113" s="84" t="inlineStr">
        <x:is>
          <x:t xml:space="preserve">Accessibility</x:t>
        </x:is>
      </x:c>
      <x:c r="C113" s="84" t="inlineStr">
        <x:is>
          <x:t xml:space="preserve">Content</x:t>
        </x:is>
      </x:c>
      <x:c r="D113" s="84" t="inlineStr">
        <x:is>
          <x:t xml:space="preserve">native ARIA values override ariaLabel compatibility and generated relationships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 focused manual qualification</x:t>
        </x:is>
      </x:c>
      <x:c r="H113" s="86" t="inlineStr">
        <x:is>
          <x:t xml:space="preserve">covered</x:t>
        </x:is>
      </x:c>
      <x:c r="I113" s="84" t="inlineStr">
        <x:is>
          <x:t xml:space="preserve">Dialog Modal Foundation Manual Test Protocol, 2026-07-17; desktop, macOS VoiceOver, iPhone Safari, and iPhone VoiceOver.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54" customHeight="1">
      <x:c r="A114" s="73" t="n">
        <x:v>106</x:v>
      </x:c>
      <x:c r="B114" s="84" t="inlineStr">
        <x:is>
          <x:t xml:space="preserve">Accessibility</x:t>
        </x:is>
      </x:c>
      <x:c r="C114" s="84" t="inlineStr">
        <x:is>
          <x:t xml:space="preserve">Description</x:t>
        </x:is>
      </x:c>
      <x:c r="D114" s="84" t="inlineStr">
        <x:is>
          <x:t xml:space="preserve">registered optional Description does not leave a dangling aria-describedby relationship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 focused manual qualification</x:t>
        </x:is>
      </x:c>
      <x:c r="H114" s="86" t="inlineStr">
        <x:is>
          <x:t xml:space="preserve">covered</x:t>
        </x:is>
      </x:c>
      <x:c r="I114" s="84" t="inlineStr">
        <x:is>
          <x:t xml:space="preserve">Dialog Modal Foundation Manual Test Protocol, 2026-07-17; desktop, macOS VoiceOver, iPhone Safari, and iPhone VoiceOver.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54" customHeight="1">
      <x:c r="A115" s="73" t="n">
        <x:v>107</x:v>
      </x:c>
      <x:c r="B115" s="84" t="inlineStr">
        <x:is>
          <x:t xml:space="preserve">Focus</x:t>
        </x:is>
      </x:c>
      <x:c r="C115" s="84" t="inlineStr">
        <x:is>
          <x:t xml:space="preserve">Content</x:t>
        </x:is>
      </x:c>
      <x:c r="D115" s="84" t="inlineStr">
        <x:is>
          <x:t xml:space="preserve">interaction-aware initialFocus supports Content, explicit targets, native autoFocus, and touch keyboard avoidance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 focused manual qualification</x:t>
        </x:is>
      </x:c>
      <x:c r="H115" s="86" t="inlineStr">
        <x:is>
          <x:t xml:space="preserve">covered</x:t>
        </x:is>
      </x:c>
      <x:c r="I115" s="84" t="inlineStr">
        <x:is>
          <x:t xml:space="preserve">Dialog Modal Foundation Manual Test Protocol, 2026-07-17; desktop, macOS VoiceOver, iPhone Safari, and iPhone VoiceOver.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54" customHeight="1">
      <x:c r="A116" s="73" t="n">
        <x:v>108</x:v>
      </x:c>
      <x:c r="B116" s="84" t="inlineStr">
        <x:is>
          <x:t xml:space="preserve">Focus</x:t>
        </x:is>
      </x:c>
      <x:c r="C116" s="84" t="inlineStr">
        <x:is>
          <x:t xml:space="preserve">Content</x:t>
        </x:is>
      </x:c>
      <x:c r="D116" s="84" t="inlineStr">
        <x:is>
          <x:t xml:space="preserve">finalFocus supports workflow targets, trigger fallback, and opt-out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 focused manual qualification</x:t>
        </x:is>
      </x:c>
      <x:c r="H116" s="86" t="inlineStr">
        <x:is>
          <x:t xml:space="preserve">covered</x:t>
        </x:is>
      </x:c>
      <x:c r="I116" s="84" t="inlineStr">
        <x:is>
          <x:t xml:space="preserve">Dialog Modal Foundation Manual Test Protocol, 2026-07-17; desktop, macOS VoiceOver, iPhone Safari, and iPhone VoiceOver.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54" customHeight="1">
      <x:c r="A117" s="73" t="n">
        <x:v>109</x:v>
      </x:c>
      <x:c r="B117" s="84" t="inlineStr">
        <x:is>
          <x:t xml:space="preserve">Isolation</x:t>
        </x:is>
      </x:c>
      <x:c r="C117" s="84" t="inlineStr">
        <x:is>
          <x:t xml:space="preserve">Modal</x:t>
        </x:is>
      </x:c>
      <x:c r="D117" s="84" t="inlineStr">
        <x:is>
          <x:t xml:space="preserve">owned branches remain operable while background isolation and cleanup preserve author state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 focused manual qualification</x:t>
        </x:is>
      </x:c>
      <x:c r="H117" s="86" t="inlineStr">
        <x:is>
          <x:t xml:space="preserve">covered</x:t>
        </x:is>
      </x:c>
      <x:c r="I117" s="84" t="inlineStr">
        <x:is>
          <x:t xml:space="preserve">Dialog Modal Foundation Manual Test Protocol, 2026-07-17; desktop, macOS VoiceOver, iPhone Safari, and iPhone VoiceOver.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54" customHeight="1">
      <x:c r="A118" s="73" t="n">
        <x:v>110</x:v>
      </x:c>
      <x:c r="B118" s="84" t="inlineStr">
        <x:is>
          <x:t xml:space="preserve">Portal</x:t>
        </x:is>
      </x:c>
      <x:c r="C118" s="84" t="inlineStr">
        <x:is>
          <x:t xml:space="preserve">Modal.Branch</x:t>
        </x:is>
      </x:c>
      <x:c r="D118" s="84" t="inlineStr">
        <x:is>
          <x:t xml:space="preserve">public Branch registers a consumer-owned portal for focus containment and allowed scrolling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 focused manual qualification</x:t>
        </x:is>
      </x:c>
      <x:c r="H118" s="86" t="inlineStr">
        <x:is>
          <x:t xml:space="preserve">covered</x:t>
        </x:is>
      </x:c>
      <x:c r="I118" s="84" t="inlineStr">
        <x:is>
          <x:t xml:space="preserve">Dialog Modal Foundation Manual Test Protocol, 2026-07-17; desktop, macOS VoiceOver, iPhone Safari, and iPhone VoiceOver.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54" customHeight="1">
      <x:c r="A119" s="73" t="n">
        <x:v>111</x:v>
      </x:c>
      <x:c r="B119" s="84" t="inlineStr">
        <x:is>
          <x:t xml:space="preserve">Portal</x:t>
        </x:is>
      </x:c>
      <x:c r="C119" s="84" t="inlineStr">
        <x:is>
          <x:t xml:space="preserve">Select</x:t>
        </x:is>
      </x:c>
      <x:c r="D119" s="84" t="inlineStr">
        <x:is>
          <x:t xml:space="preserve">registered Select portal preserves delegated keyboard behavior without focus escape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 focused manual qualification</x:t>
        </x:is>
      </x:c>
      <x:c r="H119" s="86" t="inlineStr">
        <x:is>
          <x:t xml:space="preserve">covered</x:t>
        </x:is>
      </x:c>
      <x:c r="I119" s="84" t="inlineStr">
        <x:is>
          <x:t xml:space="preserve">Dialog Modal Foundation Manual Test Protocol, 2026-07-17; desktop, macOS VoiceOver, iPhone Safari, and iPhone VoiceOver.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54" customHeight="1">
      <x:c r="A120" s="73" t="n">
        <x:v>112</x:v>
      </x:c>
      <x:c r="B120" s="84" t="inlineStr">
        <x:is>
          <x:t xml:space="preserve">Layering</x:t>
        </x:is>
      </x:c>
      <x:c r="C120" s="84" t="inlineStr">
        <x:is>
          <x:t xml:space="preserve">Modal</x:t>
        </x:is>
      </x:c>
      <x:c r="D120" s="84" t="inlineStr">
        <x:is>
          <x:t xml:space="preserve">nested ownership hands off focus, dismissal, isolation, and scroll lock one layer at a time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 focused manual qualification</x:t>
        </x:is>
      </x:c>
      <x:c r="H120" s="86" t="inlineStr">
        <x:is>
          <x:t xml:space="preserve">covered</x:t>
        </x:is>
      </x:c>
      <x:c r="I120" s="84" t="inlineStr">
        <x:is>
          <x:t xml:space="preserve">Dialog Modal Foundation Manual Test Protocol, 2026-07-17; desktop, macOS VoiceOver, iPhone Safari, and iPhone VoiceOver.</x:t>
        </x:is>
      </x:c>
      <x:c r="J120" s="84" t="n"/>
      <x:c r="K120" s="87" t="n">
        <x:f>IF(AND(E120="yes",F120="yes",H120="covered"),1,IF(H120="partial",0.5,0))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NavList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88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manual-tests/navlist.md Step 0, Step 10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manual-tests/navlist.md part steps and Step 10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NavList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manual-tests/navlist.md Step 0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NavList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manual-tests/navlist.md Step 10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NavList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manual-tests/navlist.md Steps 2-9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NavList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manual-tests/navlist.md Step 11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NavList</x:t>
        </x:is>
      </x:c>
      <x:c r="D15" s="84" t="inlineStr">
        <x:is>
          <x:t xml:space="preserve">renders native nav, section, list, listitem, and anchor semantics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manual-tests/navlist.md Steps 0, 2-9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NavList</x:t>
        </x:is>
      </x:c>
      <x:c r="D16" s="84" t="inlineStr">
        <x:is>
          <x:t xml:space="preserve">supports active/current link state with data-active, data-current, and aria-current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manual-tests/navlist.md Step 1 and Step 9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NavList</x:t>
        </x:is>
      </x:c>
      <x:c r="D17" s="84" t="inlineStr">
        <x:is>
          <x:t xml:space="preserve">supports collapsible sections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manual-tests/navlist.md Step 1, Step 5, Step 6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NavList</x:t>
        </x:is>
      </x:c>
      <x:c r="D18" s="84" t="inlineStr">
        <x:is>
          <x:t xml:space="preserve">supports controlled section open state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manual-tests/navlist.md Step 1 and Step 6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NavList</x:t>
        </x:is>
      </x:c>
      <x:c r="D19" s="84" t="inlineStr">
        <x:is>
          <x:t xml:space="preserve">supports uncontrolled defaultOpen section state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manual-tests/navlist.md Step 1 and Step 3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NavList</x:t>
        </x:is>
      </x:c>
      <x:c r="D20" s="84" t="inlineStr">
        <x:is>
          <x:t xml:space="preserve">supports vertical and horizontal orientation metadata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manual-tests/navlist.md Step 1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NavList</x:t>
        </x:is>
      </x:c>
      <x:c r="D21" s="84" t="inlineStr">
        <x:is>
          <x:t xml:space="preserve">horizontal orientation has minimal visual row styling driven by data-orientation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manual-tests/navlist.md Step 1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Feature</x:t>
        </x:is>
      </x:c>
      <x:c r="C22" s="84" t="inlineStr">
        <x:is>
          <x:t xml:space="preserve">NavList</x:t>
        </x:is>
      </x:c>
      <x:c r="D22" s="84" t="inlineStr">
        <x:is>
          <x:t xml:space="preserve">keeps route behavior in consumer links while Atom owns ARIA and data attributes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manual-tests/navlist.md Step 9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Feature</x:t>
        </x:is>
      </x:c>
      <x:c r="C23" s="84" t="inlineStr">
        <x:is>
          <x:t xml:space="preserve">NavList</x:t>
        </x:is>
      </x:c>
      <x:c r="D23" s="84" t="inlineStr">
        <x:is>
          <x:t xml:space="preserve">uses native Tab focus, not tree/menu roving focus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manual-tests/navlist.md Step 12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Anatomy</x:t>
        </x:is>
      </x:c>
      <x:c r="C24" s="84" t="inlineStr">
        <x:is>
          <x:t xml:space="preserve">Root</x:t>
        </x:is>
      </x:c>
      <x:c r="D24" s="84" t="inlineStr">
        <x:is>
          <x:t xml:space="preserve">appears in documented public anatomy order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manual-tests/navlist.md Step 0 and Step 2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Identity</x:t>
        </x:is>
      </x:c>
      <x:c r="C25" s="84" t="inlineStr">
        <x:is>
          <x:t xml:space="preserve">Root</x:t>
        </x:is>
      </x:c>
      <x:c r="D25" s="84" t="inlineStr">
        <x:is>
          <x:t xml:space="preserve">default tag is nav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manual-tests/navlist.md Step 2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Identity</x:t>
        </x:is>
      </x:c>
      <x:c r="C26" s="84" t="inlineStr">
        <x:is>
          <x:t xml:space="preserve">Root</x:t>
        </x:is>
      </x:c>
      <x:c r="D26" s="84" t="inlineStr">
        <x:is>
          <x:t xml:space="preserve">data-slot defaults to nav-list and custom slot override works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manual-tests/navlist.md Step 2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Data</x:t>
        </x:is>
      </x:c>
      <x:c r="C27" s="84" t="inlineStr">
        <x:is>
          <x:t xml:space="preserve">Root</x:t>
        </x:is>
      </x:c>
      <x:c r="D27" s="84" t="inlineStr">
        <x:is>
          <x:t xml:space="preserve">data-orientation reflects vertical and horizontal modes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manual-tests/navlist.md Step 1 and Step 2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Props</x:t>
        </x:is>
      </x:c>
      <x:c r="C28" s="84" t="inlineStr">
        <x:is>
          <x:t xml:space="preserve">Root</x:t>
        </x:is>
      </x:c>
      <x:c r="D28" s="84" t="inlineStr">
        <x:is>
          <x:t xml:space="preserve">native props pass through with data-prop-check marker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manual-tests/navlist.md Step 2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Refs</x:t>
        </x:is>
      </x:c>
      <x:c r="C29" s="84" t="inlineStr">
        <x:is>
          <x:t xml:space="preserve">Root</x:t>
        </x:is>
      </x:c>
      <x:c r="D29" s="84" t="inlineStr">
        <x:is>
          <x:t xml:space="preserve">consumer ref receives the rendered element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manual-tests/navlist.md Step 2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Composition</x:t>
        </x:is>
      </x:c>
      <x:c r="C30" s="84" t="inlineStr">
        <x:is>
          <x:t xml:space="preserve">Root</x:t>
        </x:is>
      </x:c>
      <x:c r="D30" s="84" t="inlineStr">
        <x:is>
          <x:t xml:space="preserve">default, asChild, and render composition work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manual-tests/navlist.md Step 2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Anatomy</x:t>
        </x:is>
      </x:c>
      <x:c r="C31" s="84" t="inlineStr">
        <x:is>
          <x:t xml:space="preserve">Section</x:t>
        </x:is>
      </x:c>
      <x:c r="D31" s="84" t="inlineStr">
        <x:is>
          <x:t xml:space="preserve">appears after Root in public anatomy order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manual-tests/navlist.md Step 0 and Step 3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30" customHeight="1">
      <x:c r="A32" s="73" t="n">
        <x:v>24</x:v>
      </x:c>
      <x:c r="B32" s="84" t="inlineStr">
        <x:is>
          <x:t xml:space="preserve">Identity</x:t>
        </x:is>
      </x:c>
      <x:c r="C32" s="84" t="inlineStr">
        <x:is>
          <x:t xml:space="preserve">Section</x:t>
        </x:is>
      </x:c>
      <x:c r="D32" s="84" t="inlineStr">
        <x:is>
          <x:t xml:space="preserve">default tag is section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manual-tests/navlist.md Step 3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Identity</x:t>
        </x:is>
      </x:c>
      <x:c r="C33" s="84" t="inlineStr">
        <x:is>
          <x:t xml:space="preserve">Section</x:t>
        </x:is>
      </x:c>
      <x:c r="D33" s="84" t="inlineStr">
        <x:is>
          <x:t xml:space="preserve">data-slot defaults to nav-list-section and custom slot override works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manual-tests/navlist.md Step 3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Data</x:t>
        </x:is>
      </x:c>
      <x:c r="C34" s="84" t="inlineStr">
        <x:is>
          <x:t xml:space="preserve">Section</x:t>
        </x:is>
      </x:c>
      <x:c r="D34" s="84" t="inlineStr">
        <x:is>
          <x:t xml:space="preserve">data-state and data-collapsible reflect open/closed collapsible state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manual-tests/navlist.md Step 1 and Step 3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Section</x:t>
        </x:is>
      </x:c>
      <x:c r="D35" s="84" t="inlineStr">
        <x:is>
          <x:t xml:space="preserve">controlled open prop behavior works through toolbar Open and Close actions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manual-tests/navlist.md Step 1 and Step 6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State</x:t>
        </x:is>
      </x:c>
      <x:c r="C36" s="84" t="inlineStr">
        <x:is>
          <x:t xml:space="preserve">Section</x:t>
        </x:is>
      </x:c>
      <x:c r="D36" s="84" t="inlineStr">
        <x:is>
          <x:t xml:space="preserve">defaultOpen uncontrolled behavior works through Default Open remount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manual-tests/navlist.md Step 1 and Step 3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Section</x:t>
        </x:is>
      </x:c>
      <x:c r="D37" s="84" t="inlineStr">
        <x:is>
          <x:t xml:space="preserve">onOpenChange logs section opened/closed changes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manual-tests/navlist.md Step 1, Step 5, Step 11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State</x:t>
        </x:is>
      </x:c>
      <x:c r="C38" s="84" t="inlineStr">
        <x:is>
          <x:t xml:space="preserve">Section</x:t>
        </x:is>
      </x:c>
      <x:c r="D38" s="84" t="inlineStr">
        <x:is>
          <x:t xml:space="preserve">disabled section disables the Project trigger and exposes disabled data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manual-tests/navlist.md Step 1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30" customHeight="1">
      <x:c r="A39" s="73" t="n">
        <x:v>31</x:v>
      </x:c>
      <x:c r="B39" s="84" t="inlineStr">
        <x:is>
          <x:t xml:space="preserve">Props</x:t>
        </x:is>
      </x:c>
      <x:c r="C39" s="84" t="inlineStr">
        <x:is>
          <x:t xml:space="preserve">Section</x:t>
        </x:is>
      </x:c>
      <x:c r="D39" s="84" t="inlineStr">
        <x:is>
          <x:t xml:space="preserve">native props pass through with data-prop-check marker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manual-tests/navlist.md Step 3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Refs</x:t>
        </x:is>
      </x:c>
      <x:c r="C40" s="84" t="inlineStr">
        <x:is>
          <x:t xml:space="preserve">Section</x:t>
        </x:is>
      </x:c>
      <x:c r="D40" s="84" t="inlineStr">
        <x:is>
          <x:t xml:space="preserve">consumer ref receives the rendered element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manual-tests/navlist.md Step 3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Composition</x:t>
        </x:is>
      </x:c>
      <x:c r="C41" s="84" t="inlineStr">
        <x:is>
          <x:t xml:space="preserve">Section</x:t>
        </x:is>
      </x:c>
      <x:c r="D41" s="84" t="inlineStr">
        <x:is>
          <x:t xml:space="preserve">default, asChild, and render composition work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manual-tests/navlist.md Step 3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Anatomy</x:t>
        </x:is>
      </x:c>
      <x:c r="C42" s="84" t="inlineStr">
        <x:is>
          <x:t xml:space="preserve">SectionLabel</x:t>
        </x:is>
      </x:c>
      <x:c r="D42" s="84" t="inlineStr">
        <x:is>
          <x:t xml:space="preserve">appears before SectionTrigger in public anatomy order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manual-tests/navlist.md Step 0 and Step 4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Identity</x:t>
        </x:is>
      </x:c>
      <x:c r="C43" s="84" t="inlineStr">
        <x:is>
          <x:t xml:space="preserve">SectionLabel</x:t>
        </x:is>
      </x:c>
      <x:c r="D43" s="84" t="inlineStr">
        <x:is>
          <x:t xml:space="preserve">default scenario tag is h3 and composed tag can change to h4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manual-tests/navlist.md Step 4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Identity</x:t>
        </x:is>
      </x:c>
      <x:c r="C44" s="84" t="inlineStr">
        <x:is>
          <x:t xml:space="preserve">SectionLabel</x:t>
        </x:is>
      </x:c>
      <x:c r="D44" s="84" t="inlineStr">
        <x:is>
          <x:t xml:space="preserve">data-slot defaults to nav-list-section-label and custom slot override works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manual-tests/navlist.md Step 4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ARIA</x:t>
        </x:is>
      </x:c>
      <x:c r="C45" s="84" t="inlineStr">
        <x:is>
          <x:t xml:space="preserve">SectionLabel</x:t>
        </x:is>
      </x:c>
      <x:c r="D45" s="84" t="inlineStr">
        <x:is>
          <x:t xml:space="preserve">SectionContent aria-labelledby can reference the label id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manual-tests/navlist.md Step 4 and Step 6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30" customHeight="1">
      <x:c r="A46" s="73" t="n">
        <x:v>38</x:v>
      </x:c>
      <x:c r="B46" s="84" t="inlineStr">
        <x:is>
          <x:t xml:space="preserve">Props</x:t>
        </x:is>
      </x:c>
      <x:c r="C46" s="84" t="inlineStr">
        <x:is>
          <x:t xml:space="preserve">SectionLabel</x:t>
        </x:is>
      </x:c>
      <x:c r="D46" s="84" t="inlineStr">
        <x:is>
          <x:t xml:space="preserve">native props pass through with data-prop-check marker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manual-tests/navlist.md Step 4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Refs</x:t>
        </x:is>
      </x:c>
      <x:c r="C47" s="84" t="inlineStr">
        <x:is>
          <x:t xml:space="preserve">SectionLabel</x:t>
        </x:is>
      </x:c>
      <x:c r="D47" s="84" t="inlineStr">
        <x:is>
          <x:t xml:space="preserve">consumer ref receives the rendered element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manual-tests/navlist.md Step 4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Composition</x:t>
        </x:is>
      </x:c>
      <x:c r="C48" s="84" t="inlineStr">
        <x:is>
          <x:t xml:space="preserve">SectionLabel</x:t>
        </x:is>
      </x:c>
      <x:c r="D48" s="84" t="inlineStr">
        <x:is>
          <x:t xml:space="preserve">default, asChild, and render composition work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manual-tests/navlist.md Step 4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Anatomy</x:t>
        </x:is>
      </x:c>
      <x:c r="C49" s="84" t="inlineStr">
        <x:is>
          <x:t xml:space="preserve">SectionTrigger</x:t>
        </x:is>
      </x:c>
      <x:c r="D49" s="84" t="inlineStr">
        <x:is>
          <x:t xml:space="preserve">appears after SectionLabel in public anatomy order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manual-tests/navlist.md Step 0 and Step 5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Identity</x:t>
        </x:is>
      </x:c>
      <x:c r="C50" s="84" t="inlineStr">
        <x:is>
          <x:t xml:space="preserve">SectionTrigger</x:t>
        </x:is>
      </x:c>
      <x:c r="D50" s="84" t="inlineStr">
        <x:is>
          <x:t xml:space="preserve">default tag is button with type button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manual-tests/navlist.md Step 5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Identity</x:t>
        </x:is>
      </x:c>
      <x:c r="C51" s="84" t="inlineStr">
        <x:is>
          <x:t xml:space="preserve">SectionTrigger</x:t>
        </x:is>
      </x:c>
      <x:c r="D51" s="84" t="inlineStr">
        <x:is>
          <x:t xml:space="preserve">data-slot defaults to nav-list-section-trigger and custom slot override works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manual-tests/navlist.md Step 5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Data</x:t>
        </x:is>
      </x:c>
      <x:c r="C52" s="84" t="inlineStr">
        <x:is>
          <x:t xml:space="preserve">SectionTrigger</x:t>
        </x:is>
      </x:c>
      <x:c r="D52" s="84" t="inlineStr">
        <x:is>
          <x:t xml:space="preserve">data-state, data-collapsible, and data-disabled reflect section state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manual-tests/navlist.md Step 1 and Step 5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ARIA</x:t>
        </x:is>
      </x:c>
      <x:c r="C53" s="84" t="inlineStr">
        <x:is>
          <x:t xml:space="preserve">SectionTrigger</x:t>
        </x:is>
      </x:c>
      <x:c r="D53" s="84" t="inlineStr">
        <x:is>
          <x:t xml:space="preserve">aria-expanded and aria-controls reflect collapsible content state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manual-tests/navlist.md Step 1 and Step 5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Keyboard</x:t>
        </x:is>
      </x:c>
      <x:c r="C54" s="84" t="inlineStr">
        <x:is>
          <x:t xml:space="preserve">SectionTrigger</x:t>
        </x:is>
      </x:c>
      <x:c r="D54" s="84" t="inlineStr">
        <x:is>
          <x:t xml:space="preserve">Space and Enter toggle the section when enabled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manual-tests/navlist.md Step 5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State</x:t>
        </x:is>
      </x:c>
      <x:c r="C55" s="84" t="inlineStr">
        <x:is>
          <x:t xml:space="preserve">SectionTrigger</x:t>
        </x:is>
      </x:c>
      <x:c r="D55" s="84" t="inlineStr">
        <x:is>
          <x:t xml:space="preserve">disabled trigger cannot toggle the section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manual-tests/navlist.md Step 1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Props</x:t>
        </x:is>
      </x:c>
      <x:c r="C56" s="84" t="inlineStr">
        <x:is>
          <x:t xml:space="preserve">SectionTrigger</x:t>
        </x:is>
      </x:c>
      <x:c r="D56" s="84" t="inlineStr">
        <x:is>
          <x:t xml:space="preserve">native props pass through with data-prop-check marker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manual-tests/navlist.md Step 5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Refs</x:t>
        </x:is>
      </x:c>
      <x:c r="C57" s="84" t="inlineStr">
        <x:is>
          <x:t xml:space="preserve">SectionTrigger</x:t>
        </x:is>
      </x:c>
      <x:c r="D57" s="84" t="inlineStr">
        <x:is>
          <x:t xml:space="preserve">consumer ref receives the rendered element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manual-tests/navlist.md Step 5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30" customHeight="1">
      <x:c r="A58" s="73" t="n">
        <x:v>50</x:v>
      </x:c>
      <x:c r="B58" s="84" t="inlineStr">
        <x:is>
          <x:t xml:space="preserve">Composition</x:t>
        </x:is>
      </x:c>
      <x:c r="C58" s="84" t="inlineStr">
        <x:is>
          <x:t xml:space="preserve">SectionTrigger</x:t>
        </x:is>
      </x:c>
      <x:c r="D58" s="84" t="inlineStr">
        <x:is>
          <x:t xml:space="preserve">default, asChild, and render composition work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manual-tests/navlist.md Step 5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SectionContent</x:t>
        </x:is>
      </x:c>
      <x:c r="D59" s="84" t="inlineStr">
        <x:is>
          <x:t xml:space="preserve">appears after SectionTrigger in public anatomy order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manual-tests/navlist.md Step 0 and Step 6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Identity</x:t>
        </x:is>
      </x:c>
      <x:c r="C60" s="84" t="inlineStr">
        <x:is>
          <x:t xml:space="preserve">SectionContent</x:t>
        </x:is>
      </x:c>
      <x:c r="D60" s="84" t="inlineStr">
        <x:is>
          <x:t xml:space="preserve">default tag is div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manual-tests/navlist.md Step 6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SectionContent</x:t>
        </x:is>
      </x:c>
      <x:c r="D61" s="84" t="inlineStr">
        <x:is>
          <x:t xml:space="preserve">data-slot defaults to nav-list-section-content and custom slot override works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manual-tests/navlist.md Step 6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Data</x:t>
        </x:is>
      </x:c>
      <x:c r="C62" s="84" t="inlineStr">
        <x:is>
          <x:t xml:space="preserve">SectionContent</x:t>
        </x:is>
      </x:c>
      <x:c r="D62" s="84" t="inlineStr">
        <x:is>
          <x:t xml:space="preserve">data-state reflects open and closed states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manual-tests/navlist.md Step 6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ARIA</x:t>
        </x:is>
      </x:c>
      <x:c r="C63" s="84" t="inlineStr">
        <x:is>
          <x:t xml:space="preserve">SectionContent</x:t>
        </x:is>
      </x:c>
      <x:c r="D63" s="84" t="inlineStr">
        <x:is>
          <x:t xml:space="preserve">aria-labelledby matches SectionLabel id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manual-tests/navlist.md Step 6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30" customHeight="1">
      <x:c r="A64" s="73" t="n">
        <x:v>56</x:v>
      </x:c>
      <x:c r="B64" s="84" t="inlineStr">
        <x:is>
          <x:t xml:space="preserve">State</x:t>
        </x:is>
      </x:c>
      <x:c r="C64" s="84" t="inlineStr">
        <x:is>
          <x:t xml:space="preserve">SectionContent</x:t>
        </x:is>
      </x:c>
      <x:c r="D64" s="84" t="inlineStr">
        <x:is>
          <x:t xml:space="preserve">closed uncontrolled content unmounts when forceMount is off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manual-tests/navlist.md Step 6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State</x:t>
        </x:is>
      </x:c>
      <x:c r="C65" s="84" t="inlineStr">
        <x:is>
          <x:t xml:space="preserve">SectionContent</x:t>
        </x:is>
      </x:c>
      <x:c r="D65" s="84" t="inlineStr">
        <x:is>
          <x:t xml:space="preserve">forceMount keeps closed content mounted with hidden attribute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manual-tests/navlist.md Step 1 and Step 6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Props</x:t>
        </x:is>
      </x:c>
      <x:c r="C66" s="84" t="inlineStr">
        <x:is>
          <x:t xml:space="preserve">SectionContent</x:t>
        </x:is>
      </x:c>
      <x:c r="D66" s="84" t="inlineStr">
        <x:is>
          <x:t xml:space="preserve">native props pass through with data-prop-check marker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manual-tests/navlist.md Step 6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Refs</x:t>
        </x:is>
      </x:c>
      <x:c r="C67" s="84" t="inlineStr">
        <x:is>
          <x:t xml:space="preserve">SectionContent</x:t>
        </x:is>
      </x:c>
      <x:c r="D67" s="84" t="inlineStr">
        <x:is>
          <x:t xml:space="preserve">consumer ref receives the rendered element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manual-tests/navlist.md Step 6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Composition</x:t>
        </x:is>
      </x:c>
      <x:c r="C68" s="84" t="inlineStr">
        <x:is>
          <x:t xml:space="preserve">SectionContent</x:t>
        </x:is>
      </x:c>
      <x:c r="D68" s="84" t="inlineStr">
        <x:is>
          <x:t xml:space="preserve">default, asChild, and render composition work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manual-tests/navlist.md Step 6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Anatomy</x:t>
        </x:is>
      </x:c>
      <x:c r="C69" s="84" t="inlineStr">
        <x:is>
          <x:t xml:space="preserve">List</x:t>
        </x:is>
      </x:c>
      <x:c r="D69" s="84" t="inlineStr">
        <x:is>
          <x:t xml:space="preserve">appears inside SectionContent in public anatomy order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manual-tests/navlist.md Step 0 and Step 7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30" customHeight="1">
      <x:c r="A70" s="73" t="n">
        <x:v>62</x:v>
      </x:c>
      <x:c r="B70" s="84" t="inlineStr">
        <x:is>
          <x:t xml:space="preserve">Identity</x:t>
        </x:is>
      </x:c>
      <x:c r="C70" s="84" t="inlineStr">
        <x:is>
          <x:t xml:space="preserve">List</x:t>
        </x:is>
      </x:c>
      <x:c r="D70" s="84" t="inlineStr">
        <x:is>
          <x:t xml:space="preserve">default tag is ul and ordered tag is ol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manual-tests/navlist.md Step 7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Identity</x:t>
        </x:is>
      </x:c>
      <x:c r="C71" s="84" t="inlineStr">
        <x:is>
          <x:t xml:space="preserve">List</x:t>
        </x:is>
      </x:c>
      <x:c r="D71" s="84" t="inlineStr">
        <x:is>
          <x:t xml:space="preserve">data-slot defaults to nav-list-list and custom slot override works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manual-tests/navlist.md Step 7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Data</x:t>
        </x:is>
      </x:c>
      <x:c r="C72" s="84" t="inlineStr">
        <x:is>
          <x:t xml:space="preserve">List</x:t>
        </x:is>
      </x:c>
      <x:c r="D72" s="84" t="inlineStr">
        <x:is>
          <x:t xml:space="preserve">data-orientation and data-ordered reflect toolbar state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manual-tests/navlist.md Step 1 and Step 7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Props</x:t>
        </x:is>
      </x:c>
      <x:c r="C73" s="84" t="inlineStr">
        <x:is>
          <x:t xml:space="preserve">List</x:t>
        </x:is>
      </x:c>
      <x:c r="D73" s="84" t="inlineStr">
        <x:is>
          <x:t xml:space="preserve">native props pass through with data-prop-check marker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manual-tests/navlist.md Step 7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Refs</x:t>
        </x:is>
      </x:c>
      <x:c r="C74" s="84" t="inlineStr">
        <x:is>
          <x:t xml:space="preserve">List</x:t>
        </x:is>
      </x:c>
      <x:c r="D74" s="84" t="inlineStr">
        <x:is>
          <x:t xml:space="preserve">consumer ref receives the rendered element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manual-tests/navlist.md Step 7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Composition</x:t>
        </x:is>
      </x:c>
      <x:c r="C75" s="84" t="inlineStr">
        <x:is>
          <x:t xml:space="preserve">List</x:t>
        </x:is>
      </x:c>
      <x:c r="D75" s="84" t="inlineStr">
        <x:is>
          <x:t xml:space="preserve">default, asChild, and render composition work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manual-tests/navlist.md Step 7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30" customHeight="1">
      <x:c r="A76" s="73" t="n">
        <x:v>68</x:v>
      </x:c>
      <x:c r="B76" s="84" t="inlineStr">
        <x:is>
          <x:t xml:space="preserve">Anatomy</x:t>
        </x:is>
      </x:c>
      <x:c r="C76" s="84" t="inlineStr">
        <x:is>
          <x:t xml:space="preserve">Item</x:t>
        </x:is>
      </x:c>
      <x:c r="D76" s="84" t="inlineStr">
        <x:is>
          <x:t xml:space="preserve">each Item is immediately followed by its child Link in Anatomy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manual-tests/navlist.md Step 0 and Step 8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Identity</x:t>
        </x:is>
      </x:c>
      <x:c r="C77" s="84" t="inlineStr">
        <x:is>
          <x:t xml:space="preserve">Item</x:t>
        </x:is>
      </x:c>
      <x:c r="D77" s="84" t="inlineStr">
        <x:is>
          <x:t xml:space="preserve">default tag is li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manual-tests/navlist.md Step 8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Identity</x:t>
        </x:is>
      </x:c>
      <x:c r="C78" s="84" t="inlineStr">
        <x:is>
          <x:t xml:space="preserve">Item</x:t>
        </x:is>
      </x:c>
      <x:c r="D78" s="84" t="inlineStr">
        <x:is>
          <x:t xml:space="preserve">data-slot defaults to nav-list-item and custom slot override works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manual-tests/navlist.md Step 8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Data</x:t>
        </x:is>
      </x:c>
      <x:c r="C79" s="84" t="inlineStr">
        <x:is>
          <x:t xml:space="preserve">Item</x:t>
        </x:is>
      </x:c>
      <x:c r="D79" s="84" t="inlineStr">
        <x:is>
          <x:t xml:space="preserve">data-orientation and data-disabled reflect state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manual-tests/navlist.md Step 1 and Step 8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Props</x:t>
        </x:is>
      </x:c>
      <x:c r="C80" s="84" t="inlineStr">
        <x:is>
          <x:t xml:space="preserve">Item</x:t>
        </x:is>
      </x:c>
      <x:c r="D80" s="84" t="inlineStr">
        <x:is>
          <x:t xml:space="preserve">native props pass through with data-prop-check marker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manual-tests/navlist.md Step 8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Refs</x:t>
        </x:is>
      </x:c>
      <x:c r="C81" s="84" t="inlineStr">
        <x:is>
          <x:t xml:space="preserve">Item</x:t>
        </x:is>
      </x:c>
      <x:c r="D81" s="84" t="inlineStr">
        <x:is>
          <x:t xml:space="preserve">consumer ref receives the rendered element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manual-tests/navlist.md Step 8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30" customHeight="1">
      <x:c r="A82" s="73" t="n">
        <x:v>74</x:v>
      </x:c>
      <x:c r="B82" s="84" t="inlineStr">
        <x:is>
          <x:t xml:space="preserve">Composition</x:t>
        </x:is>
      </x:c>
      <x:c r="C82" s="84" t="inlineStr">
        <x:is>
          <x:t xml:space="preserve">Item</x:t>
        </x:is>
      </x:c>
      <x:c r="D82" s="84" t="inlineStr">
        <x:is>
          <x:t xml:space="preserve">default, asChild, and render composition work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manual-tests/navlist.md Step 8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Anatomy</x:t>
        </x:is>
      </x:c>
      <x:c r="C83" s="84" t="inlineStr">
        <x:is>
          <x:t xml:space="preserve">Link</x:t>
        </x:is>
      </x:c>
      <x:c r="D83" s="84" t="inlineStr">
        <x:is>
          <x:t xml:space="preserve">each Link appears immediately after its parent Item in Anatomy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manual-tests/navlist.md Step 0 and Step 9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Identity</x:t>
        </x:is>
      </x:c>
      <x:c r="C84" s="84" t="inlineStr">
        <x:is>
          <x:t xml:space="preserve">Link</x:t>
        </x:is>
      </x:c>
      <x:c r="D84" s="84" t="inlineStr">
        <x:is>
          <x:t xml:space="preserve">default tag is a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manual-tests/navlist.md Step 9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Identity</x:t>
        </x:is>
      </x:c>
      <x:c r="C85" s="84" t="inlineStr">
        <x:is>
          <x:t xml:space="preserve">Link</x:t>
        </x:is>
      </x:c>
      <x:c r="D85" s="84" t="inlineStr">
        <x:is>
          <x:t xml:space="preserve">href is visible for enabled links and removed for disabled links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manual-tests/navlist.md Step 9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Identity</x:t>
        </x:is>
      </x:c>
      <x:c r="C86" s="84" t="inlineStr">
        <x:is>
          <x:t xml:space="preserve">Link</x:t>
        </x:is>
      </x:c>
      <x:c r="D86" s="84" t="inlineStr">
        <x:is>
          <x:t xml:space="preserve">data-slot defaults to nav-list-link and custom slot override works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manual-tests/navlist.md Step 9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Data</x:t>
        </x:is>
      </x:c>
      <x:c r="C87" s="84" t="inlineStr">
        <x:is>
          <x:t xml:space="preserve">Link</x:t>
        </x:is>
      </x:c>
      <x:c r="D87" s="84" t="inlineStr">
        <x:is>
          <x:t xml:space="preserve">active link exposes data-active and data-current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manual-tests/navlist.md Step 1 and Step 9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30" customHeight="1">
      <x:c r="A88" s="73" t="n">
        <x:v>80</x:v>
      </x:c>
      <x:c r="B88" s="84" t="inlineStr">
        <x:is>
          <x:t xml:space="preserve">ARIA</x:t>
        </x:is>
      </x:c>
      <x:c r="C88" s="84" t="inlineStr">
        <x:is>
          <x:t xml:space="preserve">Link</x:t>
        </x:is>
      </x:c>
      <x:c r="D88" s="84" t="inlineStr">
        <x:is>
          <x:t xml:space="preserve">active link exposes aria-current page, step, or location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manual-tests/navlist.md Step 1 and Step 9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ARIA</x:t>
        </x:is>
      </x:c>
      <x:c r="C89" s="84" t="inlineStr">
        <x:is>
          <x:t xml:space="preserve">Link</x:t>
        </x:is>
      </x:c>
      <x:c r="D89" s="84" t="inlineStr">
        <x:is>
          <x:t xml:space="preserve">disabled link exposes aria-disabled true and tabindex -1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manual-tests/navlist.md Step 1 and Step 9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State</x:t>
        </x:is>
      </x:c>
      <x:c r="C90" s="84" t="inlineStr">
        <x:is>
          <x:t xml:space="preserve">Link</x:t>
        </x:is>
      </x:c>
      <x:c r="D90" s="84" t="inlineStr">
        <x:is>
          <x:t xml:space="preserve">disabled link cannot become active and does not log active-link change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manual-tests/navlist.md Step 1 and Step 11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Props</x:t>
        </x:is>
      </x:c>
      <x:c r="C91" s="84" t="inlineStr">
        <x:is>
          <x:t xml:space="preserve">Link</x:t>
        </x:is>
      </x:c>
      <x:c r="D91" s="84" t="inlineStr">
        <x:is>
          <x:t xml:space="preserve">native props pass through with data-prop-check marker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manual-tests/navlist.md Step 9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Refs</x:t>
        </x:is>
      </x:c>
      <x:c r="C92" s="84" t="inlineStr">
        <x:is>
          <x:t xml:space="preserve">Link</x:t>
        </x:is>
      </x:c>
      <x:c r="D92" s="84" t="inlineStr">
        <x:is>
          <x:t xml:space="preserve">consumer ref receives the rendered element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manual-tests/navlist.md Step 9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Composition</x:t>
        </x:is>
      </x:c>
      <x:c r="C93" s="84" t="inlineStr">
        <x:is>
          <x:t xml:space="preserve">Link</x:t>
        </x:is>
      </x:c>
      <x:c r="D93" s="84" t="inlineStr">
        <x:is>
          <x:t xml:space="preserve">default, asChild, and render composition work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manual-tests/navlist.md Step 9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30" customHeight="1">
      <x:c r="A94" s="73" t="n">
        <x:v>86</x:v>
      </x:c>
      <x:c r="B94" s="84" t="inlineStr">
        <x:is>
          <x:t xml:space="preserve">Source</x:t>
        </x:is>
      </x:c>
      <x:c r="C94" s="84" t="inlineStr">
        <x:is>
          <x:t xml:space="preserve">NavList</x:t>
        </x:is>
      </x:c>
      <x:c r="D94" s="84" t="inlineStr">
        <x:is>
          <x:t xml:space="preserve">Source omits playground-only refs, classes, logs, and helper components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manual-tests/navlist.md Step 10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Inspector</x:t>
        </x:is>
      </x:c>
      <x:c r="C95" s="84" t="inlineStr">
        <x:is>
          <x:t xml:space="preserve">NavList</x:t>
        </x:is>
      </x:c>
      <x:c r="D95" s="84" t="inlineStr">
        <x:is>
          <x:t xml:space="preserve">Selected and Focused evidence update independently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manual-tests/navlist.md Step 11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Logs</x:t>
        </x:is>
      </x:c>
      <x:c r="C96" s="84" t="inlineStr">
        <x:is>
          <x:t xml:space="preserve">NavList</x:t>
        </x:is>
      </x:c>
      <x:c r="D96" s="84" t="inlineStr">
        <x:is>
          <x:t xml:space="preserve">logs record active-link and section open changes only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manual-tests/navlist.md Step 11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/>
      <x:c r="B97" s="84" t="n"/>
      <x:c r="C97" s="84" t="n"/>
      <x:c r="D97" s="84" t="n"/>
      <x:c r="E97" s="76" t="n"/>
      <x:c r="F97" s="85" t="n"/>
      <x:c r="G97" s="73" t="n"/>
      <x:c r="H97" s="86" t="n"/>
      <x:c r="I97" s="84" t="n"/>
      <x:c r="J97" s="84" t="n"/>
      <x:c r="K97" s="87" t="n"/>
    </x:row>
    <x:row r="98" s="51" customFormat="1" ht="15" customHeight="1">
      <x:c r="A98" s="73" t="n"/>
      <x:c r="B98" s="84" t="n"/>
      <x:c r="C98" s="84" t="n"/>
      <x:c r="D98" s="84" t="n"/>
      <x:c r="E98" s="76" t="n"/>
      <x:c r="F98" s="85" t="n"/>
      <x:c r="G98" s="73" t="n"/>
      <x:c r="H98" s="86" t="n"/>
      <x:c r="I98" s="84" t="n"/>
      <x:c r="J98" s="84" t="n"/>
      <x:c r="K98" s="87" t="n"/>
    </x:row>
    <x:row r="99" s="51" customFormat="1" ht="15" customHeight="1">
      <x:c r="A99" s="73" t="n"/>
      <x:c r="B99" s="84" t="n"/>
      <x:c r="C99" s="84" t="n"/>
      <x:c r="D99" s="84" t="n"/>
      <x:c r="E99" s="76" t="n"/>
      <x:c r="F99" s="85" t="n"/>
      <x:c r="G99" s="73" t="n"/>
      <x:c r="H99" s="86" t="n"/>
      <x:c r="I99" s="84" t="n"/>
      <x:c r="J99" s="84" t="n"/>
      <x:c r="K99" s="87" t="n"/>
    </x:row>
    <x:row r="100" s="51" customFormat="1" ht="30" customHeight="1">
      <x:c r="A100" s="73" t="n"/>
      <x:c r="B100" s="84" t="n"/>
      <x:c r="C100" s="84" t="n"/>
      <x:c r="D100" s="84" t="n"/>
      <x:c r="E100" s="76" t="n"/>
      <x:c r="F100" s="85" t="n"/>
      <x:c r="G100" s="73" t="n"/>
      <x:c r="H100" s="86" t="n"/>
      <x:c r="I100" s="84" t="n"/>
      <x:c r="J100" s="84" t="n"/>
      <x:c r="K100" s="87" t="n"/>
    </x:row>
    <x:row r="101" s="51" customFormat="1" ht="15" customHeight="1">
      <x:c r="A101" s="73" t="n"/>
      <x:c r="B101" s="84" t="n"/>
      <x:c r="C101" s="84" t="n"/>
      <x:c r="D101" s="84" t="n"/>
      <x:c r="E101" s="76" t="n"/>
      <x:c r="F101" s="85" t="n"/>
      <x:c r="G101" s="73" t="n"/>
      <x:c r="H101" s="86" t="n"/>
      <x:c r="I101" s="84" t="n"/>
      <x:c r="J101" s="84" t="n"/>
      <x:c r="K101" s="87" t="n"/>
    </x:row>
    <x:row r="102" s="51" customFormat="1" ht="15" customHeight="1">
      <x:c r="A102" s="73" t="n"/>
      <x:c r="B102" s="84" t="n"/>
      <x:c r="C102" s="84" t="n"/>
      <x:c r="D102" s="84" t="n"/>
      <x:c r="E102" s="76" t="n"/>
      <x:c r="F102" s="85" t="n"/>
      <x:c r="G102" s="73" t="n"/>
      <x:c r="H102" s="86" t="n"/>
      <x:c r="I102" s="84" t="n"/>
      <x:c r="J102" s="84" t="n"/>
      <x:c r="K102" s="87" t="n"/>
    </x:row>
    <x:row r="103" s="51" customFormat="1" ht="15" customHeight="1">
      <x:c r="A103" s="73" t="n"/>
      <x:c r="B103" s="84" t="n"/>
      <x:c r="C103" s="84" t="n"/>
      <x:c r="D103" s="84" t="n"/>
      <x:c r="E103" s="76" t="n"/>
      <x:c r="F103" s="85" t="n"/>
      <x:c r="G103" s="73" t="n"/>
      <x:c r="H103" s="86" t="n"/>
      <x:c r="I103" s="84" t="n"/>
      <x:c r="J103" s="84" t="n"/>
      <x:c r="K103" s="87" t="n"/>
    </x:row>
    <x:row r="104" s="51" customFormat="1" ht="15" customHeight="1">
      <x:c r="A104" s="73" t="n"/>
      <x:c r="B104" s="84" t="n"/>
      <x:c r="C104" s="84" t="n"/>
      <x:c r="D104" s="84" t="n"/>
      <x:c r="E104" s="76" t="n"/>
      <x:c r="F104" s="85" t="n"/>
      <x:c r="G104" s="73" t="n"/>
      <x:c r="H104" s="86" t="n"/>
      <x:c r="I104" s="84" t="n"/>
      <x:c r="J104" s="84" t="n"/>
      <x:c r="K104" s="87" t="n"/>
    </x:row>
    <x:row r="105" s="51" customFormat="1" ht="15" customHeight="1">
      <x:c r="A105" s="73" t="n"/>
      <x:c r="B105" s="84" t="n"/>
      <x:c r="C105" s="84" t="n"/>
      <x:c r="D105" s="84" t="n"/>
      <x:c r="E105" s="76" t="n"/>
      <x:c r="F105" s="85" t="n"/>
      <x:c r="G105" s="73" t="n"/>
      <x:c r="H105" s="86" t="n"/>
      <x:c r="I105" s="84" t="n"/>
      <x:c r="J105" s="84" t="n"/>
      <x:c r="K105" s="87" t="n"/>
    </x:row>
    <x:row r="106" s="51" customFormat="1" ht="15" customHeight="1">
      <x:c r="A106" s="73" t="n"/>
      <x:c r="B106" s="84" t="n"/>
      <x:c r="C106" s="84" t="n"/>
      <x:c r="D106" s="84" t="n"/>
      <x:c r="E106" s="76" t="n"/>
      <x:c r="F106" s="85" t="n"/>
      <x:c r="G106" s="73" t="n"/>
      <x:c r="H106" s="86" t="n"/>
      <x:c r="I106" s="84" t="n"/>
      <x:c r="J106" s="84" t="n"/>
      <x:c r="K106" s="87" t="n"/>
    </x:row>
    <x:row r="107" s="51" customFormat="1" ht="15" customHeight="1">
      <x:c r="A107" s="73" t="n"/>
      <x:c r="B107" s="84" t="n"/>
      <x:c r="C107" s="84" t="n"/>
      <x:c r="D107" s="84" t="n"/>
      <x:c r="E107" s="76" t="n"/>
      <x:c r="F107" s="85" t="n"/>
      <x:c r="G107" s="73" t="n"/>
      <x:c r="H107" s="86" t="n"/>
      <x:c r="I107" s="84" t="n"/>
      <x:c r="J107" s="84" t="n"/>
      <x:c r="K107" s="87" t="n"/>
    </x:row>
    <x:row r="108" s="51" customFormat="1" ht="15" customHeight="1">
      <x:c r="A108" s="73" t="n"/>
      <x:c r="B108" s="84" t="n"/>
      <x:c r="C108" s="84" t="n"/>
      <x:c r="D108" s="84" t="n"/>
      <x:c r="E108" s="76" t="n"/>
      <x:c r="F108" s="85" t="n"/>
      <x:c r="G108" s="73" t="n"/>
      <x:c r="H108" s="86" t="n"/>
      <x:c r="I108" s="84" t="n"/>
      <x:c r="J108" s="84" t="n"/>
      <x:c r="K108" s="87" t="n"/>
    </x:row>
    <x:row r="109" s="51" customFormat="1" ht="15" customHeight="1">
      <x:c r="A109" s="73" t="n"/>
      <x:c r="B109" s="84" t="n"/>
      <x:c r="C109" s="84" t="n"/>
      <x:c r="D109" s="84" t="n"/>
      <x:c r="E109" s="76" t="n"/>
      <x:c r="F109" s="85" t="n"/>
      <x:c r="G109" s="73" t="n"/>
      <x:c r="H109" s="86" t="n"/>
      <x:c r="I109" s="84" t="n"/>
      <x:c r="J109" s="84" t="n"/>
      <x:c r="K109" s="87" t="n"/>
    </x:row>
    <x:row r="110" s="51" customFormat="1" ht="30" customHeight="1">
      <x:c r="A110" s="73" t="n"/>
      <x:c r="B110" s="84" t="n"/>
      <x:c r="C110" s="84" t="n"/>
      <x:c r="D110" s="84" t="n"/>
      <x:c r="E110" s="76" t="n"/>
      <x:c r="F110" s="85" t="n"/>
      <x:c r="G110" s="73" t="n"/>
      <x:c r="H110" s="86" t="n"/>
      <x:c r="I110" s="84" t="n"/>
      <x:c r="J110" s="84" t="n"/>
      <x:c r="K110" s="87" t="n"/>
    </x:row>
    <x:row r="111" s="51" customFormat="1" ht="15" customHeight="1">
      <x:c r="A111" s="73" t="n"/>
      <x:c r="B111" s="84" t="n"/>
      <x:c r="C111" s="84" t="n"/>
      <x:c r="D111" s="84" t="n"/>
      <x:c r="E111" s="76" t="n"/>
      <x:c r="F111" s="85" t="n"/>
      <x:c r="G111" s="73" t="n"/>
      <x:c r="H111" s="86" t="n"/>
      <x:c r="I111" s="84" t="n"/>
      <x:c r="J111" s="84" t="n"/>
      <x:c r="K111" s="87" t="n"/>
    </x:row>
    <x:row r="112" s="51" customFormat="1" ht="15" customHeight="1">
      <x:c r="A112" s="73" t="n"/>
      <x:c r="B112" s="84" t="n"/>
      <x:c r="C112" s="84" t="n"/>
      <x:c r="D112" s="84" t="n"/>
      <x:c r="E112" s="76" t="n"/>
      <x:c r="F112" s="85" t="n"/>
      <x:c r="G112" s="73" t="n"/>
      <x:c r="H112" s="86" t="n"/>
      <x:c r="I112" s="84" t="n"/>
      <x:c r="J112" s="84" t="n"/>
      <x:c r="K112" s="87" t="n"/>
    </x:row>
    <x:row r="113" s="51" customFormat="1" ht="15" customHeight="1">
      <x:c r="A113" s="73" t="n"/>
      <x:c r="B113" s="84" t="n"/>
      <x:c r="C113" s="84" t="n"/>
      <x:c r="D113" s="84" t="n"/>
      <x:c r="E113" s="76" t="n"/>
      <x:c r="F113" s="85" t="n"/>
      <x:c r="G113" s="73" t="n"/>
      <x:c r="H113" s="86" t="n"/>
      <x:c r="I113" s="84" t="n"/>
      <x:c r="J113" s="84" t="n"/>
      <x:c r="K113" s="87" t="n"/>
    </x:row>
    <x:row r="114" s="51" customFormat="1" ht="15" customHeight="1">
      <x:c r="A114" s="73" t="n"/>
      <x:c r="B114" s="84" t="n"/>
      <x:c r="C114" s="84" t="n"/>
      <x:c r="D114" s="84" t="n"/>
      <x:c r="E114" s="76" t="n"/>
      <x:c r="F114" s="85" t="n"/>
      <x:c r="G114" s="73" t="n"/>
      <x:c r="H114" s="86" t="n"/>
      <x:c r="I114" s="84" t="n"/>
      <x:c r="J114" s="84" t="n"/>
      <x:c r="K114" s="87" t="n"/>
    </x:row>
    <x:row r="115" s="51" customFormat="1" ht="15" customHeight="1">
      <x:c r="A115" s="73" t="n"/>
      <x:c r="B115" s="84" t="n"/>
      <x:c r="C115" s="84" t="n"/>
      <x:c r="D115" s="84" t="n"/>
      <x:c r="E115" s="76" t="n"/>
      <x:c r="F115" s="85" t="n"/>
      <x:c r="G115" s="73" t="n"/>
      <x:c r="H115" s="86" t="n"/>
      <x:c r="I115" s="84" t="n"/>
      <x:c r="J115" s="84" t="n"/>
      <x:c r="K115" s="87" t="n"/>
    </x:row>
    <x:row r="116" s="51" customFormat="1" ht="15" customHeight="1">
      <x:c r="A116" s="73" t="n"/>
      <x:c r="B116" s="84" t="n"/>
      <x:c r="C116" s="84" t="n"/>
      <x:c r="D116" s="84" t="n"/>
      <x:c r="E116" s="76" t="n"/>
      <x:c r="F116" s="85" t="n"/>
      <x:c r="G116" s="73" t="n"/>
      <x:c r="H116" s="86" t="n"/>
      <x:c r="I116" s="84" t="n"/>
      <x:c r="J116" s="84" t="n"/>
      <x:c r="K116" s="87" t="n"/>
    </x:row>
    <x:row r="117" s="51" customFormat="1" ht="30" customHeight="1">
      <x:c r="A117" s="73" t="n"/>
      <x:c r="B117" s="84" t="n"/>
      <x:c r="C117" s="84" t="n"/>
      <x:c r="D117" s="84" t="n"/>
      <x:c r="E117" s="76" t="n"/>
      <x:c r="F117" s="85" t="n"/>
      <x:c r="G117" s="73" t="n"/>
      <x:c r="H117" s="86" t="n"/>
      <x:c r="I117" s="84" t="n"/>
      <x:c r="J117" s="84" t="n"/>
      <x:c r="K117" s="87" t="n"/>
    </x:row>
    <x:row r="118" s="51" customFormat="1" ht="15" customHeight="1">
      <x:c r="A118" s="73" t="n"/>
      <x:c r="B118" s="84" t="n"/>
      <x:c r="C118" s="84" t="n"/>
      <x:c r="D118" s="84" t="n"/>
      <x:c r="E118" s="76" t="n"/>
      <x:c r="F118" s="85" t="n"/>
      <x:c r="G118" s="73" t="n"/>
      <x:c r="H118" s="86" t="n"/>
      <x:c r="I118" s="84" t="n"/>
      <x:c r="J118" s="84" t="n"/>
      <x:c r="K118" s="87" t="n"/>
    </x:row>
    <x:row r="119" s="51" customFormat="1" ht="15" customHeight="1">
      <x:c r="A119" s="73" t="n"/>
      <x:c r="B119" s="84" t="n"/>
      <x:c r="C119" s="84" t="n"/>
      <x:c r="D119" s="84" t="n"/>
      <x:c r="E119" s="76" t="n"/>
      <x:c r="F119" s="85" t="n"/>
      <x:c r="G119" s="73" t="n"/>
      <x:c r="H119" s="86" t="n"/>
      <x:c r="I119" s="84" t="n"/>
      <x:c r="J119" s="84" t="n"/>
      <x:c r="K119" s="87" t="n"/>
    </x:row>
    <x:row r="120" s="51" customFormat="1" ht="15" customHeight="1">
      <x:c r="A120" s="73" t="n"/>
      <x:c r="B120" s="84" t="n"/>
      <x:c r="C120" s="84" t="n"/>
      <x:c r="D120" s="84" t="n"/>
      <x:c r="E120" s="76" t="n"/>
      <x:c r="F120" s="85" t="n"/>
      <x:c r="G120" s="73" t="n"/>
      <x:c r="H120" s="86" t="n"/>
      <x:c r="I120" s="84" t="n"/>
      <x:c r="J120" s="84" t="n"/>
      <x:c r="K120" s="87" t="n"/>
    </x:row>
    <x:row r="121" s="51" customFormat="1" ht="15" customHeight="1">
      <x:c r="A121" s="73" t="n"/>
      <x:c r="B121" s="84" t="n"/>
      <x:c r="C121" s="84" t="n"/>
      <x:c r="D121" s="84" t="n"/>
      <x:c r="E121" s="76" t="n"/>
      <x:c r="F121" s="85" t="n"/>
      <x:c r="G121" s="73" t="n"/>
      <x:c r="H121" s="86" t="n"/>
      <x:c r="I121" s="84" t="n"/>
      <x:c r="J121" s="84" t="n"/>
      <x:c r="K121" s="87" t="n"/>
    </x:row>
    <x:row r="122" s="51" customFormat="1" ht="15" customHeight="1">
      <x:c r="A122" s="73" t="n"/>
      <x:c r="B122" s="84" t="n"/>
      <x:c r="C122" s="84" t="n"/>
      <x:c r="D122" s="84" t="n"/>
      <x:c r="E122" s="76" t="n"/>
      <x:c r="F122" s="85" t="n"/>
      <x:c r="G122" s="73" t="n"/>
      <x:c r="H122" s="86" t="n"/>
      <x:c r="I122" s="84" t="n"/>
      <x:c r="J122" s="84" t="n"/>
      <x:c r="K122" s="87" t="n"/>
    </x:row>
    <x:row r="123" s="51" customFormat="1" ht="15" customHeight="1">
      <x:c r="A123" s="73" t="n"/>
      <x:c r="B123" s="84" t="n"/>
      <x:c r="C123" s="84" t="n"/>
      <x:c r="D123" s="84" t="n"/>
      <x:c r="E123" s="76" t="n"/>
      <x:c r="F123" s="85" t="n"/>
      <x:c r="G123" s="73" t="n"/>
      <x:c r="H123" s="86" t="n"/>
      <x:c r="I123" s="84" t="n"/>
      <x:c r="J123" s="84" t="n"/>
      <x:c r="K123" s="87" t="n"/>
    </x:row>
    <x:row r="124" s="51" customFormat="1" ht="30" customHeight="1">
      <x:c r="A124" s="73" t="n"/>
      <x:c r="B124" s="84" t="n"/>
      <x:c r="C124" s="84" t="n"/>
      <x:c r="D124" s="84" t="n"/>
      <x:c r="E124" s="76" t="n"/>
      <x:c r="F124" s="85" t="n"/>
      <x:c r="G124" s="73" t="n"/>
      <x:c r="H124" s="86" t="n"/>
      <x:c r="I124" s="84" t="n"/>
      <x:c r="J124" s="84" t="n"/>
      <x:c r="K124" s="87" t="n"/>
    </x:row>
    <x:row r="125" s="51" customFormat="1" ht="15" customHeight="1">
      <x:c r="A125" s="73" t="n"/>
      <x:c r="B125" s="84" t="n"/>
      <x:c r="C125" s="84" t="n"/>
      <x:c r="D125" s="84" t="n"/>
      <x:c r="E125" s="76" t="n"/>
      <x:c r="F125" s="85" t="n"/>
      <x:c r="G125" s="73" t="n"/>
      <x:c r="H125" s="86" t="n"/>
      <x:c r="I125" s="84" t="n"/>
      <x:c r="J125" s="84" t="n"/>
      <x:c r="K125" s="87" t="n"/>
    </x:row>
    <x:row r="126" s="51" customFormat="1" ht="15" customHeight="1">
      <x:c r="A126" s="73" t="n"/>
      <x:c r="B126" s="84" t="n"/>
      <x:c r="C126" s="84" t="n"/>
      <x:c r="D126" s="84" t="n"/>
      <x:c r="E126" s="76" t="n"/>
      <x:c r="F126" s="85" t="n"/>
      <x:c r="G126" s="73" t="n"/>
      <x:c r="H126" s="86" t="n"/>
      <x:c r="I126" s="84" t="n"/>
      <x:c r="J126" s="84" t="n"/>
      <x:c r="K126" s="87" t="n"/>
    </x:row>
    <x:row r="127" s="51" customFormat="1" ht="15" customHeight="1">
      <x:c r="A127" s="73" t="n"/>
      <x:c r="B127" s="84" t="n"/>
      <x:c r="C127" s="84" t="n"/>
      <x:c r="D127" s="84" t="n"/>
      <x:c r="E127" s="76" t="n"/>
      <x:c r="F127" s="85" t="n"/>
      <x:c r="G127" s="73" t="n"/>
      <x:c r="H127" s="86" t="n"/>
      <x:c r="I127" s="84" t="n"/>
      <x:c r="J127" s="84" t="n"/>
      <x:c r="K127" s="87" t="n"/>
    </x:row>
    <x:row r="128" s="51" customFormat="1" ht="15" customHeight="1">
      <x:c r="A128" s="73" t="n"/>
      <x:c r="B128" s="84" t="n"/>
      <x:c r="C128" s="84" t="n"/>
      <x:c r="D128" s="84" t="n"/>
      <x:c r="E128" s="76" t="n"/>
      <x:c r="F128" s="85" t="n"/>
      <x:c r="G128" s="73" t="n"/>
      <x:c r="H128" s="86" t="n"/>
      <x:c r="I128" s="84" t="n"/>
      <x:c r="J128" s="84" t="n"/>
      <x:c r="K128" s="87" t="n"/>
    </x:row>
    <x:row r="129" s="51" customFormat="1" ht="15" customHeight="1">
      <x:c r="A129" s="73" t="n"/>
      <x:c r="B129" s="84" t="n"/>
      <x:c r="C129" s="84" t="n"/>
      <x:c r="D129" s="84" t="n"/>
      <x:c r="E129" s="76" t="n"/>
      <x:c r="F129" s="85" t="n"/>
      <x:c r="G129" s="73" t="n"/>
      <x:c r="H129" s="86" t="n"/>
      <x:c r="I129" s="84" t="n"/>
      <x:c r="J129" s="84" t="n"/>
      <x:c r="K129" s="87" t="n"/>
    </x:row>
    <x:row r="130" s="51" customFormat="1" ht="15" customHeight="1">
      <x:c r="A130" s="73" t="n"/>
      <x:c r="B130" s="84" t="n"/>
      <x:c r="C130" s="84" t="n"/>
      <x:c r="D130" s="84" t="n"/>
      <x:c r="E130" s="76" t="n"/>
      <x:c r="F130" s="85" t="n"/>
      <x:c r="G130" s="73" t="n"/>
      <x:c r="H130" s="86" t="n"/>
      <x:c r="I130" s="84" t="n"/>
      <x:c r="J130" s="84" t="n"/>
      <x:c r="K130" s="87" t="n"/>
    </x:row>
    <x:row r="131" s="51" customFormat="1" ht="15" customHeight="1">
      <x:c r="A131" s="73" t="n"/>
      <x:c r="B131" s="84" t="n"/>
      <x:c r="C131" s="84" t="n"/>
      <x:c r="D131" s="84" t="n"/>
      <x:c r="E131" s="76" t="n"/>
      <x:c r="F131" s="85" t="n"/>
      <x:c r="G131" s="73" t="n"/>
      <x:c r="H131" s="86" t="n"/>
      <x:c r="I131" s="84" t="n"/>
      <x:c r="J131" s="84" t="n"/>
      <x:c r="K131" s="87" t="n"/>
    </x:row>
    <x:row r="132" s="51" customFormat="1" ht="15" customHeight="1">
      <x:c r="A132" s="73" t="n"/>
      <x:c r="B132" s="84" t="n"/>
      <x:c r="C132" s="84" t="n"/>
      <x:c r="D132" s="84" t="n"/>
      <x:c r="E132" s="76" t="n"/>
      <x:c r="F132" s="85" t="n"/>
      <x:c r="G132" s="73" t="n"/>
      <x:c r="H132" s="86" t="n"/>
      <x:c r="I132" s="84" t="n"/>
      <x:c r="J132" s="84" t="n"/>
      <x:c r="K132" s="87" t="n"/>
    </x:row>
    <x:row r="133" s="51" customFormat="1" ht="15" customHeight="1">
      <x:c r="A133" s="73" t="n"/>
      <x:c r="B133" s="84" t="n"/>
      <x:c r="C133" s="84" t="n"/>
      <x:c r="D133" s="84" t="n"/>
      <x:c r="E133" s="76" t="n"/>
      <x:c r="F133" s="85" t="n"/>
      <x:c r="G133" s="73" t="n"/>
      <x:c r="H133" s="86" t="n"/>
      <x:c r="I133" s="84" t="n"/>
      <x:c r="J133" s="84" t="n"/>
      <x:c r="K133" s="87" t="n"/>
    </x:row>
    <x:row r="134" s="51" customFormat="1" ht="15" customHeight="1">
      <x:c r="A134" s="73" t="n"/>
      <x:c r="B134" s="84" t="n"/>
      <x:c r="C134" s="84" t="n"/>
      <x:c r="D134" s="84" t="n"/>
      <x:c r="E134" s="76" t="n"/>
      <x:c r="F134" s="85" t="n"/>
      <x:c r="G134" s="73" t="n"/>
      <x:c r="H134" s="86" t="n"/>
      <x:c r="I134" s="84" t="n"/>
      <x:c r="J134" s="84" t="n"/>
      <x:c r="K134" s="87" t="n"/>
    </x:row>
    <x:row r="135" s="51" customFormat="1" ht="15" customHeight="1">
      <x:c r="A135" s="73" t="n"/>
      <x:c r="B135" s="84" t="n"/>
      <x:c r="C135" s="84" t="n"/>
      <x:c r="D135" s="84" t="n"/>
      <x:c r="E135" s="76" t="n"/>
      <x:c r="F135" s="85" t="n"/>
      <x:c r="G135" s="73" t="n"/>
      <x:c r="H135" s="86" t="n"/>
      <x:c r="I135" s="84" t="n"/>
      <x:c r="J135" s="84" t="n"/>
      <x:c r="K135" s="87" t="n"/>
    </x:row>
    <x:row r="136" s="51" customFormat="1" ht="15" customHeight="1">
      <x:c r="A136" s="73" t="n"/>
      <x:c r="B136" s="84" t="n"/>
      <x:c r="C136" s="84" t="n"/>
      <x:c r="D136" s="84" t="n"/>
      <x:c r="E136" s="76" t="n"/>
      <x:c r="F136" s="85" t="n"/>
      <x:c r="G136" s="73" t="n"/>
      <x:c r="H136" s="86" t="n"/>
      <x:c r="I136" s="84" t="n"/>
      <x:c r="J136" s="84" t="n"/>
      <x:c r="K136" s="87" t="n"/>
    </x:row>
    <x:row r="137" s="51" customFormat="1" ht="15" customHeight="1">
      <x:c r="A137" s="73" t="n"/>
      <x:c r="B137" s="84" t="n"/>
      <x:c r="C137" s="84" t="n"/>
      <x:c r="D137" s="84" t="n"/>
      <x:c r="E137" s="76" t="n"/>
      <x:c r="F137" s="85" t="n"/>
      <x:c r="G137" s="73" t="n"/>
      <x:c r="H137" s="86" t="n"/>
      <x:c r="I137" s="84" t="n"/>
      <x:c r="J137" s="84" t="n"/>
      <x:c r="K137" s="87" t="n"/>
    </x:row>
    <x:row r="138" s="51" customFormat="1" ht="15" customHeight="1">
      <x:c r="A138" s="73" t="n"/>
      <x:c r="B138" s="84" t="n"/>
      <x:c r="C138" s="84" t="n"/>
      <x:c r="D138" s="84" t="n"/>
      <x:c r="E138" s="76" t="n"/>
      <x:c r="F138" s="85" t="n"/>
      <x:c r="G138" s="73" t="n"/>
      <x:c r="H138" s="86" t="n"/>
      <x:c r="I138" s="84" t="n"/>
      <x:c r="J138" s="84" t="n"/>
      <x:c r="K138" s="87" t="n"/>
    </x:row>
    <x:row r="139" s="51" customFormat="1" ht="15" customHeight="1">
      <x:c r="A139" s="73" t="n"/>
      <x:c r="B139" s="84" t="n"/>
      <x:c r="C139" s="84" t="n"/>
      <x:c r="D139" s="84" t="n"/>
      <x:c r="E139" s="76" t="n"/>
      <x:c r="F139" s="85" t="n"/>
      <x:c r="G139" s="73" t="n"/>
      <x:c r="H139" s="86" t="n"/>
      <x:c r="I139" s="84" t="n"/>
      <x:c r="J139" s="84" t="n"/>
      <x:c r="K139" s="87" t="n"/>
    </x:row>
    <x:row r="140" s="51" customFormat="1" ht="15" customHeight="1">
      <x:c r="A140" s="73" t="n"/>
      <x:c r="B140" s="84" t="n"/>
      <x:c r="C140" s="84" t="n"/>
      <x:c r="D140" s="84" t="n"/>
      <x:c r="E140" s="76" t="n"/>
      <x:c r="F140" s="85" t="n"/>
      <x:c r="G140" s="73" t="n"/>
      <x:c r="H140" s="86" t="n"/>
      <x:c r="I140" s="84" t="n"/>
      <x:c r="J140" s="84" t="n"/>
      <x:c r="K140" s="87" t="n"/>
    </x:row>
    <x:row r="141" s="51" customFormat="1" ht="15" customHeight="1">
      <x:c r="A141" s="73" t="n"/>
      <x:c r="B141" s="84" t="n"/>
      <x:c r="C141" s="84" t="n"/>
      <x:c r="D141" s="84" t="n"/>
      <x:c r="E141" s="76" t="n"/>
      <x:c r="F141" s="85" t="n"/>
      <x:c r="G141" s="73" t="n"/>
      <x:c r="H141" s="86" t="n"/>
      <x:c r="I141" s="84" t="n"/>
      <x:c r="J141" s="84" t="n"/>
      <x:c r="K141" s="87" t="n"/>
    </x:row>
    <x:row r="142" s="51" customFormat="1" ht="15" customHeight="1">
      <x:c r="A142" s="73" t="n"/>
      <x:c r="B142" s="84" t="n"/>
      <x:c r="C142" s="84" t="n"/>
      <x:c r="D142" s="84" t="n"/>
      <x:c r="E142" s="76" t="n"/>
      <x:c r="F142" s="85" t="n"/>
      <x:c r="G142" s="73" t="n"/>
      <x:c r="H142" s="86" t="n"/>
      <x:c r="I142" s="84" t="n"/>
      <x:c r="J142" s="84" t="n"/>
      <x:c r="K142" s="87" t="n"/>
    </x:row>
    <x:row r="143" s="51" customFormat="1" ht="30" customHeight="1">
      <x:c r="A143" s="73" t="n"/>
      <x:c r="B143" s="84" t="n"/>
      <x:c r="C143" s="84" t="n"/>
      <x:c r="D143" s="84" t="n"/>
      <x:c r="E143" s="76" t="n"/>
      <x:c r="F143" s="85" t="n"/>
      <x:c r="G143" s="73" t="n"/>
      <x:c r="H143" s="86" t="n"/>
      <x:c r="I143" s="84" t="n"/>
      <x:c r="J143" s="84" t="n"/>
      <x:c r="K143" s="87" t="n"/>
    </x:row>
    <x:row r="144" s="51" customFormat="1" ht="15" customHeight="1">
      <x:c r="A144" s="73" t="n"/>
      <x:c r="B144" s="84" t="n"/>
      <x:c r="C144" s="84" t="n"/>
      <x:c r="D144" s="84" t="n"/>
      <x:c r="E144" s="76" t="n"/>
      <x:c r="F144" s="85" t="n"/>
      <x:c r="G144" s="73" t="n"/>
      <x:c r="H144" s="86" t="n"/>
      <x:c r="I144" s="84" t="n"/>
      <x:c r="J144" s="84" t="n"/>
      <x:c r="K144" s="87" t="n"/>
    </x:row>
    <x:row r="145" s="51" customFormat="1" ht="15" customHeight="1">
      <x:c r="A145" s="73" t="n"/>
      <x:c r="B145" s="84" t="n"/>
      <x:c r="C145" s="84" t="n"/>
      <x:c r="D145" s="84" t="n"/>
      <x:c r="E145" s="76" t="n"/>
      <x:c r="F145" s="85" t="n"/>
      <x:c r="G145" s="73" t="n"/>
      <x:c r="H145" s="86" t="n"/>
      <x:c r="I145" s="84" t="n"/>
      <x:c r="J145" s="84" t="n"/>
      <x:c r="K145" s="87" t="n"/>
    </x:row>
    <x:row r="146" s="51" customFormat="1" ht="15" customHeight="1">
      <x:c r="A146" s="73" t="n"/>
      <x:c r="B146" s="84" t="n"/>
      <x:c r="C146" s="84" t="n"/>
      <x:c r="D146" s="84" t="n"/>
      <x:c r="E146" s="76" t="n"/>
      <x:c r="F146" s="85" t="n"/>
      <x:c r="G146" s="73" t="n"/>
      <x:c r="H146" s="86" t="n"/>
      <x:c r="I146" s="84" t="n"/>
      <x:c r="J146" s="84" t="n"/>
      <x:c r="K146" s="87" t="n"/>
    </x:row>
    <x:row r="147" s="51" customFormat="1" ht="15" customHeight="1">
      <x:c r="A147" s="73" t="n"/>
      <x:c r="B147" s="84" t="n"/>
      <x:c r="C147" s="84" t="n"/>
      <x:c r="D147" s="84" t="n"/>
      <x:c r="E147" s="76" t="n"/>
      <x:c r="F147" s="85" t="n"/>
      <x:c r="G147" s="73" t="n"/>
      <x:c r="H147" s="86" t="n"/>
      <x:c r="I147" s="84" t="n"/>
      <x:c r="J147" s="84" t="n"/>
      <x:c r="K147" s="87" t="n"/>
    </x:row>
    <x:row r="148" s="51" customFormat="1" ht="15" customHeight="1">
      <x:c r="A148" s="73" t="n"/>
      <x:c r="B148" s="84" t="n"/>
      <x:c r="C148" s="84" t="n"/>
      <x:c r="D148" s="84" t="n"/>
      <x:c r="E148" s="76" t="n"/>
      <x:c r="F148" s="85" t="n"/>
      <x:c r="G148" s="73" t="n"/>
      <x:c r="H148" s="86" t="n"/>
      <x:c r="I148" s="84" t="n"/>
      <x:c r="J148" s="84" t="n"/>
      <x:c r="K148" s="87" t="n"/>
    </x:row>
    <x:row r="149" s="51" customFormat="1" ht="15" customHeight="1">
      <x:c r="A149" s="73" t="n"/>
      <x:c r="B149" s="84" t="n"/>
      <x:c r="C149" s="84" t="n"/>
      <x:c r="D149" s="84" t="n"/>
      <x:c r="E149" s="76" t="n"/>
      <x:c r="F149" s="85" t="n"/>
      <x:c r="G149" s="73" t="n"/>
      <x:c r="H149" s="86" t="n"/>
      <x:c r="I149" s="84" t="n"/>
      <x:c r="J149" s="84" t="n"/>
      <x:c r="K149" s="87" t="n"/>
    </x:row>
    <x:row r="150" s="51" customFormat="1" ht="15" customHeight="1">
      <x:c r="A150" s="73" t="n"/>
      <x:c r="B150" s="84" t="n"/>
      <x:c r="C150" s="84" t="n"/>
      <x:c r="D150" s="84" t="n"/>
      <x:c r="E150" s="76" t="n"/>
      <x:c r="F150" s="85" t="n"/>
      <x:c r="G150" s="73" t="n"/>
      <x:c r="H150" s="86" t="n"/>
      <x:c r="I150" s="84" t="n"/>
      <x:c r="J150" s="84" t="n"/>
      <x:c r="K150" s="87" t="n"/>
    </x:row>
    <x:row r="151" s="51" customFormat="1" ht="15" customHeight="1">
      <x:c r="A151" s="73" t="n"/>
      <x:c r="B151" s="84" t="n"/>
      <x:c r="C151" s="84" t="n"/>
      <x:c r="D151" s="84" t="n"/>
      <x:c r="E151" s="76" t="n"/>
      <x:c r="F151" s="85" t="n"/>
      <x:c r="G151" s="73" t="n"/>
      <x:c r="H151" s="86" t="n"/>
      <x:c r="I151" s="84" t="n"/>
      <x:c r="J151" s="84" t="n"/>
      <x:c r="K151" s="87" t="n"/>
    </x:row>
    <x:row r="152" s="51" customFormat="1" ht="15" customHeight="1">
      <x:c r="A152" s="73" t="n"/>
      <x:c r="B152" s="84" t="n"/>
      <x:c r="C152" s="84" t="n"/>
      <x:c r="D152" s="84" t="n"/>
      <x:c r="E152" s="76" t="n"/>
      <x:c r="F152" s="85" t="n"/>
      <x:c r="G152" s="73" t="n"/>
      <x:c r="H152" s="86" t="n"/>
      <x:c r="I152" s="84" t="n"/>
      <x:c r="J152" s="84" t="n"/>
      <x:c r="K152" s="87" t="n"/>
    </x:row>
    <x:row r="153" s="51" customFormat="1" ht="15" customHeight="1">
      <x:c r="A153" s="73" t="n"/>
      <x:c r="B153" s="84" t="n"/>
      <x:c r="C153" s="84" t="n"/>
      <x:c r="D153" s="84" t="n"/>
      <x:c r="E153" s="76" t="n"/>
      <x:c r="F153" s="85" t="n"/>
      <x:c r="G153" s="73" t="n"/>
      <x:c r="H153" s="86" t="n"/>
      <x:c r="I153" s="84" t="n"/>
      <x:c r="J153" s="84" t="n"/>
      <x:c r="K153" s="87" t="n"/>
    </x:row>
    <x:row r="154" s="51" customFormat="1" ht="15" customHeight="1">
      <x:c r="A154" s="73" t="n"/>
      <x:c r="B154" s="84" t="n"/>
      <x:c r="C154" s="84" t="n"/>
      <x:c r="D154" s="84" t="n"/>
      <x:c r="E154" s="76" t="n"/>
      <x:c r="F154" s="85" t="n"/>
      <x:c r="G154" s="73" t="n"/>
      <x:c r="H154" s="86" t="n"/>
      <x:c r="I154" s="84" t="n"/>
      <x:c r="J154" s="84" t="n"/>
      <x:c r="K154" s="87" t="n"/>
    </x:row>
    <x:row r="155" s="51" customFormat="1" ht="15" customHeight="1">
      <x:c r="A155" s="73" t="n"/>
      <x:c r="B155" s="84" t="n"/>
      <x:c r="C155" s="84" t="n"/>
      <x:c r="D155" s="84" t="n"/>
      <x:c r="E155" s="76" t="n"/>
      <x:c r="F155" s="85" t="n"/>
      <x:c r="G155" s="73" t="n"/>
      <x:c r="H155" s="86" t="n"/>
      <x:c r="I155" s="84" t="n"/>
      <x:c r="J155" s="84" t="n"/>
      <x:c r="K155" s="87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NavigationMenu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0.9259259259259259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125</x:v>
      </x:c>
      <x:c r="E4" s="70" t="inlineStr">
        <x:is>
          <x:t xml:space="preserve">Partial</x:t>
        </x:is>
      </x:c>
      <x:c r="F4" s="82" t="n">
        <x:f>COUNTIFS(A9:A1000,"&lt;&gt;",H9:H1000,"partial")</x:f>
        <x:v>7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10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NavigationMenu</x:t>
        </x:is>
      </x:c>
      <x:c r="D9" s="84" t="inlineStr">
        <x:is>
          <x:t xml:space="preserve">scenario is reachable from the Navigation menu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NavigationMenu playground; manual-tests/navigation-menu.md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NavigationMenu</x:t>
        </x:is>
      </x:c>
      <x:c r="D10" s="84" t="inlineStr">
        <x:is>
          <x:t xml:space="preserve">default Canvas and Source show the simplest valid uncontrolled closed usage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NavigationMenu playground; manual-tests/navigation-menu.md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Source</x:t>
        </x:is>
      </x:c>
      <x:c r="D11" s="84" t="inlineStr">
        <x:is>
          <x:t xml:space="preserve">Source updates for state, direction, nesting, composition, force mount, and prop checks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NavigationMenu playground; manual-tests/navigation-menu.md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Anatomy</x:t>
        </x:is>
      </x:c>
      <x:c r="D12" s="84" t="inlineStr">
        <x:is>
          <x:t xml:space="preserve">public parts appear in documented order with repeated targets named separately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NavigationMenu playground; manual-tests/navigation-menu.md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Anatomy</x:t>
        </x:is>
      </x:c>
      <x:c r="D13" s="84" t="inlineStr">
        <x:is>
          <x:t xml:space="preserve">live Attributes, ARIA, and Data groups expose rendered DOM evidence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NavigationMenu playground; manual-tests/navigation-menu.md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Inspector / Logs</x:t>
        </x:is>
      </x:c>
      <x:c r="D14" s="84" t="inlineStr">
        <x:is>
          <x:t xml:space="preserve">Selected, Focused, and Logs expose real interaction evidence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NavigationMenu playground; manual-tests/navigation-menu.md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Playground</x:t>
        </x:is>
      </x:c>
      <x:c r="C15" s="84" t="inlineStr">
        <x:is>
          <x:t xml:space="preserve">Props</x:t>
        </x:is>
      </x:c>
      <x:c r="D15" s="84" t="inlineStr">
        <x:is>
          <x:t xml:space="preserve">Prop Check is off by default and adds data-prop-check only when enabled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NavigationMenu playground; manual-tests/navigation-menu.md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NavigationMenu</x:t>
        </x:is>
      </x:c>
      <x:c r="D16" s="84" t="inlineStr">
        <x:is>
          <x:t xml:space="preserve">controlled and uncontrolled root value paths are available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NavigationMenu playground; manual-tests/navigation-menu.md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NavigationMenu</x:t>
        </x:is>
      </x:c>
      <x:c r="D17" s="84" t="inlineStr">
        <x:is>
          <x:t xml:space="preserve">defaultValue remounts and initializes the uncontrolled active panel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NavigationMenu playground; manual-tests/navigation-menu.md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NavigationMenu</x:t>
        </x:is>
      </x:c>
      <x:c r="D18" s="84" t="inlineStr">
        <x:is>
          <x:t xml:space="preserve">200 ms open delay and 300 ms skip-delay defaults can be compared with instant timing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NavigationMenu playground; manual-tests/navigation-menu.md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NavigationMenu</x:t>
        </x:is>
      </x:c>
      <x:c r="D19" s="84" t="inlineStr">
        <x:is>
          <x:t xml:space="preserve">pointer hover, click, Enter, and Space open or close trigger content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NavigationMenu playground; manual-tests/navigation-menu.md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NavigationMenu</x:t>
        </x:is>
      </x:c>
      <x:c r="D20" s="84" t="inlineStr">
        <x:is>
          <x:t xml:space="preserve">horizontal and vertical orientation are testable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NavigationMenu playground; manual-tests/navigation-menu.md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NavigationMenu</x:t>
        </x:is>
      </x:c>
      <x:c r="D21" s="84" t="inlineStr">
        <x:is>
          <x:t xml:space="preserve">Default, Provider RTL, Local LTR, and Local RTL direction cases are testable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NavigationMenu playground; manual-tests/navigation-menu.md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Feature</x:t>
        </x:is>
      </x:c>
      <x:c r="C22" s="84" t="inlineStr">
        <x:is>
          <x:t xml:space="preserve">NavigationMenu</x:t>
        </x:is>
      </x:c>
      <x:c r="D22" s="84" t="inlineStr">
        <x:is>
          <x:t xml:space="preserve">shared Viewport emits only the active Content and adapts to its size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NavigationMenu playground; manual-tests/navigation-menu.md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Feature</x:t>
        </x:is>
      </x:c>
      <x:c r="C23" s="84" t="inlineStr">
        <x:is>
          <x:t xml:space="preserve">NavigationMenu</x:t>
        </x:is>
      </x:c>
      <x:c r="D23" s="84" t="inlineStr">
        <x:is>
          <x:t xml:space="preserve">optional Indicator tracks the active trigger geometry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NavigationMenu playground; manual-tests/navigation-menu.md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Feature</x:t>
        </x:is>
      </x:c>
      <x:c r="C24" s="84" t="inlineStr">
        <x:is>
          <x:t xml:space="preserve">NavigationMenu</x:t>
        </x:is>
      </x:c>
      <x:c r="D24" s="84" t="inlineStr">
        <x:is>
          <x:t xml:space="preserve">active links and aria-current are testable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NavigationMenu playground; manual-tests/navigation-menu.md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Feature</x:t>
        </x:is>
      </x:c>
      <x:c r="C25" s="84" t="inlineStr">
        <x:is>
          <x:t xml:space="preserve">NavigationMenu</x:t>
        </x:is>
      </x:c>
      <x:c r="D25" s="84" t="inlineStr">
        <x:is>
          <x:t xml:space="preserve">nested Sub scope supports independent controlled and uncontrolled state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NavigationMenu playground; manual-tests/navigation-menu.md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Identity</x:t>
        </x:is>
      </x:c>
      <x:c r="C26" s="84" t="inlineStr">
        <x:is>
          <x:t xml:space="preserve">Root</x:t>
        </x:is>
      </x:c>
      <x:c r="D26" s="84" t="inlineStr">
        <x:is>
          <x:t xml:space="preserve">default tag is nav with data-slot="navigation-menu"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NavigationMenu playground; manual-tests/navigation-menu.md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Accessibility</x:t>
        </x:is>
      </x:c>
      <x:c r="C27" s="84" t="inlineStr">
        <x:is>
          <x:t xml:space="preserve">Root</x:t>
        </x:is>
      </x:c>
      <x:c r="D27" s="84" t="inlineStr">
        <x:is>
          <x:t xml:space="preserve">default aria-label is "Main" and custom native aria-label passes through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NavigationMenu playground; manual-tests/navigation-menu.md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Data</x:t>
        </x:is>
      </x:c>
      <x:c r="C28" s="84" t="inlineStr">
        <x:is>
          <x:t xml:space="preserve">Root</x:t>
        </x:is>
      </x:c>
      <x:c r="D28" s="84" t="inlineStr">
        <x:is>
          <x:t xml:space="preserve">data-orientation defaults to horizontal and updates to vertical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NavigationMenu playground; manual-tests/navigation-menu.md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Direction</x:t>
        </x:is>
      </x:c>
      <x:c r="C29" s="84" t="inlineStr">
        <x:is>
          <x:t xml:space="preserve">Root</x:t>
        </x:is>
      </x:c>
      <x:c r="D29" s="84" t="inlineStr">
        <x:is>
          <x:t xml:space="preserve">rendered dir resolves local prop before Direction.Provider before ltr default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NavigationMenu playground; manual-tests/navigation-menu.md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value controls active panel in controlled mode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NavigationMenu playground; manual-tests/navigation-menu.md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defaultValue initializes active panel in uncontrolled mode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NavigationMenu playground; manual-tests/navigation-menu.md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Events</x:t>
        </x:is>
      </x:c>
      <x:c r="C32" s="84" t="inlineStr">
        <x:is>
          <x:t xml:space="preserve">Root</x:t>
        </x:is>
      </x:c>
      <x:c r="D32" s="84" t="inlineStr">
        <x:is>
          <x:t xml:space="preserve">onValueChange logs each open, switch, and close value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NavigationMenu playground; manual-tests/navigation-menu.md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Props</x:t>
        </x:is>
      </x:c>
      <x:c r="C33" s="84" t="inlineStr">
        <x:is>
          <x:t xml:space="preserve">Root</x:t>
        </x:is>
      </x:c>
      <x:c r="D33" s="84" t="inlineStr">
        <x:is>
          <x:t xml:space="preserve">data-slot override survives default, asChild, and render composition on Root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NavigationMenu playground; manual-tests/navigation-menu.md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Refs</x:t>
        </x:is>
      </x:c>
      <x:c r="C34" s="84" t="inlineStr">
        <x:is>
          <x:t xml:space="preserve">Root</x:t>
        </x:is>
      </x:c>
      <x:c r="D34" s="84" t="inlineStr">
        <x:is>
          <x:t xml:space="preserve">consumer ref receives nav or composed render element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NavigationMenu playground; manual-tests/navigation-menu.md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Composition</x:t>
        </x:is>
      </x:c>
      <x:c r="C35" s="84" t="inlineStr">
        <x:is>
          <x:t xml:space="preserve">Root</x:t>
        </x:is>
      </x:c>
      <x:c r="D35" s="84" t="inlineStr">
        <x:is>
          <x:t xml:space="preserve">render prop replaces the default nav while preserving behavior props and ref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NavigationMenu playground; manual-tests/navigation-menu.md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Identity</x:t>
        </x:is>
      </x:c>
      <x:c r="C36" s="84" t="inlineStr">
        <x:is>
          <x:t xml:space="preserve">List</x:t>
        </x:is>
      </x:c>
      <x:c r="D36" s="84" t="inlineStr">
        <x:is>
          <x:t xml:space="preserve">default tag is ul with role="list" and data-slot="navigation-menu-list"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NavigationMenu playground; manual-tests/navigation-menu.md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Data</x:t>
        </x:is>
      </x:c>
      <x:c r="C37" s="84" t="inlineStr">
        <x:is>
          <x:t xml:space="preserve">List</x:t>
        </x:is>
      </x:c>
      <x:c r="D37" s="84" t="inlineStr">
        <x:is>
          <x:t xml:space="preserve">data-orientation follows Root orientation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NavigationMenu playground; manual-tests/navigation-menu.md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Props</x:t>
        </x:is>
      </x:c>
      <x:c r="C38" s="84" t="inlineStr">
        <x:is>
          <x:t xml:space="preserve">List</x:t>
        </x:is>
      </x:c>
      <x:c r="D38" s="84" t="inlineStr">
        <x:is>
          <x:t xml:space="preserve">data-slot override survives default, asChild, and render composition on List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NavigationMenu playground; manual-tests/navigation-menu.md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Refs</x:t>
        </x:is>
      </x:c>
      <x:c r="C39" s="84" t="inlineStr">
        <x:is>
          <x:t xml:space="preserve">List</x:t>
        </x:is>
      </x:c>
      <x:c r="D39" s="84" t="inlineStr">
        <x:is>
          <x:t xml:space="preserve">consumer ref receives the ul element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NavigationMenu playground; manual-tests/navigation-menu.md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Identity</x:t>
        </x:is>
      </x:c>
      <x:c r="C40" s="84" t="inlineStr">
        <x:is>
          <x:t xml:space="preserve">Item: Learn</x:t>
        </x:is>
      </x:c>
      <x:c r="D40" s="84" t="inlineStr">
        <x:is>
          <x:t xml:space="preserve">default tag is li with data-slot="navigation-menu-item"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NavigationMenu playground; manual-tests/navigation-menu.md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Item: Learn</x:t>
        </x:is>
      </x:c>
      <x:c r="D41" s="84" t="inlineStr">
        <x:is>
          <x:t xml:space="preserve">value scopes its Trigger and Content pair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NavigationMenu playground; manual-tests/navigation-menu.md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Props</x:t>
        </x:is>
      </x:c>
      <x:c r="C42" s="84" t="inlineStr">
        <x:is>
          <x:t xml:space="preserve">Item: Learn</x:t>
        </x:is>
      </x:c>
      <x:c r="D42" s="84" t="inlineStr">
        <x:is>
          <x:t xml:space="preserve">data-slot override survives default, asChild, and render composition on Item: Learn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NavigationMenu playground; manual-tests/navigation-menu.md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Refs</x:t>
        </x:is>
      </x:c>
      <x:c r="C43" s="84" t="inlineStr">
        <x:is>
          <x:t xml:space="preserve">Item: Learn</x:t>
        </x:is>
      </x:c>
      <x:c r="D43" s="84" t="inlineStr">
        <x:is>
          <x:t xml:space="preserve">consumer ref receives the li element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NavigationMenu playground; manual-tests/navigation-menu.md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Identity</x:t>
        </x:is>
      </x:c>
      <x:c r="C44" s="84" t="inlineStr">
        <x:is>
          <x:t xml:space="preserve">Trigger: Learn</x:t>
        </x:is>
      </x:c>
      <x:c r="D44" s="84" t="inlineStr">
        <x:is>
          <x:t xml:space="preserve">default tag is button with type="button" and data-slot="navigation-menu-trigger"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NavigationMenu playground; manual-tests/navigation-menu.md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ARIA</x:t>
        </x:is>
      </x:c>
      <x:c r="C45" s="84" t="inlineStr">
        <x:is>
          <x:t xml:space="preserve">Trigger: Learn</x:t>
        </x:is>
      </x:c>
      <x:c r="D45" s="84" t="inlineStr">
        <x:is>
          <x:t xml:space="preserve">aria-expanded and data-state move between false/closed and true/open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NavigationMenu playground; manual-tests/navigation-menu.md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ARIA</x:t>
        </x:is>
      </x:c>
      <x:c r="C46" s="84" t="inlineStr">
        <x:is>
          <x:t xml:space="preserve">Trigger: Learn</x:t>
        </x:is>
      </x:c>
      <x:c r="D46" s="84" t="inlineStr">
        <x:is>
          <x:t xml:space="preserve">aria-controls stays present while closed and matches active Content id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NavigationMenu playground; manual-tests/navigation-menu.md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State</x:t>
        </x:is>
      </x:c>
      <x:c r="C47" s="84" t="inlineStr">
        <x:is>
          <x:t xml:space="preserve">Trigger: Overview</x:t>
        </x:is>
      </x:c>
      <x:c r="D47" s="84" t="inlineStr">
        <x:is>
          <x:t xml:space="preserve">disabled emits disabled, aria-disabled="true", and data-disabled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NavigationMenu playground; manual-tests/navigation-menu.md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Interaction</x:t>
        </x:is>
      </x:c>
      <x:c r="C48" s="84" t="inlineStr">
        <x:is>
          <x:t xml:space="preserve">Trigger: Overview</x:t>
        </x:is>
      </x:c>
      <x:c r="D48" s="84" t="inlineStr">
        <x:is>
          <x:t xml:space="preserve">disabled blocks pointer and keyboard activation and is absent from roving registry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NavigationMenu playground; manual-tests/navigation-menu.md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Interaction</x:t>
        </x:is>
      </x:c>
      <x:c r="C49" s="84" t="inlineStr">
        <x:is>
          <x:t xml:space="preserve">Trigger: Learn</x:t>
        </x:is>
      </x:c>
      <x:c r="D49" s="84" t="inlineStr">
        <x:is>
          <x:t xml:space="preserve">consumer preventDefault blocks Atom click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NavigationMenu playground; manual-tests/navigation-menu.md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Props</x:t>
        </x:is>
      </x:c>
      <x:c r="C50" s="84" t="inlineStr">
        <x:is>
          <x:t xml:space="preserve">Trigger: Learn</x:t>
        </x:is>
      </x:c>
      <x:c r="D50" s="84" t="inlineStr">
        <x:is>
          <x:t xml:space="preserve">data-slot override survives default, asChild, and render composition on Trigger: Learn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NavigationMenu playground; manual-tests/navigation-menu.md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Refs</x:t>
        </x:is>
      </x:c>
      <x:c r="C51" s="84" t="inlineStr">
        <x:is>
          <x:t xml:space="preserve">Trigger: Learn</x:t>
        </x:is>
      </x:c>
      <x:c r="D51" s="84" t="inlineStr">
        <x:is>
          <x:t xml:space="preserve">consumer ref receives the rendered trigger element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NavigationMenu playground; manual-tests/navigation-menu.md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Composition</x:t>
        </x:is>
      </x:c>
      <x:c r="C52" s="84" t="inlineStr">
        <x:is>
          <x:t xml:space="preserve">Trigger: Learn</x:t>
        </x:is>
      </x:c>
      <x:c r="D52" s="84" t="inlineStr">
        <x:is>
          <x:t xml:space="preserve">asChild preserves one button and merges behavior props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NavigationMenu playground; manual-tests/navigation-menu.md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Composition</x:t>
        </x:is>
      </x:c>
      <x:c r="C53" s="84" t="inlineStr">
        <x:is>
          <x:t xml:space="preserve">Trigger: Learn</x:t>
        </x:is>
      </x:c>
      <x:c r="D53" s="84" t="inlineStr">
        <x:is>
          <x:t xml:space="preserve">render prop produces one button and preserves behavior props and ref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NavigationMenu playground; manual-tests/navigation-menu.md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Identity</x:t>
        </x:is>
      </x:c>
      <x:c r="C54" s="84" t="inlineStr">
        <x:is>
          <x:t xml:space="preserve">Content: Learn</x:t>
        </x:is>
      </x:c>
      <x:c r="D54" s="84" t="inlineStr">
        <x:is>
          <x:t xml:space="preserve">Content registers and Viewport emits a div with data-slot="navigation-menu-content"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NavigationMenu playground; manual-tests/navigation-menu.md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State</x:t>
        </x:is>
      </x:c>
      <x:c r="C55" s="84" t="inlineStr">
        <x:is>
          <x:t xml:space="preserve">Content: Learn</x:t>
        </x:is>
      </x:c>
      <x:c r="D55" s="84" t="inlineStr">
        <x:is>
          <x:t xml:space="preserve">active content has data-state="open" and tabIndex=-1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NavigationMenu playground; manual-tests/navigation-menu.md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Motion</x:t>
        </x:is>
      </x:c>
      <x:c r="C56" s="84" t="inlineStr">
        <x:is>
          <x:t xml:space="preserve">Content</x:t>
        </x:is>
      </x:c>
      <x:c r="D56" s="84" t="inlineStr">
        <x:is>
          <x:t xml:space="preserve">data-motion reports from-start or from-end when panels change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NavigationMenu playground; manual-tests/navigation-menu.md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ARIA</x:t>
        </x:is>
      </x:c>
      <x:c r="C57" s="84" t="inlineStr">
        <x:is>
          <x:t xml:space="preserve">Content</x:t>
        </x:is>
      </x:c>
      <x:c r="D57" s="84" t="inlineStr">
        <x:is>
          <x:t xml:space="preserve">generated id matches the owning Trigger aria-controls relationship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NavigationMenu playground; manual-tests/navigation-menu.md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Props</x:t>
        </x:is>
      </x:c>
      <x:c r="C58" s="84" t="inlineStr">
        <x:is>
          <x:t xml:space="preserve">Content: Learn</x:t>
        </x:is>
      </x:c>
      <x:c r="D58" s="84" t="inlineStr">
        <x:is>
          <x:t xml:space="preserve">data-slot override survives default, asChild, and render composition on Content: Learn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NavigationMenu playground; manual-tests/navigation-menu.md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Identity</x:t>
        </x:is>
      </x:c>
      <x:c r="C59" s="84" t="inlineStr">
        <x:is>
          <x:t xml:space="preserve">Link: Atom UI</x:t>
        </x:is>
      </x:c>
      <x:c r="D59" s="84" t="inlineStr">
        <x:is>
          <x:t xml:space="preserve">default tag is a with href and data-slot="navigation-menu-link"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NavigationMenu playground; manual-tests/navigation-menu.md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State</x:t>
        </x:is>
      </x:c>
      <x:c r="C60" s="84" t="inlineStr">
        <x:is>
          <x:t xml:space="preserve">Link: GitHub</x:t>
        </x:is>
      </x:c>
      <x:c r="D60" s="84" t="inlineStr">
        <x:is>
          <x:t xml:space="preserve">active emits data-active and aria-current="page"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NavigationMenu playground; manual-tests/navigation-menu.md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Events</x:t>
        </x:is>
      </x:c>
      <x:c r="C61" s="84" t="inlineStr">
        <x:is>
          <x:t xml:space="preserve">Link</x:t>
        </x:is>
      </x:c>
      <x:c r="D61" s="84" t="inlineStr">
        <x:is>
          <x:t xml:space="preserve">onSelect logs selection and closes an active root panel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NavigationMenu playground; manual-tests/navigation-menu.md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Props</x:t>
        </x:is>
      </x:c>
      <x:c r="C62" s="84" t="inlineStr">
        <x:is>
          <x:t xml:space="preserve">Link: Atom UI</x:t>
        </x:is>
      </x:c>
      <x:c r="D62" s="84" t="inlineStr">
        <x:is>
          <x:t xml:space="preserve">data-slot override survives default, asChild, and render composition on Link: Atom UI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NavigationMenu playground; manual-tests/navigation-menu.md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Refs</x:t>
        </x:is>
      </x:c>
      <x:c r="C63" s="84" t="inlineStr">
        <x:is>
          <x:t xml:space="preserve">Link: Atom UI</x:t>
        </x:is>
      </x:c>
      <x:c r="D63" s="84" t="inlineStr">
        <x:is>
          <x:t xml:space="preserve">consumer ref receives the rendered anchor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NavigationMenu playground; manual-tests/navigation-menu.md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Composition</x:t>
        </x:is>
      </x:c>
      <x:c r="C64" s="84" t="inlineStr">
        <x:is>
          <x:t xml:space="preserve">Link: Atom UI</x:t>
        </x:is>
      </x:c>
      <x:c r="D64" s="84" t="inlineStr">
        <x:is>
          <x:t xml:space="preserve">asChild preserves one anchor and uses the child href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NavigationMenu playground; manual-tests/navigation-menu.md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Presence</x:t>
        </x:is>
      </x:c>
      <x:c r="C65" s="84" t="inlineStr">
        <x:is>
          <x:t xml:space="preserve">Indicator</x:t>
        </x:is>
      </x:c>
      <x:c r="D65" s="84" t="inlineStr">
        <x:is>
          <x:t xml:space="preserve">optional Indicator is absent by default and appears when enabled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NavigationMenu playground; manual-tests/navigation-menu.md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Identity</x:t>
        </x:is>
      </x:c>
      <x:c r="C66" s="84" t="inlineStr">
        <x:is>
          <x:t xml:space="preserve">Indicator</x:t>
        </x:is>
      </x:c>
      <x:c r="D66" s="84" t="inlineStr">
        <x:is>
          <x:t xml:space="preserve">default tag is div with data-slot="navigation-menu-indicator"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NavigationMenu playground; manual-tests/navigation-menu.md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ARIA</x:t>
        </x:is>
      </x:c>
      <x:c r="C67" s="84" t="inlineStr">
        <x:is>
          <x:t xml:space="preserve">Indicator</x:t>
        </x:is>
      </x:c>
      <x:c r="D67" s="84" t="inlineStr">
        <x:is>
          <x:t xml:space="preserve">aria-hidden="true" is always present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NavigationMenu playground; manual-tests/navigation-menu.md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State</x:t>
        </x:is>
      </x:c>
      <x:c r="C68" s="84" t="inlineStr">
        <x:is>
          <x:t xml:space="preserve">Indicator</x:t>
        </x:is>
      </x:c>
      <x:c r="D68" s="84" t="inlineStr">
        <x:is>
          <x:t xml:space="preserve">data-state is visible for an active value and hidden when force-mounted closed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NavigationMenu playground; manual-tests/navigation-menu.md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Data</x:t>
        </x:is>
      </x:c>
      <x:c r="C69" s="84" t="inlineStr">
        <x:is>
          <x:t xml:space="preserve">Indicator</x:t>
        </x:is>
      </x:c>
      <x:c r="D69" s="84" t="inlineStr">
        <x:is>
          <x:t xml:space="preserve">data-orientation follows Root orientation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NavigationMenu playground; manual-tests/navigation-menu.md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Geometry</x:t>
        </x:is>
      </x:c>
      <x:c r="C70" s="84" t="inlineStr">
        <x:is>
          <x:t xml:space="preserve">Indicator</x:t>
        </x:is>
      </x:c>
      <x:c r="D70" s="84" t="inlineStr">
        <x:is>
          <x:t xml:space="preserve">trigger left, top, width, height, center-x, and center-y CSS variables are emitted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NavigationMenu playground; manual-tests/navigation-menu.md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Props</x:t>
        </x:is>
      </x:c>
      <x:c r="C71" s="84" t="inlineStr">
        <x:is>
          <x:t xml:space="preserve">Indicator</x:t>
        </x:is>
      </x:c>
      <x:c r="D71" s="84" t="inlineStr">
        <x:is>
          <x:t xml:space="preserve">data-slot override survives default, asChild, and render composition on Indicator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NavigationMenu playground; manual-tests/navigation-menu.md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Refs</x:t>
        </x:is>
      </x:c>
      <x:c r="C72" s="84" t="inlineStr">
        <x:is>
          <x:t xml:space="preserve">Indicator</x:t>
        </x:is>
      </x:c>
      <x:c r="D72" s="84" t="inlineStr">
        <x:is>
          <x:t xml:space="preserve">consumer ref receives the rendered element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NavigationMenu playground; manual-tests/navigation-menu.md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Composition</x:t>
        </x:is>
      </x:c>
      <x:c r="C73" s="84" t="inlineStr">
        <x:is>
          <x:t xml:space="preserve">Indicator</x:t>
        </x:is>
      </x:c>
      <x:c r="D73" s="84" t="inlineStr">
        <x:is>
          <x:t xml:space="preserve">asChild preserves one element and geometry behavior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NavigationMenu playground; manual-tests/navigation-menu.md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Composition</x:t>
        </x:is>
      </x:c>
      <x:c r="C74" s="84" t="inlineStr">
        <x:is>
          <x:t xml:space="preserve">Indicator</x:t>
        </x:is>
      </x:c>
      <x:c r="D74" s="84" t="inlineStr">
        <x:is>
          <x:t xml:space="preserve">render prop replaces the default div and preserves geometry behavior and ref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NavigationMenu playground; manual-tests/navigation-menu.md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Presence</x:t>
        </x:is>
      </x:c>
      <x:c r="C75" s="84" t="inlineStr">
        <x:is>
          <x:t xml:space="preserve">Viewport</x:t>
        </x:is>
      </x:c>
      <x:c r="D75" s="84" t="inlineStr">
        <x:is>
          <x:t xml:space="preserve">Viewport is absent while closed by default and forceMount keeps an empty closed element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NavigationMenu playground; manual-tests/navigation-menu.md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Identity</x:t>
        </x:is>
      </x:c>
      <x:c r="C76" s="84" t="inlineStr">
        <x:is>
          <x:t xml:space="preserve">Viewport</x:t>
        </x:is>
      </x:c>
      <x:c r="D76" s="84" t="inlineStr">
        <x:is>
          <x:t xml:space="preserve">default tag is div with data-slot="navigation-menu-viewport"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NavigationMenu playground; manual-tests/navigation-menu.md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State</x:t>
        </x:is>
      </x:c>
      <x:c r="C77" s="84" t="inlineStr">
        <x:is>
          <x:t xml:space="preserve">Viewport</x:t>
        </x:is>
      </x:c>
      <x:c r="D77" s="84" t="inlineStr">
        <x:is>
          <x:t xml:space="preserve">data-state is open with active content and closed when force-mounted empty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NavigationMenu playground; manual-tests/navigation-menu.md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Data</x:t>
        </x:is>
      </x:c>
      <x:c r="C78" s="84" t="inlineStr">
        <x:is>
          <x:t xml:space="preserve">Viewport</x:t>
        </x:is>
      </x:c>
      <x:c r="D78" s="84" t="inlineStr">
        <x:is>
          <x:t xml:space="preserve">data-orientation follows Root orientation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NavigationMenu playground; manual-tests/navigation-menu.md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Geometry</x:t>
        </x:is>
      </x:c>
      <x:c r="C79" s="84" t="inlineStr">
        <x:is>
          <x:t xml:space="preserve">Viewport</x:t>
        </x:is>
      </x:c>
      <x:c r="D79" s="84" t="inlineStr">
        <x:is>
          <x:t xml:space="preserve">viewport width and height CSS variables match active content measurements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NavigationMenu playground; manual-tests/navigation-menu.md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Interaction</x:t>
        </x:is>
      </x:c>
      <x:c r="C80" s="84" t="inlineStr">
        <x:is>
          <x:t xml:space="preserve">Viewport</x:t>
        </x:is>
      </x:c>
      <x:c r="D80" s="84" t="inlineStr">
        <x:is>
          <x:t xml:space="preserve">pointer enter cancels delayed close and pointer leave restarts it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NavigationMenu playground; manual-tests/navigation-menu.md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Props</x:t>
        </x:is>
      </x:c>
      <x:c r="C81" s="84" t="inlineStr">
        <x:is>
          <x:t xml:space="preserve">Viewport</x:t>
        </x:is>
      </x:c>
      <x:c r="D81" s="84" t="inlineStr">
        <x:is>
          <x:t xml:space="preserve">data-slot override survives default, asChild, and render composition on Viewport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NavigationMenu playground; manual-tests/navigation-menu.md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Refs</x:t>
        </x:is>
      </x:c>
      <x:c r="C82" s="84" t="inlineStr">
        <x:is>
          <x:t xml:space="preserve">Viewport</x:t>
        </x:is>
      </x:c>
      <x:c r="D82" s="84" t="inlineStr">
        <x:is>
          <x:t xml:space="preserve">consumer ref receives the rendered element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NavigationMenu playground; manual-tests/navigation-menu.md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Composition</x:t>
        </x:is>
      </x:c>
      <x:c r="C83" s="84" t="inlineStr">
        <x:is>
          <x:t xml:space="preserve">Viewport</x:t>
        </x:is>
      </x:c>
      <x:c r="D83" s="84" t="inlineStr">
        <x:is>
          <x:t xml:space="preserve">render prop replaces the default div and preserves state, content, and ref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NavigationMenu playground; manual-tests/navigation-menu.md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Presence</x:t>
        </x:is>
      </x:c>
      <x:c r="C84" s="84" t="inlineStr">
        <x:is>
          <x:t xml:space="preserve">Sub</x:t>
        </x:is>
      </x:c>
      <x:c r="D84" s="84" t="inlineStr">
        <x:is>
          <x:t xml:space="preserve">Sub is optional and renders only in the nested scenario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NavigationMenu playground; manual-tests/navigation-menu.md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Identity</x:t>
        </x:is>
      </x:c>
      <x:c r="C85" s="84" t="inlineStr">
        <x:is>
          <x:t xml:space="preserve">Sub</x:t>
        </x:is>
      </x:c>
      <x:c r="D85" s="84" t="inlineStr">
        <x:is>
          <x:t xml:space="preserve">default tag is div with data-slot="navigation-menu-sub"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NavigationMenu playground; manual-tests/navigation-menu.md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State</x:t>
        </x:is>
      </x:c>
      <x:c r="C86" s="84" t="inlineStr">
        <x:is>
          <x:t xml:space="preserve">Sub</x:t>
        </x:is>
      </x:c>
      <x:c r="D86" s="84" t="inlineStr">
        <x:is>
          <x:t xml:space="preserve">value and onValueChange control nested active content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NavigationMenu playground; manual-tests/navigation-menu.md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State</x:t>
        </x:is>
      </x:c>
      <x:c r="C87" s="84" t="inlineStr">
        <x:is>
          <x:t xml:space="preserve">Sub</x:t>
        </x:is>
      </x:c>
      <x:c r="D87" s="84" t="inlineStr">
        <x:is>
          <x:t xml:space="preserve">defaultValue initializes nested uncontrolled active content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NavigationMenu playground; manual-tests/navigation-menu.md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Data</x:t>
        </x:is>
      </x:c>
      <x:c r="C88" s="84" t="inlineStr">
        <x:is>
          <x:t xml:space="preserve">Sub</x:t>
        </x:is>
      </x:c>
      <x:c r="D88" s="84" t="inlineStr">
        <x:is>
          <x:t xml:space="preserve">data-orientation and dir inherit the parent scope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NavigationMenu playground; manual-tests/navigation-menu.md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Props</x:t>
        </x:is>
      </x:c>
      <x:c r="C89" s="84" t="inlineStr">
        <x:is>
          <x:t xml:space="preserve">Sub</x:t>
        </x:is>
      </x:c>
      <x:c r="D89" s="84" t="inlineStr">
        <x:is>
          <x:t xml:space="preserve">data-slot override survives default, asChild, and render composition on Sub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NavigationMenu playground; manual-tests/navigation-menu.md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Refs</x:t>
        </x:is>
      </x:c>
      <x:c r="C90" s="84" t="inlineStr">
        <x:is>
          <x:t xml:space="preserve">Sub</x:t>
        </x:is>
      </x:c>
      <x:c r="D90" s="84" t="inlineStr">
        <x:is>
          <x:t xml:space="preserve">consumer ref receives the rendered element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NavigationMenu playground; manual-tests/navigation-menu.md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Composition</x:t>
        </x:is>
      </x:c>
      <x:c r="C91" s="84" t="inlineStr">
        <x:is>
          <x:t xml:space="preserve">Sub</x:t>
        </x:is>
      </x:c>
      <x:c r="D91" s="84" t="inlineStr">
        <x:is>
          <x:t xml:space="preserve">asChild preserves one section and nested scope behavior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NavigationMenu playground; manual-tests/navigation-menu.md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Composition</x:t>
        </x:is>
      </x:c>
      <x:c r="C92" s="84" t="inlineStr">
        <x:is>
          <x:t xml:space="preserve">Sub</x:t>
        </x:is>
      </x:c>
      <x:c r="D92" s="84" t="inlineStr">
        <x:is>
          <x:t xml:space="preserve">render prop replaces the default div and preserves nested scope behavior and ref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NavigationMenu playground; manual-tests/navigation-menu.md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Keyboard</x:t>
        </x:is>
      </x:c>
      <x:c r="C93" s="84" t="inlineStr">
        <x:is>
          <x:t xml:space="preserve">NavigationMenu</x:t>
        </x:is>
      </x:c>
      <x:c r="D93" s="84" t="inlineStr">
        <x:is>
          <x:t xml:space="preserve">ArrowRight and ArrowLeft move horizontal top-level focus across triggers and direct links and hand off an open panel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NavigationMenu playground; manual-tests/navigation-menu.md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Keyboard</x:t>
        </x:is>
      </x:c>
      <x:c r="C94" s="84" t="inlineStr">
        <x:is>
          <x:t xml:space="preserve">NavigationMenu</x:t>
        </x:is>
      </x:c>
      <x:c r="D94" s="84" t="inlineStr">
        <x:is>
          <x:t xml:space="preserve">RTL mirrors ArrowRight and ArrowLeft trigger movement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NavigationMenu playground; manual-tests/navigation-menu.md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Keyboard</x:t>
        </x:is>
      </x:c>
      <x:c r="C95" s="84" t="inlineStr">
        <x:is>
          <x:t xml:space="preserve">NavigationMenu</x:t>
        </x:is>
      </x:c>
      <x:c r="D95" s="84" t="inlineStr">
        <x:is>
          <x:t xml:space="preserve">Home and End focus the first and last enabled horizontal top-level control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NavigationMenu playground; manual-tests/navigation-menu.md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Keyboard</x:t>
        </x:is>
      </x:c>
      <x:c r="C96" s="84" t="inlineStr">
        <x:is>
          <x:t xml:space="preserve">NavigationMenu</x:t>
        </x:is>
      </x:c>
      <x:c r="D96" s="84" t="inlineStr">
        <x:is>
          <x:t xml:space="preserve">ArrowDown opens and focuses the first focusable content element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NavigationMenu playground; manual-tests/navigation-menu.md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Keyboard</x:t>
        </x:is>
      </x:c>
      <x:c r="C97" s="84" t="inlineStr">
        <x:is>
          <x:t xml:space="preserve">NavigationMenu</x:t>
        </x:is>
      </x:c>
      <x:c r="D97" s="84" t="inlineStr">
        <x:is>
          <x:t xml:space="preserve">ArrowUp opens and focuses the last focusable content element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NavigationMenu playground; manual-tests/navigation-menu.md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Dismiss</x:t>
        </x:is>
      </x:c>
      <x:c r="C98" s="84" t="inlineStr">
        <x:is>
          <x:t xml:space="preserve">NavigationMenu</x:t>
        </x:is>
      </x:c>
      <x:c r="D98" s="84" t="inlineStr">
        <x:is>
          <x:t xml:space="preserve">Escape closes the root panel and restores focus to its trigger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NavigationMenu playground; manual-tests/navigation-menu.md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Dismiss</x:t>
        </x:is>
      </x:c>
      <x:c r="C99" s="84" t="inlineStr">
        <x:is>
          <x:t xml:space="preserve">NavigationMenu</x:t>
        </x:is>
      </x:c>
      <x:c r="D99" s="84" t="inlineStr">
        <x:is>
          <x:t xml:space="preserve">Escape closes nested Sub before the active root panel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NavigationMenu playground; manual-tests/navigation-menu.md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Pointer</x:t>
        </x:is>
      </x:c>
      <x:c r="C100" s="84" t="inlineStr">
        <x:is>
          <x:t xml:space="preserve">NavigationMenu</x:t>
        </x:is>
      </x:c>
      <x:c r="D100" s="84" t="inlineStr">
        <x:is>
          <x:t xml:space="preserve">first hover respects delayDuration and active-panel hover switches immediately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NavigationMenu playground; manual-tests/navigation-menu.md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Pointer</x:t>
        </x:is>
      </x:c>
      <x:c r="C101" s="84" t="inlineStr">
        <x:is>
          <x:t xml:space="preserve">NavigationMenu</x:t>
        </x:is>
      </x:c>
      <x:c r="D101" s="84" t="inlineStr">
        <x:is>
          <x:t xml:space="preserve">pointer leave closes after delay and skipDelayDuration accelerates reopen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NavigationMenu playground; manual-tests/navigation-menu.md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Props</x:t>
        </x:is>
      </x:c>
      <x:c r="C102" s="84" t="inlineStr">
        <x:is>
          <x:t xml:space="preserve">Root</x:t>
        </x:is>
      </x:c>
      <x:c r="D102" s="84" t="inlineStr">
        <x:is>
          <x:t xml:space="preserve">data-slot override survives default, asChild, and render composition on Root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NavigationMenu playground; manual-tests/navigation-menu.md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Props</x:t>
        </x:is>
      </x:c>
      <x:c r="C103" s="84" t="inlineStr">
        <x:is>
          <x:t xml:space="preserve">List</x:t>
        </x:is>
      </x:c>
      <x:c r="D103" s="84" t="inlineStr">
        <x:is>
          <x:t xml:space="preserve">data-slot override survives default, asChild, and render composition on List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NavigationMenu playground; manual-tests/navigation-menu.md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Props</x:t>
        </x:is>
      </x:c>
      <x:c r="C104" s="84" t="inlineStr">
        <x:is>
          <x:t xml:space="preserve">Item: Learn</x:t>
        </x:is>
      </x:c>
      <x:c r="D104" s="84" t="inlineStr">
        <x:is>
          <x:t xml:space="preserve">data-slot override survives default, asChild, and render composition on Item: Learn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6" t="inlineStr">
        <x:is>
          <x:t xml:space="preserve">covered</x:t>
        </x:is>
      </x:c>
      <x:c r="I104" s="84" t="inlineStr">
        <x:is>
          <x:t xml:space="preserve">NavigationMenu playground; manual-tests/navigation-menu.md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Props</x:t>
        </x:is>
      </x:c>
      <x:c r="C105" s="84" t="inlineStr">
        <x:is>
          <x:t xml:space="preserve">Trigger: Learn</x:t>
        </x:is>
      </x:c>
      <x:c r="D105" s="84" t="inlineStr">
        <x:is>
          <x:t xml:space="preserve">data-slot override survives default, asChild, and render composition on Trigger: Learn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6" t="inlineStr">
        <x:is>
          <x:t xml:space="preserve">covered</x:t>
        </x:is>
      </x:c>
      <x:c r="I105" s="84" t="inlineStr">
        <x:is>
          <x:t xml:space="preserve">NavigationMenu playground; manual-tests/navigation-menu.md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Props</x:t>
        </x:is>
      </x:c>
      <x:c r="C106" s="84" t="inlineStr">
        <x:is>
          <x:t xml:space="preserve">Content: Learn</x:t>
        </x:is>
      </x:c>
      <x:c r="D106" s="84" t="inlineStr">
        <x:is>
          <x:t xml:space="preserve">data-slot override survives default, asChild, and render composition on Content: Learn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6" t="inlineStr">
        <x:is>
          <x:t xml:space="preserve">covered</x:t>
        </x:is>
      </x:c>
      <x:c r="I106" s="84" t="inlineStr">
        <x:is>
          <x:t xml:space="preserve">NavigationMenu playground; manual-tests/navigation-menu.md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Props</x:t>
        </x:is>
      </x:c>
      <x:c r="C107" s="84" t="inlineStr">
        <x:is>
          <x:t xml:space="preserve">Link: Atom UI</x:t>
        </x:is>
      </x:c>
      <x:c r="D107" s="84" t="inlineStr">
        <x:is>
          <x:t xml:space="preserve">data-slot override survives default, asChild, and render composition on Link: Atom UI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test</x:t>
        </x:is>
      </x:c>
      <x:c r="H107" s="86" t="inlineStr">
        <x:is>
          <x:t xml:space="preserve">covered</x:t>
        </x:is>
      </x:c>
      <x:c r="I107" s="84" t="inlineStr">
        <x:is>
          <x:t xml:space="preserve">NavigationMenu playground; manual-tests/navigation-menu.md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Props</x:t>
        </x:is>
      </x:c>
      <x:c r="C108" s="84" t="inlineStr">
        <x:is>
          <x:t xml:space="preserve">Indicator</x:t>
        </x:is>
      </x:c>
      <x:c r="D108" s="84" t="inlineStr">
        <x:is>
          <x:t xml:space="preserve">data-slot override survives default, asChild, and render composition on Indicator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test</x:t>
        </x:is>
      </x:c>
      <x:c r="H108" s="86" t="inlineStr">
        <x:is>
          <x:t xml:space="preserve">covered</x:t>
        </x:is>
      </x:c>
      <x:c r="I108" s="84" t="inlineStr">
        <x:is>
          <x:t xml:space="preserve">NavigationMenu playground; manual-tests/navigation-menu.md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Props</x:t>
        </x:is>
      </x:c>
      <x:c r="C109" s="84" t="inlineStr">
        <x:is>
          <x:t xml:space="preserve">Viewport</x:t>
        </x:is>
      </x:c>
      <x:c r="D109" s="84" t="inlineStr">
        <x:is>
          <x:t xml:space="preserve">data-slot override survives default, asChild, and render composition on Viewport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test</x:t>
        </x:is>
      </x:c>
      <x:c r="H109" s="86" t="inlineStr">
        <x:is>
          <x:t xml:space="preserve">covered</x:t>
        </x:is>
      </x:c>
      <x:c r="I109" s="84" t="inlineStr">
        <x:is>
          <x:t xml:space="preserve">NavigationMenu playground; manual-tests/navigation-menu.md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Props</x:t>
        </x:is>
      </x:c>
      <x:c r="C110" s="84" t="inlineStr">
        <x:is>
          <x:t xml:space="preserve">Sub</x:t>
        </x:is>
      </x:c>
      <x:c r="D110" s="84" t="inlineStr">
        <x:is>
          <x:t xml:space="preserve">data-slot override survives default, asChild, and render composition on Sub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manual test</x:t>
        </x:is>
      </x:c>
      <x:c r="H110" s="86" t="inlineStr">
        <x:is>
          <x:t xml:space="preserve">covered</x:t>
        </x:is>
      </x:c>
      <x:c r="I110" s="84" t="inlineStr">
        <x:is>
          <x:t xml:space="preserve">NavigationMenu playground; manual-tests/navigation-menu.md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Composition</x:t>
        </x:is>
      </x:c>
      <x:c r="C111" s="84" t="inlineStr">
        <x:is>
          <x:t xml:space="preserve">Root</x:t>
        </x:is>
      </x:c>
      <x:c r="D111" s="84" t="inlineStr">
        <x:is>
          <x:t xml:space="preserve">asChild preserves one section and Root behavior props and ref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 manual test</x:t>
        </x:is>
      </x:c>
      <x:c r="H111" s="86" t="inlineStr">
        <x:is>
          <x:t xml:space="preserve">covered</x:t>
        </x:is>
      </x:c>
      <x:c r="I111" s="84" t="inlineStr">
        <x:is>
          <x:t xml:space="preserve">NavigationMenu playground; manual-tests/navigation-menu.md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Composition</x:t>
        </x:is>
      </x:c>
      <x:c r="C112" s="84" t="inlineStr">
        <x:is>
          <x:t xml:space="preserve">List</x:t>
        </x:is>
      </x:c>
      <x:c r="D112" s="84" t="inlineStr">
        <x:is>
          <x:t xml:space="preserve">asChild preserves one list element, list semantics, children, and ref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 manual test</x:t>
        </x:is>
      </x:c>
      <x:c r="H112" s="86" t="inlineStr">
        <x:is>
          <x:t xml:space="preserve">covered</x:t>
        </x:is>
      </x:c>
      <x:c r="I112" s="84" t="inlineStr">
        <x:is>
          <x:t xml:space="preserve">NavigationMenu playground; manual-tests/navigation-menu.md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15" customHeight="1">
      <x:c r="A113" s="73" t="n">
        <x:v>105</x:v>
      </x:c>
      <x:c r="B113" s="84" t="inlineStr">
        <x:is>
          <x:t xml:space="preserve">Composition</x:t>
        </x:is>
      </x:c>
      <x:c r="C113" s="84" t="inlineStr">
        <x:is>
          <x:t xml:space="preserve">List</x:t>
        </x:is>
      </x:c>
      <x:c r="D113" s="84" t="inlineStr">
        <x:is>
          <x:t xml:space="preserve">render prop replaces the default ul and preserves list semantics, children, and ref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 manual test</x:t>
        </x:is>
      </x:c>
      <x:c r="H113" s="86" t="inlineStr">
        <x:is>
          <x:t xml:space="preserve">covered</x:t>
        </x:is>
      </x:c>
      <x:c r="I113" s="84" t="inlineStr">
        <x:is>
          <x:t xml:space="preserve">NavigationMenu playground; manual-tests/navigation-menu.md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15" customHeight="1">
      <x:c r="A114" s="73" t="n">
        <x:v>106</x:v>
      </x:c>
      <x:c r="B114" s="84" t="inlineStr">
        <x:is>
          <x:t xml:space="preserve">Composition</x:t>
        </x:is>
      </x:c>
      <x:c r="C114" s="84" t="inlineStr">
        <x:is>
          <x:t xml:space="preserve">Item: Learn</x:t>
        </x:is>
      </x:c>
      <x:c r="D114" s="84" t="inlineStr">
        <x:is>
          <x:t xml:space="preserve">asChild preserves one list item and its NavigationMenu item scope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 manual test</x:t>
        </x:is>
      </x:c>
      <x:c r="H114" s="86" t="inlineStr">
        <x:is>
          <x:t xml:space="preserve">covered</x:t>
        </x:is>
      </x:c>
      <x:c r="I114" s="84" t="inlineStr">
        <x:is>
          <x:t xml:space="preserve">NavigationMenu playground; manual-tests/navigation-menu.md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15" customHeight="1">
      <x:c r="A115" s="73" t="n">
        <x:v>107</x:v>
      </x:c>
      <x:c r="B115" s="84" t="inlineStr">
        <x:is>
          <x:t xml:space="preserve">Composition</x:t>
        </x:is>
      </x:c>
      <x:c r="C115" s="84" t="inlineStr">
        <x:is>
          <x:t xml:space="preserve">Item: Learn</x:t>
        </x:is>
      </x:c>
      <x:c r="D115" s="84" t="inlineStr">
        <x:is>
          <x:t xml:space="preserve">render prop preserves one list item and its NavigationMenu item scope and ref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 manual test</x:t>
        </x:is>
      </x:c>
      <x:c r="H115" s="86" t="inlineStr">
        <x:is>
          <x:t xml:space="preserve">covered</x:t>
        </x:is>
      </x:c>
      <x:c r="I115" s="84" t="inlineStr">
        <x:is>
          <x:t xml:space="preserve">NavigationMenu playground; manual-tests/navigation-menu.md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Composition</x:t>
        </x:is>
      </x:c>
      <x:c r="C116" s="84" t="inlineStr">
        <x:is>
          <x:t xml:space="preserve">Content: Learn</x:t>
        </x:is>
      </x:c>
      <x:c r="D116" s="84" t="inlineStr">
        <x:is>
          <x:t xml:space="preserve">asChild customizes the Content wrapper emitted through Viewport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 manual test</x:t>
        </x:is>
      </x:c>
      <x:c r="H116" s="86" t="inlineStr">
        <x:is>
          <x:t xml:space="preserve">covered</x:t>
        </x:is>
      </x:c>
      <x:c r="I116" s="84" t="inlineStr">
        <x:is>
          <x:t xml:space="preserve">NavigationMenu playground; manual-tests/navigation-menu.md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Composition</x:t>
        </x:is>
      </x:c>
      <x:c r="C117" s="84" t="inlineStr">
        <x:is>
          <x:t xml:space="preserve">Content: Learn</x:t>
        </x:is>
      </x:c>
      <x:c r="D117" s="84" t="inlineStr">
        <x:is>
          <x:t xml:space="preserve">render prop customizes the Content wrapper emitted through Viewport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 manual test</x:t>
        </x:is>
      </x:c>
      <x:c r="H117" s="86" t="inlineStr">
        <x:is>
          <x:t xml:space="preserve">covered</x:t>
        </x:is>
      </x:c>
      <x:c r="I117" s="84" t="inlineStr">
        <x:is>
          <x:t xml:space="preserve">NavigationMenu playground; manual-tests/navigation-menu.md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15" customHeight="1">
      <x:c r="A118" s="73" t="n">
        <x:v>110</x:v>
      </x:c>
      <x:c r="B118" s="84" t="inlineStr">
        <x:is>
          <x:t xml:space="preserve">Composition</x:t>
        </x:is>
      </x:c>
      <x:c r="C118" s="84" t="inlineStr">
        <x:is>
          <x:t xml:space="preserve">Link: Atom UI</x:t>
        </x:is>
      </x:c>
      <x:c r="D118" s="84" t="inlineStr">
        <x:is>
          <x:t xml:space="preserve">render prop preserves one anchor, href, selection behavior, and ref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 manual test</x:t>
        </x:is>
      </x:c>
      <x:c r="H118" s="86" t="inlineStr">
        <x:is>
          <x:t xml:space="preserve">covered</x:t>
        </x:is>
      </x:c>
      <x:c r="I118" s="84" t="inlineStr">
        <x:is>
          <x:t xml:space="preserve">NavigationMenu playground; manual-tests/navigation-menu.md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15" customHeight="1">
      <x:c r="A119" s="73" t="n">
        <x:v>111</x:v>
      </x:c>
      <x:c r="B119" s="84" t="inlineStr">
        <x:is>
          <x:t xml:space="preserve">Composition</x:t>
        </x:is>
      </x:c>
      <x:c r="C119" s="84" t="inlineStr">
        <x:is>
          <x:t xml:space="preserve">Viewport</x:t>
        </x:is>
      </x:c>
      <x:c r="D119" s="84" t="inlineStr">
        <x:is>
          <x:t xml:space="preserve">asChild preserves one viewport element, active Content, sizing behavior, and ref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 manual test</x:t>
        </x:is>
      </x:c>
      <x:c r="H119" s="86" t="inlineStr">
        <x:is>
          <x:t xml:space="preserve">covered</x:t>
        </x:is>
      </x:c>
      <x:c r="I119" s="84" t="inlineStr">
        <x:is>
          <x:t xml:space="preserve">NavigationMenu playground; manual-tests/navigation-menu.md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15" customHeight="1">
      <x:c r="A120" s="73" t="n">
        <x:v>112</x:v>
      </x:c>
      <x:c r="B120" s="84" t="inlineStr">
        <x:is>
          <x:t xml:space="preserve">Props</x:t>
        </x:is>
      </x:c>
      <x:c r="C120" s="84" t="inlineStr">
        <x:is>
          <x:t xml:space="preserve">Root</x:t>
        </x:is>
      </x:c>
      <x:c r="D120" s="84" t="inlineStr">
        <x:is>
          <x:t xml:space="preserve">Root loop defaults true and loop={false} is exposed by the playground source and Root anatomy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 manual test</x:t>
        </x:is>
      </x:c>
      <x:c r="H120" s="86" t="inlineStr">
        <x:is>
          <x:t xml:space="preserve">covered</x:t>
        </x:is>
      </x:c>
      <x:c r="I120" s="84" t="inlineStr">
        <x:is>
          <x:t xml:space="preserve">NavigationMenu playground; manual-tests/navigation-menu.md</x:t>
        </x:is>
      </x:c>
      <x:c r="J120" s="84" t="n"/>
      <x:c r="K120" s="87" t="n">
        <x:f>IF(AND(E120="yes",F120="yes",H120="covered"),1,IF(H120="partial",0.5,0))</x:f>
        <x:v>1</x:v>
      </x:c>
    </x:row>
    <x:row r="121" s="51" customFormat="1" ht="15" customHeight="1">
      <x:c r="A121" s="73" t="n">
        <x:v>113</x:v>
      </x:c>
      <x:c r="B121" s="84" t="inlineStr">
        <x:is>
          <x:t xml:space="preserve">Keyboard</x:t>
        </x:is>
      </x:c>
      <x:c r="C121" s="84" t="inlineStr">
        <x:is>
          <x:t xml:space="preserve">Content</x:t>
        </x:is>
      </x:c>
      <x:c r="D121" s="84" t="inlineStr">
        <x:is>
          <x:t xml:space="preserve">ArrowDown and ArrowUp move through visible content focusables in DOM order</x:t>
        </x:is>
      </x:c>
      <x:c r="E121" s="76" t="inlineStr">
        <x:is>
          <x:t xml:space="preserve">yes</x:t>
        </x:is>
      </x:c>
      <x:c r="F121" s="85" t="inlineStr">
        <x:is>
          <x:t xml:space="preserve">yes</x:t>
        </x:is>
      </x:c>
      <x:c r="G121" s="73" t="inlineStr">
        <x:is>
          <x:t xml:space="preserve">passed manual test</x:t>
        </x:is>
      </x:c>
      <x:c r="H121" s="86" t="inlineStr">
        <x:is>
          <x:t xml:space="preserve">covered</x:t>
        </x:is>
      </x:c>
      <x:c r="I121" s="84" t="inlineStr">
        <x:is>
          <x:t xml:space="preserve">NavigationMenu playground; manual-tests/navigation-menu.md</x:t>
        </x:is>
      </x:c>
      <x:c r="J121" s="84" t="n"/>
      <x:c r="K121" s="87" t="n">
        <x:f>IF(AND(E121="yes",F121="yes",H121="covered"),1,IF(H121="partial",0.5,0))</x:f>
        <x:v>1</x:v>
      </x:c>
    </x:row>
    <x:row r="122" s="51" customFormat="1" ht="15" customHeight="1">
      <x:c r="A122" s="73" t="n">
        <x:v>114</x:v>
      </x:c>
      <x:c r="B122" s="84" t="inlineStr">
        <x:is>
          <x:t xml:space="preserve">Keyboard</x:t>
        </x:is>
      </x:c>
      <x:c r="C122" s="84" t="inlineStr">
        <x:is>
          <x:t xml:space="preserve">Content</x:t>
        </x:is>
      </x:c>
      <x:c r="D122" s="84" t="inlineStr">
        <x:is>
          <x:t xml:space="preserve">Home and End focus the first and last visible content focusable</x:t>
        </x:is>
      </x:c>
      <x:c r="E122" s="76" t="inlineStr">
        <x:is>
          <x:t xml:space="preserve">yes</x:t>
        </x:is>
      </x:c>
      <x:c r="F122" s="85" t="inlineStr">
        <x:is>
          <x:t xml:space="preserve">yes</x:t>
        </x:is>
      </x:c>
      <x:c r="G122" s="73" t="inlineStr">
        <x:is>
          <x:t xml:space="preserve">passed manual test</x:t>
        </x:is>
      </x:c>
      <x:c r="H122" s="86" t="inlineStr">
        <x:is>
          <x:t xml:space="preserve">covered</x:t>
        </x:is>
      </x:c>
      <x:c r="I122" s="84" t="inlineStr">
        <x:is>
          <x:t xml:space="preserve">NavigationMenu playground; manual-tests/navigation-menu.md</x:t>
        </x:is>
      </x:c>
      <x:c r="J122" s="84" t="n"/>
      <x:c r="K122" s="87" t="n">
        <x:f>IF(AND(E122="yes",F122="yes",H122="covered"),1,IF(H122="partial",0.5,0))</x:f>
        <x:v>1</x:v>
      </x:c>
    </x:row>
    <x:row r="123" s="51" customFormat="1" ht="30" customHeight="1">
      <x:c r="A123" s="73" t="n">
        <x:v>115</x:v>
      </x:c>
      <x:c r="B123" s="84" t="inlineStr">
        <x:is>
          <x:t xml:space="preserve">Keyboard</x:t>
        </x:is>
      </x:c>
      <x:c r="C123" s="84" t="inlineStr">
        <x:is>
          <x:t xml:space="preserve">Root</x:t>
        </x:is>
      </x:c>
      <x:c r="D123" s="84" t="inlineStr">
        <x:is>
          <x:t xml:space="preserve">loop=true wraps top-level Trigger and direct Link navigation at both boundaries</x:t>
        </x:is>
      </x:c>
      <x:c r="E123" s="76" t="inlineStr">
        <x:is>
          <x:t xml:space="preserve">yes</x:t>
        </x:is>
      </x:c>
      <x:c r="F123" s="85" t="inlineStr">
        <x:is>
          <x:t xml:space="preserve">yes</x:t>
        </x:is>
      </x:c>
      <x:c r="G123" s="73" t="inlineStr">
        <x:is>
          <x:t xml:space="preserve">passed manual test</x:t>
        </x:is>
      </x:c>
      <x:c r="H123" s="86" t="inlineStr">
        <x:is>
          <x:t xml:space="preserve">covered</x:t>
        </x:is>
      </x:c>
      <x:c r="I123" s="84" t="inlineStr">
        <x:is>
          <x:t xml:space="preserve">NavigationMenu playground; manual-tests/navigation-menu.md</x:t>
        </x:is>
      </x:c>
      <x:c r="J123" s="84" t="n"/>
      <x:c r="K123" s="87" t="n">
        <x:f>IF(AND(E123="yes",F123="yes",H123="covered"),1,IF(H123="partial",0.5,0))</x:f>
        <x:v>1</x:v>
      </x:c>
    </x:row>
    <x:row r="124" s="51" customFormat="1" ht="15" customHeight="1">
      <x:c r="A124" s="73" t="n">
        <x:v>116</x:v>
      </x:c>
      <x:c r="B124" s="84" t="inlineStr">
        <x:is>
          <x:t xml:space="preserve">Keyboard</x:t>
        </x:is>
      </x:c>
      <x:c r="C124" s="84" t="inlineStr">
        <x:is>
          <x:t xml:space="preserve">Root</x:t>
        </x:is>
      </x:c>
      <x:c r="D124" s="84" t="inlineStr">
        <x:is>
          <x:t xml:space="preserve">loop=false stops top-level Trigger and direct Link navigation at both boundaries</x:t>
        </x:is>
      </x:c>
      <x:c r="E124" s="76" t="inlineStr">
        <x:is>
          <x:t xml:space="preserve">yes</x:t>
        </x:is>
      </x:c>
      <x:c r="F124" s="85" t="inlineStr">
        <x:is>
          <x:t xml:space="preserve">yes</x:t>
        </x:is>
      </x:c>
      <x:c r="G124" s="73" t="inlineStr">
        <x:is>
          <x:t xml:space="preserve">passed manual test</x:t>
        </x:is>
      </x:c>
      <x:c r="H124" s="86" t="inlineStr">
        <x:is>
          <x:t xml:space="preserve">covered</x:t>
        </x:is>
      </x:c>
      <x:c r="I124" s="84" t="inlineStr">
        <x:is>
          <x:t xml:space="preserve">NavigationMenu playground; manual-tests/navigation-menu.md</x:t>
        </x:is>
      </x:c>
      <x:c r="J124" s="84" t="n"/>
      <x:c r="K124" s="87" t="n">
        <x:f>IF(AND(E124="yes",F124="yes",H124="covered"),1,IF(H124="partial",0.5,0))</x:f>
        <x:v>1</x:v>
      </x:c>
    </x:row>
    <x:row r="125" s="51" customFormat="1" ht="15" customHeight="1">
      <x:c r="A125" s="73" t="n">
        <x:v>117</x:v>
      </x:c>
      <x:c r="B125" s="84" t="inlineStr">
        <x:is>
          <x:t xml:space="preserve">Focus</x:t>
        </x:is>
      </x:c>
      <x:c r="C125" s="84" t="inlineStr">
        <x:is>
          <x:t xml:space="preserve">NavigationMenu</x:t>
        </x:is>
      </x:c>
      <x:c r="D125" s="84" t="inlineStr">
        <x:is>
          <x:t xml:space="preserve">Shift+Tab from the first content focusable returns focus to its trigger</x:t>
        </x:is>
      </x:c>
      <x:c r="E125" s="76" t="inlineStr">
        <x:is>
          <x:t xml:space="preserve">yes</x:t>
        </x:is>
      </x:c>
      <x:c r="F125" s="85" t="inlineStr">
        <x:is>
          <x:t xml:space="preserve">yes</x:t>
        </x:is>
      </x:c>
      <x:c r="G125" s="73" t="inlineStr">
        <x:is>
          <x:t xml:space="preserve">passed manual test</x:t>
        </x:is>
      </x:c>
      <x:c r="H125" s="86" t="inlineStr">
        <x:is>
          <x:t xml:space="preserve">covered</x:t>
        </x:is>
      </x:c>
      <x:c r="I125" s="84" t="inlineStr">
        <x:is>
          <x:t xml:space="preserve">NavigationMenu playground; manual-tests/navigation-menu.md</x:t>
        </x:is>
      </x:c>
      <x:c r="J125" s="84" t="n"/>
      <x:c r="K125" s="87" t="n">
        <x:f>IF(AND(E125="yes",F125="yes",H125="covered"),1,IF(H125="partial",0.5,0))</x:f>
        <x:v>1</x:v>
      </x:c>
    </x:row>
    <x:row r="126" s="51" customFormat="1" ht="15" customHeight="1">
      <x:c r="A126" s="73" t="n">
        <x:v>118</x:v>
      </x:c>
      <x:c r="B126" s="84" t="inlineStr">
        <x:is>
          <x:t xml:space="preserve">Focus</x:t>
        </x:is>
      </x:c>
      <x:c r="C126" s="84" t="inlineStr">
        <x:is>
          <x:t xml:space="preserve">NavigationMenu</x:t>
        </x:is>
      </x:c>
      <x:c r="D126" s="84" t="inlineStr">
        <x:is>
          <x:t xml:space="preserve">Tab from the last content focusable closes the panel and focuses the next top-level control</x:t>
        </x:is>
      </x:c>
      <x:c r="E126" s="76" t="inlineStr">
        <x:is>
          <x:t xml:space="preserve">yes</x:t>
        </x:is>
      </x:c>
      <x:c r="F126" s="85" t="inlineStr">
        <x:is>
          <x:t xml:space="preserve">yes</x:t>
        </x:is>
      </x:c>
      <x:c r="G126" s="73" t="inlineStr">
        <x:is>
          <x:t xml:space="preserve">passed manual test</x:t>
        </x:is>
      </x:c>
      <x:c r="H126" s="86" t="inlineStr">
        <x:is>
          <x:t xml:space="preserve">covered</x:t>
        </x:is>
      </x:c>
      <x:c r="I126" s="84" t="inlineStr">
        <x:is>
          <x:t xml:space="preserve">NavigationMenu playground; manual-tests/navigation-menu.md</x:t>
        </x:is>
      </x:c>
      <x:c r="J126" s="84" t="n"/>
      <x:c r="K126" s="87" t="n">
        <x:f>IF(AND(E126="yes",F126="yes",H126="covered"),1,IF(H126="partial",0.5,0))</x:f>
        <x:v>1</x:v>
      </x:c>
    </x:row>
    <x:row r="127" s="51" customFormat="1" ht="15" customHeight="1">
      <x:c r="A127" s="73" t="n">
        <x:v>119</x:v>
      </x:c>
      <x:c r="B127" s="84" t="inlineStr">
        <x:is>
          <x:t xml:space="preserve">Dismiss</x:t>
        </x:is>
      </x:c>
      <x:c r="C127" s="84" t="inlineStr">
        <x:is>
          <x:t xml:space="preserve">NavigationMenu</x:t>
        </x:is>
      </x:c>
      <x:c r="D127" s="84" t="inlineStr">
        <x:is>
          <x:t xml:space="preserve">moving focus outside the root closes the active panel without trapping focus</x:t>
        </x:is>
      </x:c>
      <x:c r="E127" s="76" t="inlineStr">
        <x:is>
          <x:t xml:space="preserve">yes</x:t>
        </x:is>
      </x:c>
      <x:c r="F127" s="85" t="inlineStr">
        <x:is>
          <x:t xml:space="preserve">yes</x:t>
        </x:is>
      </x:c>
      <x:c r="G127" s="73" t="inlineStr">
        <x:is>
          <x:t xml:space="preserve">passed manual test</x:t>
        </x:is>
      </x:c>
      <x:c r="H127" s="86" t="inlineStr">
        <x:is>
          <x:t xml:space="preserve">covered</x:t>
        </x:is>
      </x:c>
      <x:c r="I127" s="84" t="inlineStr">
        <x:is>
          <x:t xml:space="preserve">NavigationMenu playground; manual-tests/navigation-menu.md</x:t>
        </x:is>
      </x:c>
      <x:c r="J127" s="84" t="n"/>
      <x:c r="K127" s="87" t="n">
        <x:f>IF(AND(E127="yes",F127="yes",H127="covered"),1,IF(H127="partial",0.5,0))</x:f>
        <x:v>1</x:v>
      </x:c>
    </x:row>
    <x:row r="128" s="51" customFormat="1" ht="15" customHeight="1">
      <x:c r="A128" s="73" t="n">
        <x:v>120</x:v>
      </x:c>
      <x:c r="B128" s="84" t="inlineStr">
        <x:is>
          <x:t xml:space="preserve">Keyboard</x:t>
        </x:is>
      </x:c>
      <x:c r="C128" s="84" t="inlineStr">
        <x:is>
          <x:t xml:space="preserve">NavigationMenu</x:t>
        </x:is>
      </x:c>
      <x:c r="D128" s="84" t="inlineStr">
        <x:is>
          <x:t xml:space="preserve">vertical ArrowDown and ArrowUp move across enabled top-level controls including direct links</x:t>
        </x:is>
      </x:c>
      <x:c r="E128" s="76" t="inlineStr">
        <x:is>
          <x:t xml:space="preserve">yes</x:t>
        </x:is>
      </x:c>
      <x:c r="F128" s="85" t="inlineStr">
        <x:is>
          <x:t xml:space="preserve">yes</x:t>
        </x:is>
      </x:c>
      <x:c r="G128" s="73" t="inlineStr">
        <x:is>
          <x:t xml:space="preserve">passed manual test</x:t>
        </x:is>
      </x:c>
      <x:c r="H128" s="86" t="inlineStr">
        <x:is>
          <x:t xml:space="preserve">covered</x:t>
        </x:is>
      </x:c>
      <x:c r="I128" s="84" t="inlineStr">
        <x:is>
          <x:t xml:space="preserve">NavigationMenu playground; manual-tests/navigation-menu.md</x:t>
        </x:is>
      </x:c>
      <x:c r="J128" s="84" t="n"/>
      <x:c r="K128" s="87" t="n">
        <x:f>IF(AND(E128="yes",F128="yes",H128="covered"),1,IF(H128="partial",0.5,0))</x:f>
        <x:v>1</x:v>
      </x:c>
    </x:row>
    <x:row r="129" s="51" customFormat="1" ht="30" customHeight="1">
      <x:c r="A129" s="73" t="n">
        <x:v>121</x:v>
      </x:c>
      <x:c r="B129" s="84" t="inlineStr">
        <x:is>
          <x:t xml:space="preserve">Keyboard</x:t>
        </x:is>
      </x:c>
      <x:c r="C129" s="84" t="inlineStr">
        <x:is>
          <x:t xml:space="preserve">NavigationMenu</x:t>
        </x:is>
      </x:c>
      <x:c r="D129" s="84" t="inlineStr">
        <x:is>
          <x:t xml:space="preserve">vertical ArrowRight in LTR and ArrowLeft in RTL open content and focus its first item</x:t>
        </x:is>
      </x:c>
      <x:c r="E129" s="76" t="inlineStr">
        <x:is>
          <x:t xml:space="preserve">yes</x:t>
        </x:is>
      </x:c>
      <x:c r="F129" s="85" t="inlineStr">
        <x:is>
          <x:t xml:space="preserve">yes</x:t>
        </x:is>
      </x:c>
      <x:c r="G129" s="73" t="inlineStr">
        <x:is>
          <x:t xml:space="preserve">passed manual test</x:t>
        </x:is>
      </x:c>
      <x:c r="H129" s="86" t="inlineStr">
        <x:is>
          <x:t xml:space="preserve">covered</x:t>
        </x:is>
      </x:c>
      <x:c r="I129" s="84" t="inlineStr">
        <x:is>
          <x:t xml:space="preserve">NavigationMenu playground; manual-tests/navigation-menu.md</x:t>
        </x:is>
      </x:c>
      <x:c r="J129" s="84" t="n"/>
      <x:c r="K129" s="87" t="n">
        <x:f>IF(AND(E129="yes",F129="yes",H129="covered"),1,IF(H129="partial",0.5,0))</x:f>
        <x:v>1</x:v>
      </x:c>
    </x:row>
    <x:row r="130" s="51" customFormat="1" ht="15" customHeight="1">
      <x:c r="A130" s="73" t="n">
        <x:v>122</x:v>
      </x:c>
      <x:c r="B130" s="84" t="inlineStr">
        <x:is>
          <x:t xml:space="preserve">Keyboard</x:t>
        </x:is>
      </x:c>
      <x:c r="C130" s="84" t="inlineStr">
        <x:is>
          <x:t xml:space="preserve">Trigger</x:t>
        </x:is>
      </x:c>
      <x:c r="D130" s="84" t="inlineStr">
        <x:is>
          <x:t xml:space="preserve">Enter and Space toggle a trigger while retaining trigger focus</x:t>
        </x:is>
      </x:c>
      <x:c r="E130" s="76" t="inlineStr">
        <x:is>
          <x:t xml:space="preserve">yes</x:t>
        </x:is>
      </x:c>
      <x:c r="F130" s="85" t="inlineStr">
        <x:is>
          <x:t xml:space="preserve">yes</x:t>
        </x:is>
      </x:c>
      <x:c r="G130" s="73" t="inlineStr">
        <x:is>
          <x:t xml:space="preserve">passed manual test</x:t>
        </x:is>
      </x:c>
      <x:c r="H130" s="86" t="inlineStr">
        <x:is>
          <x:t xml:space="preserve">covered</x:t>
        </x:is>
      </x:c>
      <x:c r="I130" s="84" t="inlineStr">
        <x:is>
          <x:t xml:space="preserve">NavigationMenu playground; manual-tests/navigation-menu.md</x:t>
        </x:is>
      </x:c>
      <x:c r="J130" s="84" t="n"/>
      <x:c r="K130" s="87" t="n">
        <x:f>IF(AND(E130="yes",F130="yes",H130="covered"),1,IF(H130="partial",0.5,0))</x:f>
        <x:v>1</x:v>
      </x:c>
    </x:row>
    <x:row r="131" s="51" customFormat="1" ht="15" customHeight="1">
      <x:c r="A131" s="73" t="n">
        <x:v>123</x:v>
      </x:c>
      <x:c r="B131" s="84" t="inlineStr">
        <x:is>
          <x:t xml:space="preserve">Props</x:t>
        </x:is>
      </x:c>
      <x:c r="C131" s="84" t="inlineStr">
        <x:is>
          <x:t xml:space="preserve">Content: Learn</x:t>
        </x:is>
      </x:c>
      <x:c r="D131" s="84" t="inlineStr">
        <x:is>
          <x:t xml:space="preserve">omitted Content loop inherits Root and the playground exposes loop mode and effective value</x:t>
        </x:is>
      </x:c>
      <x:c r="E131" s="76" t="inlineStr">
        <x:is>
          <x:t xml:space="preserve">yes</x:t>
        </x:is>
      </x:c>
      <x:c r="F131" s="85" t="inlineStr">
        <x:is>
          <x:t xml:space="preserve">yes</x:t>
        </x:is>
      </x:c>
      <x:c r="G131" s="73" t="inlineStr">
        <x:is>
          <x:t xml:space="preserve">passed manual test</x:t>
        </x:is>
      </x:c>
      <x:c r="H131" s="86" t="inlineStr">
        <x:is>
          <x:t xml:space="preserve">covered</x:t>
        </x:is>
      </x:c>
      <x:c r="I131" s="84" t="inlineStr">
        <x:is>
          <x:t xml:space="preserve">NavigationMenu playground; manual-tests/navigation-menu.md</x:t>
        </x:is>
      </x:c>
      <x:c r="J131" s="84" t="n"/>
      <x:c r="K131" s="87" t="n">
        <x:f>IF(AND(E131="yes",F131="yes",H131="covered"),1,IF(H131="partial",0.5,0))</x:f>
        <x:v>1</x:v>
      </x:c>
    </x:row>
    <x:row r="132" s="51" customFormat="1" ht="15" customHeight="1">
      <x:c r="A132" s="73" t="n">
        <x:v>124</x:v>
      </x:c>
      <x:c r="B132" s="84" t="inlineStr">
        <x:is>
          <x:t xml:space="preserve">Keyboard</x:t>
        </x:is>
      </x:c>
      <x:c r="C132" s="84" t="inlineStr">
        <x:is>
          <x:t xml:space="preserve">Content: Learn</x:t>
        </x:is>
      </x:c>
      <x:c r="D132" s="84" t="inlineStr">
        <x:is>
          <x:t xml:space="preserve">loop=false overrides Root loop=true and stops Content navigation at both boundaries</x:t>
        </x:is>
      </x:c>
      <x:c r="E132" s="76" t="inlineStr">
        <x:is>
          <x:t xml:space="preserve">yes</x:t>
        </x:is>
      </x:c>
      <x:c r="F132" s="85" t="inlineStr">
        <x:is>
          <x:t xml:space="preserve">yes</x:t>
        </x:is>
      </x:c>
      <x:c r="G132" s="73" t="inlineStr">
        <x:is>
          <x:t xml:space="preserve">passed manual test</x:t>
        </x:is>
      </x:c>
      <x:c r="H132" s="86" t="inlineStr">
        <x:is>
          <x:t xml:space="preserve">covered</x:t>
        </x:is>
      </x:c>
      <x:c r="I132" s="84" t="inlineStr">
        <x:is>
          <x:t xml:space="preserve">NavigationMenu playground; manual-tests/navigation-menu.md</x:t>
        </x:is>
      </x:c>
      <x:c r="J132" s="84" t="n"/>
      <x:c r="K132" s="87" t="n">
        <x:f>IF(AND(E132="yes",F132="yes",H132="covered"),1,IF(H132="partial",0.5,0))</x:f>
        <x:v>1</x:v>
      </x:c>
    </x:row>
    <x:row r="133" s="51" customFormat="1" ht="15" customHeight="1">
      <x:c r="A133" s="73" t="n">
        <x:v>125</x:v>
      </x:c>
      <x:c r="B133" s="84" t="inlineStr">
        <x:is>
          <x:t xml:space="preserve">Keyboard</x:t>
        </x:is>
      </x:c>
      <x:c r="C133" s="84" t="inlineStr">
        <x:is>
          <x:t xml:space="preserve">Content: Learn</x:t>
        </x:is>
      </x:c>
      <x:c r="D133" s="84" t="inlineStr">
        <x:is>
          <x:t xml:space="preserve">loop=true overrides Root loop=false and wraps Content navigation at both boundaries</x:t>
        </x:is>
      </x:c>
      <x:c r="E133" s="76" t="inlineStr">
        <x:is>
          <x:t xml:space="preserve">yes</x:t>
        </x:is>
      </x:c>
      <x:c r="F133" s="85" t="inlineStr">
        <x:is>
          <x:t xml:space="preserve">yes</x:t>
        </x:is>
      </x:c>
      <x:c r="G133" s="73" t="inlineStr">
        <x:is>
          <x:t xml:space="preserve">passed manual test</x:t>
        </x:is>
      </x:c>
      <x:c r="H133" s="86" t="inlineStr">
        <x:is>
          <x:t xml:space="preserve">covered</x:t>
        </x:is>
      </x:c>
      <x:c r="I133" s="84" t="inlineStr">
        <x:is>
          <x:t xml:space="preserve">NavigationMenu playground; manual-tests/navigation-menu.md</x:t>
        </x:is>
      </x:c>
      <x:c r="J133" s="84" t="n"/>
      <x:c r="K133" s="87" t="n">
        <x:f>IF(AND(E133="yes",F133="yes",H133="covered"),1,IF(H133="partial",0.5,0))</x:f>
        <x:v>1</x:v>
      </x:c>
    </x:row>
    <x:row r="134" s="51" customFormat="1" ht="30" customHeight="1">
      <x:c r="A134" s="73" t="n">
        <x:v>126</x:v>
      </x:c>
      <x:c r="B134" s="84" t="inlineStr">
        <x:is>
          <x:t xml:space="preserve">Pointer</x:t>
        </x:is>
      </x:c>
      <x:c r="C134" s="84" t="inlineStr">
        <x:is>
          <x:t xml:space="preserve">Trigger</x:t>
        </x:is>
      </x:c>
      <x:c r="D134" s="84" t="inlineStr">
        <x:is>
          <x:t xml:space="preserve">touch and pen contact cannot start mouse-hover open or close timers</x:t>
        </x:is>
      </x:c>
      <x:c r="E134" s="76" t="inlineStr">
        <x:is>
          <x:t xml:space="preserve">yes</x:t>
        </x:is>
      </x:c>
      <x:c r="F134" s="85" t="inlineStr">
        <x:is>
          <x:t xml:space="preserve">no</x:t>
        </x:is>
      </x:c>
      <x:c r="G134" s="73" t="inlineStr">
        <x:is>
          <x:t xml:space="preserve">automated tests pass; manual pending</x:t>
        </x:is>
      </x:c>
      <x:c r="H134" s="86" t="inlineStr">
        <x:is>
          <x:t xml:space="preserve">untested</x:t>
        </x:is>
      </x:c>
      <x:c r="I134" s="84" t="inlineStr">
        <x:is>
          <x:t xml:space="preserve">playground/manual-tests/navigation-menu.md</x:t>
        </x:is>
      </x:c>
      <x:c r="J134" s="84" t="inlineStr">
        <x:is>
          <x:t xml:space="preserve">Run the updated component Manual Test Protocol and named browser/device matrix.</x:t>
        </x:is>
      </x:c>
      <x:c r="K134" s="87" t="n">
        <x:f>IF(AND(E134="yes",F134="yes",H134="covered"),1,IF(H134="partial",0.5,0))</x:f>
        <x:v>0</x:v>
      </x:c>
    </x:row>
    <x:row r="135" s="51" customFormat="1" ht="30" customHeight="1">
      <x:c r="A135" s="73" t="n">
        <x:v>127</x:v>
      </x:c>
      <x:c r="B135" s="84" t="inlineStr">
        <x:is>
          <x:t xml:space="preserve">Pointer</x:t>
        </x:is>
      </x:c>
      <x:c r="C135" s="84" t="inlineStr">
        <x:is>
          <x:t xml:space="preserve">Trigger</x:t>
        </x:is>
      </x:c>
      <x:c r="D135" s="84" t="inlineStr">
        <x:is>
          <x:t xml:space="preserve">a completed touch or pen tap still toggles the disclosure</x:t>
        </x:is>
      </x:c>
      <x:c r="E135" s="76" t="inlineStr">
        <x:is>
          <x:t xml:space="preserve">yes</x:t>
        </x:is>
      </x:c>
      <x:c r="F135" s="85" t="inlineStr">
        <x:is>
          <x:t xml:space="preserve">no</x:t>
        </x:is>
      </x:c>
      <x:c r="G135" s="73" t="inlineStr">
        <x:is>
          <x:t xml:space="preserve">automated tests pass; manual pending</x:t>
        </x:is>
      </x:c>
      <x:c r="H135" s="86" t="inlineStr">
        <x:is>
          <x:t xml:space="preserve">untested</x:t>
        </x:is>
      </x:c>
      <x:c r="I135" s="84" t="inlineStr">
        <x:is>
          <x:t xml:space="preserve">playground/manual-tests/navigation-menu.md</x:t>
        </x:is>
      </x:c>
      <x:c r="J135" s="84" t="inlineStr">
        <x:is>
          <x:t xml:space="preserve">Run the updated component Manual Test Protocol and named browser/device matrix.</x:t>
        </x:is>
      </x:c>
      <x:c r="K135" s="87" t="n">
        <x:f>IF(AND(E135="yes",F135="yes",H135="covered"),1,IF(H135="partial",0.5,0))</x:f>
        <x:v>0</x:v>
      </x:c>
    </x:row>
    <x:row r="136" s="51" customFormat="1" ht="30" customHeight="1">
      <x:c r="A136" s="73" t="n">
        <x:v>128</x:v>
      </x:c>
      <x:c r="B136" s="84" t="inlineStr">
        <x:is>
          <x:t xml:space="preserve">Accessibility</x:t>
        </x:is>
      </x:c>
      <x:c r="C136" s="84" t="inlineStr">
        <x:is>
          <x:t xml:space="preserve">Link</x:t>
        </x:is>
      </x:c>
      <x:c r="D136" s="84" t="inlineStr">
        <x:is>
          <x:t xml:space="preserve">direct links remain native links in normal Tab order during touch and pen use</x:t>
        </x:is>
      </x:c>
      <x:c r="E136" s="76" t="inlineStr">
        <x:is>
          <x:t xml:space="preserve">yes</x:t>
        </x:is>
      </x:c>
      <x:c r="F136" s="85" t="inlineStr">
        <x:is>
          <x:t xml:space="preserve">no</x:t>
        </x:is>
      </x:c>
      <x:c r="G136" s="73" t="inlineStr">
        <x:is>
          <x:t xml:space="preserve">automated tests pass; manual pending</x:t>
        </x:is>
      </x:c>
      <x:c r="H136" s="86" t="inlineStr">
        <x:is>
          <x:t xml:space="preserve">untested</x:t>
        </x:is>
      </x:c>
      <x:c r="I136" s="84" t="inlineStr">
        <x:is>
          <x:t xml:space="preserve">playground/manual-tests/navigation-menu.md</x:t>
        </x:is>
      </x:c>
      <x:c r="J136" s="84" t="inlineStr">
        <x:is>
          <x:t xml:space="preserve">Run the updated component Manual Test Protocol and named browser/device matrix.</x:t>
        </x:is>
      </x:c>
      <x:c r="K136" s="87" t="n">
        <x:f>IF(AND(E136="yes",F136="yes",H136="covered"),1,IF(H136="partial",0.5,0))</x:f>
        <x:v>0</x:v>
      </x:c>
    </x:row>
    <x:row r="137" s="51" customFormat="1" ht="82" customHeight="1">
      <x:c r="A137" s="73" t="n">
        <x:v>129</x:v>
      </x:c>
      <x:c r="B137" s="84" t="inlineStr">
        <x:is>
          <x:t xml:space="preserve">Controller</x:t>
        </x:is>
      </x:c>
      <x:c r="C137" s="84" t="inlineStr">
        <x:is>
          <x:t xml:space="preserve">RootProvider / Context</x:t>
        </x:is>
      </x:c>
      <x:c r="D137" s="84" t="inlineStr">
        <x:is>
          <x:t xml:space="preserve">External controller and ItemIndicator expose current root/per-item state.</x:t>
        </x:is>
      </x:c>
      <x:c r="E137" s="76" t="inlineStr">
        <x:is>
          <x:t xml:space="preserve">yes</x:t>
        </x:is>
      </x:c>
      <x:c r="F137" s="85" t="inlineStr">
        <x:is>
          <x:t xml:space="preserve">no</x:t>
        </x:is>
      </x:c>
      <x:c r="G137" s="73" t="inlineStr">
        <x:is>
          <x:t xml:space="preserve">Fixture implemented; automated regression qualified; manual not performed</x:t>
        </x:is>
      </x:c>
      <x:c r="H137" s="86" t="inlineStr">
        <x:is>
          <x:t xml:space="preserve">partial</x:t>
        </x:is>
      </x:c>
      <x:c r="I137" s="84" t="inlineStr">
        <x:is>
          <x:t xml:space="preserve">/__tests/menu-policies?owner=NavigationMenu; playground/manual-tests/menu-policies.md; test/browser/menu-policies.spec.ts</x:t>
        </x:is>
      </x:c>
      <x:c r="J137" s="84" t="inlineStr">
        <x:is>
          <x:t xml:space="preserve">Run complete owning protocol, screen-reader, physical-device and actual browser zoom checks.</x:t>
        </x:is>
      </x:c>
      <x:c r="K137" s="87" t="n">
        <x:f>IF(AND(E137="yes",F137="yes",H137="covered"),1,IF(H137="partial",0.5,0))</x:f>
        <x:v>0.5</x:v>
      </x:c>
    </x:row>
    <x:row r="138" s="51" customFormat="1" ht="82" customHeight="1">
      <x:c r="A138" s="73" t="n">
        <x:v>130</x:v>
      </x:c>
      <x:c r="B138" s="84" t="inlineStr">
        <x:is>
          <x:t xml:space="preserve">Pointer</x:t>
        </x:is>
      </x:c>
      <x:c r="C138" s="84" t="inlineStr">
        <x:is>
          <x:t xml:space="preserve">Root / Trigger</x:t>
        </x:is>
      </x:c>
      <x:c r="D138" s="84" t="inlineStr">
        <x:is>
          <x:t xml:space="preserve">Independent delays and hover/click/pointer-leave controls retain keyboard operation.</x:t>
        </x:is>
      </x:c>
      <x:c r="E138" s="76" t="inlineStr">
        <x:is>
          <x:t xml:space="preserve">yes</x:t>
        </x:is>
      </x:c>
      <x:c r="F138" s="85" t="inlineStr">
        <x:is>
          <x:t xml:space="preserve">no</x:t>
        </x:is>
      </x:c>
      <x:c r="G138" s="73" t="inlineStr">
        <x:is>
          <x:t xml:space="preserve">Fixture implemented; automated regression qualified; manual not performed</x:t>
        </x:is>
      </x:c>
      <x:c r="H138" s="86" t="inlineStr">
        <x:is>
          <x:t xml:space="preserve">partial</x:t>
        </x:is>
      </x:c>
      <x:c r="I138" s="84" t="inlineStr">
        <x:is>
          <x:t xml:space="preserve">/__tests/menu-policies?owner=NavigationMenu; playground/manual-tests/menu-policies.md; test/browser/menu-policies.spec.ts</x:t>
        </x:is>
      </x:c>
      <x:c r="J138" s="84" t="inlineStr">
        <x:is>
          <x:t xml:space="preserve">Run complete owning protocol, screen-reader, physical-device and actual browser zoom checks.</x:t>
        </x:is>
      </x:c>
      <x:c r="K138" s="87" t="n">
        <x:f>IF(AND(E138="yes",F138="yes",H138="covered"),1,IF(H138="partial",0.5,0))</x:f>
        <x:v>0.5</x:v>
      </x:c>
    </x:row>
    <x:row r="139" s="51" customFormat="1" ht="82" customHeight="1">
      <x:c r="A139" s="73" t="n">
        <x:v>131</x:v>
      </x:c>
      <x:c r="B139" s="84" t="inlineStr">
        <x:is>
          <x:t xml:space="preserve">Lifecycle</x:t>
        </x:is>
      </x:c>
      <x:c r="C139" s="84" t="inlineStr">
        <x:is>
          <x:t xml:space="preserve">Content</x:t>
        </x:is>
      </x:c>
      <x:c r="D139" s="84" t="inlineStr">
        <x:is>
          <x:t xml:space="preserve">Inline content and presence preserve real refs and hide inactive content.</x:t>
        </x:is>
      </x:c>
      <x:c r="E139" s="76" t="inlineStr">
        <x:is>
          <x:t xml:space="preserve">yes</x:t>
        </x:is>
      </x:c>
      <x:c r="F139" s="85" t="inlineStr">
        <x:is>
          <x:t xml:space="preserve">no</x:t>
        </x:is>
      </x:c>
      <x:c r="G139" s="73" t="inlineStr">
        <x:is>
          <x:t xml:space="preserve">Fixture implemented; automated regression qualified; manual not performed</x:t>
        </x:is>
      </x:c>
      <x:c r="H139" s="86" t="inlineStr">
        <x:is>
          <x:t xml:space="preserve">partial</x:t>
        </x:is>
      </x:c>
      <x:c r="I139" s="84" t="inlineStr">
        <x:is>
          <x:t xml:space="preserve">/__tests/menu-policies?owner=NavigationMenu; playground/manual-tests/menu-policies.md; test/browser/menu-policies.spec.ts</x:t>
        </x:is>
      </x:c>
      <x:c r="J139" s="84" t="inlineStr">
        <x:is>
          <x:t xml:space="preserve">Run complete owning protocol, screen-reader, physical-device and actual browser zoom checks.</x:t>
        </x:is>
      </x:c>
      <x:c r="K139" s="87" t="n">
        <x:f>IF(AND(E139="yes",F139="yes",H139="covered"),1,IF(H139="partial",0.5,0))</x:f>
        <x:v>0.5</x:v>
      </x:c>
    </x:row>
    <x:row r="140" s="51" customFormat="1" ht="82" customHeight="1">
      <x:c r="A140" s="73" t="n">
        <x:v>132</x:v>
      </x:c>
      <x:c r="B140" s="84" t="inlineStr">
        <x:is>
          <x:t xml:space="preserve">Selection</x:t>
        </x:is>
      </x:c>
      <x:c r="C140" s="84" t="inlineStr">
        <x:is>
          <x:t xml:space="preserve">Link</x:t>
        </x:is>
      </x:c>
      <x:c r="D140" s="84" t="inlineStr">
        <x:is>
          <x:t xml:space="preserve">Cancelable onSelect and closeOnClick=false preserve native navigation.</x:t>
        </x:is>
      </x:c>
      <x:c r="E140" s="76" t="inlineStr">
        <x:is>
          <x:t xml:space="preserve">yes</x:t>
        </x:is>
      </x:c>
      <x:c r="F140" s="85" t="inlineStr">
        <x:is>
          <x:t xml:space="preserve">no</x:t>
        </x:is>
      </x:c>
      <x:c r="G140" s="73" t="inlineStr">
        <x:is>
          <x:t xml:space="preserve">Fixture implemented; automated regression qualified; manual not performed</x:t>
        </x:is>
      </x:c>
      <x:c r="H140" s="86" t="inlineStr">
        <x:is>
          <x:t xml:space="preserve">partial</x:t>
        </x:is>
      </x:c>
      <x:c r="I140" s="84" t="inlineStr">
        <x:is>
          <x:t xml:space="preserve">/__tests/menu-policies?owner=NavigationMenu; playground/manual-tests/menu-policies.md; test/browser/menu-policies.spec.ts</x:t>
        </x:is>
      </x:c>
      <x:c r="J140" s="84" t="inlineStr">
        <x:is>
          <x:t xml:space="preserve">Run complete owning protocol, screen-reader, physical-device and actual browser zoom checks.</x:t>
        </x:is>
      </x:c>
      <x:c r="K140" s="87" t="n">
        <x:f>IF(AND(E140="yes",F140="yes",H140="covered"),1,IF(H140="partial",0.5,0))</x:f>
        <x:v>0.5</x:v>
      </x:c>
    </x:row>
    <x:row r="141" s="51" customFormat="1" ht="82" customHeight="1">
      <x:c r="A141" s="73" t="n">
        <x:v>133</x:v>
      </x:c>
      <x:c r="B141" s="84" t="inlineStr">
        <x:is>
          <x:t xml:space="preserve">Dismissal</x:t>
        </x:is>
      </x:c>
      <x:c r="C141" s="84" t="inlineStr">
        <x:is>
          <x:t xml:space="preserve">Content</x:t>
        </x:is>
      </x:c>
      <x:c r="D141" s="84" t="inlineStr">
        <x:is>
          <x:t xml:space="preserve">Cancelable focus outside and Escape preserve owner-layer policy.</x:t>
        </x:is>
      </x:c>
      <x:c r="E141" s="76" t="inlineStr">
        <x:is>
          <x:t xml:space="preserve">yes</x:t>
        </x:is>
      </x:c>
      <x:c r="F141" s="85" t="inlineStr">
        <x:is>
          <x:t xml:space="preserve">no</x:t>
        </x:is>
      </x:c>
      <x:c r="G141" s="73" t="inlineStr">
        <x:is>
          <x:t xml:space="preserve">Fixture implemented; automated regression qualified; manual not performed</x:t>
        </x:is>
      </x:c>
      <x:c r="H141" s="86" t="inlineStr">
        <x:is>
          <x:t xml:space="preserve">partial</x:t>
        </x:is>
      </x:c>
      <x:c r="I141" s="84" t="inlineStr">
        <x:is>
          <x:t xml:space="preserve">/__tests/menu-policies?owner=NavigationMenu; playground/manual-tests/menu-policies.md; test/browser/menu-policies.spec.ts</x:t>
        </x:is>
      </x:c>
      <x:c r="J141" s="84" t="inlineStr">
        <x:is>
          <x:t xml:space="preserve">Run complete owning protocol, screen-reader, physical-device and actual browser zoom checks.</x:t>
        </x:is>
      </x:c>
      <x:c r="K141" s="87" t="n">
        <x:f>IF(AND(E141="yes",F141="yes",H141="covered"),1,IF(H141="partial",0.5,0))</x:f>
        <x:v>0.5</x:v>
      </x:c>
    </x:row>
    <x:row r="142" s="51" customFormat="1" ht="82" customHeight="1">
      <x:c r="A142" s="73" t="n">
        <x:v>134</x:v>
      </x:c>
      <x:c r="B142" s="84" t="inlineStr">
        <x:is>
          <x:t xml:space="preserve">Browser geometry</x:t>
        </x:is>
      </x:c>
      <x:c r="C142" s="84" t="inlineStr">
        <x:is>
          <x:t xml:space="preserve">Viewport</x:t>
        </x:is>
      </x:c>
      <x:c r="D142" s="84" t="inlineStr">
        <x:is>
          <x:t xml:space="preserve">Logical alignment and collision keep the viewport connected at narrow edges.</x:t>
        </x:is>
      </x:c>
      <x:c r="E142" s="76" t="inlineStr">
        <x:is>
          <x:t xml:space="preserve">yes</x:t>
        </x:is>
      </x:c>
      <x:c r="F142" s="85" t="inlineStr">
        <x:is>
          <x:t xml:space="preserve">no</x:t>
        </x:is>
      </x:c>
      <x:c r="G142" s="73" t="inlineStr">
        <x:is>
          <x:t xml:space="preserve">Fixture implemented; automated regression qualified; manual not performed</x:t>
        </x:is>
      </x:c>
      <x:c r="H142" s="86" t="inlineStr">
        <x:is>
          <x:t xml:space="preserve">partial</x:t>
        </x:is>
      </x:c>
      <x:c r="I142" s="84" t="inlineStr">
        <x:is>
          <x:t xml:space="preserve">/__tests/menu-policies?owner=NavigationMenu; playground/manual-tests/menu-policies.md; test/browser/menu-policies.spec.ts</x:t>
        </x:is>
      </x:c>
      <x:c r="J142" s="84" t="inlineStr">
        <x:is>
          <x:t xml:space="preserve">Run complete owning protocol, screen-reader, physical-device and actual browser zoom checks.</x:t>
        </x:is>
      </x:c>
      <x:c r="K142" s="87" t="n">
        <x:f>IF(AND(E142="yes",F142="yes",H142="covered"),1,IF(H142="partial",0.5,0))</x:f>
        <x:v>0.5</x:v>
      </x:c>
    </x:row>
    <x:row r="143" s="51" customFormat="1" ht="82" customHeight="1">
      <x:c r="A143" s="73" t="n">
        <x:v>135</x:v>
      </x:c>
      <x:c r="B143" s="84" t="inlineStr">
        <x:is>
          <x:t xml:space="preserve">Environment</x:t>
        </x:is>
      </x:c>
      <x:c r="C143" s="84" t="inlineStr">
        <x:is>
          <x:t xml:space="preserve">Content / Viewport</x:t>
        </x:is>
      </x:c>
      <x:c r="D143" s="84" t="inlineStr">
        <x:is>
          <x:t xml:space="preserve">ShadowRoot and iframe geometry, observers and focus use the owning environment.</x:t>
        </x:is>
      </x:c>
      <x:c r="E143" s="76" t="inlineStr">
        <x:is>
          <x:t xml:space="preserve">yes</x:t>
        </x:is>
      </x:c>
      <x:c r="F143" s="85" t="inlineStr">
        <x:is>
          <x:t xml:space="preserve">no</x:t>
        </x:is>
      </x:c>
      <x:c r="G143" s="73" t="inlineStr">
        <x:is>
          <x:t xml:space="preserve">Fixture implemented; automated regression qualified; manual not performed</x:t>
        </x:is>
      </x:c>
      <x:c r="H143" s="86" t="inlineStr">
        <x:is>
          <x:t xml:space="preserve">partial</x:t>
        </x:is>
      </x:c>
      <x:c r="I143" s="84" t="inlineStr">
        <x:is>
          <x:t xml:space="preserve">/__tests/menu-policies?owner=NavigationMenu; playground/manual-tests/menu-policies.md; test/browser/menu-policies.spec.ts</x:t>
        </x:is>
      </x:c>
      <x:c r="J143" s="84" t="inlineStr">
        <x:is>
          <x:t xml:space="preserve">Run complete owning protocol, screen-reader, physical-device and actual browser zoom checks.</x:t>
        </x:is>
      </x:c>
      <x:c r="K143" s="87" t="n">
        <x:f>IF(AND(E143="yes",F143="yes",H143="covered"),1,IF(H143="partial",0.5,0))</x:f>
        <x:v>0.5</x:v>
      </x:c>
    </x:row>
    <x:row r="144" s="51" customFormat="1" ht="15" customHeight="1"/>
    <x:row r="145" s="51" customFormat="1" ht="15" customHeight="1"/>
    <x:row r="146" s="51" customFormat="1" ht="15" customHeight="1"/>
    <x:row r="147" s="51" customFormat="1" ht="30" customHeight="1"/>
    <x:row r="148" s="51" customFormat="1" ht="15" customHeight="1"/>
    <x:row r="149" s="51" customFormat="1" ht="15" customHeight="1"/>
    <x:row r="150" s="51" customFormat="1" ht="15" customHeight="1"/>
    <x:row r="151" s="51" customFormat="1" ht="15" customHeight="1"/>
    <x:row r="152" s="51" customFormat="1" ht="15" customHeight="1"/>
    <x:row r="153" s="51" customFormat="1" ht="30" customHeight="1"/>
    <x:row r="154" s="51" customFormat="1" ht="15" customHeight="1"/>
    <x:row r="155" s="51" customFormat="1" ht="15" customHeight="1"/>
    <x:row r="156" s="51" customFormat="1" ht="15" customHeight="1"/>
    <x:row r="157" s="51" customFormat="1" ht="15" customHeight="1"/>
    <x:row r="158" s="51" customFormat="1" ht="15" customHeight="1"/>
    <x:row r="159" s="51" customFormat="1" ht="15" customHeight="1"/>
    <x:row r="160" s="51" customFormat="1" ht="15" customHeight="1"/>
    <x:row r="161" s="51" customFormat="1" ht="15" customHeight="1"/>
    <x:row r="162" s="51" customFormat="1" ht="15" customHeight="1"/>
    <x:row r="163" s="51" customFormat="1" ht="15" customHeight="1"/>
    <x:row r="164" s="51" customFormat="1" ht="15" customHeight="1"/>
    <x:row r="165" s="51" customFormat="1" ht="15" customHeight="1"/>
    <x:row r="166" s="51" customFormat="1" ht="15" customHeight="1"/>
    <x:row r="167" s="51" customFormat="1" ht="15" customHeight="1"/>
    <x:row r="168" s="51" customFormat="1" ht="15" customHeight="1"/>
    <x:row r="169" s="51" customFormat="1" ht="15" customHeight="1"/>
    <x:row r="170" s="51" customFormat="1" ht="15" customHeight="1"/>
    <x:row r="171" s="51" customFormat="1" ht="15" customHeight="1"/>
    <x:row r="172" s="51" customFormat="1" ht="30" customHeight="1"/>
    <x:row r="173" s="51" customFormat="1" ht="15" customHeight="1"/>
    <x:row r="174" s="51" customFormat="1" ht="15" customHeight="1"/>
    <x:row r="175" s="51" customFormat="1" ht="15" customHeight="1"/>
    <x:row r="176" s="51" customFormat="1" ht="15" customHeight="1"/>
    <x:row r="177" s="51" customFormat="1" ht="15" customHeight="1"/>
    <x:row r="178" s="51" customFormat="1" ht="15" customHeight="1"/>
    <x:row r="179" s="51" customFormat="1" ht="15" customHeight="1"/>
    <x:row r="180" s="51" customFormat="1" ht="15" customHeight="1"/>
    <x:row r="181" s="51" customFormat="1" ht="15" customHeight="1"/>
    <x:row r="182" s="51" customFormat="1" ht="15" customHeight="1"/>
    <x:row r="183" s="51" customFormat="1" ht="15" customHeight="1"/>
    <x:row r="184" s="51" customFormat="1" ht="15" customHeight="1"/>
    <x:row r="185" s="51" customFormat="1" ht="15" customHeight="1"/>
    <x:row r="186" s="51" customFormat="1" ht="15" customHeight="1"/>
    <x:row r="187" s="51" customFormat="1" ht="15" customHeight="1"/>
    <x:row r="188" s="51" customFormat="1" ht="15" customHeight="1"/>
    <x:row r="189" s="51" customFormat="1" ht="15" customHeight="1"/>
    <x:row r="190" s="51" customFormat="1" ht="15" customHeight="1"/>
    <x:row r="191" s="51" customFormat="1" ht="15" customHeight="1"/>
    <x:row r="192" s="51" customFormat="1" ht="15" customHeight="1"/>
    <x:row r="193" s="51" customFormat="1" ht="15" customHeight="1"/>
    <x:row r="194" s="51" customFormat="1" ht="15" customHeight="1"/>
    <x:row r="195" s="51" customFormat="1" ht="15" customHeight="1"/>
    <x:row r="196" s="51" customFormat="1" ht="15" customHeight="1"/>
    <x:row r="197" s="51" customFormat="1" ht="15" customHeight="1"/>
    <x:row r="198" s="51" customFormat="1" ht="15" customHeight="1"/>
    <x:row r="199" s="51" customFormat="1" ht="15" customHeight="1"/>
    <x:row r="200" s="51" customFormat="1" ht="15" customHeight="1"/>
    <x:row r="201" s="51" customFormat="1" ht="30" customHeight="1"/>
    <x:row r="202" s="51" customFormat="1" ht="30" customHeight="1"/>
    <x:row r="203" s="51" customFormat="1" ht="30" customHeight="1"/>
    <x:row r="204" s="51" customFormat="1" ht="30" customHeight="1"/>
    <x:row r="205" s="51" customFormat="1" ht="30" customHeight="1"/>
    <x:row r="206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NumberInput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Historical manual coverage; September 13 controller changes require a new manual run. Automated controller/browser evidence is recorded separately.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0.9393939393939394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62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4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</x:t>
        </x:is>
      </x:c>
      <x:c r="H9" s="86" t="inlineStr">
        <x:is>
          <x:t xml:space="preserve">covered</x:t>
        </x:is>
      </x:c>
      <x:c r="I9" s="84" t="inlineStr">
        <x:is>
          <x:t xml:space="preserve">NumberInput playground manual verification.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</x:t>
        </x:is>
      </x:c>
      <x:c r="H10" s="86" t="inlineStr">
        <x:is>
          <x:t xml:space="preserve">covered</x:t>
        </x:is>
      </x:c>
      <x:c r="I10" s="84" t="inlineStr">
        <x:is>
          <x:t xml:space="preserve">NumberInput playground manual verification.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4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NumberInput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</x:t>
        </x:is>
      </x:c>
      <x:c r="H11" s="86" t="inlineStr">
        <x:is>
          <x:t xml:space="preserve">covered</x:t>
        </x:is>
      </x:c>
      <x:c r="I11" s="84" t="inlineStr">
        <x:is>
          <x:t xml:space="preserve">NumberInput playground manual verification.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NumberInput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</x:t>
        </x:is>
      </x:c>
      <x:c r="H12" s="86" t="inlineStr">
        <x:is>
          <x:t xml:space="preserve">covered</x:t>
        </x:is>
      </x:c>
      <x:c r="I12" s="84" t="inlineStr">
        <x:is>
          <x:t xml:space="preserve">NumberInput playground manual verification.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NumberInput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</x:t>
        </x:is>
      </x:c>
      <x:c r="H13" s="86" t="inlineStr">
        <x:is>
          <x:t xml:space="preserve">covered</x:t>
        </x:is>
      </x:c>
      <x:c r="I13" s="84" t="inlineStr">
        <x:is>
          <x:t xml:space="preserve">NumberInput playground manual verification.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NumberInput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</x:t>
        </x:is>
      </x:c>
      <x:c r="H14" s="86" t="inlineStr">
        <x:is>
          <x:t xml:space="preserve">covered</x:t>
        </x:is>
      </x:c>
      <x:c r="I14" s="84" t="inlineStr">
        <x:is>
          <x:t xml:space="preserve">NumberInput playground manual verification.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NumberInput</x:t>
        </x:is>
      </x:c>
      <x:c r="D15" s="84" t="inlineStr">
        <x:is>
          <x:t xml:space="preserve">Renders an editable text input with `role="spinbutton"`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</x:t>
        </x:is>
      </x:c>
      <x:c r="H15" s="86" t="inlineStr">
        <x:is>
          <x:t xml:space="preserve">covered</x:t>
        </x:is>
      </x:c>
      <x:c r="I15" s="84" t="inlineStr">
        <x:is>
          <x:t xml:space="preserve">NumberInput playground manual verification.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NumberInput</x:t>
        </x:is>
      </x:c>
      <x:c r="D16" s="84" t="inlineStr">
        <x:is>
          <x:t xml:space="preserve">Can be controlled or uncontrolled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</x:t>
        </x:is>
      </x:c>
      <x:c r="H16" s="86" t="inlineStr">
        <x:is>
          <x:t xml:space="preserve">covered</x:t>
        </x:is>
      </x:c>
      <x:c r="I16" s="84" t="inlineStr">
        <x:is>
          <x:t xml:space="preserve">NumberInput playground manual verification.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NumberInput</x:t>
        </x:is>
      </x:c>
      <x:c r="D17" s="84" t="inlineStr">
        <x:is>
          <x:t xml:space="preserve">Supports `min`, `max`, `step`, `largeStep`, and precision formatting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</x:t>
        </x:is>
      </x:c>
      <x:c r="H17" s="86" t="inlineStr">
        <x:is>
          <x:t xml:space="preserve">covered</x:t>
        </x:is>
      </x:c>
      <x:c r="I17" s="84" t="inlineStr">
        <x:is>
          <x:t xml:space="preserve">NumberInput playground manual verification.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NumberInput</x:t>
        </x:is>
      </x:c>
      <x:c r="D18" s="84" t="inlineStr">
        <x:is>
          <x:t xml:space="preserve">Supports keyboard stepping with arrows, Page Up/Down, Home, and End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</x:t>
        </x:is>
      </x:c>
      <x:c r="H18" s="86" t="inlineStr">
        <x:is>
          <x:t xml:space="preserve">covered</x:t>
        </x:is>
      </x:c>
      <x:c r="I18" s="84" t="inlineStr">
        <x:is>
          <x:t xml:space="preserve">NumberInput playground manual verification.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NumberInput</x:t>
        </x:is>
      </x:c>
      <x:c r="D19" s="84" t="inlineStr">
        <x:is>
          <x:t xml:space="preserve">Supports custom parser and formatter functions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</x:t>
        </x:is>
      </x:c>
      <x:c r="H19" s="86" t="inlineStr">
        <x:is>
          <x:t xml:space="preserve">covered</x:t>
        </x:is>
      </x:c>
      <x:c r="I19" s="84" t="inlineStr">
        <x:is>
          <x:t xml:space="preserve">NumberInput playground manual verification.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4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NumberInput</x:t>
        </x:is>
      </x:c>
      <x:c r="D20" s="84" t="inlineStr">
        <x:is>
          <x:t xml:space="preserve">Renders a hidden input for native form submission when named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</x:t>
        </x:is>
      </x:c>
      <x:c r="H20" s="86" t="inlineStr">
        <x:is>
          <x:t xml:space="preserve">covered</x:t>
        </x:is>
      </x:c>
      <x:c r="I20" s="84" t="inlineStr">
        <x:is>
          <x:t xml:space="preserve">NumberInput playground manual verification.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4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</x:t>
        </x:is>
      </x:c>
      <x:c r="H21" s="86" t="inlineStr">
        <x:is>
          <x:t xml:space="preserve">covered</x:t>
        </x:is>
      </x:c>
      <x:c r="I21" s="84" t="inlineStr">
        <x:is>
          <x:t xml:space="preserve">NumberInput playground manual verification.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</x:t>
        </x:is>
      </x:c>
      <x:c r="H22" s="86" t="inlineStr">
        <x:is>
          <x:t xml:space="preserve">covered</x:t>
        </x:is>
      </x:c>
      <x:c r="I22" s="84" t="inlineStr">
        <x:is>
          <x:t xml:space="preserve">NumberInput playground manual verification.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</x:t>
        </x:is>
      </x:c>
      <x:c r="H23" s="86" t="inlineStr">
        <x:is>
          <x:t xml:space="preserve">covered</x:t>
        </x:is>
      </x:c>
      <x:c r="I23" s="84" t="inlineStr">
        <x:is>
          <x:t xml:space="preserve">NumberInput playground manual verification.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</x:t>
        </x:is>
      </x:c>
      <x:c r="H24" s="86" t="inlineStr">
        <x:is>
          <x:t xml:space="preserve">covered</x:t>
        </x:is>
      </x:c>
      <x:c r="I24" s="84" t="inlineStr">
        <x:is>
          <x:t xml:space="preserve">NumberInput playground manual verification.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</x:t>
        </x:is>
      </x:c>
      <x:c r="H25" s="86" t="inlineStr">
        <x:is>
          <x:t xml:space="preserve">covered</x:t>
        </x:is>
      </x:c>
      <x:c r="I25" s="84" t="inlineStr">
        <x:is>
          <x:t xml:space="preserve">NumberInput playground manual verification.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</x:t>
        </x:is>
      </x:c>
      <x:c r="H26" s="86" t="inlineStr">
        <x:is>
          <x:t xml:space="preserve">covered</x:t>
        </x:is>
      </x:c>
      <x:c r="I26" s="84" t="inlineStr">
        <x:is>
          <x:t xml:space="preserve">NumberInput playground manual verification.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</x:t>
        </x:is>
      </x:c>
      <x:c r="H27" s="86" t="inlineStr">
        <x:is>
          <x:t xml:space="preserve">covered</x:t>
        </x:is>
      </x:c>
      <x:c r="I27" s="84" t="inlineStr">
        <x:is>
          <x:t xml:space="preserve">NumberInput playground manual verification.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</x:t>
        </x:is>
      </x:c>
      <x:c r="H28" s="86" t="inlineStr">
        <x:is>
          <x:t xml:space="preserve">covered</x:t>
        </x:is>
      </x:c>
      <x:c r="I28" s="84" t="inlineStr">
        <x:is>
          <x:t xml:space="preserve">NumberInput playground manual verification.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</x:t>
        </x:is>
      </x:c>
      <x:c r="H29" s="86" t="inlineStr">
        <x:is>
          <x:t xml:space="preserve">covered</x:t>
        </x:is>
      </x:c>
      <x:c r="I29" s="84" t="inlineStr">
        <x:is>
          <x:t xml:space="preserve">NumberInput playground manual verification.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min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</x:t>
        </x:is>
      </x:c>
      <x:c r="H30" s="86" t="inlineStr">
        <x:is>
          <x:t xml:space="preserve">covered</x:t>
        </x:is>
      </x:c>
      <x:c r="I30" s="84" t="inlineStr">
        <x:is>
          <x:t xml:space="preserve">NumberInput playground manual verification.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max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</x:t>
        </x:is>
      </x:c>
      <x:c r="H31" s="86" t="inlineStr">
        <x:is>
          <x:t xml:space="preserve">covered</x:t>
        </x:is>
      </x:c>
      <x:c r="I31" s="84" t="inlineStr">
        <x:is>
          <x:t xml:space="preserve">NumberInput playground manual verification.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step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</x:t>
        </x:is>
      </x:c>
      <x:c r="H32" s="86" t="inlineStr">
        <x:is>
          <x:t xml:space="preserve">covered</x:t>
        </x:is>
      </x:c>
      <x:c r="I32" s="84" t="inlineStr">
        <x:is>
          <x:t xml:space="preserve">NumberInput playground manual verification.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largeStep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</x:t>
        </x:is>
      </x:c>
      <x:c r="H33" s="86" t="inlineStr">
        <x:is>
          <x:t xml:space="preserve">covered</x:t>
        </x:is>
      </x:c>
      <x:c r="I33" s="84" t="inlineStr">
        <x:is>
          <x:t xml:space="preserve">NumberInput playground manual verification.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precision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</x:t>
        </x:is>
      </x:c>
      <x:c r="H34" s="86" t="inlineStr">
        <x:is>
          <x:t xml:space="preserve">covered</x:t>
        </x:is>
      </x:c>
      <x:c r="I34" s="84" t="inlineStr">
        <x:is>
          <x:t xml:space="preserve">NumberInput playground manual verification.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clampOnBlur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</x:t>
        </x:is>
      </x:c>
      <x:c r="H35" s="86" t="inlineStr">
        <x:is>
          <x:t xml:space="preserve">covered</x:t>
        </x:is>
      </x:c>
      <x:c r="I35" s="84" t="inlineStr">
        <x:is>
          <x:t xml:space="preserve">NumberInput playground manual verification.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formatter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</x:t>
        </x:is>
      </x:c>
      <x:c r="H36" s="86" t="inlineStr">
        <x:is>
          <x:t xml:space="preserve">covered</x:t>
        </x:is>
      </x:c>
      <x:c r="I36" s="84" t="inlineStr">
        <x:is>
          <x:t xml:space="preserve">NumberInput playground manual verification.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Root</x:t>
        </x:is>
      </x:c>
      <x:c r="D37" s="84" t="inlineStr">
        <x:is>
          <x:t xml:space="preserve">parser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</x:t>
        </x:is>
      </x:c>
      <x:c r="H37" s="86" t="inlineStr">
        <x:is>
          <x:t xml:space="preserve">covered</x:t>
        </x:is>
      </x:c>
      <x:c r="I37" s="84" t="inlineStr">
        <x:is>
          <x:t xml:space="preserve">NumberInput playground manual verification.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State</x:t>
        </x:is>
      </x:c>
      <x:c r="C38" s="84" t="inlineStr">
        <x:is>
          <x:t xml:space="preserve">Root</x:t>
        </x:is>
      </x:c>
      <x:c r="D38" s="84" t="inlineStr">
        <x:is>
          <x:t xml:space="preserve">disabled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</x:t>
        </x:is>
      </x:c>
      <x:c r="H38" s="86" t="inlineStr">
        <x:is>
          <x:t xml:space="preserve">covered</x:t>
        </x:is>
      </x:c>
      <x:c r="I38" s="84" t="inlineStr">
        <x:is>
          <x:t xml:space="preserve">NumberInput playground manual verification.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State</x:t>
        </x:is>
      </x:c>
      <x:c r="C39" s="84" t="inlineStr">
        <x:is>
          <x:t xml:space="preserve">Root</x:t>
        </x:is>
      </x:c>
      <x:c r="D39" s="84" t="inlineStr">
        <x:is>
          <x:t xml:space="preserve">readOnly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</x:t>
        </x:is>
      </x:c>
      <x:c r="H39" s="86" t="inlineStr">
        <x:is>
          <x:t xml:space="preserve">covered</x:t>
        </x:is>
      </x:c>
      <x:c r="I39" s="84" t="inlineStr">
        <x:is>
          <x:t xml:space="preserve">NumberInput playground manual verification.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State</x:t>
        </x:is>
      </x:c>
      <x:c r="C40" s="84" t="inlineStr">
        <x:is>
          <x:t xml:space="preserve">Root</x:t>
        </x:is>
      </x:c>
      <x:c r="D40" s="84" t="inlineStr">
        <x:is>
          <x:t xml:space="preserve">required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</x:t>
        </x:is>
      </x:c>
      <x:c r="H40" s="86" t="inlineStr">
        <x:is>
          <x:t xml:space="preserve">covered</x:t>
        </x:is>
      </x:c>
      <x:c r="I40" s="84" t="inlineStr">
        <x:is>
          <x:t xml:space="preserve">NumberInput playground manual verification.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Root</x:t>
        </x:is>
      </x:c>
      <x:c r="D41" s="84" t="inlineStr">
        <x:is>
          <x:t xml:space="preserve">invalid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</x:t>
        </x:is>
      </x:c>
      <x:c r="H41" s="86" t="inlineStr">
        <x:is>
          <x:t xml:space="preserve">covered</x:t>
        </x:is>
      </x:c>
      <x:c r="I41" s="84" t="inlineStr">
        <x:is>
          <x:t xml:space="preserve">NumberInput playground manual verification.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45" customHeight="1">
      <x:c r="A42" s="73" t="n">
        <x:v>34</x:v>
      </x:c>
      <x:c r="B42" s="84" t="inlineStr">
        <x:is>
          <x:t xml:space="preserve">Public API</x:t>
        </x:is>
      </x:c>
      <x:c r="C42" s="84" t="inlineStr">
        <x:is>
          <x:t xml:space="preserve">Root</x:t>
        </x:is>
      </x:c>
      <x:c r="D42" s="84" t="inlineStr">
        <x:is>
          <x:t xml:space="preserve">name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</x:t>
        </x:is>
      </x:c>
      <x:c r="H42" s="86" t="inlineStr">
        <x:is>
          <x:t xml:space="preserve">covered</x:t>
        </x:is>
      </x:c>
      <x:c r="I42" s="84" t="inlineStr">
        <x:is>
          <x:t xml:space="preserve">NumberInput playground manual verification.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Root</x:t>
        </x:is>
      </x:c>
      <x:c r="D43" s="84" t="inlineStr">
        <x:is>
          <x:t xml:space="preserve">form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</x:t>
        </x:is>
      </x:c>
      <x:c r="H43" s="86" t="inlineStr">
        <x:is>
          <x:t xml:space="preserve">covered</x:t>
        </x:is>
      </x:c>
      <x:c r="I43" s="84" t="inlineStr">
        <x:is>
          <x:t xml:space="preserve">NumberInput playground manual verification.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45" customHeight="1">
      <x:c r="A44" s="73" t="n">
        <x:v>36</x:v>
      </x:c>
      <x:c r="B44" s="84" t="inlineStr">
        <x:is>
          <x:t xml:space="preserve">Accessibility</x:t>
        </x:is>
      </x:c>
      <x:c r="C44" s="84" t="inlineStr">
        <x:is>
          <x:t xml:space="preserve">Root</x:t>
        </x:is>
      </x:c>
      <x:c r="D44" s="84" t="inlineStr">
        <x:is>
          <x:t xml:space="preserve">aria-label prop behavior</x:t>
        </x:is>
      </x:c>
      <x:c r="E44" s="76" t="inlineStr">
        <x:is>
          <x:t xml:space="preserve">yes</x:t>
        </x:is>
      </x:c>
      <x:c r="F44" s="85" t="inlineStr">
        <x:is>
          <x:t xml:space="preserve">no</x:t>
        </x:is>
      </x:c>
      <x:c r="G44" s="73" t="inlineStr">
        <x:is>
          <x:t xml:space="preserve">automated tests pass; manual pending</x:t>
        </x:is>
      </x:c>
      <x:c r="H44" s="86" t="inlineStr">
        <x:is>
          <x:t xml:space="preserve">untested</x:t>
        </x:is>
      </x:c>
      <x:c r="I44" s="84" t="inlineStr">
        <x:is>
          <x:t xml:space="preserve">Form &gt; Control: Foundation plus the component scenario and automated package tests.</x:t>
        </x:is>
      </x:c>
      <x:c r="J44" s="84" t="inlineStr">
        <x:is>
          <x:t xml:space="preserve">Run the form-foundation manual protocol.</x:t>
        </x:is>
      </x:c>
      <x:c r="K44" s="87" t="n">
        <x:f>IF(AND(E44="yes",F44="yes",H44="covered"),1,IF(H44="partial",0.5,0))</x:f>
        <x:v>0</x:v>
      </x:c>
    </x:row>
    <x:row r="45" s="51" customFormat="1" ht="15" customHeight="1">
      <x:c r="A45" s="73" t="n">
        <x:v>37</x:v>
      </x:c>
      <x:c r="B45" s="84" t="inlineStr">
        <x:is>
          <x:t xml:space="preserve">Accessibility</x:t>
        </x:is>
      </x:c>
      <x:c r="C45" s="84" t="inlineStr">
        <x:is>
          <x:t xml:space="preserve">Root</x:t>
        </x:is>
      </x:c>
      <x:c r="D45" s="84" t="inlineStr">
        <x:is>
          <x:t xml:space="preserve">ariaValueText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</x:t>
        </x:is>
      </x:c>
      <x:c r="H45" s="86" t="inlineStr">
        <x:is>
          <x:t xml:space="preserve">covered</x:t>
        </x:is>
      </x:c>
      <x:c r="I45" s="84" t="inlineStr">
        <x:is>
          <x:t xml:space="preserve">NumberInput playground manual verification.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Accessibility</x:t>
        </x:is>
      </x:c>
      <x:c r="C46" s="84" t="inlineStr">
        <x:is>
          <x:t xml:space="preserve">Root</x:t>
        </x:is>
      </x:c>
      <x:c r="D46" s="84" t="inlineStr">
        <x:is>
          <x:t xml:space="preserve">aria-describedby prop behavior</x:t>
        </x:is>
      </x:c>
      <x:c r="E46" s="76" t="inlineStr">
        <x:is>
          <x:t xml:space="preserve">yes</x:t>
        </x:is>
      </x:c>
      <x:c r="F46" s="85" t="inlineStr">
        <x:is>
          <x:t xml:space="preserve">no</x:t>
        </x:is>
      </x:c>
      <x:c r="G46" s="73" t="inlineStr">
        <x:is>
          <x:t xml:space="preserve">automated tests pass; manual pending</x:t>
        </x:is>
      </x:c>
      <x:c r="H46" s="86" t="inlineStr">
        <x:is>
          <x:t xml:space="preserve">untested</x:t>
        </x:is>
      </x:c>
      <x:c r="I46" s="84" t="inlineStr">
        <x:is>
          <x:t xml:space="preserve">Form &gt; Control: Foundation plus the component scenario and automated package tests.</x:t>
        </x:is>
      </x:c>
      <x:c r="J46" s="84" t="inlineStr">
        <x:is>
          <x:t xml:space="preserve">Run the form-foundation manual protocol.</x:t>
        </x:is>
      </x:c>
      <x:c r="K46" s="87" t="n">
        <x:f>IF(AND(E46="yes",F46="yes",H46="covered"),1,IF(H46="partial",0.5,0))</x:f>
        <x:v>0</x:v>
      </x:c>
    </x:row>
    <x:row r="47" s="51" customFormat="1" ht="15" customHeight="1">
      <x:c r="A47" s="73" t="n">
        <x:v>39</x:v>
      </x:c>
      <x:c r="B47" s="84" t="inlineStr">
        <x:is>
          <x:t xml:space="preserve">Public API</x:t>
        </x:is>
      </x:c>
      <x:c r="C47" s="84" t="inlineStr">
        <x:is>
          <x:t xml:space="preserve">Root</x:t>
        </x:is>
      </x:c>
      <x:c r="D47" s="84" t="inlineStr">
        <x:is>
          <x:t xml:space="preserve">[data-slot]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</x:t>
        </x:is>
      </x:c>
      <x:c r="H47" s="86" t="inlineStr">
        <x:is>
          <x:t xml:space="preserve">covered</x:t>
        </x:is>
      </x:c>
      <x:c r="I47" s="84" t="inlineStr">
        <x:is>
          <x:t xml:space="preserve">NumberInput playground manual verification.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State</x:t>
        </x:is>
      </x:c>
      <x:c r="C48" s="84" t="inlineStr">
        <x:is>
          <x:t xml:space="preserve">Root</x:t>
        </x:is>
      </x:c>
      <x:c r="D48" s="84" t="inlineStr">
        <x:is>
          <x:t xml:space="preserve">[data-disabled]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</x:t>
        </x:is>
      </x:c>
      <x:c r="H48" s="86" t="inlineStr">
        <x:is>
          <x:t xml:space="preserve">covered</x:t>
        </x:is>
      </x:c>
      <x:c r="I48" s="84" t="inlineStr">
        <x:is>
          <x:t xml:space="preserve">NumberInput playground manual verification.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45" customHeight="1">
      <x:c r="A49" s="73" t="n">
        <x:v>41</x:v>
      </x:c>
      <x:c r="B49" s="84" t="inlineStr">
        <x:is>
          <x:t xml:space="preserve">State</x:t>
        </x:is>
      </x:c>
      <x:c r="C49" s="84" t="inlineStr">
        <x:is>
          <x:t xml:space="preserve">Root</x:t>
        </x:is>
      </x:c>
      <x:c r="D49" s="84" t="inlineStr">
        <x:is>
          <x:t xml:space="preserve">[data-readonly]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</x:t>
        </x:is>
      </x:c>
      <x:c r="H49" s="86" t="inlineStr">
        <x:is>
          <x:t xml:space="preserve">covered</x:t>
        </x:is>
      </x:c>
      <x:c r="I49" s="84" t="inlineStr">
        <x:is>
          <x:t xml:space="preserve">NumberInput playground manual verification.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State</x:t>
        </x:is>
      </x:c>
      <x:c r="C50" s="84" t="inlineStr">
        <x:is>
          <x:t xml:space="preserve">Root</x:t>
        </x:is>
      </x:c>
      <x:c r="D50" s="84" t="inlineStr">
        <x:is>
          <x:t xml:space="preserve">[data-invalid]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</x:t>
        </x:is>
      </x:c>
      <x:c r="H50" s="86" t="inlineStr">
        <x:is>
          <x:t xml:space="preserve">covered</x:t>
        </x:is>
      </x:c>
      <x:c r="I50" s="84" t="inlineStr">
        <x:is>
          <x:t xml:space="preserve">NumberInput playground manual verification.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ARIA</x:t>
        </x:is>
      </x:c>
      <x:c r="C51" s="84" t="inlineStr">
        <x:is>
          <x:t xml:space="preserve">Live DOM</x:t>
        </x:is>
      </x:c>
      <x:c r="D51" s="84" t="inlineStr">
        <x:is>
          <x:t xml:space="preserve">aria-describedby is present at the correct time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</x:t>
        </x:is>
      </x:c>
      <x:c r="H51" s="86" t="inlineStr">
        <x:is>
          <x:t xml:space="preserve">covered</x:t>
        </x:is>
      </x:c>
      <x:c r="I51" s="84" t="inlineStr">
        <x:is>
          <x:t xml:space="preserve">NumberInput playground manual verification.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ARIA</x:t>
        </x:is>
      </x:c>
      <x:c r="C52" s="84" t="inlineStr">
        <x:is>
          <x:t xml:space="preserve">Live DOM</x:t>
        </x:is>
      </x:c>
      <x:c r="D52" s="84" t="inlineStr">
        <x:is>
          <x:t xml:space="preserve">aria-invalid is present at the correct time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</x:t>
        </x:is>
      </x:c>
      <x:c r="H52" s="86" t="inlineStr">
        <x:is>
          <x:t xml:space="preserve">covered</x:t>
        </x:is>
      </x:c>
      <x:c r="I52" s="84" t="inlineStr">
        <x:is>
          <x:t xml:space="preserve">NumberInput playground manual verification.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ARIA</x:t>
        </x:is>
      </x:c>
      <x:c r="C53" s="84" t="inlineStr">
        <x:is>
          <x:t xml:space="preserve">Live DOM</x:t>
        </x:is>
      </x:c>
      <x:c r="D53" s="84" t="inlineStr">
        <x:is>
          <x:t xml:space="preserve">aria-label is present at the correct time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</x:t>
        </x:is>
      </x:c>
      <x:c r="H53" s="86" t="inlineStr">
        <x:is>
          <x:t xml:space="preserve">covered</x:t>
        </x:is>
      </x:c>
      <x:c r="I53" s="84" t="inlineStr">
        <x:is>
          <x:t xml:space="preserve">NumberInput playground manual verification.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ARIA</x:t>
        </x:is>
      </x:c>
      <x:c r="C54" s="84" t="inlineStr">
        <x:is>
          <x:t xml:space="preserve">Live DOM</x:t>
        </x:is>
      </x:c>
      <x:c r="D54" s="84" t="inlineStr">
        <x:is>
          <x:t xml:space="preserve">aria-readonly is present at the correct time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</x:t>
        </x:is>
      </x:c>
      <x:c r="H54" s="86" t="inlineStr">
        <x:is>
          <x:t xml:space="preserve">covered</x:t>
        </x:is>
      </x:c>
      <x:c r="I54" s="84" t="inlineStr">
        <x:is>
          <x:t xml:space="preserve">NumberInput playground manual verification.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ARIA</x:t>
        </x:is>
      </x:c>
      <x:c r="C55" s="84" t="inlineStr">
        <x:is>
          <x:t xml:space="preserve">Live DOM</x:t>
        </x:is>
      </x:c>
      <x:c r="D55" s="84" t="inlineStr">
        <x:is>
          <x:t xml:space="preserve">aria-required is present at the correct time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</x:t>
        </x:is>
      </x:c>
      <x:c r="H55" s="86" t="inlineStr">
        <x:is>
          <x:t xml:space="preserve">covered</x:t>
        </x:is>
      </x:c>
      <x:c r="I55" s="84" t="inlineStr">
        <x:is>
          <x:t xml:space="preserve">NumberInput playground manual verification.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ARIA</x:t>
        </x:is>
      </x:c>
      <x:c r="C56" s="84" t="inlineStr">
        <x:is>
          <x:t xml:space="preserve">Live DOM</x:t>
        </x:is>
      </x:c>
      <x:c r="D56" s="84" t="inlineStr">
        <x:is>
          <x:t xml:space="preserve">aria-valuemax is present at the correct time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</x:t>
        </x:is>
      </x:c>
      <x:c r="H56" s="86" t="inlineStr">
        <x:is>
          <x:t xml:space="preserve">covered</x:t>
        </x:is>
      </x:c>
      <x:c r="I56" s="84" t="inlineStr">
        <x:is>
          <x:t xml:space="preserve">NumberInput playground manual verification.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ARIA</x:t>
        </x:is>
      </x:c>
      <x:c r="C57" s="84" t="inlineStr">
        <x:is>
          <x:t xml:space="preserve">Live DOM</x:t>
        </x:is>
      </x:c>
      <x:c r="D57" s="84" t="inlineStr">
        <x:is>
          <x:t xml:space="preserve">aria-valuemin is present at the correct time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</x:t>
        </x:is>
      </x:c>
      <x:c r="H57" s="86" t="inlineStr">
        <x:is>
          <x:t xml:space="preserve">covered</x:t>
        </x:is>
      </x:c>
      <x:c r="I57" s="84" t="inlineStr">
        <x:is>
          <x:t xml:space="preserve">NumberInput playground manual verification.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ARIA</x:t>
        </x:is>
      </x:c>
      <x:c r="C58" s="84" t="inlineStr">
        <x:is>
          <x:t xml:space="preserve">Live DOM</x:t>
        </x:is>
      </x:c>
      <x:c r="D58" s="84" t="inlineStr">
        <x:is>
          <x:t xml:space="preserve">aria-valuenow is present at the correct time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</x:t>
        </x:is>
      </x:c>
      <x:c r="H58" s="86" t="inlineStr">
        <x:is>
          <x:t xml:space="preserve">covered</x:t>
        </x:is>
      </x:c>
      <x:c r="I58" s="84" t="inlineStr">
        <x:is>
          <x:t xml:space="preserve">NumberInput playground manual verification.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ARIA</x:t>
        </x:is>
      </x:c>
      <x:c r="C59" s="84" t="inlineStr">
        <x:is>
          <x:t xml:space="preserve">Live DOM</x:t>
        </x:is>
      </x:c>
      <x:c r="D59" s="84" t="inlineStr">
        <x:is>
          <x:t xml:space="preserve">aria-valuetext is present at the correct time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</x:t>
        </x:is>
      </x:c>
      <x:c r="H59" s="86" t="inlineStr">
        <x:is>
          <x:t xml:space="preserve">covered</x:t>
        </x:is>
      </x:c>
      <x:c r="I59" s="84" t="inlineStr">
        <x:is>
          <x:t xml:space="preserve">NumberInput playground manual verification.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Data</x:t>
        </x:is>
      </x:c>
      <x:c r="C60" s="84" t="inlineStr">
        <x:is>
          <x:t xml:space="preserve">Live DOM</x:t>
        </x:is>
      </x:c>
      <x:c r="D60" s="84" t="inlineStr">
        <x:is>
          <x:t xml:space="preserve">data-disabled is present at the correct time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</x:t>
        </x:is>
      </x:c>
      <x:c r="H60" s="86" t="inlineStr">
        <x:is>
          <x:t xml:space="preserve">covered</x:t>
        </x:is>
      </x:c>
      <x:c r="I60" s="84" t="inlineStr">
        <x:is>
          <x:t xml:space="preserve">NumberInput playground manual verification.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Data</x:t>
        </x:is>
      </x:c>
      <x:c r="C61" s="84" t="inlineStr">
        <x:is>
          <x:t xml:space="preserve">Live DOM</x:t>
        </x:is>
      </x:c>
      <x:c r="D61" s="84" t="inlineStr">
        <x:is>
          <x:t xml:space="preserve">data-invalid is present at the correct time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</x:t>
        </x:is>
      </x:c>
      <x:c r="H61" s="86" t="inlineStr">
        <x:is>
          <x:t xml:space="preserve">covered</x:t>
        </x:is>
      </x:c>
      <x:c r="I61" s="84" t="inlineStr">
        <x:is>
          <x:t xml:space="preserve">NumberInput playground manual verification.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Data</x:t>
        </x:is>
      </x:c>
      <x:c r="C62" s="84" t="inlineStr">
        <x:is>
          <x:t xml:space="preserve">Live DOM</x:t>
        </x:is>
      </x:c>
      <x:c r="D62" s="84" t="inlineStr">
        <x:is>
          <x:t xml:space="preserve">data-readonly is present at the correct time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</x:t>
        </x:is>
      </x:c>
      <x:c r="H62" s="86" t="inlineStr">
        <x:is>
          <x:t xml:space="preserve">covered</x:t>
        </x:is>
      </x:c>
      <x:c r="I62" s="84" t="inlineStr">
        <x:is>
          <x:t xml:space="preserve">NumberInput playground manual verification.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Data</x:t>
        </x:is>
      </x:c>
      <x:c r="C63" s="84" t="inlineStr">
        <x:is>
          <x:t xml:space="preserve">Live DOM</x:t>
        </x:is>
      </x:c>
      <x:c r="D63" s="84" t="inlineStr">
        <x:is>
          <x:t xml:space="preserve">data-slot is present at the correct time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</x:t>
        </x:is>
      </x:c>
      <x:c r="H63" s="86" t="inlineStr">
        <x:is>
          <x:t xml:space="preserve">covered</x:t>
        </x:is>
      </x:c>
      <x:c r="I63" s="84" t="inlineStr">
        <x:is>
          <x:t xml:space="preserve">NumberInput playground manual verification.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State</x:t>
        </x:is>
      </x:c>
      <x:c r="C64" s="84" t="inlineStr">
        <x:is>
          <x:t xml:space="preserve">Root</x:t>
        </x:is>
      </x:c>
      <x:c r="D64" s="84" t="inlineStr">
        <x:is>
          <x:t xml:space="preserve">controlled state path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</x:t>
        </x:is>
      </x:c>
      <x:c r="H64" s="86" t="inlineStr">
        <x:is>
          <x:t xml:space="preserve">covered</x:t>
        </x:is>
      </x:c>
      <x:c r="I64" s="84" t="inlineStr">
        <x:is>
          <x:t xml:space="preserve">NumberInput playground manual verification.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30" customHeight="1">
      <x:c r="A65" s="73" t="n">
        <x:v>57</x:v>
      </x:c>
      <x:c r="B65" s="84" t="inlineStr">
        <x:is>
          <x:t xml:space="preserve">State</x:t>
        </x:is>
      </x:c>
      <x:c r="C65" s="84" t="inlineStr">
        <x:is>
          <x:t xml:space="preserve">Root</x:t>
        </x:is>
      </x:c>
      <x:c r="D65" s="84" t="inlineStr">
        <x:is>
          <x:t xml:space="preserve">uncontrolled default state path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</x:t>
        </x:is>
      </x:c>
      <x:c r="H65" s="86" t="inlineStr">
        <x:is>
          <x:t xml:space="preserve">covered</x:t>
        </x:is>
      </x:c>
      <x:c r="I65" s="84" t="inlineStr">
        <x:is>
          <x:t xml:space="preserve">NumberInput playground manual verification.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30" customHeight="1">
      <x:c r="A66" s="73" t="n">
        <x:v>58</x:v>
      </x:c>
      <x:c r="B66" s="84" t="inlineStr">
        <x:is>
          <x:t xml:space="preserve">State</x:t>
        </x:is>
      </x:c>
      <x:c r="C66" s="84" t="inlineStr">
        <x:is>
          <x:t xml:space="preserve">Root</x:t>
        </x:is>
      </x:c>
      <x:c r="D66" s="84" t="inlineStr">
        <x:is>
          <x:t xml:space="preserve">state change callback fires once with correct value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</x:t>
        </x:is>
      </x:c>
      <x:c r="H66" s="86" t="inlineStr">
        <x:is>
          <x:t xml:space="preserve">covered</x:t>
        </x:is>
      </x:c>
      <x:c r="I66" s="84" t="inlineStr">
        <x:is>
          <x:t xml:space="preserve">NumberInput playground manual verification.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30" customHeight="1">
      <x:c r="A67" s="73" t="n">
        <x:v>59</x:v>
      </x:c>
      <x:c r="B67" s="84" t="inlineStr">
        <x:is>
          <x:t xml:space="preserve">State</x:t>
        </x:is>
      </x:c>
      <x:c r="C67" s="84" t="inlineStr">
        <x:is>
          <x:t xml:space="preserve">NumberInput</x:t>
        </x:is>
      </x:c>
      <x:c r="D67" s="84" t="inlineStr">
        <x:is>
          <x:t xml:space="preserve">disabled state blocks or exposes behavior correctly where supported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</x:t>
        </x:is>
      </x:c>
      <x:c r="H67" s="86" t="inlineStr">
        <x:is>
          <x:t xml:space="preserve">covered</x:t>
        </x:is>
      </x:c>
      <x:c r="I67" s="84" t="inlineStr">
        <x:is>
          <x:t xml:space="preserve">NumberInput playground manual verification.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30" customHeight="1">
      <x:c r="A68" s="73" t="n">
        <x:v>60</x:v>
      </x:c>
      <x:c r="B68" s="84" t="inlineStr">
        <x:is>
          <x:t xml:space="preserve">State</x:t>
        </x:is>
      </x:c>
      <x:c r="C68" s="84" t="inlineStr">
        <x:is>
          <x:t xml:space="preserve">NumberInput</x:t>
        </x:is>
      </x:c>
      <x:c r="D68" s="84" t="inlineStr">
        <x:is>
          <x:t xml:space="preserve">readonly/readOnly state blocks or exposes behavior correctly where supported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</x:t>
        </x:is>
      </x:c>
      <x:c r="H68" s="86" t="inlineStr">
        <x:is>
          <x:t xml:space="preserve">covered</x:t>
        </x:is>
      </x:c>
      <x:c r="I68" s="84" t="inlineStr">
        <x:is>
          <x:t xml:space="preserve">NumberInput playground manual verification.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State</x:t>
        </x:is>
      </x:c>
      <x:c r="C69" s="84" t="inlineStr">
        <x:is>
          <x:t xml:space="preserve">NumberInput</x:t>
        </x:is>
      </x:c>
      <x:c r="D69" s="84" t="inlineStr">
        <x:is>
          <x:t xml:space="preserve">required state blocks or exposes behavior correctly where supported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</x:t>
        </x:is>
      </x:c>
      <x:c r="H69" s="86" t="inlineStr">
        <x:is>
          <x:t xml:space="preserve">covered</x:t>
        </x:is>
      </x:c>
      <x:c r="I69" s="84" t="inlineStr">
        <x:is>
          <x:t xml:space="preserve">NumberInput playground manual verification.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30" customHeight="1">
      <x:c r="A70" s="73" t="n">
        <x:v>62</x:v>
      </x:c>
      <x:c r="B70" s="84" t="inlineStr">
        <x:is>
          <x:t xml:space="preserve">State</x:t>
        </x:is>
      </x:c>
      <x:c r="C70" s="84" t="inlineStr">
        <x:is>
          <x:t xml:space="preserve">NumberInput</x:t>
        </x:is>
      </x:c>
      <x:c r="D70" s="84" t="inlineStr">
        <x:is>
          <x:t xml:space="preserve">invalid state blocks or exposes behavior correctly where supported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</x:t>
        </x:is>
      </x:c>
      <x:c r="H70" s="86" t="inlineStr">
        <x:is>
          <x:t xml:space="preserve">covered</x:t>
        </x:is>
      </x:c>
      <x:c r="I70" s="84" t="inlineStr">
        <x:is>
          <x:t xml:space="preserve">NumberInput playground manual verification.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Forms</x:t>
        </x:is>
      </x:c>
      <x:c r="C71" s="84" t="inlineStr">
        <x:is>
          <x:t xml:space="preserve">NumberInput</x:t>
        </x:is>
      </x:c>
      <x:c r="D71" s="84" t="inlineStr">
        <x:is>
          <x:t xml:space="preserve">form value participates correctly where supported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</x:t>
        </x:is>
      </x:c>
      <x:c r="H71" s="86" t="inlineStr">
        <x:is>
          <x:t xml:space="preserve">covered</x:t>
        </x:is>
      </x:c>
      <x:c r="I71" s="84" t="inlineStr">
        <x:is>
          <x:t xml:space="preserve">NumberInput playground manual verification.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Forms</x:t>
        </x:is>
      </x:c>
      <x:c r="C72" s="84" t="inlineStr">
        <x:is>
          <x:t xml:space="preserve">NumberInput</x:t>
        </x:is>
      </x:c>
      <x:c r="D72" s="84" t="inlineStr">
        <x:is>
          <x:t xml:space="preserve">hidden input mirrors value/checked/disabled where supported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</x:t>
        </x:is>
      </x:c>
      <x:c r="H72" s="86" t="inlineStr">
        <x:is>
          <x:t xml:space="preserve">covered</x:t>
        </x:is>
      </x:c>
      <x:c r="I72" s="84" t="inlineStr">
        <x:is>
          <x:t xml:space="preserve">NumberInput playground manual verification.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Forms</x:t>
        </x:is>
      </x:c>
      <x:c r="C73" s="84" t="inlineStr">
        <x:is>
          <x:t xml:space="preserve">Root</x:t>
        </x:is>
      </x:c>
      <x:c r="D73" s="84" t="inlineStr">
        <x:is>
          <x:t xml:space="preserve">Field inheritance, native ARIA precedence, form association, and uncontrolled reset</x:t>
        </x:is>
      </x:c>
      <x:c r="E73" s="76" t="inlineStr">
        <x:is>
          <x:t xml:space="preserve">yes</x:t>
        </x:is>
      </x:c>
      <x:c r="F73" s="85" t="inlineStr">
        <x:is>
          <x:t xml:space="preserve">no</x:t>
        </x:is>
      </x:c>
      <x:c r="G73" s="73" t="inlineStr">
        <x:is>
          <x:t xml:space="preserve">automated tests pass; manual pending</x:t>
        </x:is>
      </x:c>
      <x:c r="H73" s="86" t="inlineStr">
        <x:is>
          <x:t xml:space="preserve">untested</x:t>
        </x:is>
      </x:c>
      <x:c r="I73" s="84" t="inlineStr">
        <x:is>
          <x:t xml:space="preserve">test/primitives/number-input-controller.test.mjs; test/browser/number-input.spec.ts — locale, controlled editing, wheel, repeat, forms.</x:t>
        </x:is>
      </x:c>
      <x:c r="J73" s="84" t="inlineStr">
        <x:is>
          <x:t xml:space="preserve">New controller automated tests pass; screen-reader, device and actual zoom verification remain pending.</x:t>
        </x:is>
      </x:c>
      <x:c r="K73" s="87" t="n">
        <x:f>IF(AND(E73="yes",F73="yes",H73="covered"),1,IF(H73="partial",0.5,0))</x:f>
        <x:v>0</x:v>
      </x:c>
    </x:row>
    <x:row r="74" s="51" customFormat="1" ht="15" customHeight="1">
      <x:c r="A74" s="73" t="n">
        <x:v>66</x:v>
      </x:c>
      <x:c r="B74" s="84" t="inlineStr">
        <x:is>
          <x:t xml:space="preserve">Validation</x:t>
        </x:is>
      </x:c>
      <x:c r="C74" s="84" t="inlineStr">
        <x:is>
          <x:t xml:space="preserve">Root</x:t>
        </x:is>
      </x:c>
      <x:c r="D74" s="84" t="inlineStr">
        <x:is>
          <x:t xml:space="preserve">validationBehavior mirrors attempted numeric validity to NumberInput, Field, and Form</x:t>
        </x:is>
      </x:c>
      <x:c r="E74" s="76" t="inlineStr">
        <x:is>
          <x:t xml:space="preserve">yes</x:t>
        </x:is>
      </x:c>
      <x:c r="F74" s="85" t="inlineStr">
        <x:is>
          <x:t xml:space="preserve">no</x:t>
        </x:is>
      </x:c>
      <x:c r="G74" s="73" t="inlineStr">
        <x:is>
          <x:t xml:space="preserve">automated tests pass; manual pending</x:t>
        </x:is>
      </x:c>
      <x:c r="H74" s="86" t="inlineStr">
        <x:is>
          <x:t xml:space="preserve">untested</x:t>
        </x:is>
      </x:c>
      <x:c r="I74" s="84" t="inlineStr">
        <x:is>
          <x:t xml:space="preserve">Form &gt; Control: Foundation and automated Atom validation tests.</x:t>
        </x:is>
      </x:c>
      <x:c r="J74" s="84" t="inlineStr">
        <x:is>
          <x:t xml:space="preserve">Run and review the updated form-foundation validation steps.</x:t>
        </x:is>
      </x:c>
      <x:c r="K74" s="87" t="n">
        <x:f>IF(AND(E74="yes",F74="yes",H74="covered"),1,IF(H74="partial",0.5,0))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OTPField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0.967741935483871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90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3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yes</x:t>
        </x:is>
      </x:c>
      <x:c r="F8" s="72" t="inlineStr">
        <x:is>
          <x:t xml:space="preserve">yes</x:t>
        </x:is>
      </x:c>
      <x:c r="G8" s="72" t="inlineStr">
        <x:is>
          <x:t xml:space="preserve">Result</x:t>
        </x:is>
      </x:c>
      <x:c r="H8" s="72" t="inlineStr">
        <x:is>
          <x:t xml:space="preserve">covered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ready for manual test</x:t>
        </x:is>
      </x:c>
      <x:c r="H9" s="86" t="inlineStr">
        <x:is>
          <x:t xml:space="preserve">covered</x:t>
        </x:is>
      </x:c>
      <x:c r="I9" s="84" t="inlineStr">
        <x:is>
          <x:t xml:space="preserve">OTPField playground scenario.</x:t>
        </x:is>
      </x:c>
      <x:c r="J9" s="84" t="n"/>
      <x:c r="K9" s="87" t="n">
        <x:v>0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ready for manual test</x:t>
        </x:is>
      </x:c>
      <x:c r="H10" s="86" t="inlineStr">
        <x:is>
          <x:t xml:space="preserve">covered</x:t>
        </x:is>
      </x:c>
      <x:c r="I10" s="84" t="inlineStr">
        <x:is>
          <x:t xml:space="preserve">OTPField playground scenario.</x:t>
        </x:is>
      </x:c>
      <x:c r="J10" s="84" t="n"/>
      <x:c r="K10" s="87" t="n">
        <x:v>0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OTPField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ready for manual test</x:t>
        </x:is>
      </x:c>
      <x:c r="H11" s="86" t="inlineStr">
        <x:is>
          <x:t xml:space="preserve">covered</x:t>
        </x:is>
      </x:c>
      <x:c r="I11" s="84" t="inlineStr">
        <x:is>
          <x:t xml:space="preserve">OTPField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OTPField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ready for manual test</x:t>
        </x:is>
      </x:c>
      <x:c r="H12" s="86" t="inlineStr">
        <x:is>
          <x:t xml:space="preserve">covered</x:t>
        </x:is>
      </x:c>
      <x:c r="I12" s="84" t="inlineStr">
        <x:is>
          <x:t xml:space="preserve">OTPField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OTPField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ready for manual test</x:t>
        </x:is>
      </x:c>
      <x:c r="H13" s="86" t="inlineStr">
        <x:is>
          <x:t xml:space="preserve">covered</x:t>
        </x:is>
      </x:c>
      <x:c r="I13" s="84" t="inlineStr">
        <x:is>
          <x:t xml:space="preserve">OTPField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OTPField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ready for manual test</x:t>
        </x:is>
      </x:c>
      <x:c r="H14" s="86" t="inlineStr">
        <x:is>
          <x:t xml:space="preserve">covered</x:t>
        </x:is>
      </x:c>
      <x:c r="I14" s="84" t="inlineStr">
        <x:is>
          <x:t xml:space="preserve">OTPField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OTPField</x:t>
        </x:is>
      </x:c>
      <x:c r="D15" s="84" t="inlineStr">
        <x:is>
          <x:t xml:space="preserve">Controlled and uncontrolled full value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ready for manual test</x:t>
        </x:is>
      </x:c>
      <x:c r="H15" s="86" t="inlineStr">
        <x:is>
          <x:t xml:space="preserve">covered</x:t>
        </x:is>
      </x:c>
      <x:c r="I15" s="84" t="inlineStr">
        <x:is>
          <x:t xml:space="preserve">OTPField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OTPField</x:t>
        </x:is>
      </x:c>
      <x:c r="D16" s="84" t="inlineStr">
        <x:is>
          <x:t xml:space="preserve">Auto-generated input cells based on `length`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ready for manual test</x:t>
        </x:is>
      </x:c>
      <x:c r="H16" s="86" t="inlineStr">
        <x:is>
          <x:t xml:space="preserve">covered</x:t>
        </x:is>
      </x:c>
      <x:c r="I16" s="84" t="inlineStr">
        <x:is>
          <x:t xml:space="preserve">OTPField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OTPField</x:t>
        </x:is>
      </x:c>
      <x:c r="D17" s="84" t="inlineStr">
        <x:is>
          <x:t xml:space="preserve">Optional explicit input indexes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ready for manual test</x:t>
        </x:is>
      </x:c>
      <x:c r="H17" s="86" t="inlineStr">
        <x:is>
          <x:t xml:space="preserve">covered</x:t>
        </x:is>
      </x:c>
      <x:c r="I17" s="84" t="inlineStr">
        <x:is>
          <x:t xml:space="preserve">OTPField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OTPField</x:t>
        </x:is>
      </x:c>
      <x:c r="D18" s="84" t="inlineStr">
        <x:is>
          <x:t xml:space="preserve">Roving tab stop so the field behaves as one logical control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ready for manual test</x:t>
        </x:is>
      </x:c>
      <x:c r="H18" s="86" t="inlineStr">
        <x:is>
          <x:t xml:space="preserve">covered</x:t>
        </x:is>
      </x:c>
      <x:c r="I18" s="84" t="inlineStr">
        <x:is>
          <x:t xml:space="preserve">OTPField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30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OTPField</x:t>
        </x:is>
      </x:c>
      <x:c r="D19" s="84" t="inlineStr">
        <x:is>
          <x:t xml:space="preserve">Paste distribution across cells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ready for manual test</x:t>
        </x:is>
      </x:c>
      <x:c r="H19" s="86" t="inlineStr">
        <x:is>
          <x:t xml:space="preserve">covered</x:t>
        </x:is>
      </x:c>
      <x:c r="I19" s="84" t="inlineStr">
        <x:is>
          <x:t xml:space="preserve">OTPField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OTPField</x:t>
        </x:is>
      </x:c>
      <x:c r="D20" s="84" t="inlineStr">
        <x:is>
          <x:t xml:space="preserve">Arrow, Backspace, Delete, Home, and End navigation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ready for manual test</x:t>
        </x:is>
      </x:c>
      <x:c r="H20" s="86" t="inlineStr">
        <x:is>
          <x:t xml:space="preserve">covered</x:t>
        </x:is>
      </x:c>
      <x:c r="I20" s="84" t="inlineStr">
        <x:is>
          <x:t xml:space="preserve">OTPField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OTPField</x:t>
        </x:is>
      </x:c>
      <x:c r="D21" s="84" t="inlineStr">
        <x:is>
          <x:t xml:space="preserve">Numeric, alphabetic, alphanumeric, or custom pattern filtering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ready for manual test</x:t>
        </x:is>
      </x:c>
      <x:c r="H21" s="86" t="inlineStr">
        <x:is>
          <x:t xml:space="preserve">covered</x:t>
        </x:is>
      </x:c>
      <x:c r="I21" s="84" t="inlineStr">
        <x:is>
          <x:t xml:space="preserve">OTPField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Feature</x:t>
        </x:is>
      </x:c>
      <x:c r="C22" s="84" t="inlineStr">
        <x:is>
          <x:t xml:space="preserve">OTPField</x:t>
        </x:is>
      </x:c>
      <x:c r="D22" s="84" t="inlineStr">
        <x:is>
          <x:t xml:space="preserve">Hidden input for native form submission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ready for manual test</x:t>
        </x:is>
      </x:c>
      <x:c r="H22" s="86" t="inlineStr">
        <x:is>
          <x:t xml:space="preserve">covered</x:t>
        </x:is>
      </x:c>
      <x:c r="I22" s="84" t="inlineStr">
        <x:is>
          <x:t xml:space="preserve">OTPField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Anatomy</x:t>
        </x:is>
      </x:c>
      <x:c r="C23" s="84" t="inlineStr">
        <x:is>
          <x:t xml:space="preserve">Root</x:t>
        </x:is>
      </x:c>
      <x:c r="D23" s="84" t="inlineStr">
        <x:is>
          <x:t xml:space="preserve">renders correct part when expected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ready for manual test</x:t>
        </x:is>
      </x:c>
      <x:c r="H23" s="86" t="inlineStr">
        <x:is>
          <x:t xml:space="preserve">covered</x:t>
        </x:is>
      </x:c>
      <x:c r="I23" s="84" t="inlineStr">
        <x:is>
          <x:t xml:space="preserve">OTPField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Anatomy</x:t>
        </x:is>
      </x:c>
      <x:c r="C24" s="84" t="inlineStr">
        <x:is>
          <x:t xml:space="preserve">Root</x:t>
        </x:is>
      </x:c>
      <x:c r="D24" s="84" t="inlineStr">
        <x:is>
          <x:t xml:space="preserve">appears in documented order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ready for manual test</x:t>
        </x:is>
      </x:c>
      <x:c r="H24" s="86" t="inlineStr">
        <x:is>
          <x:t xml:space="preserve">covered</x:t>
        </x:is>
      </x:c>
      <x:c r="I24" s="84" t="inlineStr">
        <x:is>
          <x:t xml:space="preserve">OTPField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30" customHeight="1">
      <x:c r="A25" s="73" t="n">
        <x:v>17</x:v>
      </x:c>
      <x:c r="B25" s="84" t="inlineStr">
        <x:is>
          <x:t xml:space="preserve">Identity</x:t>
        </x:is>
      </x:c>
      <x:c r="C25" s="84" t="inlineStr">
        <x:is>
          <x:t xml:space="preserve">Root</x:t>
        </x:is>
      </x:c>
      <x:c r="D25" s="84" t="inlineStr">
        <x:is>
          <x:t xml:space="preserve">default tag is visible in Anatomy/Inspector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ready for manual test</x:t>
        </x:is>
      </x:c>
      <x:c r="H25" s="86" t="inlineStr">
        <x:is>
          <x:t xml:space="preserve">covered</x:t>
        </x:is>
      </x:c>
      <x:c r="I25" s="84" t="inlineStr">
        <x:is>
          <x:t xml:space="preserve">OTPField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Identity</x:t>
        </x:is>
      </x:c>
      <x:c r="C26" s="84" t="inlineStr">
        <x:is>
          <x:t xml:space="preserve">Root</x:t>
        </x:is>
      </x:c>
      <x:c r="D26" s="84" t="inlineStr">
        <x:is>
          <x:t xml:space="preserve">data-slot is present and correct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ready for manual test</x:t>
        </x:is>
      </x:c>
      <x:c r="H26" s="86" t="inlineStr">
        <x:is>
          <x:t xml:space="preserve">covered</x:t>
        </x:is>
      </x:c>
      <x:c r="I26" s="84" t="inlineStr">
        <x:is>
          <x:t xml:space="preserve">OTPField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Props</x:t>
        </x:is>
      </x:c>
      <x:c r="C27" s="84" t="inlineStr">
        <x:is>
          <x:t xml:space="preserve">Root</x:t>
        </x:is>
      </x:c>
      <x:c r="D27" s="84" t="inlineStr">
        <x:is>
          <x:t xml:space="preserve">non-Atom native props pass through with data-prop-check marker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ready for manual test</x:t>
        </x:is>
      </x:c>
      <x:c r="H27" s="86" t="inlineStr">
        <x:is>
          <x:t xml:space="preserve">covered</x:t>
        </x:is>
      </x:c>
      <x:c r="I27" s="84" t="inlineStr">
        <x:is>
          <x:t xml:space="preserve">OTPField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Refs</x:t>
        </x:is>
      </x:c>
      <x:c r="C28" s="84" t="inlineStr">
        <x:is>
          <x:t xml:space="preserve">Root</x:t>
        </x:is>
      </x:c>
      <x:c r="D28" s="84" t="inlineStr">
        <x:is>
          <x:t xml:space="preserve">consumer ref receives the rendered element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ready for manual test</x:t>
        </x:is>
      </x:c>
      <x:c r="H28" s="86" t="inlineStr">
        <x:is>
          <x:t xml:space="preserve">covered</x:t>
        </x:is>
      </x:c>
      <x:c r="I28" s="84" t="inlineStr">
        <x:is>
          <x:t xml:space="preserve">OTPField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value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ready for manual test</x:t>
        </x:is>
      </x:c>
      <x:c r="H29" s="86" t="inlineStr">
        <x:is>
          <x:t xml:space="preserve">covered</x:t>
        </x:is>
      </x:c>
      <x:c r="I29" s="84" t="inlineStr">
        <x:is>
          <x:t xml:space="preserve">OTPField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defaultValue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ready for manual test</x:t>
        </x:is>
      </x:c>
      <x:c r="H30" s="86" t="inlineStr">
        <x:is>
          <x:t xml:space="preserve">covered</x:t>
        </x:is>
      </x:c>
      <x:c r="I30" s="84" t="inlineStr">
        <x:is>
          <x:t xml:space="preserve">OTPField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onValueChange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ready for manual test</x:t>
        </x:is>
      </x:c>
      <x:c r="H31" s="86" t="inlineStr">
        <x:is>
          <x:t xml:space="preserve">covered</x:t>
        </x:is>
      </x:c>
      <x:c r="I31" s="84" t="inlineStr">
        <x:is>
          <x:t xml:space="preserve">OTPField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length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ready for manual test</x:t>
        </x:is>
      </x:c>
      <x:c r="H32" s="86" t="inlineStr">
        <x:is>
          <x:t xml:space="preserve">covered</x:t>
        </x:is>
      </x:c>
      <x:c r="I32" s="84" t="inlineStr">
        <x:is>
          <x:t xml:space="preserve">OTPField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type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ready for manual test</x:t>
        </x:is>
      </x:c>
      <x:c r="H33" s="86" t="inlineStr">
        <x:is>
          <x:t xml:space="preserve">covered</x:t>
        </x:is>
      </x:c>
      <x:c r="I33" s="84" t="inlineStr">
        <x:is>
          <x:t xml:space="preserve">OTPField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pattern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ready for manual test</x:t>
        </x:is>
      </x:c>
      <x:c r="H34" s="86" t="inlineStr">
        <x:is>
          <x:t xml:space="preserve">covered</x:t>
        </x:is>
      </x:c>
      <x:c r="I34" s="84" t="inlineStr">
        <x:is>
          <x:t xml:space="preserve">OTPField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name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ready for manual test</x:t>
        </x:is>
      </x:c>
      <x:c r="H35" s="86" t="inlineStr">
        <x:is>
          <x:t xml:space="preserve">covered</x:t>
        </x:is>
      </x:c>
      <x:c r="I35" s="84" t="inlineStr">
        <x:is>
          <x:t xml:space="preserve">OTPField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form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ready for manual test</x:t>
        </x:is>
      </x:c>
      <x:c r="H36" s="86" t="inlineStr">
        <x:is>
          <x:t xml:space="preserve">covered</x:t>
        </x:is>
      </x:c>
      <x:c r="I36" s="84" t="inlineStr">
        <x:is>
          <x:t xml:space="preserve">OTPField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Root</x:t>
        </x:is>
      </x:c>
      <x:c r="D37" s="84" t="inlineStr">
        <x:is>
          <x:t xml:space="preserve">autoFocus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ready for manual test</x:t>
        </x:is>
      </x:c>
      <x:c r="H37" s="86" t="inlineStr">
        <x:is>
          <x:t xml:space="preserve">covered</x:t>
        </x:is>
      </x:c>
      <x:c r="I37" s="84" t="inlineStr">
        <x:is>
          <x:t xml:space="preserve">OTPField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State</x:t>
        </x:is>
      </x:c>
      <x:c r="C38" s="84" t="inlineStr">
        <x:is>
          <x:t xml:space="preserve">Root</x:t>
        </x:is>
      </x:c>
      <x:c r="D38" s="84" t="inlineStr">
        <x:is>
          <x:t xml:space="preserve">disabled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ready for manual test</x:t>
        </x:is>
      </x:c>
      <x:c r="H38" s="86" t="inlineStr">
        <x:is>
          <x:t xml:space="preserve">covered</x:t>
        </x:is>
      </x:c>
      <x:c r="I38" s="84" t="inlineStr">
        <x:is>
          <x:t xml:space="preserve">OTPField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State</x:t>
        </x:is>
      </x:c>
      <x:c r="C39" s="84" t="inlineStr">
        <x:is>
          <x:t xml:space="preserve">Root</x:t>
        </x:is>
      </x:c>
      <x:c r="D39" s="84" t="inlineStr">
        <x:is>
          <x:t xml:space="preserve">readOnly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ready for manual test</x:t>
        </x:is>
      </x:c>
      <x:c r="H39" s="86" t="inlineStr">
        <x:is>
          <x:t xml:space="preserve">covered</x:t>
        </x:is>
      </x:c>
      <x:c r="I39" s="84" t="inlineStr">
        <x:is>
          <x:t xml:space="preserve">OTPField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State</x:t>
        </x:is>
      </x:c>
      <x:c r="C40" s="84" t="inlineStr">
        <x:is>
          <x:t xml:space="preserve">Root</x:t>
        </x:is>
      </x:c>
      <x:c r="D40" s="84" t="inlineStr">
        <x:is>
          <x:t xml:space="preserve">required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ready for manual test</x:t>
        </x:is>
      </x:c>
      <x:c r="H40" s="86" t="inlineStr">
        <x:is>
          <x:t xml:space="preserve">covered</x:t>
        </x:is>
      </x:c>
      <x:c r="I40" s="84" t="inlineStr">
        <x:is>
          <x:t xml:space="preserve">OTPField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Root</x:t>
        </x:is>
      </x:c>
      <x:c r="D41" s="84" t="inlineStr">
        <x:is>
          <x:t xml:space="preserve">invalid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ready for manual test</x:t>
        </x:is>
      </x:c>
      <x:c r="H41" s="86" t="inlineStr">
        <x:is>
          <x:t xml:space="preserve">covered</x:t>
        </x:is>
      </x:c>
      <x:c r="I41" s="84" t="inlineStr">
        <x:is>
          <x:t xml:space="preserve">OTPField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Accessibility</x:t>
        </x:is>
      </x:c>
      <x:c r="C42" s="84" t="inlineStr">
        <x:is>
          <x:t xml:space="preserve">Root</x:t>
        </x:is>
      </x:c>
      <x:c r="D42" s="84" t="inlineStr">
        <x:is>
          <x:t xml:space="preserve">aria-label prop behavior</x:t>
        </x:is>
      </x:c>
      <x:c r="E42" s="76" t="inlineStr">
        <x:is>
          <x:t xml:space="preserve">yes</x:t>
        </x:is>
      </x:c>
      <x:c r="F42" s="85" t="inlineStr">
        <x:is>
          <x:t xml:space="preserve">no</x:t>
        </x:is>
      </x:c>
      <x:c r="G42" s="73" t="inlineStr">
        <x:is>
          <x:t xml:space="preserve">automated tests pass; manual pending</x:t>
        </x:is>
      </x:c>
      <x:c r="H42" s="86" t="inlineStr">
        <x:is>
          <x:t xml:space="preserve">untested</x:t>
        </x:is>
      </x:c>
      <x:c r="I42" s="84" t="inlineStr">
        <x:is>
          <x:t xml:space="preserve">Form &gt; Control: Foundation plus the component scenario and automated package tests.</x:t>
        </x:is>
      </x:c>
      <x:c r="J42" s="84" t="inlineStr">
        <x:is>
          <x:t xml:space="preserve">Run the form-foundation manual protocol.</x:t>
        </x:is>
      </x:c>
      <x:c r="K42" s="87" t="n">
        <x:f>IF(AND(E42="yes",F42="yes",H42="covered"),1,IF(H42="partial",0.5,0))</x:f>
        <x:v>0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Root</x:t>
        </x:is>
      </x:c>
      <x:c r="D43" s="84" t="inlineStr">
        <x:is>
          <x:t xml:space="preserve">data-slot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ready for manual test</x:t>
        </x:is>
      </x:c>
      <x:c r="H43" s="86" t="inlineStr">
        <x:is>
          <x:t xml:space="preserve">covered</x:t>
        </x:is>
      </x:c>
      <x:c r="I43" s="84" t="inlineStr">
        <x:is>
          <x:t xml:space="preserve">OTPField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Root</x:t>
        </x:is>
      </x:c>
      <x:c r="D44" s="84" t="inlineStr">
        <x:is>
          <x:t xml:space="preserve">[data-slot]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ready for manual test</x:t>
        </x:is>
      </x:c>
      <x:c r="H44" s="86" t="inlineStr">
        <x:is>
          <x:t xml:space="preserve">covered</x:t>
        </x:is>
      </x:c>
      <x:c r="I44" s="84" t="inlineStr">
        <x:is>
          <x:t xml:space="preserve">OTPField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Public API</x:t>
        </x:is>
      </x:c>
      <x:c r="C45" s="84" t="inlineStr">
        <x:is>
          <x:t xml:space="preserve">Root</x:t>
        </x:is>
      </x:c>
      <x:c r="D45" s="84" t="inlineStr">
        <x:is>
          <x:t xml:space="preserve">[data-filled]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ready for manual test</x:t>
        </x:is>
      </x:c>
      <x:c r="H45" s="86" t="inlineStr">
        <x:is>
          <x:t xml:space="preserve">covered</x:t>
        </x:is>
      </x:c>
      <x:c r="I45" s="84" t="inlineStr">
        <x:is>
          <x:t xml:space="preserve">OTPField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State</x:t>
        </x:is>
      </x:c>
      <x:c r="C46" s="84" t="inlineStr">
        <x:is>
          <x:t xml:space="preserve">Root</x:t>
        </x:is>
      </x:c>
      <x:c r="D46" s="84" t="inlineStr">
        <x:is>
          <x:t xml:space="preserve">[data-disabled]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ready for manual test</x:t>
        </x:is>
      </x:c>
      <x:c r="H46" s="86" t="inlineStr">
        <x:is>
          <x:t xml:space="preserve">covered</x:t>
        </x:is>
      </x:c>
      <x:c r="I46" s="84" t="inlineStr">
        <x:is>
          <x:t xml:space="preserve">OTPField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State</x:t>
        </x:is>
      </x:c>
      <x:c r="C47" s="84" t="inlineStr">
        <x:is>
          <x:t xml:space="preserve">Root</x:t>
        </x:is>
      </x:c>
      <x:c r="D47" s="84" t="inlineStr">
        <x:is>
          <x:t xml:space="preserve">[data-readonly]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ready for manual test</x:t>
        </x:is>
      </x:c>
      <x:c r="H47" s="86" t="inlineStr">
        <x:is>
          <x:t xml:space="preserve">covered</x:t>
        </x:is>
      </x:c>
      <x:c r="I47" s="84" t="inlineStr">
        <x:is>
          <x:t xml:space="preserve">OTPField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State</x:t>
        </x:is>
      </x:c>
      <x:c r="C48" s="84" t="inlineStr">
        <x:is>
          <x:t xml:space="preserve">Root</x:t>
        </x:is>
      </x:c>
      <x:c r="D48" s="84" t="inlineStr">
        <x:is>
          <x:t xml:space="preserve">[data-required]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ready for manual test</x:t>
        </x:is>
      </x:c>
      <x:c r="H48" s="86" t="inlineStr">
        <x:is>
          <x:t xml:space="preserve">covered</x:t>
        </x:is>
      </x:c>
      <x:c r="I48" s="84" t="inlineStr">
        <x:is>
          <x:t xml:space="preserve">OTPField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State</x:t>
        </x:is>
      </x:c>
      <x:c r="C49" s="84" t="inlineStr">
        <x:is>
          <x:t xml:space="preserve">Root</x:t>
        </x:is>
      </x:c>
      <x:c r="D49" s="84" t="inlineStr">
        <x:is>
          <x:t xml:space="preserve">[data-invalid]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ready for manual test</x:t>
        </x:is>
      </x:c>
      <x:c r="H49" s="86" t="inlineStr">
        <x:is>
          <x:t xml:space="preserve">covered</x:t>
        </x:is>
      </x:c>
      <x:c r="I49" s="84" t="inlineStr">
        <x:is>
          <x:t xml:space="preserve">OTPField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Anatomy</x:t>
        </x:is>
      </x:c>
      <x:c r="C50" s="84" t="inlineStr">
        <x:is>
          <x:t xml:space="preserve">Input</x:t>
        </x:is>
      </x:c>
      <x:c r="D50" s="84" t="inlineStr">
        <x:is>
          <x:t xml:space="preserve">renders correct part when expected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ready for manual test</x:t>
        </x:is>
      </x:c>
      <x:c r="H50" s="86" t="inlineStr">
        <x:is>
          <x:t xml:space="preserve">covered</x:t>
        </x:is>
      </x:c>
      <x:c r="I50" s="84" t="inlineStr">
        <x:is>
          <x:t xml:space="preserve">OTPField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Anatomy</x:t>
        </x:is>
      </x:c>
      <x:c r="C51" s="84" t="inlineStr">
        <x:is>
          <x:t xml:space="preserve">Input</x:t>
        </x:is>
      </x:c>
      <x:c r="D51" s="84" t="inlineStr">
        <x:is>
          <x:t xml:space="preserve">appears in documented order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ready for manual test</x:t>
        </x:is>
      </x:c>
      <x:c r="H51" s="86" t="inlineStr">
        <x:is>
          <x:t xml:space="preserve">covered</x:t>
        </x:is>
      </x:c>
      <x:c r="I51" s="84" t="inlineStr">
        <x:is>
          <x:t xml:space="preserve">OTPField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30" customHeight="1">
      <x:c r="A52" s="73" t="n">
        <x:v>44</x:v>
      </x:c>
      <x:c r="B52" s="84" t="inlineStr">
        <x:is>
          <x:t xml:space="preserve">Identity</x:t>
        </x:is>
      </x:c>
      <x:c r="C52" s="84" t="inlineStr">
        <x:is>
          <x:t xml:space="preserve">Input</x:t>
        </x:is>
      </x:c>
      <x:c r="D52" s="84" t="inlineStr">
        <x:is>
          <x:t xml:space="preserve">default tag is visible in Anatomy/Inspector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ready for manual test</x:t>
        </x:is>
      </x:c>
      <x:c r="H52" s="86" t="inlineStr">
        <x:is>
          <x:t xml:space="preserve">covered</x:t>
        </x:is>
      </x:c>
      <x:c r="I52" s="84" t="inlineStr">
        <x:is>
          <x:t xml:space="preserve">OTPField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Identity</x:t>
        </x:is>
      </x:c>
      <x:c r="C53" s="84" t="inlineStr">
        <x:is>
          <x:t xml:space="preserve">Input</x:t>
        </x:is>
      </x:c>
      <x:c r="D53" s="84" t="inlineStr">
        <x:is>
          <x:t xml:space="preserve">data-slot is present and correct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ready for manual test</x:t>
        </x:is>
      </x:c>
      <x:c r="H53" s="86" t="inlineStr">
        <x:is>
          <x:t xml:space="preserve">covered</x:t>
        </x:is>
      </x:c>
      <x:c r="I53" s="84" t="inlineStr">
        <x:is>
          <x:t xml:space="preserve">OTPField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Props</x:t>
        </x:is>
      </x:c>
      <x:c r="C54" s="84" t="inlineStr">
        <x:is>
          <x:t xml:space="preserve">Input</x:t>
        </x:is>
      </x:c>
      <x:c r="D54" s="84" t="inlineStr">
        <x:is>
          <x:t xml:space="preserve">non-Atom native props pass through with data-prop-check marker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ready for manual test</x:t>
        </x:is>
      </x:c>
      <x:c r="H54" s="86" t="inlineStr">
        <x:is>
          <x:t xml:space="preserve">covered</x:t>
        </x:is>
      </x:c>
      <x:c r="I54" s="84" t="inlineStr">
        <x:is>
          <x:t xml:space="preserve">OTPField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Refs</x:t>
        </x:is>
      </x:c>
      <x:c r="C55" s="84" t="inlineStr">
        <x:is>
          <x:t xml:space="preserve">Input</x:t>
        </x:is>
      </x:c>
      <x:c r="D55" s="84" t="inlineStr">
        <x:is>
          <x:t xml:space="preserve">consumer ref receives the rendered element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ready for manual test</x:t>
        </x:is>
      </x:c>
      <x:c r="H55" s="86" t="inlineStr">
        <x:is>
          <x:t xml:space="preserve">covered</x:t>
        </x:is>
      </x:c>
      <x:c r="I55" s="84" t="inlineStr">
        <x:is>
          <x:t xml:space="preserve">OTPField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Input</x:t>
        </x:is>
      </x:c>
      <x:c r="D56" s="84" t="inlineStr">
        <x:is>
          <x:t xml:space="preserve">index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ready for manual test</x:t>
        </x:is>
      </x:c>
      <x:c r="H56" s="86" t="inlineStr">
        <x:is>
          <x:t xml:space="preserve">covered</x:t>
        </x:is>
      </x:c>
      <x:c r="I56" s="84" t="inlineStr">
        <x:is>
          <x:t xml:space="preserve">OTPField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Accessibility</x:t>
        </x:is>
      </x:c>
      <x:c r="C57" s="84" t="inlineStr">
        <x:is>
          <x:t xml:space="preserve">Input</x:t>
        </x:is>
      </x:c>
      <x:c r="D57" s="84" t="inlineStr">
        <x:is>
          <x:t xml:space="preserve">aria-label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ready for manual test</x:t>
        </x:is>
      </x:c>
      <x:c r="H57" s="86" t="inlineStr">
        <x:is>
          <x:t xml:space="preserve">covered</x:t>
        </x:is>
      </x:c>
      <x:c r="I57" s="84" t="inlineStr">
        <x:is>
          <x:t xml:space="preserve">OTPField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Public API</x:t>
        </x:is>
      </x:c>
      <x:c r="C58" s="84" t="inlineStr">
        <x:is>
          <x:t xml:space="preserve">Input</x:t>
        </x:is>
      </x:c>
      <x:c r="D58" s="84" t="inlineStr">
        <x:is>
          <x:t xml:space="preserve">data-slot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ready for manual test</x:t>
        </x:is>
      </x:c>
      <x:c r="H58" s="86" t="inlineStr">
        <x:is>
          <x:t xml:space="preserve">covered</x:t>
        </x:is>
      </x:c>
      <x:c r="I58" s="84" t="inlineStr">
        <x:is>
          <x:t xml:space="preserve">OTPField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Public API</x:t>
        </x:is>
      </x:c>
      <x:c r="C59" s="84" t="inlineStr">
        <x:is>
          <x:t xml:space="preserve">Input</x:t>
        </x:is>
      </x:c>
      <x:c r="D59" s="84" t="inlineStr">
        <x:is>
          <x:t xml:space="preserve">[data-slot] prop behavior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ready for manual test</x:t>
        </x:is>
      </x:c>
      <x:c r="H59" s="86" t="inlineStr">
        <x:is>
          <x:t xml:space="preserve">covered</x:t>
        </x:is>
      </x:c>
      <x:c r="I59" s="84" t="inlineStr">
        <x:is>
          <x:t xml:space="preserve">OTPField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Public API</x:t>
        </x:is>
      </x:c>
      <x:c r="C60" s="84" t="inlineStr">
        <x:is>
          <x:t xml:space="preserve">Input</x:t>
        </x:is>
      </x:c>
      <x:c r="D60" s="84" t="inlineStr">
        <x:is>
          <x:t xml:space="preserve">[data-index] prop behavior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ready for manual test</x:t>
        </x:is>
      </x:c>
      <x:c r="H60" s="86" t="inlineStr">
        <x:is>
          <x:t xml:space="preserve">covered</x:t>
        </x:is>
      </x:c>
      <x:c r="I60" s="84" t="inlineStr">
        <x:is>
          <x:t xml:space="preserve">OTPField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Public API</x:t>
        </x:is>
      </x:c>
      <x:c r="C61" s="84" t="inlineStr">
        <x:is>
          <x:t xml:space="preserve">Input</x:t>
        </x:is>
      </x:c>
      <x:c r="D61" s="84" t="inlineStr">
        <x:is>
          <x:t xml:space="preserve">[data-filled]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ready for manual test</x:t>
        </x:is>
      </x:c>
      <x:c r="H61" s="86" t="inlineStr">
        <x:is>
          <x:t xml:space="preserve">covered</x:t>
        </x:is>
      </x:c>
      <x:c r="I61" s="84" t="inlineStr">
        <x:is>
          <x:t xml:space="preserve">OTPField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Input</x:t>
        </x:is>
      </x:c>
      <x:c r="D62" s="84" t="inlineStr">
        <x:is>
          <x:t xml:space="preserve">[data-active]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ready for manual test</x:t>
        </x:is>
      </x:c>
      <x:c r="H62" s="86" t="inlineStr">
        <x:is>
          <x:t xml:space="preserve">covered</x:t>
        </x:is>
      </x:c>
      <x:c r="I62" s="84" t="inlineStr">
        <x:is>
          <x:t xml:space="preserve">OTPField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State</x:t>
        </x:is>
      </x:c>
      <x:c r="C63" s="84" t="inlineStr">
        <x:is>
          <x:t xml:space="preserve">Input</x:t>
        </x:is>
      </x:c>
      <x:c r="D63" s="84" t="inlineStr">
        <x:is>
          <x:t xml:space="preserve">[data-disabled]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ready for manual test</x:t>
        </x:is>
      </x:c>
      <x:c r="H63" s="86" t="inlineStr">
        <x:is>
          <x:t xml:space="preserve">covered</x:t>
        </x:is>
      </x:c>
      <x:c r="I63" s="84" t="inlineStr">
        <x:is>
          <x:t xml:space="preserve">OTPField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State</x:t>
        </x:is>
      </x:c>
      <x:c r="C64" s="84" t="inlineStr">
        <x:is>
          <x:t xml:space="preserve">Input</x:t>
        </x:is>
      </x:c>
      <x:c r="D64" s="84" t="inlineStr">
        <x:is>
          <x:t xml:space="preserve">[data-readonly]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ready for manual test</x:t>
        </x:is>
      </x:c>
      <x:c r="H64" s="86" t="inlineStr">
        <x:is>
          <x:t xml:space="preserve">covered</x:t>
        </x:is>
      </x:c>
      <x:c r="I64" s="84" t="inlineStr">
        <x:is>
          <x:t xml:space="preserve">OTPField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State</x:t>
        </x:is>
      </x:c>
      <x:c r="C65" s="84" t="inlineStr">
        <x:is>
          <x:t xml:space="preserve">Input</x:t>
        </x:is>
      </x:c>
      <x:c r="D65" s="84" t="inlineStr">
        <x:is>
          <x:t xml:space="preserve">[data-invalid]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ready for manual test</x:t>
        </x:is>
      </x:c>
      <x:c r="H65" s="86" t="inlineStr">
        <x:is>
          <x:t xml:space="preserve">covered</x:t>
        </x:is>
      </x:c>
      <x:c r="I65" s="84" t="inlineStr">
        <x:is>
          <x:t xml:space="preserve">OTPField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Anatomy</x:t>
        </x:is>
      </x:c>
      <x:c r="C66" s="84" t="inlineStr">
        <x:is>
          <x:t xml:space="preserve">Separator</x:t>
        </x:is>
      </x:c>
      <x:c r="D66" s="84" t="inlineStr">
        <x:is>
          <x:t xml:space="preserve">renders correct part when expected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ready for manual test</x:t>
        </x:is>
      </x:c>
      <x:c r="H66" s="86" t="inlineStr">
        <x:is>
          <x:t xml:space="preserve">covered</x:t>
        </x:is>
      </x:c>
      <x:c r="I66" s="84" t="inlineStr">
        <x:is>
          <x:t xml:space="preserve">OTPField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Anatomy</x:t>
        </x:is>
      </x:c>
      <x:c r="C67" s="84" t="inlineStr">
        <x:is>
          <x:t xml:space="preserve">Separator</x:t>
        </x:is>
      </x:c>
      <x:c r="D67" s="84" t="inlineStr">
        <x:is>
          <x:t xml:space="preserve">appears in documented order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ready for manual test</x:t>
        </x:is>
      </x:c>
      <x:c r="H67" s="86" t="inlineStr">
        <x:is>
          <x:t xml:space="preserve">covered</x:t>
        </x:is>
      </x:c>
      <x:c r="I67" s="84" t="inlineStr">
        <x:is>
          <x:t xml:space="preserve">OTPField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30" customHeight="1">
      <x:c r="A68" s="73" t="n">
        <x:v>60</x:v>
      </x:c>
      <x:c r="B68" s="84" t="inlineStr">
        <x:is>
          <x:t xml:space="preserve">Identity</x:t>
        </x:is>
      </x:c>
      <x:c r="C68" s="84" t="inlineStr">
        <x:is>
          <x:t xml:space="preserve">Separator</x:t>
        </x:is>
      </x:c>
      <x:c r="D68" s="84" t="inlineStr">
        <x:is>
          <x:t xml:space="preserve">default tag is visible in Anatomy/Inspector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ready for manual test</x:t>
        </x:is>
      </x:c>
      <x:c r="H68" s="86" t="inlineStr">
        <x:is>
          <x:t xml:space="preserve">covered</x:t>
        </x:is>
      </x:c>
      <x:c r="I68" s="84" t="inlineStr">
        <x:is>
          <x:t xml:space="preserve">OTPField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Identity</x:t>
        </x:is>
      </x:c>
      <x:c r="C69" s="84" t="inlineStr">
        <x:is>
          <x:t xml:space="preserve">Separator</x:t>
        </x:is>
      </x:c>
      <x:c r="D69" s="84" t="inlineStr">
        <x:is>
          <x:t xml:space="preserve">data-slot is present and correct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ready for manual test</x:t>
        </x:is>
      </x:c>
      <x:c r="H69" s="86" t="inlineStr">
        <x:is>
          <x:t xml:space="preserve">covered</x:t>
        </x:is>
      </x:c>
      <x:c r="I69" s="84" t="inlineStr">
        <x:is>
          <x:t xml:space="preserve">OTPField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Props</x:t>
        </x:is>
      </x:c>
      <x:c r="C70" s="84" t="inlineStr">
        <x:is>
          <x:t xml:space="preserve">Separator</x:t>
        </x:is>
      </x:c>
      <x:c r="D70" s="84" t="inlineStr">
        <x:is>
          <x:t xml:space="preserve">non-Atom native props pass through with data-prop-check marker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ready for manual test</x:t>
        </x:is>
      </x:c>
      <x:c r="H70" s="86" t="inlineStr">
        <x:is>
          <x:t xml:space="preserve">covered</x:t>
        </x:is>
      </x:c>
      <x:c r="I70" s="84" t="inlineStr">
        <x:is>
          <x:t xml:space="preserve">OTPField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Refs</x:t>
        </x:is>
      </x:c>
      <x:c r="C71" s="84" t="inlineStr">
        <x:is>
          <x:t xml:space="preserve">Separator</x:t>
        </x:is>
      </x:c>
      <x:c r="D71" s="84" t="inlineStr">
        <x:is>
          <x:t xml:space="preserve">consumer ref receives the rendered element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ready for manual test</x:t>
        </x:is>
      </x:c>
      <x:c r="H71" s="86" t="inlineStr">
        <x:is>
          <x:t xml:space="preserve">covered</x:t>
        </x:is>
      </x:c>
      <x:c r="I71" s="84" t="inlineStr">
        <x:is>
          <x:t xml:space="preserve">OTPField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Public API</x:t>
        </x:is>
      </x:c>
      <x:c r="C72" s="84" t="inlineStr">
        <x:is>
          <x:t xml:space="preserve">Separator</x:t>
        </x:is>
      </x:c>
      <x:c r="D72" s="84" t="inlineStr">
        <x:is>
          <x:t xml:space="preserve">data-slot prop behavior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ready for manual test</x:t>
        </x:is>
      </x:c>
      <x:c r="H72" s="86" t="inlineStr">
        <x:is>
          <x:t xml:space="preserve">covered</x:t>
        </x:is>
      </x:c>
      <x:c r="I72" s="84" t="inlineStr">
        <x:is>
          <x:t xml:space="preserve">OTPField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Public API</x:t>
        </x:is>
      </x:c>
      <x:c r="C73" s="84" t="inlineStr">
        <x:is>
          <x:t xml:space="preserve">Separator</x:t>
        </x:is>
      </x:c>
      <x:c r="D73" s="84" t="inlineStr">
        <x:is>
          <x:t xml:space="preserve">[data-slot] prop behavior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ready for manual test</x:t>
        </x:is>
      </x:c>
      <x:c r="H73" s="86" t="inlineStr">
        <x:is>
          <x:t xml:space="preserve">covered</x:t>
        </x:is>
      </x:c>
      <x:c r="I73" s="84" t="inlineStr">
        <x:is>
          <x:t xml:space="preserve">OTPField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30" customHeight="1">
      <x:c r="A74" s="73" t="n">
        <x:v>66</x:v>
      </x:c>
      <x:c r="B74" s="84" t="inlineStr">
        <x:is>
          <x:t xml:space="preserve">ARIA</x:t>
        </x:is>
      </x:c>
      <x:c r="C74" s="84" t="inlineStr">
        <x:is>
          <x:t xml:space="preserve">Live DOM</x:t>
        </x:is>
      </x:c>
      <x:c r="D74" s="84" t="inlineStr">
        <x:is>
          <x:t xml:space="preserve">aria-describedby is present at the correct time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ready for manual test</x:t>
        </x:is>
      </x:c>
      <x:c r="H74" s="86" t="inlineStr">
        <x:is>
          <x:t xml:space="preserve">covered</x:t>
        </x:is>
      </x:c>
      <x:c r="I74" s="84" t="inlineStr">
        <x:is>
          <x:t xml:space="preserve">OTPField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ARIA</x:t>
        </x:is>
      </x:c>
      <x:c r="C75" s="84" t="inlineStr">
        <x:is>
          <x:t xml:space="preserve">Live DOM</x:t>
        </x:is>
      </x:c>
      <x:c r="D75" s="84" t="inlineStr">
        <x:is>
          <x:t xml:space="preserve">aria-hidden is present at the correct time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ready for manual test</x:t>
        </x:is>
      </x:c>
      <x:c r="H75" s="86" t="inlineStr">
        <x:is>
          <x:t xml:space="preserve">covered</x:t>
        </x:is>
      </x:c>
      <x:c r="I75" s="84" t="inlineStr">
        <x:is>
          <x:t xml:space="preserve">OTPField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ARIA</x:t>
        </x:is>
      </x:c>
      <x:c r="C76" s="84" t="inlineStr">
        <x:is>
          <x:t xml:space="preserve">Live DOM</x:t>
        </x:is>
      </x:c>
      <x:c r="D76" s="84" t="inlineStr">
        <x:is>
          <x:t xml:space="preserve">aria-invalid is present at the correct time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ready for manual test</x:t>
        </x:is>
      </x:c>
      <x:c r="H76" s="86" t="inlineStr">
        <x:is>
          <x:t xml:space="preserve">covered</x:t>
        </x:is>
      </x:c>
      <x:c r="I76" s="84" t="inlineStr">
        <x:is>
          <x:t xml:space="preserve">OTPField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ARIA</x:t>
        </x:is>
      </x:c>
      <x:c r="C77" s="84" t="inlineStr">
        <x:is>
          <x:t xml:space="preserve">Live DOM</x:t>
        </x:is>
      </x:c>
      <x:c r="D77" s="84" t="inlineStr">
        <x:is>
          <x:t xml:space="preserve">aria-label is present at the correct time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ready for manual test</x:t>
        </x:is>
      </x:c>
      <x:c r="H77" s="86" t="inlineStr">
        <x:is>
          <x:t xml:space="preserve">covered</x:t>
        </x:is>
      </x:c>
      <x:c r="I77" s="84" t="inlineStr">
        <x:is>
          <x:t xml:space="preserve">OTPField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ARIA</x:t>
        </x:is>
      </x:c>
      <x:c r="C78" s="84" t="inlineStr">
        <x:is>
          <x:t xml:space="preserve">Live DOM</x:t>
        </x:is>
      </x:c>
      <x:c r="D78" s="84" t="inlineStr">
        <x:is>
          <x:t xml:space="preserve">aria-labelledby is present at the correct time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ready for manual test</x:t>
        </x:is>
      </x:c>
      <x:c r="H78" s="86" t="inlineStr">
        <x:is>
          <x:t xml:space="preserve">covered</x:t>
        </x:is>
      </x:c>
      <x:c r="I78" s="84" t="inlineStr">
        <x:is>
          <x:t xml:space="preserve">OTPField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ARIA</x:t>
        </x:is>
      </x:c>
      <x:c r="C79" s="84" t="inlineStr">
        <x:is>
          <x:t xml:space="preserve">Live DOM</x:t>
        </x:is>
      </x:c>
      <x:c r="D79" s="84" t="inlineStr">
        <x:is>
          <x:t xml:space="preserve">aria-required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ready for manual test</x:t>
        </x:is>
      </x:c>
      <x:c r="H79" s="86" t="inlineStr">
        <x:is>
          <x:t xml:space="preserve">covered</x:t>
        </x:is>
      </x:c>
      <x:c r="I79" s="84" t="inlineStr">
        <x:is>
          <x:t xml:space="preserve">OTPField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30" customHeight="1">
      <x:c r="A80" s="73" t="n">
        <x:v>72</x:v>
      </x:c>
      <x:c r="B80" s="84" t="inlineStr">
        <x:is>
          <x:t xml:space="preserve">Data</x:t>
        </x:is>
      </x:c>
      <x:c r="C80" s="84" t="inlineStr">
        <x:is>
          <x:t xml:space="preserve">Live DOM</x:t>
        </x:is>
      </x:c>
      <x:c r="D80" s="84" t="inlineStr">
        <x:is>
          <x:t xml:space="preserve">data-disabled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ready for manual test</x:t>
        </x:is>
      </x:c>
      <x:c r="H80" s="86" t="inlineStr">
        <x:is>
          <x:t xml:space="preserve">covered</x:t>
        </x:is>
      </x:c>
      <x:c r="I80" s="84" t="inlineStr">
        <x:is>
          <x:t xml:space="preserve">OTPField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Data</x:t>
        </x:is>
      </x:c>
      <x:c r="C81" s="84" t="inlineStr">
        <x:is>
          <x:t xml:space="preserve">Live DOM</x:t>
        </x:is>
      </x:c>
      <x:c r="D81" s="84" t="inlineStr">
        <x:is>
          <x:t xml:space="preserve">data-filled is present at the correct time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ready for manual test</x:t>
        </x:is>
      </x:c>
      <x:c r="H81" s="86" t="inlineStr">
        <x:is>
          <x:t xml:space="preserve">covered</x:t>
        </x:is>
      </x:c>
      <x:c r="I81" s="84" t="inlineStr">
        <x:is>
          <x:t xml:space="preserve">OTPField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Data</x:t>
        </x:is>
      </x:c>
      <x:c r="C82" s="84" t="inlineStr">
        <x:is>
          <x:t xml:space="preserve">Live DOM</x:t>
        </x:is>
      </x:c>
      <x:c r="D82" s="84" t="inlineStr">
        <x:is>
          <x:t xml:space="preserve">data-index is present at the correct time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ready for manual test</x:t>
        </x:is>
      </x:c>
      <x:c r="H82" s="86" t="inlineStr">
        <x:is>
          <x:t xml:space="preserve">covered</x:t>
        </x:is>
      </x:c>
      <x:c r="I82" s="84" t="inlineStr">
        <x:is>
          <x:t xml:space="preserve">OTPField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Data</x:t>
        </x:is>
      </x:c>
      <x:c r="C83" s="84" t="inlineStr">
        <x:is>
          <x:t xml:space="preserve">Live DOM</x:t>
        </x:is>
      </x:c>
      <x:c r="D83" s="84" t="inlineStr">
        <x:is>
          <x:t xml:space="preserve">data-invalid is present at the correct time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ready for manual test</x:t>
        </x:is>
      </x:c>
      <x:c r="H83" s="86" t="inlineStr">
        <x:is>
          <x:t xml:space="preserve">covered</x:t>
        </x:is>
      </x:c>
      <x:c r="I83" s="84" t="inlineStr">
        <x:is>
          <x:t xml:space="preserve">OTPField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Data</x:t>
        </x:is>
      </x:c>
      <x:c r="C84" s="84" t="inlineStr">
        <x:is>
          <x:t xml:space="preserve">Live DOM</x:t>
        </x:is>
      </x:c>
      <x:c r="D84" s="84" t="inlineStr">
        <x:is>
          <x:t xml:space="preserve">data-readonly is present at the correct time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ready for manual test</x:t>
        </x:is>
      </x:c>
      <x:c r="H84" s="86" t="inlineStr">
        <x:is>
          <x:t xml:space="preserve">covered</x:t>
        </x:is>
      </x:c>
      <x:c r="I84" s="84" t="inlineStr">
        <x:is>
          <x:t xml:space="preserve">OTPField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Data</x:t>
        </x:is>
      </x:c>
      <x:c r="C85" s="84" t="inlineStr">
        <x:is>
          <x:t xml:space="preserve">Live DOM</x:t>
        </x:is>
      </x:c>
      <x:c r="D85" s="84" t="inlineStr">
        <x:is>
          <x:t xml:space="preserve">data-required is present at the correct time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ready for manual test</x:t>
        </x:is>
      </x:c>
      <x:c r="H85" s="86" t="inlineStr">
        <x:is>
          <x:t xml:space="preserve">covered</x:t>
        </x:is>
      </x:c>
      <x:c r="I85" s="84" t="inlineStr">
        <x:is>
          <x:t xml:space="preserve">OTPField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Data</x:t>
        </x:is>
      </x:c>
      <x:c r="C86" s="84" t="inlineStr">
        <x:is>
          <x:t xml:space="preserve">Live DOM</x:t>
        </x:is>
      </x:c>
      <x:c r="D86" s="84" t="inlineStr">
        <x:is>
          <x:t xml:space="preserve">data-slot is present at the correct time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ready for manual test</x:t>
        </x:is>
      </x:c>
      <x:c r="H86" s="86" t="inlineStr">
        <x:is>
          <x:t xml:space="preserve">covered</x:t>
        </x:is>
      </x:c>
      <x:c r="I86" s="84" t="inlineStr">
        <x:is>
          <x:t xml:space="preserve">OTPField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Composition</x:t>
        </x:is>
      </x:c>
      <x:c r="C87" s="84" t="inlineStr">
        <x:is>
          <x:t xml:space="preserve">Root</x:t>
        </x:is>
      </x:c>
      <x:c r="D87" s="84" t="inlineStr">
        <x:is>
          <x:t xml:space="preserve">asChild preserves child content without double nesting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ready for manual test</x:t>
        </x:is>
      </x:c>
      <x:c r="H87" s="86" t="inlineStr">
        <x:is>
          <x:t xml:space="preserve">covered</x:t>
        </x:is>
      </x:c>
      <x:c r="I87" s="84" t="inlineStr">
        <x:is>
          <x:t xml:space="preserve">OTPField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Composition</x:t>
        </x:is>
      </x:c>
      <x:c r="C88" s="84" t="inlineStr">
        <x:is>
          <x:t xml:space="preserve">Root</x:t>
        </x:is>
      </x:c>
      <x:c r="D88" s="84" t="inlineStr">
        <x:is>
          <x:t xml:space="preserve">asChild merges Atom props and consumer props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ready for manual test</x:t>
        </x:is>
      </x:c>
      <x:c r="H88" s="86" t="inlineStr">
        <x:is>
          <x:t xml:space="preserve">covered</x:t>
        </x:is>
      </x:c>
      <x:c r="I88" s="84" t="inlineStr">
        <x:is>
          <x:t xml:space="preserve">OTPField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Composition</x:t>
        </x:is>
      </x:c>
      <x:c r="C89" s="84" t="inlineStr">
        <x:is>
          <x:t xml:space="preserve">Root</x:t>
        </x:is>
      </x:c>
      <x:c r="D89" s="84" t="inlineStr">
        <x:is>
          <x:t xml:space="preserve">render prop renders custom element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ready for manual test</x:t>
        </x:is>
      </x:c>
      <x:c r="H89" s="86" t="inlineStr">
        <x:is>
          <x:t xml:space="preserve">covered</x:t>
        </x:is>
      </x:c>
      <x:c r="I89" s="84" t="inlineStr">
        <x:is>
          <x:t xml:space="preserve">OTPField playground scenario.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Composition</x:t>
        </x:is>
      </x:c>
      <x:c r="C90" s="84" t="inlineStr">
        <x:is>
          <x:t xml:space="preserve">Root</x:t>
        </x:is>
      </x:c>
      <x:c r="D90" s="84" t="inlineStr">
        <x:is>
          <x:t xml:space="preserve">render prop preserves refs and behavior props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ready for manual test</x:t>
        </x:is>
      </x:c>
      <x:c r="H90" s="86" t="inlineStr">
        <x:is>
          <x:t xml:space="preserve">covered</x:t>
        </x:is>
      </x:c>
      <x:c r="I90" s="84" t="inlineStr">
        <x:is>
          <x:t xml:space="preserve">OTPField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State</x:t>
        </x:is>
      </x:c>
      <x:c r="C91" s="84" t="inlineStr">
        <x:is>
          <x:t xml:space="preserve">Root</x:t>
        </x:is>
      </x:c>
      <x:c r="D91" s="84" t="inlineStr">
        <x:is>
          <x:t xml:space="preserve">controlled state path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ready for manual test</x:t>
        </x:is>
      </x:c>
      <x:c r="H91" s="86" t="inlineStr">
        <x:is>
          <x:t xml:space="preserve">covered</x:t>
        </x:is>
      </x:c>
      <x:c r="I91" s="84" t="inlineStr">
        <x:is>
          <x:t xml:space="preserve">OTPField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State</x:t>
        </x:is>
      </x:c>
      <x:c r="C92" s="84" t="inlineStr">
        <x:is>
          <x:t xml:space="preserve">Root</x:t>
        </x:is>
      </x:c>
      <x:c r="D92" s="84" t="inlineStr">
        <x:is>
          <x:t xml:space="preserve">uncontrolled default state path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ready for manual test</x:t>
        </x:is>
      </x:c>
      <x:c r="H92" s="86" t="inlineStr">
        <x:is>
          <x:t xml:space="preserve">covered</x:t>
        </x:is>
      </x:c>
      <x:c r="I92" s="84" t="inlineStr">
        <x:is>
          <x:t xml:space="preserve">OTPField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State</x:t>
        </x:is>
      </x:c>
      <x:c r="C93" s="84" t="inlineStr">
        <x:is>
          <x:t xml:space="preserve">Root</x:t>
        </x:is>
      </x:c>
      <x:c r="D93" s="84" t="inlineStr">
        <x:is>
          <x:t xml:space="preserve">state change callback fires once with correct value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ready for manual test</x:t>
        </x:is>
      </x:c>
      <x:c r="H93" s="86" t="inlineStr">
        <x:is>
          <x:t xml:space="preserve">covered</x:t>
        </x:is>
      </x:c>
      <x:c r="I93" s="84" t="inlineStr">
        <x:is>
          <x:t xml:space="preserve">OTPField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State</x:t>
        </x:is>
      </x:c>
      <x:c r="C94" s="84" t="inlineStr">
        <x:is>
          <x:t xml:space="preserve">OTPField</x:t>
        </x:is>
      </x:c>
      <x:c r="D94" s="84" t="inlineStr">
        <x:is>
          <x:t xml:space="preserve">disabled state blocks or exposes behavior correctly where supported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ready for manual test</x:t>
        </x:is>
      </x:c>
      <x:c r="H94" s="86" t="inlineStr">
        <x:is>
          <x:t xml:space="preserve">covered</x:t>
        </x:is>
      </x:c>
      <x:c r="I94" s="84" t="inlineStr">
        <x:is>
          <x:t xml:space="preserve">OTPField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State</x:t>
        </x:is>
      </x:c>
      <x:c r="C95" s="84" t="inlineStr">
        <x:is>
          <x:t xml:space="preserve">OTPField</x:t>
        </x:is>
      </x:c>
      <x:c r="D95" s="84" t="inlineStr">
        <x:is>
          <x:t xml:space="preserve">readonly/readOnly state blocks or exposes behavior correctly where supported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ready for manual test</x:t>
        </x:is>
      </x:c>
      <x:c r="H95" s="86" t="inlineStr">
        <x:is>
          <x:t xml:space="preserve">covered</x:t>
        </x:is>
      </x:c>
      <x:c r="I95" s="84" t="inlineStr">
        <x:is>
          <x:t xml:space="preserve">OTPField playground scenario.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State</x:t>
        </x:is>
      </x:c>
      <x:c r="C96" s="84" t="inlineStr">
        <x:is>
          <x:t xml:space="preserve">OTPField</x:t>
        </x:is>
      </x:c>
      <x:c r="D96" s="84" t="inlineStr">
        <x:is>
          <x:t xml:space="preserve">required state blocks or exposes behavior correctly where supported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ready for manual test</x:t>
        </x:is>
      </x:c>
      <x:c r="H96" s="86" t="inlineStr">
        <x:is>
          <x:t xml:space="preserve">covered</x:t>
        </x:is>
      </x:c>
      <x:c r="I96" s="84" t="inlineStr">
        <x:is>
          <x:t xml:space="preserve">OTPField playground scenario.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State</x:t>
        </x:is>
      </x:c>
      <x:c r="C97" s="84" t="inlineStr">
        <x:is>
          <x:t xml:space="preserve">OTPField</x:t>
        </x:is>
      </x:c>
      <x:c r="D97" s="84" t="inlineStr">
        <x:is>
          <x:t xml:space="preserve">invalid state blocks or exposes behavior correctly where supported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ready for manual test</x:t>
        </x:is>
      </x:c>
      <x:c r="H97" s="86" t="inlineStr">
        <x:is>
          <x:t xml:space="preserve">covered</x:t>
        </x:is>
      </x:c>
      <x:c r="I97" s="84" t="inlineStr">
        <x:is>
          <x:t xml:space="preserve">OTPField playground scenario.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Forms</x:t>
        </x:is>
      </x:c>
      <x:c r="C98" s="84" t="inlineStr">
        <x:is>
          <x:t xml:space="preserve">OTPField</x:t>
        </x:is>
      </x:c>
      <x:c r="D98" s="84" t="inlineStr">
        <x:is>
          <x:t xml:space="preserve">form value participates correctly where supported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ready for manual test</x:t>
        </x:is>
      </x:c>
      <x:c r="H98" s="86" t="inlineStr">
        <x:is>
          <x:t xml:space="preserve">covered</x:t>
        </x:is>
      </x:c>
      <x:c r="I98" s="84" t="inlineStr">
        <x:is>
          <x:t xml:space="preserve">OTPField playground scenario.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30" customHeight="1">
      <x:c r="A99" s="73" t="n">
        <x:v>91</x:v>
      </x:c>
      <x:c r="B99" s="84" t="inlineStr">
        <x:is>
          <x:t xml:space="preserve">Forms</x:t>
        </x:is>
      </x:c>
      <x:c r="C99" s="84" t="inlineStr">
        <x:is>
          <x:t xml:space="preserve">OTPField</x:t>
        </x:is>
      </x:c>
      <x:c r="D99" s="84" t="inlineStr">
        <x:is>
          <x:t xml:space="preserve">hidden input mirrors value/checked/disabled where supported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ready for manual test</x:t>
        </x:is>
      </x:c>
      <x:c r="H99" s="86" t="inlineStr">
        <x:is>
          <x:t xml:space="preserve">covered</x:t>
        </x:is>
      </x:c>
      <x:c r="I99" s="84" t="inlineStr">
        <x:is>
          <x:t xml:space="preserve">OTPField playground scenario.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30" customHeight="1">
      <x:c r="A100" s="73" t="n">
        <x:v>92</x:v>
      </x:c>
      <x:c r="B100" s="84" t="inlineStr">
        <x:is>
          <x:t xml:space="preserve">Forms</x:t>
        </x:is>
      </x:c>
      <x:c r="C100" s="84" t="inlineStr">
        <x:is>
          <x:t xml:space="preserve">Root</x:t>
        </x:is>
      </x:c>
      <x:c r="D100" s="84" t="inlineStr">
        <x:is>
          <x:t xml:space="preserve">Field inheritance, combined required value, native ARIA, external form ownership, and reset</x:t>
        </x:is>
      </x:c>
      <x:c r="E100" s="76" t="inlineStr">
        <x:is>
          <x:t xml:space="preserve">yes</x:t>
        </x:is>
      </x:c>
      <x:c r="F100" s="85" t="inlineStr">
        <x:is>
          <x:t xml:space="preserve">no</x:t>
        </x:is>
      </x:c>
      <x:c r="G100" s="73" t="inlineStr">
        <x:is>
          <x:t xml:space="preserve">automated tests pass; manual pending</x:t>
        </x:is>
      </x:c>
      <x:c r="H100" s="86" t="inlineStr">
        <x:is>
          <x:t xml:space="preserve">untested</x:t>
        </x:is>
      </x:c>
      <x:c r="I100" s="84" t="inlineStr">
        <x:is>
          <x:t xml:space="preserve">Form &gt; Control: Foundation plus the component scenario and automated package tests.</x:t>
        </x:is>
      </x:c>
      <x:c r="J100" s="84" t="inlineStr">
        <x:is>
          <x:t xml:space="preserve">Run and review the form-foundation manual protocol.</x:t>
        </x:is>
      </x:c>
      <x:c r="K100" s="87" t="n">
        <x:f>IF(AND(E100="yes",F100="yes",H100="covered"),1,IF(H100="partial",0.5,0))</x:f>
        <x:v>0</x:v>
      </x:c>
    </x:row>
    <x:row r="101" s="51" customFormat="1" ht="30" customHeight="1">
      <x:c r="A101" s="73" t="n">
        <x:v>93</x:v>
      </x:c>
      <x:c r="B101" s="84" t="inlineStr">
        <x:is>
          <x:t xml:space="preserve">Validation</x:t>
        </x:is>
      </x:c>
      <x:c r="C101" s="84" t="inlineStr">
        <x:is>
          <x:t xml:space="preserve">Root/Input</x:t>
        </x:is>
      </x:c>
      <x:c r="D101" s="84" t="inlineStr">
        <x:is>
          <x:t xml:space="preserve">logical-field invalidity mirrors across visible OTP cells, Field, Error, and Form</x:t>
        </x:is>
      </x:c>
      <x:c r="E101" s="76" t="inlineStr">
        <x:is>
          <x:t xml:space="preserve">yes</x:t>
        </x:is>
      </x:c>
      <x:c r="F101" s="85" t="inlineStr">
        <x:is>
          <x:t xml:space="preserve">no</x:t>
        </x:is>
      </x:c>
      <x:c r="G101" s="73" t="inlineStr">
        <x:is>
          <x:t xml:space="preserve">automated tests pass; manual pending</x:t>
        </x:is>
      </x:c>
      <x:c r="H101" s="86" t="inlineStr">
        <x:is>
          <x:t xml:space="preserve">untested</x:t>
        </x:is>
      </x:c>
      <x:c r="I101" s="84" t="inlineStr">
        <x:is>
          <x:t xml:space="preserve">Form &gt; Control: Foundation and automated Atom validation tests.</x:t>
        </x:is>
      </x:c>
      <x:c r="J101" s="84" t="inlineStr">
        <x:is>
          <x:t xml:space="preserve">Run and review the updated form-foundation validation steps.</x:t>
        </x:is>
      </x:c>
      <x:c r="K101" s="87" t="n">
        <x:f>IF(AND(E101="yes",F101="yes",H101="covered"),1,IF(H101="partial",0.5,0))</x:f>
        <x:v>0</x:v>
      </x:c>
    </x:row>
    <x:row r="102" s="51" customFormat="1" ht="15" customHeight="1"/>
    <x:row r="103" s="51" customFormat="1" ht="15" customHeight="1"/>
    <x:row r="104" s="51" customFormat="1" ht="15" customHeight="1"/>
    <x:row r="105" s="51" customFormat="1" ht="30" customHeight="1"/>
    <x:row r="106" s="51" customFormat="1" ht="30" customHeight="1"/>
    <x:row r="107" s="51" customFormat="1" ht="30" customHeight="1"/>
    <x:row r="108" s="51" customFormat="1" ht="30" customHeight="1"/>
    <x:row r="109" s="51" customFormat="1" ht="15" customHeight="1"/>
    <x:row r="110" s="51" customFormat="1" ht="30" customHeight="1"/>
    <x:row r="111" s="51" customFormat="1" ht="30" customHeight="1"/>
    <x:row r="112" s="51" customFormat="1" ht="30" customHeight="1"/>
    <x:row r="113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Pagination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Historical manual coverage is retained; new count/controller capabilities require a fresh manual pass. Automated coverage is recorded separately in primitive tests.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0.9396551724137931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109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7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protocol</x:t>
        </x:is>
      </x:c>
      <x:c r="H9" s="86" t="inlineStr">
        <x:is>
          <x:t xml:space="preserve">covered</x:t>
        </x:is>
      </x:c>
      <x:c r="I9" s="84" t="inlineStr">
        <x:is>
          <x:t xml:space="preserve">manual-tests/pagination.md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protocol</x:t>
        </x:is>
      </x:c>
      <x:c r="H10" s="86" t="inlineStr">
        <x:is>
          <x:t xml:space="preserve">covered</x:t>
        </x:is>
      </x:c>
      <x:c r="I10" s="84" t="inlineStr">
        <x:is>
          <x:t xml:space="preserve">manual-tests/pagination.md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Pagination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protocol</x:t>
        </x:is>
      </x:c>
      <x:c r="H11" s="86" t="inlineStr">
        <x:is>
          <x:t xml:space="preserve">covered</x:t>
        </x:is>
      </x:c>
      <x:c r="I11" s="84" t="inlineStr">
        <x:is>
          <x:t xml:space="preserve">manual-tests/pagination.md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Pagination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protocol</x:t>
        </x:is>
      </x:c>
      <x:c r="H12" s="86" t="inlineStr">
        <x:is>
          <x:t xml:space="preserve">covered</x:t>
        </x:is>
      </x:c>
      <x:c r="I12" s="84" t="inlineStr">
        <x:is>
          <x:t xml:space="preserve">manual-tests/pagination.md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Pagination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protocol</x:t>
        </x:is>
      </x:c>
      <x:c r="H13" s="86" t="inlineStr">
        <x:is>
          <x:t xml:space="preserve">covered</x:t>
        </x:is>
      </x:c>
      <x:c r="I13" s="84" t="inlineStr">
        <x:is>
          <x:t xml:space="preserve">manual-tests/pagination.md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Pagination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protocol</x:t>
        </x:is>
      </x:c>
      <x:c r="H14" s="86" t="inlineStr">
        <x:is>
          <x:t xml:space="preserve">covered</x:t>
        </x:is>
      </x:c>
      <x:c r="I14" s="84" t="inlineStr">
        <x:is>
          <x:t xml:space="preserve">manual-tests/pagination.md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Pagination</x:t>
        </x:is>
      </x:c>
      <x:c r="D15" s="84" t="inlineStr">
        <x:is>
          <x:t xml:space="preserve">Renders a navigation landmark and ordered page list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protocol</x:t>
        </x:is>
      </x:c>
      <x:c r="H15" s="86" t="inlineStr">
        <x:is>
          <x:t xml:space="preserve">covered</x:t>
        </x:is>
      </x:c>
      <x:c r="I15" s="84" t="inlineStr">
        <x:is>
          <x:t xml:space="preserve">manual-tests/pagination.md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Pagination</x:t>
        </x:is>
      </x:c>
      <x:c r="D16" s="84" t="inlineStr">
        <x:is>
          <x:t xml:space="preserve">Supports controlled and uncontrolled current page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protocol</x:t>
        </x:is>
      </x:c>
      <x:c r="H16" s="86" t="inlineStr">
        <x:is>
          <x:t xml:space="preserve">covered</x:t>
        </x:is>
      </x:c>
      <x:c r="I16" s="84" t="inlineStr">
        <x:is>
          <x:t xml:space="preserve">manual-tests/pagination.md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Pagination</x:t>
        </x:is>
      </x:c>
      <x:c r="D17" s="84" t="inlineStr">
        <x:is>
          <x:t xml:space="preserve">Generates stable-length page ranges to reduce layout shift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protocol</x:t>
        </x:is>
      </x:c>
      <x:c r="H17" s="86" t="inlineStr">
        <x:is>
          <x:t xml:space="preserve">covered</x:t>
        </x:is>
      </x:c>
      <x:c r="I17" s="84" t="inlineStr">
        <x:is>
          <x:t xml:space="preserve">manual-tests/pagination.md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Pagination</x:t>
        </x:is>
      </x:c>
      <x:c r="D18" s="84" t="inlineStr">
        <x:is>
          <x:t xml:space="preserve">Supports sibling and boundary page counts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protocol</x:t>
        </x:is>
      </x:c>
      <x:c r="H18" s="86" t="inlineStr">
        <x:is>
          <x:t xml:space="preserve">covered</x:t>
        </x:is>
      </x:c>
      <x:c r="I18" s="84" t="inlineStr">
        <x:is>
          <x:t xml:space="preserve">manual-tests/pagination.md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Pagination</x:t>
        </x:is>
      </x:c>
      <x:c r="D19" s="84" t="inlineStr">
        <x:is>
          <x:t xml:space="preserve">Supports previous, next, page item, and decorative ellipsis parts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protocol</x:t>
        </x:is>
      </x:c>
      <x:c r="H19" s="86" t="inlineStr">
        <x:is>
          <x:t xml:space="preserve">covered</x:t>
        </x:is>
      </x:c>
      <x:c r="I19" s="84" t="inlineStr">
        <x:is>
          <x:t xml:space="preserve">manual-tests/pagination.md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Pagination</x:t>
        </x:is>
      </x:c>
      <x:c r="D20" s="84" t="inlineStr">
        <x:is>
          <x:t xml:space="preserve">Allows localized page labels through native `aria-label`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protocol</x:t>
        </x:is>
      </x:c>
      <x:c r="H20" s="86" t="inlineStr">
        <x:is>
          <x:t xml:space="preserve">covered</x:t>
        </x:is>
      </x:c>
      <x:c r="I20" s="84" t="inlineStr">
        <x:is>
          <x:t xml:space="preserve">manual-tests/pagination.md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protocol</x:t>
        </x:is>
      </x:c>
      <x:c r="H21" s="86" t="inlineStr">
        <x:is>
          <x:t xml:space="preserve">covered</x:t>
        </x:is>
      </x:c>
      <x:c r="I21" s="84" t="inlineStr">
        <x:is>
          <x:t xml:space="preserve">manual-tests/pagination.md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protocol</x:t>
        </x:is>
      </x:c>
      <x:c r="H22" s="86" t="inlineStr">
        <x:is>
          <x:t xml:space="preserve">covered</x:t>
        </x:is>
      </x:c>
      <x:c r="I22" s="84" t="inlineStr">
        <x:is>
          <x:t xml:space="preserve">manual-tests/pagination.md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protocol</x:t>
        </x:is>
      </x:c>
      <x:c r="H23" s="86" t="inlineStr">
        <x:is>
          <x:t xml:space="preserve">covered</x:t>
        </x:is>
      </x:c>
      <x:c r="I23" s="84" t="inlineStr">
        <x:is>
          <x:t xml:space="preserve">manual-tests/pagination.md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protocol</x:t>
        </x:is>
      </x:c>
      <x:c r="H24" s="86" t="inlineStr">
        <x:is>
          <x:t xml:space="preserve">covered</x:t>
        </x:is>
      </x:c>
      <x:c r="I24" s="84" t="inlineStr">
        <x:is>
          <x:t xml:space="preserve">manual-tests/pagination.md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protocol</x:t>
        </x:is>
      </x:c>
      <x:c r="H25" s="86" t="inlineStr">
        <x:is>
          <x:t xml:space="preserve">covered</x:t>
        </x:is>
      </x:c>
      <x:c r="I25" s="84" t="inlineStr">
        <x:is>
          <x:t xml:space="preserve">manual-tests/pagination.md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protocol</x:t>
        </x:is>
      </x:c>
      <x:c r="H26" s="86" t="inlineStr">
        <x:is>
          <x:t xml:space="preserve">covered</x:t>
        </x:is>
      </x:c>
      <x:c r="I26" s="84" t="inlineStr">
        <x:is>
          <x:t xml:space="preserve">manual-tests/pagination.md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Public API</x:t>
        </x:is>
      </x:c>
      <x:c r="C27" s="84" t="inlineStr">
        <x:is>
          <x:t xml:space="preserve">Root</x:t>
        </x:is>
      </x:c>
      <x:c r="D27" s="84" t="inlineStr">
        <x:is>
          <x:t xml:space="preserve">totalPages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protocol</x:t>
        </x:is>
      </x:c>
      <x:c r="H27" s="86" t="inlineStr">
        <x:is>
          <x:t xml:space="preserve">covered</x:t>
        </x:is>
      </x:c>
      <x:c r="I27" s="84" t="inlineStr">
        <x:is>
          <x:t xml:space="preserve">manual-tests/pagination.md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Public API</x:t>
        </x:is>
      </x:c>
      <x:c r="C28" s="84" t="inlineStr">
        <x:is>
          <x:t xml:space="preserve">Root</x:t>
        </x:is>
      </x:c>
      <x:c r="D28" s="84" t="inlineStr">
        <x:is>
          <x:t xml:space="preserve">page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protocol</x:t>
        </x:is>
      </x:c>
      <x:c r="H28" s="86" t="inlineStr">
        <x:is>
          <x:t xml:space="preserve">covered</x:t>
        </x:is>
      </x:c>
      <x:c r="I28" s="84" t="inlineStr">
        <x:is>
          <x:t xml:space="preserve">manual-tests/pagination.md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defaultPage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protocol</x:t>
        </x:is>
      </x:c>
      <x:c r="H29" s="86" t="inlineStr">
        <x:is>
          <x:t xml:space="preserve">covered</x:t>
        </x:is>
      </x:c>
      <x:c r="I29" s="84" t="inlineStr">
        <x:is>
          <x:t xml:space="preserve">manual-tests/pagination.md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onPageChange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protocol</x:t>
        </x:is>
      </x:c>
      <x:c r="H30" s="86" t="inlineStr">
        <x:is>
          <x:t xml:space="preserve">covered</x:t>
        </x:is>
      </x:c>
      <x:c r="I30" s="84" t="inlineStr">
        <x:is>
          <x:t xml:space="preserve">manual-tests/pagination.md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siblingCount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protocol</x:t>
        </x:is>
      </x:c>
      <x:c r="H31" s="86" t="inlineStr">
        <x:is>
          <x:t xml:space="preserve">covered</x:t>
        </x:is>
      </x:c>
      <x:c r="I31" s="84" t="inlineStr">
        <x:is>
          <x:t xml:space="preserve">manual-tests/pagination.md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boundaryCount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protocol</x:t>
        </x:is>
      </x:c>
      <x:c r="H32" s="86" t="inlineStr">
        <x:is>
          <x:t xml:space="preserve">covered</x:t>
        </x:is>
      </x:c>
      <x:c r="I32" s="84" t="inlineStr">
        <x:is>
          <x:t xml:space="preserve">manual-tests/pagination.md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disabled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protocol</x:t>
        </x:is>
      </x:c>
      <x:c r="H33" s="86" t="inlineStr">
        <x:is>
          <x:t xml:space="preserve">covered</x:t>
        </x:is>
      </x:c>
      <x:c r="I33" s="84" t="inlineStr">
        <x:is>
          <x:t xml:space="preserve">manual-tests/pagination.md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Composition</x:t>
        </x:is>
      </x:c>
      <x:c r="C34" s="84" t="inlineStr">
        <x:is>
          <x:t xml:space="preserve">Root</x:t>
        </x:is>
      </x:c>
      <x:c r="D34" s="84" t="inlineStr">
        <x:is>
          <x:t xml:space="preserve">asChild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protocol</x:t>
        </x:is>
      </x:c>
      <x:c r="H34" s="86" t="inlineStr">
        <x:is>
          <x:t xml:space="preserve">covered</x:t>
        </x:is>
      </x:c>
      <x:c r="I34" s="84" t="inlineStr">
        <x:is>
          <x:t xml:space="preserve">manual-tests/pagination.md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Composition</x:t>
        </x:is>
      </x:c>
      <x:c r="C35" s="84" t="inlineStr">
        <x:is>
          <x:t xml:space="preserve">Root</x:t>
        </x:is>
      </x:c>
      <x:c r="D35" s="84" t="inlineStr">
        <x:is>
          <x:t xml:space="preserve">render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protocol</x:t>
        </x:is>
      </x:c>
      <x:c r="H35" s="86" t="inlineStr">
        <x:is>
          <x:t xml:space="preserve">covered</x:t>
        </x:is>
      </x:c>
      <x:c r="I35" s="84" t="inlineStr">
        <x:is>
          <x:t xml:space="preserve">manual-tests/pagination.md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[data-slot]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protocol</x:t>
        </x:is>
      </x:c>
      <x:c r="H36" s="86" t="inlineStr">
        <x:is>
          <x:t xml:space="preserve">covered</x:t>
        </x:is>
      </x:c>
      <x:c r="I36" s="84" t="inlineStr">
        <x:is>
          <x:t xml:space="preserve">manual-tests/pagination.md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Root</x:t>
        </x:is>
      </x:c>
      <x:c r="D37" s="84" t="inlineStr">
        <x:is>
          <x:t xml:space="preserve">[data-disabled]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protocol</x:t>
        </x:is>
      </x:c>
      <x:c r="H37" s="86" t="inlineStr">
        <x:is>
          <x:t xml:space="preserve">covered</x:t>
        </x:is>
      </x:c>
      <x:c r="I37" s="84" t="inlineStr">
        <x:is>
          <x:t xml:space="preserve">manual-tests/pagination.md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Anatomy</x:t>
        </x:is>
      </x:c>
      <x:c r="C38" s="84" t="inlineStr">
        <x:is>
          <x:t xml:space="preserve">List</x:t>
        </x:is>
      </x:c>
      <x:c r="D38" s="84" t="inlineStr">
        <x:is>
          <x:t xml:space="preserve">renders correct part when expected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protocol</x:t>
        </x:is>
      </x:c>
      <x:c r="H38" s="86" t="inlineStr">
        <x:is>
          <x:t xml:space="preserve">covered</x:t>
        </x:is>
      </x:c>
      <x:c r="I38" s="84" t="inlineStr">
        <x:is>
          <x:t xml:space="preserve">manual-tests/pagination.md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Anatomy</x:t>
        </x:is>
      </x:c>
      <x:c r="C39" s="84" t="inlineStr">
        <x:is>
          <x:t xml:space="preserve">List</x:t>
        </x:is>
      </x:c>
      <x:c r="D39" s="84" t="inlineStr">
        <x:is>
          <x:t xml:space="preserve">appears in documented order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protocol</x:t>
        </x:is>
      </x:c>
      <x:c r="H39" s="86" t="inlineStr">
        <x:is>
          <x:t xml:space="preserve">covered</x:t>
        </x:is>
      </x:c>
      <x:c r="I39" s="84" t="inlineStr">
        <x:is>
          <x:t xml:space="preserve">manual-tests/pagination.md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30" customHeight="1">
      <x:c r="A40" s="73" t="n">
        <x:v>32</x:v>
      </x:c>
      <x:c r="B40" s="84" t="inlineStr">
        <x:is>
          <x:t xml:space="preserve">Identity</x:t>
        </x:is>
      </x:c>
      <x:c r="C40" s="84" t="inlineStr">
        <x:is>
          <x:t xml:space="preserve">List</x:t>
        </x:is>
      </x:c>
      <x:c r="D40" s="84" t="inlineStr">
        <x:is>
          <x:t xml:space="preserve">default tag is visible in Anatomy/Inspector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protocol</x:t>
        </x:is>
      </x:c>
      <x:c r="H40" s="86" t="inlineStr">
        <x:is>
          <x:t xml:space="preserve">covered</x:t>
        </x:is>
      </x:c>
      <x:c r="I40" s="84" t="inlineStr">
        <x:is>
          <x:t xml:space="preserve">manual-tests/pagination.md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Identity</x:t>
        </x:is>
      </x:c>
      <x:c r="C41" s="84" t="inlineStr">
        <x:is>
          <x:t xml:space="preserve">List</x:t>
        </x:is>
      </x:c>
      <x:c r="D41" s="84" t="inlineStr">
        <x:is>
          <x:t xml:space="preserve">data-slot is present and correct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protocol</x:t>
        </x:is>
      </x:c>
      <x:c r="H41" s="86" t="inlineStr">
        <x:is>
          <x:t xml:space="preserve">covered</x:t>
        </x:is>
      </x:c>
      <x:c r="I41" s="84" t="inlineStr">
        <x:is>
          <x:t xml:space="preserve">manual-tests/pagination.md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Props</x:t>
        </x:is>
      </x:c>
      <x:c r="C42" s="84" t="inlineStr">
        <x:is>
          <x:t xml:space="preserve">List</x:t>
        </x:is>
      </x:c>
      <x:c r="D42" s="84" t="inlineStr">
        <x:is>
          <x:t xml:space="preserve">non-Atom native props pass through with data-prop-check marker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protocol</x:t>
        </x:is>
      </x:c>
      <x:c r="H42" s="86" t="inlineStr">
        <x:is>
          <x:t xml:space="preserve">covered</x:t>
        </x:is>
      </x:c>
      <x:c r="I42" s="84" t="inlineStr">
        <x:is>
          <x:t xml:space="preserve">manual-tests/pagination.md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Refs</x:t>
        </x:is>
      </x:c>
      <x:c r="C43" s="84" t="inlineStr">
        <x:is>
          <x:t xml:space="preserve">List</x:t>
        </x:is>
      </x:c>
      <x:c r="D43" s="84" t="inlineStr">
        <x:is>
          <x:t xml:space="preserve">consumer ref receives the rendered element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protocol</x:t>
        </x:is>
      </x:c>
      <x:c r="H43" s="86" t="inlineStr">
        <x:is>
          <x:t xml:space="preserve">covered</x:t>
        </x:is>
      </x:c>
      <x:c r="I43" s="84" t="inlineStr">
        <x:is>
          <x:t xml:space="preserve">manual-tests/pagination.md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Composition</x:t>
        </x:is>
      </x:c>
      <x:c r="C44" s="84" t="inlineStr">
        <x:is>
          <x:t xml:space="preserve">List</x:t>
        </x:is>
      </x:c>
      <x:c r="D44" s="84" t="inlineStr">
        <x:is>
          <x:t xml:space="preserve">asChild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protocol</x:t>
        </x:is>
      </x:c>
      <x:c r="H44" s="86" t="inlineStr">
        <x:is>
          <x:t xml:space="preserve">covered</x:t>
        </x:is>
      </x:c>
      <x:c r="I44" s="84" t="inlineStr">
        <x:is>
          <x:t xml:space="preserve">manual-tests/pagination.md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Composition</x:t>
        </x:is>
      </x:c>
      <x:c r="C45" s="84" t="inlineStr">
        <x:is>
          <x:t xml:space="preserve">List</x:t>
        </x:is>
      </x:c>
      <x:c r="D45" s="84" t="inlineStr">
        <x:is>
          <x:t xml:space="preserve">render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protocol</x:t>
        </x:is>
      </x:c>
      <x:c r="H45" s="86" t="inlineStr">
        <x:is>
          <x:t xml:space="preserve">covered</x:t>
        </x:is>
      </x:c>
      <x:c r="I45" s="84" t="inlineStr">
        <x:is>
          <x:t xml:space="preserve">manual-tests/pagination.md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List</x:t>
        </x:is>
      </x:c>
      <x:c r="D46" s="84" t="inlineStr">
        <x:is>
          <x:t xml:space="preserve">[data-slot]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protocol</x:t>
        </x:is>
      </x:c>
      <x:c r="H46" s="86" t="inlineStr">
        <x:is>
          <x:t xml:space="preserve">covered</x:t>
        </x:is>
      </x:c>
      <x:c r="I46" s="84" t="inlineStr">
        <x:is>
          <x:t xml:space="preserve">manual-tests/pagination.md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Item</x:t>
        </x:is>
      </x:c>
      <x:c r="D47" s="84" t="inlineStr">
        <x:is>
          <x:t xml:space="preserve">renders correct part when expected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protocol</x:t>
        </x:is>
      </x:c>
      <x:c r="H47" s="86" t="inlineStr">
        <x:is>
          <x:t xml:space="preserve">covered</x:t>
        </x:is>
      </x:c>
      <x:c r="I47" s="84" t="inlineStr">
        <x:is>
          <x:t xml:space="preserve">manual-tests/pagination.md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Item</x:t>
        </x:is>
      </x:c>
      <x:c r="D48" s="84" t="inlineStr">
        <x:is>
          <x:t xml:space="preserve">appears in documented order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protocol</x:t>
        </x:is>
      </x:c>
      <x:c r="H48" s="86" t="inlineStr">
        <x:is>
          <x:t xml:space="preserve">covered</x:t>
        </x:is>
      </x:c>
      <x:c r="I48" s="84" t="inlineStr">
        <x:is>
          <x:t xml:space="preserve">manual-tests/pagination.md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Item</x:t>
        </x:is>
      </x:c>
      <x:c r="D49" s="84" t="inlineStr">
        <x:is>
          <x:t xml:space="preserve">default tag is visible in Anatomy/Inspector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protocol</x:t>
        </x:is>
      </x:c>
      <x:c r="H49" s="86" t="inlineStr">
        <x:is>
          <x:t xml:space="preserve">covered</x:t>
        </x:is>
      </x:c>
      <x:c r="I49" s="84" t="inlineStr">
        <x:is>
          <x:t xml:space="preserve">manual-tests/pagination.md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Identity</x:t>
        </x:is>
      </x:c>
      <x:c r="C50" s="84" t="inlineStr">
        <x:is>
          <x:t xml:space="preserve">Item</x:t>
        </x:is>
      </x:c>
      <x:c r="D50" s="84" t="inlineStr">
        <x:is>
          <x:t xml:space="preserve">data-slot is present and correct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protocol</x:t>
        </x:is>
      </x:c>
      <x:c r="H50" s="86" t="inlineStr">
        <x:is>
          <x:t xml:space="preserve">covered</x:t>
        </x:is>
      </x:c>
      <x:c r="I50" s="84" t="inlineStr">
        <x:is>
          <x:t xml:space="preserve">manual-tests/pagination.md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Props</x:t>
        </x:is>
      </x:c>
      <x:c r="C51" s="84" t="inlineStr">
        <x:is>
          <x:t xml:space="preserve">Item</x:t>
        </x:is>
      </x:c>
      <x:c r="D51" s="84" t="inlineStr">
        <x:is>
          <x:t xml:space="preserve">non-Atom native props pass through with data-prop-check marker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protocol</x:t>
        </x:is>
      </x:c>
      <x:c r="H51" s="86" t="inlineStr">
        <x:is>
          <x:t xml:space="preserve">covered</x:t>
        </x:is>
      </x:c>
      <x:c r="I51" s="84" t="inlineStr">
        <x:is>
          <x:t xml:space="preserve">manual-tests/pagination.md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Refs</x:t>
        </x:is>
      </x:c>
      <x:c r="C52" s="84" t="inlineStr">
        <x:is>
          <x:t xml:space="preserve">Item</x:t>
        </x:is>
      </x:c>
      <x:c r="D52" s="84" t="inlineStr">
        <x:is>
          <x:t xml:space="preserve">consumer ref receives the rendered element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protocol</x:t>
        </x:is>
      </x:c>
      <x:c r="H52" s="86" t="inlineStr">
        <x:is>
          <x:t xml:space="preserve">covered</x:t>
        </x:is>
      </x:c>
      <x:c r="I52" s="84" t="inlineStr">
        <x:is>
          <x:t xml:space="preserve">manual-tests/pagination.md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Item</x:t>
        </x:is>
      </x:c>
      <x:c r="D53" s="84" t="inlineStr">
        <x:is>
          <x:t xml:space="preserve">page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protocol</x:t>
        </x:is>
      </x:c>
      <x:c r="H53" s="86" t="inlineStr">
        <x:is>
          <x:t xml:space="preserve">covered</x:t>
        </x:is>
      </x:c>
      <x:c r="I53" s="84" t="inlineStr">
        <x:is>
          <x:t xml:space="preserve">manual-tests/pagination.md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Accessibility</x:t>
        </x:is>
      </x:c>
      <x:c r="C54" s="84" t="inlineStr">
        <x:is>
          <x:t xml:space="preserve">Item</x:t>
        </x:is>
      </x:c>
      <x:c r="D54" s="84" t="inlineStr">
        <x:is>
          <x:t xml:space="preserve">aria-label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protocol</x:t>
        </x:is>
      </x:c>
      <x:c r="H54" s="86" t="inlineStr">
        <x:is>
          <x:t xml:space="preserve">covered</x:t>
        </x:is>
      </x:c>
      <x:c r="I54" s="84" t="inlineStr">
        <x:is>
          <x:t xml:space="preserve">manual-tests/pagination.md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Composition</x:t>
        </x:is>
      </x:c>
      <x:c r="C55" s="84" t="inlineStr">
        <x:is>
          <x:t xml:space="preserve">Item</x:t>
        </x:is>
      </x:c>
      <x:c r="D55" s="84" t="inlineStr">
        <x:is>
          <x:t xml:space="preserve">asChild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protocol</x:t>
        </x:is>
      </x:c>
      <x:c r="H55" s="86" t="inlineStr">
        <x:is>
          <x:t xml:space="preserve">covered</x:t>
        </x:is>
      </x:c>
      <x:c r="I55" s="84" t="inlineStr">
        <x:is>
          <x:t xml:space="preserve">manual-tests/pagination.md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Composition</x:t>
        </x:is>
      </x:c>
      <x:c r="C56" s="84" t="inlineStr">
        <x:is>
          <x:t xml:space="preserve">Item</x:t>
        </x:is>
      </x:c>
      <x:c r="D56" s="84" t="inlineStr">
        <x:is>
          <x:t xml:space="preserve">render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protocol</x:t>
        </x:is>
      </x:c>
      <x:c r="H56" s="86" t="inlineStr">
        <x:is>
          <x:t xml:space="preserve">covered</x:t>
        </x:is>
      </x:c>
      <x:c r="I56" s="84" t="inlineStr">
        <x:is>
          <x:t xml:space="preserve">manual-tests/pagination.md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Public API</x:t>
        </x:is>
      </x:c>
      <x:c r="C57" s="84" t="inlineStr">
        <x:is>
          <x:t xml:space="preserve">Item</x:t>
        </x:is>
      </x:c>
      <x:c r="D57" s="84" t="inlineStr">
        <x:is>
          <x:t xml:space="preserve">[data-slot]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protocol</x:t>
        </x:is>
      </x:c>
      <x:c r="H57" s="86" t="inlineStr">
        <x:is>
          <x:t xml:space="preserve">covered</x:t>
        </x:is>
      </x:c>
      <x:c r="I57" s="84" t="inlineStr">
        <x:is>
          <x:t xml:space="preserve">manual-tests/pagination.md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Public API</x:t>
        </x:is>
      </x:c>
      <x:c r="C58" s="84" t="inlineStr">
        <x:is>
          <x:t xml:space="preserve">Item</x:t>
        </x:is>
      </x:c>
      <x:c r="D58" s="84" t="inlineStr">
        <x:is>
          <x:t xml:space="preserve">[data-state]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protocol</x:t>
        </x:is>
      </x:c>
      <x:c r="H58" s="86" t="inlineStr">
        <x:is>
          <x:t xml:space="preserve">covered</x:t>
        </x:is>
      </x:c>
      <x:c r="I58" s="84" t="inlineStr">
        <x:is>
          <x:t xml:space="preserve">manual-tests/pagination.md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Public API</x:t>
        </x:is>
      </x:c>
      <x:c r="C59" s="84" t="inlineStr">
        <x:is>
          <x:t xml:space="preserve">Item</x:t>
        </x:is>
      </x:c>
      <x:c r="D59" s="84" t="inlineStr">
        <x:is>
          <x:t xml:space="preserve">[data-page] prop behavior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protocol</x:t>
        </x:is>
      </x:c>
      <x:c r="H59" s="86" t="inlineStr">
        <x:is>
          <x:t xml:space="preserve">covered</x:t>
        </x:is>
      </x:c>
      <x:c r="I59" s="84" t="inlineStr">
        <x:is>
          <x:t xml:space="preserve">manual-tests/pagination.md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State</x:t>
        </x:is>
      </x:c>
      <x:c r="C60" s="84" t="inlineStr">
        <x:is>
          <x:t xml:space="preserve">Item</x:t>
        </x:is>
      </x:c>
      <x:c r="D60" s="84" t="inlineStr">
        <x:is>
          <x:t xml:space="preserve">[data-disabled] prop behavior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protocol</x:t>
        </x:is>
      </x:c>
      <x:c r="H60" s="86" t="inlineStr">
        <x:is>
          <x:t xml:space="preserve">covered</x:t>
        </x:is>
      </x:c>
      <x:c r="I60" s="84" t="inlineStr">
        <x:is>
          <x:t xml:space="preserve">manual-tests/pagination.md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Anatomy</x:t>
        </x:is>
      </x:c>
      <x:c r="C61" s="84" t="inlineStr">
        <x:is>
          <x:t xml:space="preserve">Previous</x:t>
        </x:is>
      </x:c>
      <x:c r="D61" s="84" t="inlineStr">
        <x:is>
          <x:t xml:space="preserve">owns generated outer list item wrapper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protocol</x:t>
        </x:is>
      </x:c>
      <x:c r="H61" s="86" t="inlineStr">
        <x:is>
          <x:t xml:space="preserve">covered</x:t>
        </x:is>
      </x:c>
      <x:c r="I61" s="84" t="inlineStr">
        <x:is>
          <x:t xml:space="preserve">manual-tests/pagination.md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Identity</x:t>
        </x:is>
      </x:c>
      <x:c r="C62" s="84" t="inlineStr">
        <x:is>
          <x:t xml:space="preserve">Previous</x:t>
        </x:is>
      </x:c>
      <x:c r="D62" s="84" t="inlineStr">
        <x:is>
          <x:t xml:space="preserve">generated outer wrapper has data-slot="pagination-list-item"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protocol</x:t>
        </x:is>
      </x:c>
      <x:c r="H62" s="86" t="inlineStr">
        <x:is>
          <x:t xml:space="preserve">covered</x:t>
        </x:is>
      </x:c>
      <x:c r="I62" s="84" t="inlineStr">
        <x:is>
          <x:t xml:space="preserve">manual-tests/pagination.md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30" customHeight="1">
      <x:c r="A63" s="73" t="n">
        <x:v>55</x:v>
      </x:c>
      <x:c r="B63" s="84" t="inlineStr">
        <x:is>
          <x:t xml:space="preserve">Anatomy</x:t>
        </x:is>
      </x:c>
      <x:c r="C63" s="84" t="inlineStr">
        <x:is>
          <x:t xml:space="preserve">Item</x:t>
        </x:is>
      </x:c>
      <x:c r="D63" s="84" t="inlineStr">
        <x:is>
          <x:t xml:space="preserve">owns generated outer list item wrapper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protocol</x:t>
        </x:is>
      </x:c>
      <x:c r="H63" s="86" t="inlineStr">
        <x:is>
          <x:t xml:space="preserve">covered</x:t>
        </x:is>
      </x:c>
      <x:c r="I63" s="84" t="inlineStr">
        <x:is>
          <x:t xml:space="preserve">manual-tests/pagination.md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Identity</x:t>
        </x:is>
      </x:c>
      <x:c r="C64" s="84" t="inlineStr">
        <x:is>
          <x:t xml:space="preserve">Item</x:t>
        </x:is>
      </x:c>
      <x:c r="D64" s="84" t="inlineStr">
        <x:is>
          <x:t xml:space="preserve">generated outer wrapper has data-slot="pagination-list-item"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protocol</x:t>
        </x:is>
      </x:c>
      <x:c r="H64" s="86" t="inlineStr">
        <x:is>
          <x:t xml:space="preserve">covered</x:t>
        </x:is>
      </x:c>
      <x:c r="I64" s="84" t="inlineStr">
        <x:is>
          <x:t xml:space="preserve">manual-tests/pagination.md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Anatomy</x:t>
        </x:is>
      </x:c>
      <x:c r="C65" s="84" t="inlineStr">
        <x:is>
          <x:t xml:space="preserve">Ellipsis</x:t>
        </x:is>
      </x:c>
      <x:c r="D65" s="84" t="inlineStr">
        <x:is>
          <x:t xml:space="preserve">owns generated outer list item wrapper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protocol</x:t>
        </x:is>
      </x:c>
      <x:c r="H65" s="86" t="inlineStr">
        <x:is>
          <x:t xml:space="preserve">covered</x:t>
        </x:is>
      </x:c>
      <x:c r="I65" s="84" t="inlineStr">
        <x:is>
          <x:t xml:space="preserve">manual-tests/pagination.md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Identity</x:t>
        </x:is>
      </x:c>
      <x:c r="C66" s="84" t="inlineStr">
        <x:is>
          <x:t xml:space="preserve">Ellipsis</x:t>
        </x:is>
      </x:c>
      <x:c r="D66" s="84" t="inlineStr">
        <x:is>
          <x:t xml:space="preserve">generated outer wrapper has data-slot="pagination-list-item"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protocol</x:t>
        </x:is>
      </x:c>
      <x:c r="H66" s="86" t="inlineStr">
        <x:is>
          <x:t xml:space="preserve">covered</x:t>
        </x:is>
      </x:c>
      <x:c r="I66" s="84" t="inlineStr">
        <x:is>
          <x:t xml:space="preserve">manual-tests/pagination.md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Anatomy</x:t>
        </x:is>
      </x:c>
      <x:c r="C67" s="84" t="inlineStr">
        <x:is>
          <x:t xml:space="preserve">Ellipsis</x:t>
        </x:is>
      </x:c>
      <x:c r="D67" s="84" t="inlineStr">
        <x:is>
          <x:t xml:space="preserve">renders correct part when expected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protocol</x:t>
        </x:is>
      </x:c>
      <x:c r="H67" s="86" t="inlineStr">
        <x:is>
          <x:t xml:space="preserve">covered</x:t>
        </x:is>
      </x:c>
      <x:c r="I67" s="84" t="inlineStr">
        <x:is>
          <x:t xml:space="preserve">manual-tests/pagination.md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Anatomy</x:t>
        </x:is>
      </x:c>
      <x:c r="C68" s="84" t="inlineStr">
        <x:is>
          <x:t xml:space="preserve">Ellipsis</x:t>
        </x:is>
      </x:c>
      <x:c r="D68" s="84" t="inlineStr">
        <x:is>
          <x:t xml:space="preserve">appears in documented order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protocol</x:t>
        </x:is>
      </x:c>
      <x:c r="H68" s="86" t="inlineStr">
        <x:is>
          <x:t xml:space="preserve">covered</x:t>
        </x:is>
      </x:c>
      <x:c r="I68" s="84" t="inlineStr">
        <x:is>
          <x:t xml:space="preserve">manual-tests/pagination.md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30" customHeight="1">
      <x:c r="A69" s="73" t="n">
        <x:v>61</x:v>
      </x:c>
      <x:c r="B69" s="84" t="inlineStr">
        <x:is>
          <x:t xml:space="preserve">Identity</x:t>
        </x:is>
      </x:c>
      <x:c r="C69" s="84" t="inlineStr">
        <x:is>
          <x:t xml:space="preserve">Ellipsis</x:t>
        </x:is>
      </x:c>
      <x:c r="D69" s="84" t="inlineStr">
        <x:is>
          <x:t xml:space="preserve">default tag is visible in Anatomy/Inspector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protocol</x:t>
        </x:is>
      </x:c>
      <x:c r="H69" s="86" t="inlineStr">
        <x:is>
          <x:t xml:space="preserve">covered</x:t>
        </x:is>
      </x:c>
      <x:c r="I69" s="84" t="inlineStr">
        <x:is>
          <x:t xml:space="preserve">manual-tests/pagination.md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Identity</x:t>
        </x:is>
      </x:c>
      <x:c r="C70" s="84" t="inlineStr">
        <x:is>
          <x:t xml:space="preserve">Ellipsis</x:t>
        </x:is>
      </x:c>
      <x:c r="D70" s="84" t="inlineStr">
        <x:is>
          <x:t xml:space="preserve">data-slot is present and correct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protocol</x:t>
        </x:is>
      </x:c>
      <x:c r="H70" s="86" t="inlineStr">
        <x:is>
          <x:t xml:space="preserve">covered</x:t>
        </x:is>
      </x:c>
      <x:c r="I70" s="84" t="inlineStr">
        <x:is>
          <x:t xml:space="preserve">manual-tests/pagination.md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Props</x:t>
        </x:is>
      </x:c>
      <x:c r="C71" s="84" t="inlineStr">
        <x:is>
          <x:t xml:space="preserve">Ellipsis</x:t>
        </x:is>
      </x:c>
      <x:c r="D71" s="84" t="inlineStr">
        <x:is>
          <x:t xml:space="preserve">non-Atom native props pass through with data-prop-check marker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protocol</x:t>
        </x:is>
      </x:c>
      <x:c r="H71" s="86" t="inlineStr">
        <x:is>
          <x:t xml:space="preserve">covered</x:t>
        </x:is>
      </x:c>
      <x:c r="I71" s="84" t="inlineStr">
        <x:is>
          <x:t xml:space="preserve">manual-tests/pagination.md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Refs</x:t>
        </x:is>
      </x:c>
      <x:c r="C72" s="84" t="inlineStr">
        <x:is>
          <x:t xml:space="preserve">Ellipsis</x:t>
        </x:is>
      </x:c>
      <x:c r="D72" s="84" t="inlineStr">
        <x:is>
          <x:t xml:space="preserve">consumer ref receives the rendered element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protocol</x:t>
        </x:is>
      </x:c>
      <x:c r="H72" s="86" t="inlineStr">
        <x:is>
          <x:t xml:space="preserve">covered</x:t>
        </x:is>
      </x:c>
      <x:c r="I72" s="84" t="inlineStr">
        <x:is>
          <x:t xml:space="preserve">manual-tests/pagination.md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Composition</x:t>
        </x:is>
      </x:c>
      <x:c r="C73" s="84" t="inlineStr">
        <x:is>
          <x:t xml:space="preserve">Ellipsis</x:t>
        </x:is>
      </x:c>
      <x:c r="D73" s="84" t="inlineStr">
        <x:is>
          <x:t xml:space="preserve">asChild prop behavior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protocol</x:t>
        </x:is>
      </x:c>
      <x:c r="H73" s="86" t="inlineStr">
        <x:is>
          <x:t xml:space="preserve">covered</x:t>
        </x:is>
      </x:c>
      <x:c r="I73" s="84" t="inlineStr">
        <x:is>
          <x:t xml:space="preserve">manual-tests/pagination.md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Composition</x:t>
        </x:is>
      </x:c>
      <x:c r="C74" s="84" t="inlineStr">
        <x:is>
          <x:t xml:space="preserve">Ellipsis</x:t>
        </x:is>
      </x:c>
      <x:c r="D74" s="84" t="inlineStr">
        <x:is>
          <x:t xml:space="preserve">render prop behavior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protocol</x:t>
        </x:is>
      </x:c>
      <x:c r="H74" s="86" t="inlineStr">
        <x:is>
          <x:t xml:space="preserve">covered</x:t>
        </x:is>
      </x:c>
      <x:c r="I74" s="84" t="inlineStr">
        <x:is>
          <x:t xml:space="preserve">manual-tests/pagination.md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Public API</x:t>
        </x:is>
      </x:c>
      <x:c r="C75" s="84" t="inlineStr">
        <x:is>
          <x:t xml:space="preserve">Ellipsis</x:t>
        </x:is>
      </x:c>
      <x:c r="D75" s="84" t="inlineStr">
        <x:is>
          <x:t xml:space="preserve">[data-slot] prop behavior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protocol</x:t>
        </x:is>
      </x:c>
      <x:c r="H75" s="86" t="inlineStr">
        <x:is>
          <x:t xml:space="preserve">covered</x:t>
        </x:is>
      </x:c>
      <x:c r="I75" s="84" t="inlineStr">
        <x:is>
          <x:t xml:space="preserve">manual-tests/pagination.md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Anatomy</x:t>
        </x:is>
      </x:c>
      <x:c r="C76" s="84" t="inlineStr">
        <x:is>
          <x:t xml:space="preserve">Next</x:t>
        </x:is>
      </x:c>
      <x:c r="D76" s="84" t="inlineStr">
        <x:is>
          <x:t xml:space="preserve">renders correct part when expected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protocol</x:t>
        </x:is>
      </x:c>
      <x:c r="H76" s="86" t="inlineStr">
        <x:is>
          <x:t xml:space="preserve">covered</x:t>
        </x:is>
      </x:c>
      <x:c r="I76" s="84" t="inlineStr">
        <x:is>
          <x:t xml:space="preserve">manual-tests/pagination.md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Anatomy</x:t>
        </x:is>
      </x:c>
      <x:c r="C77" s="84" t="inlineStr">
        <x:is>
          <x:t xml:space="preserve">Next</x:t>
        </x:is>
      </x:c>
      <x:c r="D77" s="84" t="inlineStr">
        <x:is>
          <x:t xml:space="preserve">appears in documented order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protocol</x:t>
        </x:is>
      </x:c>
      <x:c r="H77" s="86" t="inlineStr">
        <x:is>
          <x:t xml:space="preserve">covered</x:t>
        </x:is>
      </x:c>
      <x:c r="I77" s="84" t="inlineStr">
        <x:is>
          <x:t xml:space="preserve">manual-tests/pagination.md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30" customHeight="1">
      <x:c r="A78" s="73" t="n">
        <x:v>70</x:v>
      </x:c>
      <x:c r="B78" s="84" t="inlineStr">
        <x:is>
          <x:t xml:space="preserve">Identity</x:t>
        </x:is>
      </x:c>
      <x:c r="C78" s="84" t="inlineStr">
        <x:is>
          <x:t xml:space="preserve">Next</x:t>
        </x:is>
      </x:c>
      <x:c r="D78" s="84" t="inlineStr">
        <x:is>
          <x:t xml:space="preserve">default tag is visible in Anatomy/Inspector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protocol</x:t>
        </x:is>
      </x:c>
      <x:c r="H78" s="86" t="inlineStr">
        <x:is>
          <x:t xml:space="preserve">covered</x:t>
        </x:is>
      </x:c>
      <x:c r="I78" s="84" t="inlineStr">
        <x:is>
          <x:t xml:space="preserve">manual-tests/pagination.md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Identity</x:t>
        </x:is>
      </x:c>
      <x:c r="C79" s="84" t="inlineStr">
        <x:is>
          <x:t xml:space="preserve">Next</x:t>
        </x:is>
      </x:c>
      <x:c r="D79" s="84" t="inlineStr">
        <x:is>
          <x:t xml:space="preserve">data-slot is present and correct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protocol</x:t>
        </x:is>
      </x:c>
      <x:c r="H79" s="86" t="inlineStr">
        <x:is>
          <x:t xml:space="preserve">covered</x:t>
        </x:is>
      </x:c>
      <x:c r="I79" s="84" t="inlineStr">
        <x:is>
          <x:t xml:space="preserve">manual-tests/pagination.md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Props</x:t>
        </x:is>
      </x:c>
      <x:c r="C80" s="84" t="inlineStr">
        <x:is>
          <x:t xml:space="preserve">Next</x:t>
        </x:is>
      </x:c>
      <x:c r="D80" s="84" t="inlineStr">
        <x:is>
          <x:t xml:space="preserve">non-Atom native props pass through with data-prop-check marker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protocol</x:t>
        </x:is>
      </x:c>
      <x:c r="H80" s="86" t="inlineStr">
        <x:is>
          <x:t xml:space="preserve">covered</x:t>
        </x:is>
      </x:c>
      <x:c r="I80" s="84" t="inlineStr">
        <x:is>
          <x:t xml:space="preserve">manual-tests/pagination.md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Refs</x:t>
        </x:is>
      </x:c>
      <x:c r="C81" s="84" t="inlineStr">
        <x:is>
          <x:t xml:space="preserve">Next</x:t>
        </x:is>
      </x:c>
      <x:c r="D81" s="84" t="inlineStr">
        <x:is>
          <x:t xml:space="preserve">consumer ref receives the rendered element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protocol</x:t>
        </x:is>
      </x:c>
      <x:c r="H81" s="86" t="inlineStr">
        <x:is>
          <x:t xml:space="preserve">covered</x:t>
        </x:is>
      </x:c>
      <x:c r="I81" s="84" t="inlineStr">
        <x:is>
          <x:t xml:space="preserve">manual-tests/pagination.md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Accessibility</x:t>
        </x:is>
      </x:c>
      <x:c r="C82" s="84" t="inlineStr">
        <x:is>
          <x:t xml:space="preserve">Next</x:t>
        </x:is>
      </x:c>
      <x:c r="D82" s="84" t="inlineStr">
        <x:is>
          <x:t xml:space="preserve">aria-label prop behavior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protocol</x:t>
        </x:is>
      </x:c>
      <x:c r="H82" s="86" t="inlineStr">
        <x:is>
          <x:t xml:space="preserve">covered</x:t>
        </x:is>
      </x:c>
      <x:c r="I82" s="84" t="inlineStr">
        <x:is>
          <x:t xml:space="preserve">manual-tests/pagination.md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Composition</x:t>
        </x:is>
      </x:c>
      <x:c r="C83" s="84" t="inlineStr">
        <x:is>
          <x:t xml:space="preserve">Next</x:t>
        </x:is>
      </x:c>
      <x:c r="D83" s="84" t="inlineStr">
        <x:is>
          <x:t xml:space="preserve">asChild prop behavior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protocol</x:t>
        </x:is>
      </x:c>
      <x:c r="H83" s="86" t="inlineStr">
        <x:is>
          <x:t xml:space="preserve">covered</x:t>
        </x:is>
      </x:c>
      <x:c r="I83" s="84" t="inlineStr">
        <x:is>
          <x:t xml:space="preserve">manual-tests/pagination.md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Composition</x:t>
        </x:is>
      </x:c>
      <x:c r="C84" s="84" t="inlineStr">
        <x:is>
          <x:t xml:space="preserve">Next</x:t>
        </x:is>
      </x:c>
      <x:c r="D84" s="84" t="inlineStr">
        <x:is>
          <x:t xml:space="preserve">render prop behavior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protocol</x:t>
        </x:is>
      </x:c>
      <x:c r="H84" s="86" t="inlineStr">
        <x:is>
          <x:t xml:space="preserve">covered</x:t>
        </x:is>
      </x:c>
      <x:c r="I84" s="84" t="inlineStr">
        <x:is>
          <x:t xml:space="preserve">manual-tests/pagination.md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Public API</x:t>
        </x:is>
      </x:c>
      <x:c r="C85" s="84" t="inlineStr">
        <x:is>
          <x:t xml:space="preserve">Next</x:t>
        </x:is>
      </x:c>
      <x:c r="D85" s="84" t="inlineStr">
        <x:is>
          <x:t xml:space="preserve">[data-slot] prop behavior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protocol</x:t>
        </x:is>
      </x:c>
      <x:c r="H85" s="86" t="inlineStr">
        <x:is>
          <x:t xml:space="preserve">covered</x:t>
        </x:is>
      </x:c>
      <x:c r="I85" s="84" t="inlineStr">
        <x:is>
          <x:t xml:space="preserve">manual-tests/pagination.md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Public API</x:t>
        </x:is>
      </x:c>
      <x:c r="C86" s="84" t="inlineStr">
        <x:is>
          <x:t xml:space="preserve">Next</x:t>
        </x:is>
      </x:c>
      <x:c r="D86" s="84" t="inlineStr">
        <x:is>
          <x:t xml:space="preserve">[data-direction] prop behavior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protocol</x:t>
        </x:is>
      </x:c>
      <x:c r="H86" s="86" t="inlineStr">
        <x:is>
          <x:t xml:space="preserve">covered</x:t>
        </x:is>
      </x:c>
      <x:c r="I86" s="84" t="inlineStr">
        <x:is>
          <x:t xml:space="preserve">manual-tests/pagination.md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State</x:t>
        </x:is>
      </x:c>
      <x:c r="C87" s="84" t="inlineStr">
        <x:is>
          <x:t xml:space="preserve">Next</x:t>
        </x:is>
      </x:c>
      <x:c r="D87" s="84" t="inlineStr">
        <x:is>
          <x:t xml:space="preserve">[data-disabled] prop behavior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protocol</x:t>
        </x:is>
      </x:c>
      <x:c r="H87" s="86" t="inlineStr">
        <x:is>
          <x:t xml:space="preserve">covered</x:t>
        </x:is>
      </x:c>
      <x:c r="I87" s="84" t="inlineStr">
        <x:is>
          <x:t xml:space="preserve">manual-tests/pagination.md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Anatomy</x:t>
        </x:is>
      </x:c>
      <x:c r="C88" s="84" t="inlineStr">
        <x:is>
          <x:t xml:space="preserve">Previous</x:t>
        </x:is>
      </x:c>
      <x:c r="D88" s="84" t="inlineStr">
        <x:is>
          <x:t xml:space="preserve">renders correct part when expected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protocol</x:t>
        </x:is>
      </x:c>
      <x:c r="H88" s="86" t="inlineStr">
        <x:is>
          <x:t xml:space="preserve">covered</x:t>
        </x:is>
      </x:c>
      <x:c r="I88" s="84" t="inlineStr">
        <x:is>
          <x:t xml:space="preserve">manual-tests/pagination.md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Anatomy</x:t>
        </x:is>
      </x:c>
      <x:c r="C89" s="84" t="inlineStr">
        <x:is>
          <x:t xml:space="preserve">Previous</x:t>
        </x:is>
      </x:c>
      <x:c r="D89" s="84" t="inlineStr">
        <x:is>
          <x:t xml:space="preserve">appears in documented order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protocol</x:t>
        </x:is>
      </x:c>
      <x:c r="H89" s="86" t="inlineStr">
        <x:is>
          <x:t xml:space="preserve">covered</x:t>
        </x:is>
      </x:c>
      <x:c r="I89" s="84" t="inlineStr">
        <x:is>
          <x:t xml:space="preserve">manual-tests/pagination.md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30" customHeight="1">
      <x:c r="A90" s="73" t="n">
        <x:v>82</x:v>
      </x:c>
      <x:c r="B90" s="84" t="inlineStr">
        <x:is>
          <x:t xml:space="preserve">Identity</x:t>
        </x:is>
      </x:c>
      <x:c r="C90" s="84" t="inlineStr">
        <x:is>
          <x:t xml:space="preserve">Previous</x:t>
        </x:is>
      </x:c>
      <x:c r="D90" s="84" t="inlineStr">
        <x:is>
          <x:t xml:space="preserve">default tag is visible in Anatomy/Inspector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protocol</x:t>
        </x:is>
      </x:c>
      <x:c r="H90" s="86" t="inlineStr">
        <x:is>
          <x:t xml:space="preserve">covered</x:t>
        </x:is>
      </x:c>
      <x:c r="I90" s="84" t="inlineStr">
        <x:is>
          <x:t xml:space="preserve">manual-tests/pagination.md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Identity</x:t>
        </x:is>
      </x:c>
      <x:c r="C91" s="84" t="inlineStr">
        <x:is>
          <x:t xml:space="preserve">Previous</x:t>
        </x:is>
      </x:c>
      <x:c r="D91" s="84" t="inlineStr">
        <x:is>
          <x:t xml:space="preserve">data-slot is present and correct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protocol</x:t>
        </x:is>
      </x:c>
      <x:c r="H91" s="86" t="inlineStr">
        <x:is>
          <x:t xml:space="preserve">covered</x:t>
        </x:is>
      </x:c>
      <x:c r="I91" s="84" t="inlineStr">
        <x:is>
          <x:t xml:space="preserve">manual-tests/pagination.md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Props</x:t>
        </x:is>
      </x:c>
      <x:c r="C92" s="84" t="inlineStr">
        <x:is>
          <x:t xml:space="preserve">Previous</x:t>
        </x:is>
      </x:c>
      <x:c r="D92" s="84" t="inlineStr">
        <x:is>
          <x:t xml:space="preserve">non-Atom native props pass through with data-prop-check marker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protocol</x:t>
        </x:is>
      </x:c>
      <x:c r="H92" s="86" t="inlineStr">
        <x:is>
          <x:t xml:space="preserve">covered</x:t>
        </x:is>
      </x:c>
      <x:c r="I92" s="84" t="inlineStr">
        <x:is>
          <x:t xml:space="preserve">manual-tests/pagination.md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Refs</x:t>
        </x:is>
      </x:c>
      <x:c r="C93" s="84" t="inlineStr">
        <x:is>
          <x:t xml:space="preserve">Previous</x:t>
        </x:is>
      </x:c>
      <x:c r="D93" s="84" t="inlineStr">
        <x:is>
          <x:t xml:space="preserve">consumer ref receives the rendered element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protocol</x:t>
        </x:is>
      </x:c>
      <x:c r="H93" s="86" t="inlineStr">
        <x:is>
          <x:t xml:space="preserve">covered</x:t>
        </x:is>
      </x:c>
      <x:c r="I93" s="84" t="inlineStr">
        <x:is>
          <x:t xml:space="preserve">manual-tests/pagination.md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Accessibility</x:t>
        </x:is>
      </x:c>
      <x:c r="C94" s="84" t="inlineStr">
        <x:is>
          <x:t xml:space="preserve">Previous</x:t>
        </x:is>
      </x:c>
      <x:c r="D94" s="84" t="inlineStr">
        <x:is>
          <x:t xml:space="preserve">aria-label prop behavior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protocol</x:t>
        </x:is>
      </x:c>
      <x:c r="H94" s="86" t="inlineStr">
        <x:is>
          <x:t xml:space="preserve">covered</x:t>
        </x:is>
      </x:c>
      <x:c r="I94" s="84" t="inlineStr">
        <x:is>
          <x:t xml:space="preserve">manual-tests/pagination.md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Composition</x:t>
        </x:is>
      </x:c>
      <x:c r="C95" s="84" t="inlineStr">
        <x:is>
          <x:t xml:space="preserve">Previous</x:t>
        </x:is>
      </x:c>
      <x:c r="D95" s="84" t="inlineStr">
        <x:is>
          <x:t xml:space="preserve">asChild prop behavior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protocol</x:t>
        </x:is>
      </x:c>
      <x:c r="H95" s="86" t="inlineStr">
        <x:is>
          <x:t xml:space="preserve">covered</x:t>
        </x:is>
      </x:c>
      <x:c r="I95" s="84" t="inlineStr">
        <x:is>
          <x:t xml:space="preserve">manual-tests/pagination.md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Composition</x:t>
        </x:is>
      </x:c>
      <x:c r="C96" s="84" t="inlineStr">
        <x:is>
          <x:t xml:space="preserve">Previous</x:t>
        </x:is>
      </x:c>
      <x:c r="D96" s="84" t="inlineStr">
        <x:is>
          <x:t xml:space="preserve">render prop behavior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protocol</x:t>
        </x:is>
      </x:c>
      <x:c r="H96" s="86" t="inlineStr">
        <x:is>
          <x:t xml:space="preserve">covered</x:t>
        </x:is>
      </x:c>
      <x:c r="I96" s="84" t="inlineStr">
        <x:is>
          <x:t xml:space="preserve">manual-tests/pagination.md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Public API</x:t>
        </x:is>
      </x:c>
      <x:c r="C97" s="84" t="inlineStr">
        <x:is>
          <x:t xml:space="preserve">Previous</x:t>
        </x:is>
      </x:c>
      <x:c r="D97" s="84" t="inlineStr">
        <x:is>
          <x:t xml:space="preserve">[data-slot] prop behavior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protocol</x:t>
        </x:is>
      </x:c>
      <x:c r="H97" s="86" t="inlineStr">
        <x:is>
          <x:t xml:space="preserve">covered</x:t>
        </x:is>
      </x:c>
      <x:c r="I97" s="84" t="inlineStr">
        <x:is>
          <x:t xml:space="preserve">manual-tests/pagination.md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Public API</x:t>
        </x:is>
      </x:c>
      <x:c r="C98" s="84" t="inlineStr">
        <x:is>
          <x:t xml:space="preserve">Previous</x:t>
        </x:is>
      </x:c>
      <x:c r="D98" s="84" t="inlineStr">
        <x:is>
          <x:t xml:space="preserve">[data-direction] prop behavior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protocol</x:t>
        </x:is>
      </x:c>
      <x:c r="H98" s="86" t="inlineStr">
        <x:is>
          <x:t xml:space="preserve">covered</x:t>
        </x:is>
      </x:c>
      <x:c r="I98" s="84" t="inlineStr">
        <x:is>
          <x:t xml:space="preserve">manual-tests/pagination.md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State</x:t>
        </x:is>
      </x:c>
      <x:c r="C99" s="84" t="inlineStr">
        <x:is>
          <x:t xml:space="preserve">Previous</x:t>
        </x:is>
      </x:c>
      <x:c r="D99" s="84" t="inlineStr">
        <x:is>
          <x:t xml:space="preserve">[data-disabled] prop behavior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protocol</x:t>
        </x:is>
      </x:c>
      <x:c r="H99" s="86" t="inlineStr">
        <x:is>
          <x:t xml:space="preserve">covered</x:t>
        </x:is>
      </x:c>
      <x:c r="I99" s="84" t="inlineStr">
        <x:is>
          <x:t xml:space="preserve">manual-tests/pagination.md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Anatomy</x:t>
        </x:is>
      </x:c>
      <x:c r="C100" s="84" t="inlineStr">
        <x:is>
          <x:t xml:space="preserve">Next</x:t>
        </x:is>
      </x:c>
      <x:c r="D100" s="84" t="inlineStr">
        <x:is>
          <x:t xml:space="preserve">owns generated outer list item wrapper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protocol</x:t>
        </x:is>
      </x:c>
      <x:c r="H100" s="86" t="inlineStr">
        <x:is>
          <x:t xml:space="preserve">covered</x:t>
        </x:is>
      </x:c>
      <x:c r="I100" s="84" t="inlineStr">
        <x:is>
          <x:t xml:space="preserve">manual-tests/pagination.md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Identity</x:t>
        </x:is>
      </x:c>
      <x:c r="C101" s="84" t="inlineStr">
        <x:is>
          <x:t xml:space="preserve">Next</x:t>
        </x:is>
      </x:c>
      <x:c r="D101" s="84" t="inlineStr">
        <x:is>
          <x:t xml:space="preserve">generated outer wrapper has data-slot="pagination-list-item"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protocol</x:t>
        </x:is>
      </x:c>
      <x:c r="H101" s="86" t="inlineStr">
        <x:is>
          <x:t xml:space="preserve">covered</x:t>
        </x:is>
      </x:c>
      <x:c r="I101" s="84" t="inlineStr">
        <x:is>
          <x:t xml:space="preserve">manual-tests/pagination.md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ARIA</x:t>
        </x:is>
      </x:c>
      <x:c r="C102" s="84" t="inlineStr">
        <x:is>
          <x:t xml:space="preserve">Live DOM</x:t>
        </x:is>
      </x:c>
      <x:c r="D102" s="84" t="inlineStr">
        <x:is>
          <x:t xml:space="preserve">aria-current is present at the correct time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protocol</x:t>
        </x:is>
      </x:c>
      <x:c r="H102" s="86" t="inlineStr">
        <x:is>
          <x:t xml:space="preserve">covered</x:t>
        </x:is>
      </x:c>
      <x:c r="I102" s="84" t="inlineStr">
        <x:is>
          <x:t xml:space="preserve">manual-tests/pagination.md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ARIA</x:t>
        </x:is>
      </x:c>
      <x:c r="C103" s="84" t="inlineStr">
        <x:is>
          <x:t xml:space="preserve">Live DOM</x:t>
        </x:is>
      </x:c>
      <x:c r="D103" s="84" t="inlineStr">
        <x:is>
          <x:t xml:space="preserve">aria-hidden is present at the correct time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protocol</x:t>
        </x:is>
      </x:c>
      <x:c r="H103" s="86" t="inlineStr">
        <x:is>
          <x:t xml:space="preserve">covered</x:t>
        </x:is>
      </x:c>
      <x:c r="I103" s="84" t="inlineStr">
        <x:is>
          <x:t xml:space="preserve">manual-tests/pagination.md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ARIA</x:t>
        </x:is>
      </x:c>
      <x:c r="C104" s="84" t="inlineStr">
        <x:is>
          <x:t xml:space="preserve">Live DOM</x:t>
        </x:is>
      </x:c>
      <x:c r="D104" s="84" t="inlineStr">
        <x:is>
          <x:t xml:space="preserve">aria-label is present at the correct time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protocol</x:t>
        </x:is>
      </x:c>
      <x:c r="H104" s="86" t="inlineStr">
        <x:is>
          <x:t xml:space="preserve">covered</x:t>
        </x:is>
      </x:c>
      <x:c r="I104" s="84" t="inlineStr">
        <x:is>
          <x:t xml:space="preserve">manual-tests/pagination.md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Data</x:t>
        </x:is>
      </x:c>
      <x:c r="C105" s="84" t="inlineStr">
        <x:is>
          <x:t xml:space="preserve">Live DOM</x:t>
        </x:is>
      </x:c>
      <x:c r="D105" s="84" t="inlineStr">
        <x:is>
          <x:t xml:space="preserve">data-direction is present at the correct time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protocol</x:t>
        </x:is>
      </x:c>
      <x:c r="H105" s="86" t="inlineStr">
        <x:is>
          <x:t xml:space="preserve">covered</x:t>
        </x:is>
      </x:c>
      <x:c r="I105" s="84" t="inlineStr">
        <x:is>
          <x:t xml:space="preserve">manual-tests/pagination.md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Data</x:t>
        </x:is>
      </x:c>
      <x:c r="C106" s="84" t="inlineStr">
        <x:is>
          <x:t xml:space="preserve">Live DOM</x:t>
        </x:is>
      </x:c>
      <x:c r="D106" s="84" t="inlineStr">
        <x:is>
          <x:t xml:space="preserve">data-disabled is present at the correct time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protocol</x:t>
        </x:is>
      </x:c>
      <x:c r="H106" s="86" t="inlineStr">
        <x:is>
          <x:t xml:space="preserve">covered</x:t>
        </x:is>
      </x:c>
      <x:c r="I106" s="84" t="inlineStr">
        <x:is>
          <x:t xml:space="preserve">manual-tests/pagination.md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Data</x:t>
        </x:is>
      </x:c>
      <x:c r="C107" s="84" t="inlineStr">
        <x:is>
          <x:t xml:space="preserve">Live DOM</x:t>
        </x:is>
      </x:c>
      <x:c r="D107" s="84" t="inlineStr">
        <x:is>
          <x:t xml:space="preserve">data-page is present at the correct time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protocol</x:t>
        </x:is>
      </x:c>
      <x:c r="H107" s="86" t="inlineStr">
        <x:is>
          <x:t xml:space="preserve">covered</x:t>
        </x:is>
      </x:c>
      <x:c r="I107" s="84" t="inlineStr">
        <x:is>
          <x:t xml:space="preserve">manual-tests/pagination.md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30" customHeight="1">
      <x:c r="A108" s="73" t="n">
        <x:v>100</x:v>
      </x:c>
      <x:c r="B108" s="84" t="inlineStr">
        <x:is>
          <x:t xml:space="preserve">Data</x:t>
        </x:is>
      </x:c>
      <x:c r="C108" s="84" t="inlineStr">
        <x:is>
          <x:t xml:space="preserve">Live DOM</x:t>
        </x:is>
      </x:c>
      <x:c r="D108" s="84" t="inlineStr">
        <x:is>
          <x:t xml:space="preserve">data-slot is present at the correct time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protocol</x:t>
        </x:is>
      </x:c>
      <x:c r="H108" s="86" t="inlineStr">
        <x:is>
          <x:t xml:space="preserve">covered</x:t>
        </x:is>
      </x:c>
      <x:c r="I108" s="84" t="inlineStr">
        <x:is>
          <x:t xml:space="preserve">manual-tests/pagination.md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Data</x:t>
        </x:is>
      </x:c>
      <x:c r="C109" s="84" t="inlineStr">
        <x:is>
          <x:t xml:space="preserve">Live DOM</x:t>
        </x:is>
      </x:c>
      <x:c r="D109" s="84" t="inlineStr">
        <x:is>
          <x:t xml:space="preserve">data-state is present at the correct time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protocol</x:t>
        </x:is>
      </x:c>
      <x:c r="H109" s="86" t="inlineStr">
        <x:is>
          <x:t xml:space="preserve">covered</x:t>
        </x:is>
      </x:c>
      <x:c r="I109" s="84" t="inlineStr">
        <x:is>
          <x:t xml:space="preserve">manual-tests/pagination.md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Composition</x:t>
        </x:is>
      </x:c>
      <x:c r="C110" s="84" t="inlineStr">
        <x:is>
          <x:t xml:space="preserve">Pagination</x:t>
        </x:is>
      </x:c>
      <x:c r="D110" s="84" t="inlineStr">
        <x:is>
          <x:t xml:space="preserve">asChild preserves child content without double nesting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manual protocol</x:t>
        </x:is>
      </x:c>
      <x:c r="H110" s="86" t="inlineStr">
        <x:is>
          <x:t xml:space="preserve">covered</x:t>
        </x:is>
      </x:c>
      <x:c r="I110" s="84" t="inlineStr">
        <x:is>
          <x:t xml:space="preserve">manual-tests/pagination.md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Composition</x:t>
        </x:is>
      </x:c>
      <x:c r="C111" s="84" t="inlineStr">
        <x:is>
          <x:t xml:space="preserve">Pagination</x:t>
        </x:is>
      </x:c>
      <x:c r="D111" s="84" t="inlineStr">
        <x:is>
          <x:t xml:space="preserve">asChild merges Atom props and consumer props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 manual protocol</x:t>
        </x:is>
      </x:c>
      <x:c r="H111" s="86" t="inlineStr">
        <x:is>
          <x:t xml:space="preserve">covered</x:t>
        </x:is>
      </x:c>
      <x:c r="I111" s="84" t="inlineStr">
        <x:is>
          <x:t xml:space="preserve">manual-tests/pagination.md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Composition</x:t>
        </x:is>
      </x:c>
      <x:c r="C112" s="84" t="inlineStr">
        <x:is>
          <x:t xml:space="preserve">Pagination</x:t>
        </x:is>
      </x:c>
      <x:c r="D112" s="84" t="inlineStr">
        <x:is>
          <x:t xml:space="preserve">render prop renders custom element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 manual protocol</x:t>
        </x:is>
      </x:c>
      <x:c r="H112" s="86" t="inlineStr">
        <x:is>
          <x:t xml:space="preserve">covered</x:t>
        </x:is>
      </x:c>
      <x:c r="I112" s="84" t="inlineStr">
        <x:is>
          <x:t xml:space="preserve">manual-tests/pagination.md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15" customHeight="1">
      <x:c r="A113" s="73" t="n">
        <x:v>105</x:v>
      </x:c>
      <x:c r="B113" s="84" t="inlineStr">
        <x:is>
          <x:t xml:space="preserve">Composition</x:t>
        </x:is>
      </x:c>
      <x:c r="C113" s="84" t="inlineStr">
        <x:is>
          <x:t xml:space="preserve">Pagination</x:t>
        </x:is>
      </x:c>
      <x:c r="D113" s="84" t="inlineStr">
        <x:is>
          <x:t xml:space="preserve">render prop preserves refs and behavior props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 manual protocol</x:t>
        </x:is>
      </x:c>
      <x:c r="H113" s="86" t="inlineStr">
        <x:is>
          <x:t xml:space="preserve">covered</x:t>
        </x:is>
      </x:c>
      <x:c r="I113" s="84" t="inlineStr">
        <x:is>
          <x:t xml:space="preserve">manual-tests/pagination.md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15" customHeight="1">
      <x:c r="A114" s="73" t="n">
        <x:v>106</x:v>
      </x:c>
      <x:c r="B114" s="84" t="inlineStr">
        <x:is>
          <x:t xml:space="preserve">State</x:t>
        </x:is>
      </x:c>
      <x:c r="C114" s="84" t="inlineStr">
        <x:is>
          <x:t xml:space="preserve">Root</x:t>
        </x:is>
      </x:c>
      <x:c r="D114" s="84" t="inlineStr">
        <x:is>
          <x:t xml:space="preserve">controlled state path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 manual protocol</x:t>
        </x:is>
      </x:c>
      <x:c r="H114" s="86" t="inlineStr">
        <x:is>
          <x:t xml:space="preserve">covered</x:t>
        </x:is>
      </x:c>
      <x:c r="I114" s="84" t="inlineStr">
        <x:is>
          <x:t xml:space="preserve">manual-tests/pagination.md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15" customHeight="1">
      <x:c r="A115" s="73" t="n">
        <x:v>107</x:v>
      </x:c>
      <x:c r="B115" s="84" t="inlineStr">
        <x:is>
          <x:t xml:space="preserve">State</x:t>
        </x:is>
      </x:c>
      <x:c r="C115" s="84" t="inlineStr">
        <x:is>
          <x:t xml:space="preserve">Root</x:t>
        </x:is>
      </x:c>
      <x:c r="D115" s="84" t="inlineStr">
        <x:is>
          <x:t xml:space="preserve">uncontrolled default state path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 manual protocol</x:t>
        </x:is>
      </x:c>
      <x:c r="H115" s="86" t="inlineStr">
        <x:is>
          <x:t xml:space="preserve">covered</x:t>
        </x:is>
      </x:c>
      <x:c r="I115" s="84" t="inlineStr">
        <x:is>
          <x:t xml:space="preserve">manual-tests/pagination.md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State</x:t>
        </x:is>
      </x:c>
      <x:c r="C116" s="84" t="inlineStr">
        <x:is>
          <x:t xml:space="preserve">Root</x:t>
        </x:is>
      </x:c>
      <x:c r="D116" s="84" t="inlineStr">
        <x:is>
          <x:t xml:space="preserve">state change callback fires once with correct value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 manual protocol</x:t>
        </x:is>
      </x:c>
      <x:c r="H116" s="86" t="inlineStr">
        <x:is>
          <x:t xml:space="preserve">covered</x:t>
        </x:is>
      </x:c>
      <x:c r="I116" s="84" t="inlineStr">
        <x:is>
          <x:t xml:space="preserve">manual-tests/pagination.md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Keyboard</x:t>
        </x:is>
      </x:c>
      <x:c r="C117" s="84" t="inlineStr">
        <x:is>
          <x:t xml:space="preserve">Pagination</x:t>
        </x:is>
      </x:c>
      <x:c r="D117" s="84" t="inlineStr">
        <x:is>
          <x:t xml:space="preserve">normal Tab order skips disabled pagination buttons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 manual protocol</x:t>
        </x:is>
      </x:c>
      <x:c r="H117" s="86" t="inlineStr">
        <x:is>
          <x:t xml:space="preserve">covered</x:t>
        </x:is>
      </x:c>
      <x:c r="I117" s="84" t="inlineStr">
        <x:is>
          <x:t xml:space="preserve">manual-tests/pagination.md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64" customHeight="1">
      <x:c r="A118" s="137" t="n">
        <x:v>110</x:v>
      </x:c>
      <x:c r="B118" s="137" t="inlineStr">
        <x:is>
          <x:t xml:space="preserve">Controller</x:t>
        </x:is>
      </x:c>
      <x:c r="C118" s="137" t="inlineStr">
        <x:is>
          <x:t xml:space="preserve">Pagination</x:t>
        </x:is>
      </x:c>
      <x:c r="D118" s="137" t="inlineStr">
        <x:is>
          <x:t xml:space="preserve">Count and page-size state; total shrink and first-visible-record preservation</x:t>
        </x:is>
      </x:c>
      <x:c r="E118" s="137" t="inlineStr">
        <x:is>
          <x:t xml:space="preserve">yes</x:t>
        </x:is>
      </x:c>
      <x:c r="F118" s="137" t="inlineStr">
        <x:is>
          <x:t xml:space="preserve">no</x:t>
        </x:is>
      </x:c>
      <x:c r="G118" s="137" t="inlineStr">
        <x:is>
          <x:t xml:space="preserve">Manual requalification pending</x:t>
        </x:is>
      </x:c>
      <x:c r="H118" s="137" t="inlineStr">
        <x:is>
          <x:t xml:space="preserve">untested</x:t>
        </x:is>
      </x:c>
      <x:c r="I118" s="137" t="inlineStr">
        <x:is>
          <x:t xml:space="preserve">../test/primitives/pagination.test.mjs; manual-tests/pagination.md</x:t>
        </x:is>
      </x:c>
      <x:c r="J118" s="137" t="inlineStr">
        <x:is>
          <x:t xml:space="preserve">Automated source tests do not replace manual playground verification.</x:t>
        </x:is>
      </x:c>
      <x:c r="K118" s="137" t="n">
        <x:f>IF(AND(E118="yes",F118="yes",H118="covered"),1,IF(H118="partial",0.5,0))</x:f>
        <x:v>0</x:v>
      </x:c>
    </x:row>
    <x:row r="119" s="51" customFormat="1" ht="64" customHeight="1">
      <x:c r="A119" s="137" t="n">
        <x:v>111</x:v>
      </x:c>
      <x:c r="B119" s="137" t="inlineStr">
        <x:is>
          <x:t xml:space="preserve">Provider</x:t>
        </x:is>
      </x:c>
      <x:c r="C119" s="137" t="inlineStr">
        <x:is>
          <x:t xml:space="preserve">Pagination</x:t>
        </x:is>
      </x:c>
      <x:c r="D119" s="137" t="inlineStr">
        <x:is>
          <x:t xml:space="preserve">RootProvider and Context expose the same controller without duplicate state</x:t>
        </x:is>
      </x:c>
      <x:c r="E119" s="137" t="inlineStr">
        <x:is>
          <x:t xml:space="preserve">yes</x:t>
        </x:is>
      </x:c>
      <x:c r="F119" s="137" t="inlineStr">
        <x:is>
          <x:t xml:space="preserve">no</x:t>
        </x:is>
      </x:c>
      <x:c r="G119" s="137" t="inlineStr">
        <x:is>
          <x:t xml:space="preserve">Manual requalification pending</x:t>
        </x:is>
      </x:c>
      <x:c r="H119" s="137" t="inlineStr">
        <x:is>
          <x:t xml:space="preserve">untested</x:t>
        </x:is>
      </x:c>
      <x:c r="I119" s="137" t="inlineStr">
        <x:is>
          <x:t xml:space="preserve">../test/primitives/pagination.test.mjs; manual-tests/pagination.md</x:t>
        </x:is>
      </x:c>
      <x:c r="J119" s="137" t="inlineStr">
        <x:is>
          <x:t xml:space="preserve">Automated source tests do not replace manual playground verification.</x:t>
        </x:is>
      </x:c>
      <x:c r="K119" s="137" t="n">
        <x:f>IF(AND(E119="yes",F119="yes",H119="covered"),1,IF(H119="partial",0.5,0))</x:f>
        <x:v>0</x:v>
      </x:c>
    </x:row>
    <x:row r="120" s="51" customFormat="1" ht="64" customHeight="1">
      <x:c r="A120" s="137" t="n">
        <x:v>112</x:v>
      </x:c>
      <x:c r="B120" s="137" t="inlineStr">
        <x:is>
          <x:t xml:space="preserve">Range</x:t>
        </x:is>
      </x:c>
      <x:c r="C120" s="137" t="inlineStr">
        <x:is>
          <x:t xml:space="preserve">Pagination</x:t>
        </x:is>
      </x:c>
      <x:c r="D120" s="137" t="inlineStr">
        <x:is>
          <x:t xml:space="preserve">Empty range, safe integer totals, zero siblings/boundaries and local slice</x:t>
        </x:is>
      </x:c>
      <x:c r="E120" s="137" t="inlineStr">
        <x:is>
          <x:t xml:space="preserve">yes</x:t>
        </x:is>
      </x:c>
      <x:c r="F120" s="137" t="inlineStr">
        <x:is>
          <x:t xml:space="preserve">no</x:t>
        </x:is>
      </x:c>
      <x:c r="G120" s="137" t="inlineStr">
        <x:is>
          <x:t xml:space="preserve">Manual requalification pending</x:t>
        </x:is>
      </x:c>
      <x:c r="H120" s="137" t="inlineStr">
        <x:is>
          <x:t xml:space="preserve">untested</x:t>
        </x:is>
      </x:c>
      <x:c r="I120" s="137" t="inlineStr">
        <x:is>
          <x:t xml:space="preserve">../test/primitives/pagination.test.mjs; manual-tests/pagination.md</x:t>
        </x:is>
      </x:c>
      <x:c r="J120" s="137" t="inlineStr">
        <x:is>
          <x:t xml:space="preserve">Automated source tests do not replace manual playground verification.</x:t>
        </x:is>
      </x:c>
      <x:c r="K120" s="137" t="n">
        <x:f>IF(AND(E120="yes",F120="yes",H120="covered"),1,IF(H120="partial",0.5,0))</x:f>
        <x:v>0</x:v>
      </x:c>
    </x:row>
    <x:row r="121" s="51" customFormat="1" ht="64" customHeight="1">
      <x:c r="A121" s="137" t="n">
        <x:v>113</x:v>
      </x:c>
      <x:c r="B121" s="137" t="inlineStr">
        <x:is>
          <x:t xml:space="preserve">Controls</x:t>
        </x:is>
      </x:c>
      <x:c r="C121" s="137" t="inlineStr">
        <x:is>
          <x:t xml:space="preserve">Pagination</x:t>
        </x:is>
      </x:c>
      <x:c r="D121" s="137" t="inlineStr">
        <x:is>
          <x:t xml:space="preserve">First and Last support button/link modes and inert disabled destinations</x:t>
        </x:is>
      </x:c>
      <x:c r="E121" s="137" t="inlineStr">
        <x:is>
          <x:t xml:space="preserve">yes</x:t>
        </x:is>
      </x:c>
      <x:c r="F121" s="137" t="inlineStr">
        <x:is>
          <x:t xml:space="preserve">no</x:t>
        </x:is>
      </x:c>
      <x:c r="G121" s="137" t="inlineStr">
        <x:is>
          <x:t xml:space="preserve">Manual requalification pending</x:t>
        </x:is>
      </x:c>
      <x:c r="H121" s="137" t="inlineStr">
        <x:is>
          <x:t xml:space="preserve">untested</x:t>
        </x:is>
      </x:c>
      <x:c r="I121" s="137" t="inlineStr">
        <x:is>
          <x:t xml:space="preserve">../test/primitives/pagination.test.mjs; manual-tests/pagination.md</x:t>
        </x:is>
      </x:c>
      <x:c r="J121" s="137" t="inlineStr">
        <x:is>
          <x:t xml:space="preserve">Automated source tests do not replace manual playground verification.</x:t>
        </x:is>
      </x:c>
      <x:c r="K121" s="137" t="n">
        <x:f>IF(AND(E121="yes",F121="yes",H121="covered"),1,IF(H121="partial",0.5,0))</x:f>
        <x:v>0</x:v>
      </x:c>
    </x:row>
    <x:row r="122" s="51" customFormat="1" ht="64" customHeight="1">
      <x:c r="A122" s="137" t="n">
        <x:v>114</x:v>
      </x:c>
      <x:c r="B122" s="137" t="inlineStr">
        <x:is>
          <x:t xml:space="preserve">Composition</x:t>
        </x:is>
      </x:c>
      <x:c r="C122" s="137" t="inlineStr">
        <x:is>
          <x:t xml:space="preserve">Pagination</x:t>
        </x:is>
      </x:c>
      <x:c r="D122" s="137" t="inlineStr">
        <x:is>
          <x:t xml:space="preserve">Items custom rendering and ellipsis preserve real hosts; li exists only inside List</x:t>
        </x:is>
      </x:c>
      <x:c r="E122" s="137" t="inlineStr">
        <x:is>
          <x:t xml:space="preserve">yes</x:t>
        </x:is>
      </x:c>
      <x:c r="F122" s="137" t="inlineStr">
        <x:is>
          <x:t xml:space="preserve">no</x:t>
        </x:is>
      </x:c>
      <x:c r="G122" s="137" t="inlineStr">
        <x:is>
          <x:t xml:space="preserve">Manual requalification pending</x:t>
        </x:is>
      </x:c>
      <x:c r="H122" s="137" t="inlineStr">
        <x:is>
          <x:t xml:space="preserve">untested</x:t>
        </x:is>
      </x:c>
      <x:c r="I122" s="137" t="inlineStr">
        <x:is>
          <x:t xml:space="preserve">../test/primitives/pagination.test.mjs; manual-tests/pagination.md</x:t>
        </x:is>
      </x:c>
      <x:c r="J122" s="137" t="inlineStr">
        <x:is>
          <x:t xml:space="preserve">Automated source tests do not replace manual playground verification.</x:t>
        </x:is>
      </x:c>
      <x:c r="K122" s="137" t="n">
        <x:f>IF(AND(E122="yes",F122="yes",H122="covered"),1,IF(H122="partial",0.5,0))</x:f>
        <x:v>0</x:v>
      </x:c>
    </x:row>
    <x:row r="123" s="51" customFormat="1" ht="64" customHeight="1">
      <x:c r="A123" s="137" t="n">
        <x:v>115</x:v>
      </x:c>
      <x:c r="B123" s="137" t="inlineStr">
        <x:is>
          <x:t xml:space="preserve">Identity</x:t>
        </x:is>
      </x:c>
      <x:c r="C123" s="137" t="inlineStr">
        <x:is>
          <x:t xml:space="preserve">Pagination</x:t>
        </x:is>
      </x:c>
      <x:c r="D123" s="137" t="inlineStr">
        <x:is>
          <x:t xml:space="preserve">Explicit IDs reach root, list, generated controls and ellipses</x:t>
        </x:is>
      </x:c>
      <x:c r="E123" s="137" t="inlineStr">
        <x:is>
          <x:t xml:space="preserve">yes</x:t>
        </x:is>
      </x:c>
      <x:c r="F123" s="137" t="inlineStr">
        <x:is>
          <x:t xml:space="preserve">no</x:t>
        </x:is>
      </x:c>
      <x:c r="G123" s="137" t="inlineStr">
        <x:is>
          <x:t xml:space="preserve">Manual requalification pending</x:t>
        </x:is>
      </x:c>
      <x:c r="H123" s="137" t="inlineStr">
        <x:is>
          <x:t xml:space="preserve">untested</x:t>
        </x:is>
      </x:c>
      <x:c r="I123" s="137" t="inlineStr">
        <x:is>
          <x:t xml:space="preserve">../test/primitives/pagination.test.mjs; manual-tests/pagination.md</x:t>
        </x:is>
      </x:c>
      <x:c r="J123" s="137" t="inlineStr">
        <x:is>
          <x:t xml:space="preserve">Automated source tests do not replace manual playground verification.</x:t>
        </x:is>
      </x:c>
      <x:c r="K123" s="137" t="n">
        <x:f>IF(AND(E123="yes",F123="yes",H123="covered"),1,IF(H123="partial",0.5,0))</x:f>
        <x:v>0</x:v>
      </x:c>
    </x:row>
    <x:row r="124" s="51" customFormat="1" ht="64" customHeight="1">
      <x:c r="A124" s="137" t="n">
        <x:v>116</x:v>
      </x:c>
      <x:c r="B124" s="137" t="inlineStr">
        <x:is>
          <x:t xml:space="preserve">Accessibility</x:t>
        </x:is>
      </x:c>
      <x:c r="C124" s="137" t="inlineStr">
        <x:is>
          <x:t xml:space="preserve">Pagination</x:t>
        </x:is>
      </x:c>
      <x:c r="D124" s="137" t="inlineStr">
        <x:is>
          <x:t xml:space="preserve">New parts and count/controller examples receive a fresh manual screen-reader and device pass</x:t>
        </x:is>
      </x:c>
      <x:c r="E124" s="137" t="inlineStr">
        <x:is>
          <x:t xml:space="preserve">yes</x:t>
        </x:is>
      </x:c>
      <x:c r="F124" s="137" t="inlineStr">
        <x:is>
          <x:t xml:space="preserve">no</x:t>
        </x:is>
      </x:c>
      <x:c r="G124" s="137" t="inlineStr">
        <x:is>
          <x:t xml:space="preserve">Manual requalification pending</x:t>
        </x:is>
      </x:c>
      <x:c r="H124" s="137" t="inlineStr">
        <x:is>
          <x:t xml:space="preserve">untested</x:t>
        </x:is>
      </x:c>
      <x:c r="I124" s="137" t="inlineStr">
        <x:is>
          <x:t xml:space="preserve">../test/primitives/pagination.test.mjs; manual-tests/pagination.md</x:t>
        </x:is>
      </x:c>
      <x:c r="J124" s="137" t="inlineStr">
        <x:is>
          <x:t xml:space="preserve">Automated source tests do not replace manual playground verification.</x:t>
        </x:is>
      </x:c>
      <x:c r="K124" s="137" t="n">
        <x:f>IF(AND(E124="yes",F124="yes",H124="covered"),1,IF(H124="partial",0.5,0))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PasswordToggleField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0.9876543209876543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80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1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ready for manual test</x:t>
        </x:is>
      </x:c>
      <x:c r="H9" s="86" t="inlineStr">
        <x:is>
          <x:t xml:space="preserve">covered</x:t>
        </x:is>
      </x:c>
      <x:c r="I9" s="84" t="inlineStr">
        <x:is>
          <x:t xml:space="preserve">PasswordToggleField playground scenario.</x:t>
        </x:is>
      </x:c>
      <x:c r="J9" s="84" t="n"/>
      <x:c r="K9" s="87" t="n">
        <x:v>0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ready for manual test</x:t>
        </x:is>
      </x:c>
      <x:c r="H10" s="86" t="inlineStr">
        <x:is>
          <x:t xml:space="preserve">covered</x:t>
        </x:is>
      </x:c>
      <x:c r="I10" s="84" t="inlineStr">
        <x:is>
          <x:t xml:space="preserve">PasswordToggleField playground scenario.</x:t>
        </x:is>
      </x:c>
      <x:c r="J10" s="84" t="n"/>
      <x:c r="K10" s="87" t="n">
        <x:v>0</x:v>
      </x:c>
    </x:row>
    <x:row r="11" s="51" customFormat="1" ht="4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PasswordToggleField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ready for manual test</x:t>
        </x:is>
      </x:c>
      <x:c r="H11" s="86" t="inlineStr">
        <x:is>
          <x:t xml:space="preserve">covered</x:t>
        </x:is>
      </x:c>
      <x:c r="I11" s="84" t="inlineStr">
        <x:is>
          <x:t xml:space="preserve">PasswordToggleField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PasswordToggleField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ready for manual test</x:t>
        </x:is>
      </x:c>
      <x:c r="H12" s="86" t="inlineStr">
        <x:is>
          <x:t xml:space="preserve">covered</x:t>
        </x:is>
      </x:c>
      <x:c r="I12" s="84" t="inlineStr">
        <x:is>
          <x:t xml:space="preserve">PasswordToggleField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PasswordToggleField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ready for manual test</x:t>
        </x:is>
      </x:c>
      <x:c r="H13" s="86" t="inlineStr">
        <x:is>
          <x:t xml:space="preserve">covered</x:t>
        </x:is>
      </x:c>
      <x:c r="I13" s="84" t="inlineStr">
        <x:is>
          <x:t xml:space="preserve">PasswordToggleField playground page uses shared Canvas/Source, Anatomy, Inspector, and Log infrastructure.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PasswordToggleField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ready for manual test</x:t>
        </x:is>
      </x:c>
      <x:c r="H14" s="86" t="inlineStr">
        <x:is>
          <x:t xml:space="preserve">covered</x:t>
        </x:is>
      </x:c>
      <x:c r="I14" s="84" t="inlineStr">
        <x:is>
          <x:t xml:space="preserve">PasswordToggleField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PasswordToggleField</x:t>
        </x:is>
      </x:c>
      <x:c r="D15" s="84" t="inlineStr">
        <x:is>
          <x:t xml:space="preserve">Controlled and uncontrolled password visibility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ready for manual test</x:t>
        </x:is>
      </x:c>
      <x:c r="H15" s="86" t="inlineStr">
        <x:is>
          <x:t xml:space="preserve">covered</x:t>
        </x:is>
      </x:c>
      <x:c r="I15" s="84" t="inlineStr">
        <x:is>
          <x:t xml:space="preserve">PasswordToggleField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PasswordToggleField</x:t>
        </x:is>
      </x:c>
      <x:c r="D16" s="84" t="inlineStr">
        <x:is>
          <x:t xml:space="preserve">Native password input type switching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ready for manual test</x:t>
        </x:is>
      </x:c>
      <x:c r="H16" s="86" t="inlineStr">
        <x:is>
          <x:t xml:space="preserve">covered</x:t>
        </x:is>
      </x:c>
      <x:c r="I16" s="84" t="inlineStr">
        <x:is>
          <x:t xml:space="preserve">PasswordToggleField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PasswordToggleField</x:t>
        </x:is>
      </x:c>
      <x:c r="D17" s="84" t="inlineStr">
        <x:is>
          <x:t xml:space="preserve">Toggle button with dynamic accessible label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ready for manual test</x:t>
        </x:is>
      </x:c>
      <x:c r="H17" s="86" t="inlineStr">
        <x:is>
          <x:t xml:space="preserve">covered</x:t>
        </x:is>
      </x:c>
      <x:c r="I17" s="84" t="inlineStr">
        <x:is>
          <x:t xml:space="preserve">PasswordToggleField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PasswordToggleField</x:t>
        </x:is>
      </x:c>
      <x:c r="D18" s="84" t="inlineStr">
        <x:is>
          <x:t xml:space="preserve">Optional icon part that switches visible/hidden content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ready for manual test</x:t>
        </x:is>
      </x:c>
      <x:c r="H18" s="86" t="inlineStr">
        <x:is>
          <x:t xml:space="preserve">covered</x:t>
        </x:is>
      </x:c>
      <x:c r="I18" s="84" t="inlineStr">
        <x:is>
          <x:t xml:space="preserve">PasswordToggleField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PasswordToggleField</x:t>
        </x:is>
      </x:c>
      <x:c r="D19" s="84" t="inlineStr">
        <x:is>
          <x:t xml:space="preserve">Disabled, read-only, required, and invalid state propagation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ready for manual test</x:t>
        </x:is>
      </x:c>
      <x:c r="H19" s="86" t="inlineStr">
        <x:is>
          <x:t xml:space="preserve">covered</x:t>
        </x:is>
      </x:c>
      <x:c r="I19" s="84" t="inlineStr">
        <x:is>
          <x:t xml:space="preserve">PasswordToggleField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4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PasswordToggleField</x:t>
        </x:is>
      </x:c>
      <x:c r="D20" s="84" t="inlineStr">
        <x:is>
          <x:t xml:space="preserve">Headless only: no icon, layout, or visual affordance is included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ready for manual test</x:t>
        </x:is>
      </x:c>
      <x:c r="H20" s="86" t="inlineStr">
        <x:is>
          <x:t xml:space="preserve">covered</x:t>
        </x:is>
      </x:c>
      <x:c r="I20" s="84" t="inlineStr">
        <x:is>
          <x:t xml:space="preserve">PasswordToggleField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ready for manual test</x:t>
        </x:is>
      </x:c>
      <x:c r="H21" s="86" t="inlineStr">
        <x:is>
          <x:t xml:space="preserve">covered</x:t>
        </x:is>
      </x:c>
      <x:c r="I21" s="84" t="inlineStr">
        <x:is>
          <x:t xml:space="preserve">PasswordToggleField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ready for manual test</x:t>
        </x:is>
      </x:c>
      <x:c r="H22" s="86" t="inlineStr">
        <x:is>
          <x:t xml:space="preserve">covered</x:t>
        </x:is>
      </x:c>
      <x:c r="I22" s="84" t="inlineStr">
        <x:is>
          <x:t xml:space="preserve">PasswordToggleField form-field playground page exposes this part/prop in Anatomy, Inspector, Source, or toolbar controls.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Public API</x:t>
        </x:is>
      </x:c>
      <x:c r="C23" s="84" t="inlineStr">
        <x:is>
          <x:t xml:space="preserve">Root</x:t>
        </x:is>
      </x:c>
      <x:c r="D23" s="84" t="inlineStr">
        <x:is>
          <x:t xml:space="preserve">visible prop behavior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ready for manual test</x:t>
        </x:is>
      </x:c>
      <x:c r="H23" s="86" t="inlineStr">
        <x:is>
          <x:t xml:space="preserve">covered</x:t>
        </x:is>
      </x:c>
      <x:c r="I23" s="84" t="inlineStr">
        <x:is>
          <x:t xml:space="preserve">PasswordToggleField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State</x:t>
        </x:is>
      </x:c>
      <x:c r="C24" s="84" t="inlineStr">
        <x:is>
          <x:t xml:space="preserve">Root</x:t>
        </x:is>
      </x:c>
      <x:c r="D24" s="84" t="inlineStr">
        <x:is>
          <x:t xml:space="preserve">defaultVisible prop behavior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ready for manual test</x:t>
        </x:is>
      </x:c>
      <x:c r="H24" s="86" t="inlineStr">
        <x:is>
          <x:t xml:space="preserve">covered</x:t>
        </x:is>
      </x:c>
      <x:c r="I24" s="84" t="inlineStr">
        <x:is>
          <x:t xml:space="preserve">PasswordToggleField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State</x:t>
        </x:is>
      </x:c>
      <x:c r="C25" s="84" t="inlineStr">
        <x:is>
          <x:t xml:space="preserve">Root</x:t>
        </x:is>
      </x:c>
      <x:c r="D25" s="84" t="inlineStr">
        <x:is>
          <x:t xml:space="preserve">onVisibleChange prop behavior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ready for manual test</x:t>
        </x:is>
      </x:c>
      <x:c r="H25" s="86" t="inlineStr">
        <x:is>
          <x:t xml:space="preserve">covered</x:t>
        </x:is>
      </x:c>
      <x:c r="I25" s="84" t="inlineStr">
        <x:is>
          <x:t xml:space="preserve">PasswordToggleField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disabled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ready for manual test</x:t>
        </x:is>
      </x:c>
      <x:c r="H26" s="86" t="inlineStr">
        <x:is>
          <x:t xml:space="preserve">covered</x:t>
        </x:is>
      </x:c>
      <x:c r="I26" s="84" t="inlineStr">
        <x:is>
          <x:t xml:space="preserve">PasswordToggleField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readOnly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ready for manual test</x:t>
        </x:is>
      </x:c>
      <x:c r="H27" s="86" t="inlineStr">
        <x:is>
          <x:t xml:space="preserve">covered</x:t>
        </x:is>
      </x:c>
      <x:c r="I27" s="84" t="inlineStr">
        <x:is>
          <x:t xml:space="preserve">PasswordToggleField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required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ready for manual test</x:t>
        </x:is>
      </x:c>
      <x:c r="H28" s="86" t="inlineStr">
        <x:is>
          <x:t xml:space="preserve">covered</x:t>
        </x:is>
      </x:c>
      <x:c r="I28" s="84" t="inlineStr">
        <x:is>
          <x:t xml:space="preserve">PasswordToggleField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invalid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ready for manual test</x:t>
        </x:is>
      </x:c>
      <x:c r="H29" s="86" t="inlineStr">
        <x:is>
          <x:t xml:space="preserve">covered</x:t>
        </x:is>
      </x:c>
      <x:c r="I29" s="84" t="inlineStr">
        <x:is>
          <x:t xml:space="preserve">PasswordToggleField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Anatomy</x:t>
        </x:is>
      </x:c>
      <x:c r="C30" s="84" t="inlineStr">
        <x:is>
          <x:t xml:space="preserve">Icon</x:t>
        </x:is>
      </x:c>
      <x:c r="D30" s="84" t="inlineStr">
        <x:is>
          <x:t xml:space="preserve">renders correct part when expected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ready for manual test</x:t>
        </x:is>
      </x:c>
      <x:c r="H30" s="86" t="inlineStr">
        <x:is>
          <x:t xml:space="preserve">covered</x:t>
        </x:is>
      </x:c>
      <x:c r="I30" s="84" t="inlineStr">
        <x:is>
          <x:t xml:space="preserve">PasswordToggleField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Anatomy</x:t>
        </x:is>
      </x:c>
      <x:c r="C31" s="84" t="inlineStr">
        <x:is>
          <x:t xml:space="preserve">Icon</x:t>
        </x:is>
      </x:c>
      <x:c r="D31" s="84" t="inlineStr">
        <x:is>
          <x:t xml:space="preserve">appears in documented order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ready for manual test</x:t>
        </x:is>
      </x:c>
      <x:c r="H31" s="86" t="inlineStr">
        <x:is>
          <x:t xml:space="preserve">covered</x:t>
        </x:is>
      </x:c>
      <x:c r="I31" s="84" t="inlineStr">
        <x:is>
          <x:t xml:space="preserve">PasswordToggleField form-field playground page exposes this part/prop in Anatomy, Inspector, Source, or toolbar controls.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Identity</x:t>
        </x:is>
      </x:c>
      <x:c r="C32" s="84" t="inlineStr">
        <x:is>
          <x:t xml:space="preserve">Icon</x:t>
        </x:is>
      </x:c>
      <x:c r="D32" s="84" t="inlineStr">
        <x:is>
          <x:t xml:space="preserve">default tag is visible in Anatomy/Inspector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ready for manual test</x:t>
        </x:is>
      </x:c>
      <x:c r="H32" s="86" t="inlineStr">
        <x:is>
          <x:t xml:space="preserve">covered</x:t>
        </x:is>
      </x:c>
      <x:c r="I32" s="84" t="inlineStr">
        <x:is>
          <x:t xml:space="preserve">PasswordToggleField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45" customHeight="1">
      <x:c r="A33" s="73" t="n">
        <x:v>25</x:v>
      </x:c>
      <x:c r="B33" s="84" t="inlineStr">
        <x:is>
          <x:t xml:space="preserve">Identity</x:t>
        </x:is>
      </x:c>
      <x:c r="C33" s="84" t="inlineStr">
        <x:is>
          <x:t xml:space="preserve">Icon</x:t>
        </x:is>
      </x:c>
      <x:c r="D33" s="84" t="inlineStr">
        <x:is>
          <x:t xml:space="preserve">data-slot is present and correct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ready for manual test</x:t>
        </x:is>
      </x:c>
      <x:c r="H33" s="86" t="inlineStr">
        <x:is>
          <x:t xml:space="preserve">covered</x:t>
        </x:is>
      </x:c>
      <x:c r="I33" s="84" t="inlineStr">
        <x:is>
          <x:t xml:space="preserve">PasswordToggleField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Props</x:t>
        </x:is>
      </x:c>
      <x:c r="C34" s="84" t="inlineStr">
        <x:is>
          <x:t xml:space="preserve">Icon</x:t>
        </x:is>
      </x:c>
      <x:c r="D34" s="84" t="inlineStr">
        <x:is>
          <x:t xml:space="preserve">non-Atom native props pass through with data-prop-check marker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ready for manual test</x:t>
        </x:is>
      </x:c>
      <x:c r="H34" s="86" t="inlineStr">
        <x:is>
          <x:t xml:space="preserve">covered</x:t>
        </x:is>
      </x:c>
      <x:c r="I34" s="84" t="inlineStr">
        <x:is>
          <x:t xml:space="preserve">PasswordToggleField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Refs</x:t>
        </x:is>
      </x:c>
      <x:c r="C35" s="84" t="inlineStr">
        <x:is>
          <x:t xml:space="preserve">Icon</x:t>
        </x:is>
      </x:c>
      <x:c r="D35" s="84" t="inlineStr">
        <x:is>
          <x:t xml:space="preserve">consumer ref receives the rendered element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ready for manual test</x:t>
        </x:is>
      </x:c>
      <x:c r="H35" s="86" t="inlineStr">
        <x:is>
          <x:t xml:space="preserve">covered</x:t>
        </x:is>
      </x:c>
      <x:c r="I35" s="84" t="inlineStr">
        <x:is>
          <x:t xml:space="preserve">PasswordToggleField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30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Icon</x:t>
        </x:is>
      </x:c>
      <x:c r="D36" s="84" t="inlineStr">
        <x:is>
          <x:t xml:space="preserve">visible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ready for manual test</x:t>
        </x:is>
      </x:c>
      <x:c r="H36" s="86" t="inlineStr">
        <x:is>
          <x:t xml:space="preserve">covered</x:t>
        </x:is>
      </x:c>
      <x:c r="I36" s="84" t="inlineStr">
        <x:is>
          <x:t xml:space="preserve">PasswordToggleField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Icon</x:t>
        </x:is>
      </x:c>
      <x:c r="D37" s="84" t="inlineStr">
        <x:is>
          <x:t xml:space="preserve">hidden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ready for manual test</x:t>
        </x:is>
      </x:c>
      <x:c r="H37" s="86" t="inlineStr">
        <x:is>
          <x:t xml:space="preserve">covered</x:t>
        </x:is>
      </x:c>
      <x:c r="I37" s="84" t="inlineStr">
        <x:is>
          <x:t xml:space="preserve">PasswordToggleField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Icon</x:t>
        </x:is>
      </x:c>
      <x:c r="D38" s="84" t="inlineStr">
        <x:is>
          <x:t xml:space="preserve">data-slot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ready for manual test</x:t>
        </x:is>
      </x:c>
      <x:c r="H38" s="86" t="inlineStr">
        <x:is>
          <x:t xml:space="preserve">covered</x:t>
        </x:is>
      </x:c>
      <x:c r="I38" s="84" t="inlineStr">
        <x:is>
          <x:t xml:space="preserve">PasswordToggleField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Icon</x:t>
        </x:is>
      </x:c>
      <x:c r="D39" s="84" t="inlineStr">
        <x:is>
          <x:t xml:space="preserve">[data-slot]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ready for manual test</x:t>
        </x:is>
      </x:c>
      <x:c r="H39" s="86" t="inlineStr">
        <x:is>
          <x:t xml:space="preserve">covered</x:t>
        </x:is>
      </x:c>
      <x:c r="I39" s="84" t="inlineStr">
        <x:is>
          <x:t xml:space="preserve">PasswordToggleField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Icon</x:t>
        </x:is>
      </x:c>
      <x:c r="D40" s="84" t="inlineStr">
        <x:is>
          <x:t xml:space="preserve">[data-state]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ready for manual test</x:t>
        </x:is>
      </x:c>
      <x:c r="H40" s="86" t="inlineStr">
        <x:is>
          <x:t xml:space="preserve">covered</x:t>
        </x:is>
      </x:c>
      <x:c r="I40" s="84" t="inlineStr">
        <x:is>
          <x:t xml:space="preserve">PasswordToggleField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Anatomy</x:t>
        </x:is>
      </x:c>
      <x:c r="C41" s="84" t="inlineStr">
        <x:is>
          <x:t xml:space="preserve">Input</x:t>
        </x:is>
      </x:c>
      <x:c r="D41" s="84" t="inlineStr">
        <x:is>
          <x:t xml:space="preserve">renders correct part when expected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ready for manual test</x:t>
        </x:is>
      </x:c>
      <x:c r="H41" s="86" t="inlineStr">
        <x:is>
          <x:t xml:space="preserve">covered</x:t>
        </x:is>
      </x:c>
      <x:c r="I41" s="84" t="inlineStr">
        <x:is>
          <x:t xml:space="preserve">PasswordToggleField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Anatomy</x:t>
        </x:is>
      </x:c>
      <x:c r="C42" s="84" t="inlineStr">
        <x:is>
          <x:t xml:space="preserve">Input</x:t>
        </x:is>
      </x:c>
      <x:c r="D42" s="84" t="inlineStr">
        <x:is>
          <x:t xml:space="preserve">appears in documented order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ready for manual test</x:t>
        </x:is>
      </x:c>
      <x:c r="H42" s="86" t="inlineStr">
        <x:is>
          <x:t xml:space="preserve">covered</x:t>
        </x:is>
      </x:c>
      <x:c r="I42" s="84" t="inlineStr">
        <x:is>
          <x:t xml:space="preserve">PasswordToggleField form-field playground page exposes this part/prop in Anatomy, Inspector, Source, or toolbar controls.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Identity</x:t>
        </x:is>
      </x:c>
      <x:c r="C43" s="84" t="inlineStr">
        <x:is>
          <x:t xml:space="preserve">Input</x:t>
        </x:is>
      </x:c>
      <x:c r="D43" s="84" t="inlineStr">
        <x:is>
          <x:t xml:space="preserve">default tag is visible in Anatomy/Inspector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ready for manual test</x:t>
        </x:is>
      </x:c>
      <x:c r="H43" s="86" t="inlineStr">
        <x:is>
          <x:t xml:space="preserve">covered</x:t>
        </x:is>
      </x:c>
      <x:c r="I43" s="84" t="inlineStr">
        <x:is>
          <x:t xml:space="preserve">PasswordToggleField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45" customHeight="1">
      <x:c r="A44" s="73" t="n">
        <x:v>36</x:v>
      </x:c>
      <x:c r="B44" s="84" t="inlineStr">
        <x:is>
          <x:t xml:space="preserve">Identity</x:t>
        </x:is>
      </x:c>
      <x:c r="C44" s="84" t="inlineStr">
        <x:is>
          <x:t xml:space="preserve">Input</x:t>
        </x:is>
      </x:c>
      <x:c r="D44" s="84" t="inlineStr">
        <x:is>
          <x:t xml:space="preserve">data-slot is present and correct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ready for manual test</x:t>
        </x:is>
      </x:c>
      <x:c r="H44" s="86" t="inlineStr">
        <x:is>
          <x:t xml:space="preserve">covered</x:t>
        </x:is>
      </x:c>
      <x:c r="I44" s="84" t="inlineStr">
        <x:is>
          <x:t xml:space="preserve">PasswordToggleField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Props</x:t>
        </x:is>
      </x:c>
      <x:c r="C45" s="84" t="inlineStr">
        <x:is>
          <x:t xml:space="preserve">Input</x:t>
        </x:is>
      </x:c>
      <x:c r="D45" s="84" t="inlineStr">
        <x:is>
          <x:t xml:space="preserve">non-Atom native props pass through with data-prop-check marker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ready for manual test</x:t>
        </x:is>
      </x:c>
      <x:c r="H45" s="86" t="inlineStr">
        <x:is>
          <x:t xml:space="preserve">covered</x:t>
        </x:is>
      </x:c>
      <x:c r="I45" s="84" t="inlineStr">
        <x:is>
          <x:t xml:space="preserve">PasswordToggleField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Refs</x:t>
        </x:is>
      </x:c>
      <x:c r="C46" s="84" t="inlineStr">
        <x:is>
          <x:t xml:space="preserve">Input</x:t>
        </x:is>
      </x:c>
      <x:c r="D46" s="84" t="inlineStr">
        <x:is>
          <x:t xml:space="preserve">consumer ref receives the rendered element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ready for manual test</x:t>
        </x:is>
      </x:c>
      <x:c r="H46" s="86" t="inlineStr">
        <x:is>
          <x:t xml:space="preserve">covered</x:t>
        </x:is>
      </x:c>
      <x:c r="I46" s="84" t="inlineStr">
        <x:is>
          <x:t xml:space="preserve">PasswordToggleField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30" customHeight="1">
      <x:c r="A47" s="73" t="n">
        <x:v>39</x:v>
      </x:c>
      <x:c r="B47" s="84" t="inlineStr">
        <x:is>
          <x:t xml:space="preserve">Composition</x:t>
        </x:is>
      </x:c>
      <x:c r="C47" s="84" t="inlineStr">
        <x:is>
          <x:t xml:space="preserve">Input</x:t>
        </x:is>
      </x:c>
      <x:c r="D47" s="84" t="inlineStr">
        <x:is>
          <x:t xml:space="preserve">asChild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ready for manual test</x:t>
        </x:is>
      </x:c>
      <x:c r="H47" s="86" t="inlineStr">
        <x:is>
          <x:t xml:space="preserve">covered</x:t>
        </x:is>
      </x:c>
      <x:c r="I47" s="84" t="inlineStr">
        <x:is>
          <x:t xml:space="preserve">PasswordToggleField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Composition</x:t>
        </x:is>
      </x:c>
      <x:c r="C48" s="84" t="inlineStr">
        <x:is>
          <x:t xml:space="preserve">Input</x:t>
        </x:is>
      </x:c>
      <x:c r="D48" s="84" t="inlineStr">
        <x:is>
          <x:t xml:space="preserve">render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ready for manual test</x:t>
        </x:is>
      </x:c>
      <x:c r="H48" s="86" t="inlineStr">
        <x:is>
          <x:t xml:space="preserve">covered</x:t>
        </x:is>
      </x:c>
      <x:c r="I48" s="84" t="inlineStr">
        <x:is>
          <x:t xml:space="preserve">PasswordToggleField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Public API</x:t>
        </x:is>
      </x:c>
      <x:c r="C49" s="84" t="inlineStr">
        <x:is>
          <x:t xml:space="preserve">Input</x:t>
        </x:is>
      </x:c>
      <x:c r="D49" s="84" t="inlineStr">
        <x:is>
          <x:t xml:space="preserve">data-slot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ready for manual test</x:t>
        </x:is>
      </x:c>
      <x:c r="H49" s="86" t="inlineStr">
        <x:is>
          <x:t xml:space="preserve">covered</x:t>
        </x:is>
      </x:c>
      <x:c r="I49" s="84" t="inlineStr">
        <x:is>
          <x:t xml:space="preserve">PasswordToggleField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Input</x:t>
        </x:is>
      </x:c>
      <x:c r="D50" s="84" t="inlineStr">
        <x:is>
          <x:t xml:space="preserve">[data-slot]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ready for manual test</x:t>
        </x:is>
      </x:c>
      <x:c r="H50" s="86" t="inlineStr">
        <x:is>
          <x:t xml:space="preserve">covered</x:t>
        </x:is>
      </x:c>
      <x:c r="I50" s="84" t="inlineStr">
        <x:is>
          <x:t xml:space="preserve">PasswordToggleField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Public API</x:t>
        </x:is>
      </x:c>
      <x:c r="C51" s="84" t="inlineStr">
        <x:is>
          <x:t xml:space="preserve">Input</x:t>
        </x:is>
      </x:c>
      <x:c r="D51" s="84" t="inlineStr">
        <x:is>
          <x:t xml:space="preserve">[data-state]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ready for manual test</x:t>
        </x:is>
      </x:c>
      <x:c r="H51" s="86" t="inlineStr">
        <x:is>
          <x:t xml:space="preserve">covered</x:t>
        </x:is>
      </x:c>
      <x:c r="I51" s="84" t="inlineStr">
        <x:is>
          <x:t xml:space="preserve">PasswordToggleField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State</x:t>
        </x:is>
      </x:c>
      <x:c r="C52" s="84" t="inlineStr">
        <x:is>
          <x:t xml:space="preserve">Input</x:t>
        </x:is>
      </x:c>
      <x:c r="D52" s="84" t="inlineStr">
        <x:is>
          <x:t xml:space="preserve">[data-disabled]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ready for manual test</x:t>
        </x:is>
      </x:c>
      <x:c r="H52" s="86" t="inlineStr">
        <x:is>
          <x:t xml:space="preserve">covered</x:t>
        </x:is>
      </x:c>
      <x:c r="I52" s="84" t="inlineStr">
        <x:is>
          <x:t xml:space="preserve">PasswordToggleField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State</x:t>
        </x:is>
      </x:c>
      <x:c r="C53" s="84" t="inlineStr">
        <x:is>
          <x:t xml:space="preserve">Input</x:t>
        </x:is>
      </x:c>
      <x:c r="D53" s="84" t="inlineStr">
        <x:is>
          <x:t xml:space="preserve">[data-readonly]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ready for manual test</x:t>
        </x:is>
      </x:c>
      <x:c r="H53" s="86" t="inlineStr">
        <x:is>
          <x:t xml:space="preserve">covered</x:t>
        </x:is>
      </x:c>
      <x:c r="I53" s="84" t="inlineStr">
        <x:is>
          <x:t xml:space="preserve">PasswordToggleField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State</x:t>
        </x:is>
      </x:c>
      <x:c r="C54" s="84" t="inlineStr">
        <x:is>
          <x:t xml:space="preserve">Input</x:t>
        </x:is>
      </x:c>
      <x:c r="D54" s="84" t="inlineStr">
        <x:is>
          <x:t xml:space="preserve">[data-required]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ready for manual test</x:t>
        </x:is>
      </x:c>
      <x:c r="H54" s="86" t="inlineStr">
        <x:is>
          <x:t xml:space="preserve">covered</x:t>
        </x:is>
      </x:c>
      <x:c r="I54" s="84" t="inlineStr">
        <x:is>
          <x:t xml:space="preserve">PasswordToggleField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State</x:t>
        </x:is>
      </x:c>
      <x:c r="C55" s="84" t="inlineStr">
        <x:is>
          <x:t xml:space="preserve">Input</x:t>
        </x:is>
      </x:c>
      <x:c r="D55" s="84" t="inlineStr">
        <x:is>
          <x:t xml:space="preserve">[data-invalid]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ready for manual test</x:t>
        </x:is>
      </x:c>
      <x:c r="H55" s="86" t="inlineStr">
        <x:is>
          <x:t xml:space="preserve">covered</x:t>
        </x:is>
      </x:c>
      <x:c r="I55" s="84" t="inlineStr">
        <x:is>
          <x:t xml:space="preserve">PasswordToggleField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Anatomy</x:t>
        </x:is>
      </x:c>
      <x:c r="C56" s="84" t="inlineStr">
        <x:is>
          <x:t xml:space="preserve">Toggle</x:t>
        </x:is>
      </x:c>
      <x:c r="D56" s="84" t="inlineStr">
        <x:is>
          <x:t xml:space="preserve">renders correct part when expected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ready for manual test</x:t>
        </x:is>
      </x:c>
      <x:c r="H56" s="86" t="inlineStr">
        <x:is>
          <x:t xml:space="preserve">covered</x:t>
        </x:is>
      </x:c>
      <x:c r="I56" s="84" t="inlineStr">
        <x:is>
          <x:t xml:space="preserve">PasswordToggleField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45" customHeight="1">
      <x:c r="A57" s="73" t="n">
        <x:v>49</x:v>
      </x:c>
      <x:c r="B57" s="84" t="inlineStr">
        <x:is>
          <x:t xml:space="preserve">Anatomy</x:t>
        </x:is>
      </x:c>
      <x:c r="C57" s="84" t="inlineStr">
        <x:is>
          <x:t xml:space="preserve">Toggle</x:t>
        </x:is>
      </x:c>
      <x:c r="D57" s="84" t="inlineStr">
        <x:is>
          <x:t xml:space="preserve">appears in documented order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ready for manual test</x:t>
        </x:is>
      </x:c>
      <x:c r="H57" s="86" t="inlineStr">
        <x:is>
          <x:t xml:space="preserve">covered</x:t>
        </x:is>
      </x:c>
      <x:c r="I57" s="84" t="inlineStr">
        <x:is>
          <x:t xml:space="preserve">PasswordToggleField form-field playground page exposes this part/prop in Anatomy, Inspector, Source, or toolbar controls.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Identity</x:t>
        </x:is>
      </x:c>
      <x:c r="C58" s="84" t="inlineStr">
        <x:is>
          <x:t xml:space="preserve">Toggle</x:t>
        </x:is>
      </x:c>
      <x:c r="D58" s="84" t="inlineStr">
        <x:is>
          <x:t xml:space="preserve">default tag is visible in Anatomy/Inspector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ready for manual test</x:t>
        </x:is>
      </x:c>
      <x:c r="H58" s="86" t="inlineStr">
        <x:is>
          <x:t xml:space="preserve">covered</x:t>
        </x:is>
      </x:c>
      <x:c r="I58" s="84" t="inlineStr">
        <x:is>
          <x:t xml:space="preserve">PasswordToggleField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Identity</x:t>
        </x:is>
      </x:c>
      <x:c r="C59" s="84" t="inlineStr">
        <x:is>
          <x:t xml:space="preserve">Toggle</x:t>
        </x:is>
      </x:c>
      <x:c r="D59" s="84" t="inlineStr">
        <x:is>
          <x:t xml:space="preserve">data-slot is present and correct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ready for manual test</x:t>
        </x:is>
      </x:c>
      <x:c r="H59" s="86" t="inlineStr">
        <x:is>
          <x:t xml:space="preserve">covered</x:t>
        </x:is>
      </x:c>
      <x:c r="I59" s="84" t="inlineStr">
        <x:is>
          <x:t xml:space="preserve">PasswordToggleField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30" customHeight="1">
      <x:c r="A60" s="73" t="n">
        <x:v>52</x:v>
      </x:c>
      <x:c r="B60" s="84" t="inlineStr">
        <x:is>
          <x:t xml:space="preserve">Props</x:t>
        </x:is>
      </x:c>
      <x:c r="C60" s="84" t="inlineStr">
        <x:is>
          <x:t xml:space="preserve">Toggle</x:t>
        </x:is>
      </x:c>
      <x:c r="D60" s="84" t="inlineStr">
        <x:is>
          <x:t xml:space="preserve">non-Atom native props pass through with data-prop-check marker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ready for manual test</x:t>
        </x:is>
      </x:c>
      <x:c r="H60" s="86" t="inlineStr">
        <x:is>
          <x:t xml:space="preserve">covered</x:t>
        </x:is>
      </x:c>
      <x:c r="I60" s="84" t="inlineStr">
        <x:is>
          <x:t xml:space="preserve">PasswordToggleField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Refs</x:t>
        </x:is>
      </x:c>
      <x:c r="C61" s="84" t="inlineStr">
        <x:is>
          <x:t xml:space="preserve">Toggle</x:t>
        </x:is>
      </x:c>
      <x:c r="D61" s="84" t="inlineStr">
        <x:is>
          <x:t xml:space="preserve">consumer ref receives the rendered element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ready for manual test</x:t>
        </x:is>
      </x:c>
      <x:c r="H61" s="86" t="inlineStr">
        <x:is>
          <x:t xml:space="preserve">covered</x:t>
        </x:is>
      </x:c>
      <x:c r="I61" s="84" t="inlineStr">
        <x:is>
          <x:t xml:space="preserve">PasswordToggleField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Composition</x:t>
        </x:is>
      </x:c>
      <x:c r="C62" s="84" t="inlineStr">
        <x:is>
          <x:t xml:space="preserve">Toggle</x:t>
        </x:is>
      </x:c>
      <x:c r="D62" s="84" t="inlineStr">
        <x:is>
          <x:t xml:space="preserve">asChild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ready for manual test</x:t>
        </x:is>
      </x:c>
      <x:c r="H62" s="86" t="inlineStr">
        <x:is>
          <x:t xml:space="preserve">covered</x:t>
        </x:is>
      </x:c>
      <x:c r="I62" s="84" t="inlineStr">
        <x:is>
          <x:t xml:space="preserve">PasswordToggleField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Composition</x:t>
        </x:is>
      </x:c>
      <x:c r="C63" s="84" t="inlineStr">
        <x:is>
          <x:t xml:space="preserve">Toggle</x:t>
        </x:is>
      </x:c>
      <x:c r="D63" s="84" t="inlineStr">
        <x:is>
          <x:t xml:space="preserve">render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ready for manual test</x:t>
        </x:is>
      </x:c>
      <x:c r="H63" s="86" t="inlineStr">
        <x:is>
          <x:t xml:space="preserve">covered</x:t>
        </x:is>
      </x:c>
      <x:c r="I63" s="84" t="inlineStr">
        <x:is>
          <x:t xml:space="preserve">PasswordToggleField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Toggle</x:t>
        </x:is>
      </x:c>
      <x:c r="D64" s="84" t="inlineStr">
        <x:is>
          <x:t xml:space="preserve">data-slot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ready for manual test</x:t>
        </x:is>
      </x:c>
      <x:c r="H64" s="86" t="inlineStr">
        <x:is>
          <x:t xml:space="preserve">covered</x:t>
        </x:is>
      </x:c>
      <x:c r="I64" s="84" t="inlineStr">
        <x:is>
          <x:t xml:space="preserve">PasswordToggleField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Public API</x:t>
        </x:is>
      </x:c>
      <x:c r="C65" s="84" t="inlineStr">
        <x:is>
          <x:t xml:space="preserve">Toggle</x:t>
        </x:is>
      </x:c>
      <x:c r="D65" s="84" t="inlineStr">
        <x:is>
          <x:t xml:space="preserve">[data-slot]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ready for manual test</x:t>
        </x:is>
      </x:c>
      <x:c r="H65" s="86" t="inlineStr">
        <x:is>
          <x:t xml:space="preserve">covered</x:t>
        </x:is>
      </x:c>
      <x:c r="I65" s="84" t="inlineStr">
        <x:is>
          <x:t xml:space="preserve">PasswordToggleField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Public API</x:t>
        </x:is>
      </x:c>
      <x:c r="C66" s="84" t="inlineStr">
        <x:is>
          <x:t xml:space="preserve">Toggle</x:t>
        </x:is>
      </x:c>
      <x:c r="D66" s="84" t="inlineStr">
        <x:is>
          <x:t xml:space="preserve">[data-state]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ready for manual test</x:t>
        </x:is>
      </x:c>
      <x:c r="H66" s="86" t="inlineStr">
        <x:is>
          <x:t xml:space="preserve">covered</x:t>
        </x:is>
      </x:c>
      <x:c r="I66" s="84" t="inlineStr">
        <x:is>
          <x:t xml:space="preserve">PasswordToggleField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State</x:t>
        </x:is>
      </x:c>
      <x:c r="C67" s="84" t="inlineStr">
        <x:is>
          <x:t xml:space="preserve">Toggle</x:t>
        </x:is>
      </x:c>
      <x:c r="D67" s="84" t="inlineStr">
        <x:is>
          <x:t xml:space="preserve">[data-disabled]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ready for manual test</x:t>
        </x:is>
      </x:c>
      <x:c r="H67" s="86" t="inlineStr">
        <x:is>
          <x:t xml:space="preserve">covered</x:t>
        </x:is>
      </x:c>
      <x:c r="I67" s="84" t="inlineStr">
        <x:is>
          <x:t xml:space="preserve">PasswordToggleField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State</x:t>
        </x:is>
      </x:c>
      <x:c r="C68" s="84" t="inlineStr">
        <x:is>
          <x:t xml:space="preserve">Toggle</x:t>
        </x:is>
      </x:c>
      <x:c r="D68" s="84" t="inlineStr">
        <x:is>
          <x:t xml:space="preserve">[data-readonly]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ready for manual test</x:t>
        </x:is>
      </x:c>
      <x:c r="H68" s="86" t="inlineStr">
        <x:is>
          <x:t xml:space="preserve">covered</x:t>
        </x:is>
      </x:c>
      <x:c r="I68" s="84" t="inlineStr">
        <x:is>
          <x:t xml:space="preserve">PasswordToggleField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State</x:t>
        </x:is>
      </x:c>
      <x:c r="C69" s="84" t="inlineStr">
        <x:is>
          <x:t xml:space="preserve">Toggle</x:t>
        </x:is>
      </x:c>
      <x:c r="D69" s="84" t="inlineStr">
        <x:is>
          <x:t xml:space="preserve">[data-required]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ready for manual test</x:t>
        </x:is>
      </x:c>
      <x:c r="H69" s="86" t="inlineStr">
        <x:is>
          <x:t xml:space="preserve">covered</x:t>
        </x:is>
      </x:c>
      <x:c r="I69" s="84" t="inlineStr">
        <x:is>
          <x:t xml:space="preserve">PasswordToggleField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State</x:t>
        </x:is>
      </x:c>
      <x:c r="C70" s="84" t="inlineStr">
        <x:is>
          <x:t xml:space="preserve">Toggle</x:t>
        </x:is>
      </x:c>
      <x:c r="D70" s="84" t="inlineStr">
        <x:is>
          <x:t xml:space="preserve">[data-invalid] prop behavior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ready for manual test</x:t>
        </x:is>
      </x:c>
      <x:c r="H70" s="86" t="inlineStr">
        <x:is>
          <x:t xml:space="preserve">covered</x:t>
        </x:is>
      </x:c>
      <x:c r="I70" s="84" t="inlineStr">
        <x:is>
          <x:t xml:space="preserve">PasswordToggleField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ARIA</x:t>
        </x:is>
      </x:c>
      <x:c r="C71" s="84" t="inlineStr">
        <x:is>
          <x:t xml:space="preserve">Live DOM</x:t>
        </x:is>
      </x:c>
      <x:c r="D71" s="84" t="inlineStr">
        <x:is>
          <x:t xml:space="preserve">aria-hidden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ready for manual test</x:t>
        </x:is>
      </x:c>
      <x:c r="H71" s="86" t="inlineStr">
        <x:is>
          <x:t xml:space="preserve">covered</x:t>
        </x:is>
      </x:c>
      <x:c r="I71" s="84" t="inlineStr">
        <x:is>
          <x:t xml:space="preserve">PasswordToggleField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45" customHeight="1">
      <x:c r="A72" s="73" t="n">
        <x:v>64</x:v>
      </x:c>
      <x:c r="B72" s="84" t="inlineStr">
        <x:is>
          <x:t xml:space="preserve">ARIA</x:t>
        </x:is>
      </x:c>
      <x:c r="C72" s="84" t="inlineStr">
        <x:is>
          <x:t xml:space="preserve">Live DOM</x:t>
        </x:is>
      </x:c>
      <x:c r="D72" s="84" t="inlineStr">
        <x:is>
          <x:t xml:space="preserve">aria-invalid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ready for manual test</x:t>
        </x:is>
      </x:c>
      <x:c r="H72" s="86" t="inlineStr">
        <x:is>
          <x:t xml:space="preserve">covered</x:t>
        </x:is>
      </x:c>
      <x:c r="I72" s="84" t="inlineStr">
        <x:is>
          <x:t xml:space="preserve">PasswordToggleField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ARIA</x:t>
        </x:is>
      </x:c>
      <x:c r="C73" s="84" t="inlineStr">
        <x:is>
          <x:t xml:space="preserve">Live DOM</x:t>
        </x:is>
      </x:c>
      <x:c r="D73" s="84" t="inlineStr">
        <x:is>
          <x:t xml:space="preserve">aria-label is present at the correct time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ready for manual test</x:t>
        </x:is>
      </x:c>
      <x:c r="H73" s="86" t="inlineStr">
        <x:is>
          <x:t xml:space="preserve">covered</x:t>
        </x:is>
      </x:c>
      <x:c r="I73" s="84" t="inlineStr">
        <x:is>
          <x:t xml:space="preserve">PasswordToggleField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ARIA</x:t>
        </x:is>
      </x:c>
      <x:c r="C74" s="84" t="inlineStr">
        <x:is>
          <x:t xml:space="preserve">Live DOM</x:t>
        </x:is>
      </x:c>
      <x:c r="D74" s="84" t="inlineStr">
        <x:is>
          <x:t xml:space="preserve">aria-readonly is present at the correct time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ready for manual test</x:t>
        </x:is>
      </x:c>
      <x:c r="H74" s="86" t="inlineStr">
        <x:is>
          <x:t xml:space="preserve">covered</x:t>
        </x:is>
      </x:c>
      <x:c r="I74" s="84" t="inlineStr">
        <x:is>
          <x:t xml:space="preserve">PasswordToggleField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30" customHeight="1">
      <x:c r="A75" s="73" t="n">
        <x:v>67</x:v>
      </x:c>
      <x:c r="B75" s="84" t="inlineStr">
        <x:is>
          <x:t xml:space="preserve">ARIA</x:t>
        </x:is>
      </x:c>
      <x:c r="C75" s="84" t="inlineStr">
        <x:is>
          <x:t xml:space="preserve">Live DOM</x:t>
        </x:is>
      </x:c>
      <x:c r="D75" s="84" t="inlineStr">
        <x:is>
          <x:t xml:space="preserve">aria-required is present at the correct time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ready for manual test</x:t>
        </x:is>
      </x:c>
      <x:c r="H75" s="86" t="inlineStr">
        <x:is>
          <x:t xml:space="preserve">covered</x:t>
        </x:is>
      </x:c>
      <x:c r="I75" s="84" t="inlineStr">
        <x:is>
          <x:t xml:space="preserve">PasswordToggleField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Data</x:t>
        </x:is>
      </x:c>
      <x:c r="C76" s="84" t="inlineStr">
        <x:is>
          <x:t xml:space="preserve">Live DOM</x:t>
        </x:is>
      </x:c>
      <x:c r="D76" s="84" t="inlineStr">
        <x:is>
          <x:t xml:space="preserve">data-disabled is present at the correct time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ready for manual test</x:t>
        </x:is>
      </x:c>
      <x:c r="H76" s="86" t="inlineStr">
        <x:is>
          <x:t xml:space="preserve">covered</x:t>
        </x:is>
      </x:c>
      <x:c r="I76" s="84" t="inlineStr">
        <x:is>
          <x:t xml:space="preserve">PasswordToggleField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Data</x:t>
        </x:is>
      </x:c>
      <x:c r="C77" s="84" t="inlineStr">
        <x:is>
          <x:t xml:space="preserve">Live DOM</x:t>
        </x:is>
      </x:c>
      <x:c r="D77" s="84" t="inlineStr">
        <x:is>
          <x:t xml:space="preserve">data-invalid is present at the correct time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ready for manual test</x:t>
        </x:is>
      </x:c>
      <x:c r="H77" s="86" t="inlineStr">
        <x:is>
          <x:t xml:space="preserve">covered</x:t>
        </x:is>
      </x:c>
      <x:c r="I77" s="84" t="inlineStr">
        <x:is>
          <x:t xml:space="preserve">PasswordToggleField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45" customHeight="1">
      <x:c r="A78" s="73" t="n">
        <x:v>70</x:v>
      </x:c>
      <x:c r="B78" s="84" t="inlineStr">
        <x:is>
          <x:t xml:space="preserve">Data</x:t>
        </x:is>
      </x:c>
      <x:c r="C78" s="84" t="inlineStr">
        <x:is>
          <x:t xml:space="preserve">Live DOM</x:t>
        </x:is>
      </x:c>
      <x:c r="D78" s="84" t="inlineStr">
        <x:is>
          <x:t xml:space="preserve">data-readonly is present at the correct time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ready for manual test</x:t>
        </x:is>
      </x:c>
      <x:c r="H78" s="86" t="inlineStr">
        <x:is>
          <x:t xml:space="preserve">covered</x:t>
        </x:is>
      </x:c>
      <x:c r="I78" s="84" t="inlineStr">
        <x:is>
          <x:t xml:space="preserve">PasswordToggleField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Data</x:t>
        </x:is>
      </x:c>
      <x:c r="C79" s="84" t="inlineStr">
        <x:is>
          <x:t xml:space="preserve">Live DOM</x:t>
        </x:is>
      </x:c>
      <x:c r="D79" s="84" t="inlineStr">
        <x:is>
          <x:t xml:space="preserve">data-required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ready for manual test</x:t>
        </x:is>
      </x:c>
      <x:c r="H79" s="86" t="inlineStr">
        <x:is>
          <x:t xml:space="preserve">covered</x:t>
        </x:is>
      </x:c>
      <x:c r="I79" s="84" t="inlineStr">
        <x:is>
          <x:t xml:space="preserve">PasswordToggleField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Data</x:t>
        </x:is>
      </x:c>
      <x:c r="C80" s="84" t="inlineStr">
        <x:is>
          <x:t xml:space="preserve">Live DOM</x:t>
        </x:is>
      </x:c>
      <x:c r="D80" s="84" t="inlineStr">
        <x:is>
          <x:t xml:space="preserve">data-slot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ready for manual test</x:t>
        </x:is>
      </x:c>
      <x:c r="H80" s="86" t="inlineStr">
        <x:is>
          <x:t xml:space="preserve">covered</x:t>
        </x:is>
      </x:c>
      <x:c r="I80" s="84" t="inlineStr">
        <x:is>
          <x:t xml:space="preserve">PasswordToggleField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30" customHeight="1">
      <x:c r="A81" s="73" t="n">
        <x:v>73</x:v>
      </x:c>
      <x:c r="B81" s="84" t="inlineStr">
        <x:is>
          <x:t xml:space="preserve">Data</x:t>
        </x:is>
      </x:c>
      <x:c r="C81" s="84" t="inlineStr">
        <x:is>
          <x:t xml:space="preserve">Live DOM</x:t>
        </x:is>
      </x:c>
      <x:c r="D81" s="84" t="inlineStr">
        <x:is>
          <x:t xml:space="preserve">data-state is present at the correct time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ready for manual test</x:t>
        </x:is>
      </x:c>
      <x:c r="H81" s="86" t="inlineStr">
        <x:is>
          <x:t xml:space="preserve">covered</x:t>
        </x:is>
      </x:c>
      <x:c r="I81" s="84" t="inlineStr">
        <x:is>
          <x:t xml:space="preserve">PasswordToggleField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State</x:t>
        </x:is>
      </x:c>
      <x:c r="C82" s="84" t="inlineStr">
        <x:is>
          <x:t xml:space="preserve">Root</x:t>
        </x:is>
      </x:c>
      <x:c r="D82" s="84" t="inlineStr">
        <x:is>
          <x:t xml:space="preserve">controlled state path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ready for manual test</x:t>
        </x:is>
      </x:c>
      <x:c r="H82" s="86" t="inlineStr">
        <x:is>
          <x:t xml:space="preserve">covered</x:t>
        </x:is>
      </x:c>
      <x:c r="I82" s="84" t="inlineStr">
        <x:is>
          <x:t xml:space="preserve">PasswordToggleField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State</x:t>
        </x:is>
      </x:c>
      <x:c r="C83" s="84" t="inlineStr">
        <x:is>
          <x:t xml:space="preserve">Root</x:t>
        </x:is>
      </x:c>
      <x:c r="D83" s="84" t="inlineStr">
        <x:is>
          <x:t xml:space="preserve">uncontrolled default state path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ready for manual test</x:t>
        </x:is>
      </x:c>
      <x:c r="H83" s="86" t="inlineStr">
        <x:is>
          <x:t xml:space="preserve">covered</x:t>
        </x:is>
      </x:c>
      <x:c r="I83" s="84" t="inlineStr">
        <x:is>
          <x:t xml:space="preserve">PasswordToggleField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45" customHeight="1">
      <x:c r="A84" s="73" t="n">
        <x:v>76</x:v>
      </x:c>
      <x:c r="B84" s="84" t="inlineStr">
        <x:is>
          <x:t xml:space="preserve">State</x:t>
        </x:is>
      </x:c>
      <x:c r="C84" s="84" t="inlineStr">
        <x:is>
          <x:t xml:space="preserve">Root</x:t>
        </x:is>
      </x:c>
      <x:c r="D84" s="84" t="inlineStr">
        <x:is>
          <x:t xml:space="preserve">state change callback fires once with correct value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ready for manual test</x:t>
        </x:is>
      </x:c>
      <x:c r="H84" s="86" t="inlineStr">
        <x:is>
          <x:t xml:space="preserve">covered</x:t>
        </x:is>
      </x:c>
      <x:c r="I84" s="84" t="inlineStr">
        <x:is>
          <x:t xml:space="preserve">PasswordToggleField form-field playground page exposes this part/prop in Anatomy, Inspector, Source, or toolbar controls.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State</x:t>
        </x:is>
      </x:c>
      <x:c r="C85" s="84" t="inlineStr">
        <x:is>
          <x:t xml:space="preserve">PasswordToggleField</x:t>
        </x:is>
      </x:c>
      <x:c r="D85" s="84" t="inlineStr">
        <x:is>
          <x:t xml:space="preserve">disabled state blocks or exposes behavior correctly where supported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ready for manual test</x:t>
        </x:is>
      </x:c>
      <x:c r="H85" s="86" t="inlineStr">
        <x:is>
          <x:t xml:space="preserve">covered</x:t>
        </x:is>
      </x:c>
      <x:c r="I85" s="84" t="inlineStr">
        <x:is>
          <x:t xml:space="preserve">PasswordToggleField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State</x:t>
        </x:is>
      </x:c>
      <x:c r="C86" s="84" t="inlineStr">
        <x:is>
          <x:t xml:space="preserve">PasswordToggleField</x:t>
        </x:is>
      </x:c>
      <x:c r="D86" s="84" t="inlineStr">
        <x:is>
          <x:t xml:space="preserve">readonly/readOnly state blocks or exposes behavior correctly where supported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ready for manual test</x:t>
        </x:is>
      </x:c>
      <x:c r="H86" s="86" t="inlineStr">
        <x:is>
          <x:t xml:space="preserve">covered</x:t>
        </x:is>
      </x:c>
      <x:c r="I86" s="84" t="inlineStr">
        <x:is>
          <x:t xml:space="preserve">PasswordToggleField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30" customHeight="1">
      <x:c r="A87" s="73" t="n">
        <x:v>79</x:v>
      </x:c>
      <x:c r="B87" s="84" t="inlineStr">
        <x:is>
          <x:t xml:space="preserve">State</x:t>
        </x:is>
      </x:c>
      <x:c r="C87" s="84" t="inlineStr">
        <x:is>
          <x:t xml:space="preserve">PasswordToggleField</x:t>
        </x:is>
      </x:c>
      <x:c r="D87" s="84" t="inlineStr">
        <x:is>
          <x:t xml:space="preserve">required state blocks or exposes behavior correctly where supported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ready for manual test</x:t>
        </x:is>
      </x:c>
      <x:c r="H87" s="86" t="inlineStr">
        <x:is>
          <x:t xml:space="preserve">covered</x:t>
        </x:is>
      </x:c>
      <x:c r="I87" s="84" t="inlineStr">
        <x:is>
          <x:t xml:space="preserve">PasswordToggleField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State</x:t>
        </x:is>
      </x:c>
      <x:c r="C88" s="84" t="inlineStr">
        <x:is>
          <x:t xml:space="preserve">PasswordToggleField</x:t>
        </x:is>
      </x:c>
      <x:c r="D88" s="84" t="inlineStr">
        <x:is>
          <x:t xml:space="preserve">invalid state blocks or exposes behavior correctly where supported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ready for manual test</x:t>
        </x:is>
      </x:c>
      <x:c r="H88" s="86" t="inlineStr">
        <x:is>
          <x:t xml:space="preserve">covered</x:t>
        </x:is>
      </x:c>
      <x:c r="I88" s="84" t="inlineStr">
        <x:is>
          <x:t xml:space="preserve">PasswordToggleField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Validation</x:t>
        </x:is>
      </x:c>
      <x:c r="C89" s="84" t="inlineStr">
        <x:is>
          <x:t xml:space="preserve">Root/Input/Toggle</x:t>
        </x:is>
      </x:c>
      <x:c r="D89" s="84" t="inlineStr">
        <x:is>
          <x:t xml:space="preserve">validationBehavior keeps native invalid state synchronized across visible parts, Field, and Form</x:t>
        </x:is>
      </x:c>
      <x:c r="E89" s="76" t="inlineStr">
        <x:is>
          <x:t xml:space="preserve">yes</x:t>
        </x:is>
      </x:c>
      <x:c r="F89" s="85" t="inlineStr">
        <x:is>
          <x:t xml:space="preserve">no</x:t>
        </x:is>
      </x:c>
      <x:c r="G89" s="73" t="inlineStr">
        <x:is>
          <x:t xml:space="preserve">automated tests pass; manual pending</x:t>
        </x:is>
      </x:c>
      <x:c r="H89" s="86" t="inlineStr">
        <x:is>
          <x:t xml:space="preserve">untested</x:t>
        </x:is>
      </x:c>
      <x:c r="I89" s="84" t="inlineStr">
        <x:is>
          <x:t xml:space="preserve">Form &gt; Control: Foundation and automated Atom validation tests.</x:t>
        </x:is>
      </x:c>
      <x:c r="J89" s="84" t="inlineStr">
        <x:is>
          <x:t xml:space="preserve">Run and review the updated form-foundation validation steps.</x:t>
        </x:is>
      </x:c>
      <x:c r="K89" s="87" t="n">
        <x:f>IF(AND(E89="yes",F89="yes",H89="covered"),1,IF(H89="partial",0.5,0))</x:f>
        <x:v>0</x:v>
      </x:c>
    </x:row>
    <x:row r="90" s="51" customFormat="1" ht="15" customHeight="1"/>
    <x:row r="91" s="51" customFormat="1" ht="15" customHeight="1"/>
    <x:row r="92" s="51" customFormat="1" ht="15" customHeight="1"/>
    <x:row r="93" s="51" customFormat="1" ht="15" customHeight="1"/>
    <x:row r="94" s="51" customFormat="1" ht="15" customHeight="1"/>
    <x:row r="95" s="51" customFormat="1" ht="15" customHeight="1"/>
    <x:row r="96" s="51" customFormat="1" ht="15" customHeight="1"/>
    <x:row r="97" s="51" customFormat="1" ht="15" customHeight="1"/>
    <x:row r="98" s="51" customFormat="1" ht="15" customHeight="1"/>
    <x:row r="99" s="51" customFormat="1" ht="15" customHeight="1"/>
    <x:row r="100" s="51" customFormat="1" ht="15" customHeight="1"/>
    <x:row r="101" s="51" customFormat="1" ht="15" customHeight="1"/>
    <x:row r="102" s="51" customFormat="1" ht="30" customHeight="1"/>
    <x:row r="103" s="51" customFormat="1" ht="15" customHeight="1"/>
    <x:row r="104" s="51" customFormat="1" ht="15" customHeight="1"/>
    <x:row r="105" s="51" customFormat="1" ht="15" customHeight="1"/>
    <x:row r="106" s="51" customFormat="1" ht="15" customHeight="1"/>
    <x:row r="107" s="51" customFormat="1" ht="45" customHeight="1"/>
    <x:row r="108" s="51" customFormat="1" ht="30" customHeight="1"/>
    <x:row r="109" s="51" customFormat="1" ht="30" customHeight="1"/>
    <x:row r="110" s="51" customFormat="1" ht="30" customHeight="1"/>
    <x:row r="111" s="51" customFormat="1" ht="30" customHeight="1"/>
    <x:row r="112" s="51" customFormat="1" ht="45" customHeight="1"/>
    <x:row r="113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Popover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Historical manual coverage below predates the expanded controller, positioning and lifecycle API. Rerun the updated Popover manual protocol; automated parity tests do not qualify these manual rows.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145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Popover manual protocol and live playground evidence.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Popover manual protocol and live playground evidence.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Popover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Popover manual protocol and live playground evidence.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Popover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Popover manual protocol and live playground evidence.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Popover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Popover manual protocol and live playground evidence.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Popover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Popover manual protocol and live playground evidence.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Popover</x:t>
        </x:is>
      </x:c>
      <x:c r="D15" s="84" t="inlineStr">
        <x:is>
          <x:t xml:space="preserve">Controlled and uncontrolled open state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Popover manual protocol and live playground evidence.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Popover</x:t>
        </x:is>
      </x:c>
      <x:c r="D16" s="84" t="inlineStr">
        <x:is>
          <x:t xml:space="preserve">Click or hover trigger mode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Popover manual protocol and live playground evidence.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Popover</x:t>
        </x:is>
      </x:c>
      <x:c r="D17" s="84" t="inlineStr">
        <x:is>
          <x:t xml:space="preserve">Optional anchor separate from the trigger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Popover manual protocol and live playground evidence.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Popover</x:t>
        </x:is>
      </x:c>
      <x:c r="D18" s="84" t="inlineStr">
        <x:is>
          <x:t xml:space="preserve">Floating UI positioning with side, align, side offset, collision shift, flip, and arrow coordinates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Popover manual protocol and live playground evidence.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4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Popover</x:t>
        </x:is>
      </x:c>
      <x:c r="D19" s="84" t="inlineStr">
        <x:is>
          <x:t xml:space="preserve">Modal mode with focus trap and scroll lock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Popover manual protocol and live playground evidence.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Popover</x:t>
        </x:is>
      </x:c>
      <x:c r="D20" s="84" t="inlineStr">
        <x:is>
          <x:t xml:space="preserve">Non-modal focus guards and outside interaction dismissal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Popover manual protocol and live playground evidence.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Popover</x:t>
        </x:is>
      </x:c>
      <x:c r="D21" s="84" t="inlineStr">
        <x:is>
          <x:t xml:space="preserve">Stack-aware Escape dismissal for nested overlays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Popover manual protocol and live playground evidence.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Feature</x:t>
        </x:is>
      </x:c>
      <x:c r="C22" s="84" t="inlineStr">
        <x:is>
          <x:t xml:space="preserve">Popover</x:t>
        </x:is>
      </x:c>
      <x:c r="D22" s="84" t="inlineStr">
        <x:is>
          <x:t xml:space="preserve">Close button part and portal support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Popover manual protocol and live playground evidence.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45" customHeight="1">
      <x:c r="A23" s="73" t="n">
        <x:v>15</x:v>
      </x:c>
      <x:c r="B23" s="84" t="inlineStr">
        <x:is>
          <x:t xml:space="preserve">Anatomy</x:t>
        </x:is>
      </x:c>
      <x:c r="C23" s="84" t="inlineStr">
        <x:is>
          <x:t xml:space="preserve">Root</x:t>
        </x:is>
      </x:c>
      <x:c r="D23" s="84" t="inlineStr">
        <x:is>
          <x:t xml:space="preserve">renders correct part when expected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Popover manual protocol and live playground evidence.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Anatomy</x:t>
        </x:is>
      </x:c>
      <x:c r="C24" s="84" t="inlineStr">
        <x:is>
          <x:t xml:space="preserve">Root</x:t>
        </x:is>
      </x:c>
      <x:c r="D24" s="84" t="inlineStr">
        <x:is>
          <x:t xml:space="preserve">appears in documented order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Popover manual protocol and live playground evidence.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30" customHeight="1">
      <x:c r="A25" s="73" t="n">
        <x:v>17</x:v>
      </x:c>
      <x:c r="B25" s="84" t="inlineStr">
        <x:is>
          <x:t xml:space="preserve">Identity</x:t>
        </x:is>
      </x:c>
      <x:c r="C25" s="84" t="inlineStr">
        <x:is>
          <x:t xml:space="preserve">Root</x:t>
        </x:is>
      </x:c>
      <x:c r="D25" s="84" t="inlineStr">
        <x:is>
          <x:t xml:space="preserve">Root is behavior-only and renders no DOM tag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test; Root has state rows only and no raw DOM element</x:t>
        </x:is>
      </x:c>
      <x:c r="H25" s="86" t="inlineStr">
        <x:is>
          <x:t xml:space="preserve">covered</x:t>
        </x:is>
      </x:c>
      <x:c r="I25" s="84" t="inlineStr">
        <x:is>
          <x:t xml:space="preserve">Root Anatomy state rows; Root has no Attributes, ARIA, or Data groups.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45" customHeight="1">
      <x:c r="A26" s="73" t="n">
        <x:v>18</x:v>
      </x:c>
      <x:c r="B26" s="84" t="inlineStr">
        <x:is>
          <x:t xml:space="preserve">Identity</x:t>
        </x:is>
      </x:c>
      <x:c r="C26" s="84" t="inlineStr">
        <x:is>
          <x:t xml:space="preserve">Root</x:t>
        </x:is>
      </x:c>
      <x:c r="D26" s="84" t="inlineStr">
        <x:is>
          <x:t xml:space="preserve">Root has no data-slot because it renders no DOM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test; data-slot is not applicable to Root</x:t>
        </x:is>
      </x:c>
      <x:c r="H26" s="86" t="inlineStr">
        <x:is>
          <x:t xml:space="preserve">covered</x:t>
        </x:is>
      </x:c>
      <x:c r="I26" s="84" t="inlineStr">
        <x:is>
          <x:t xml:space="preserve">Root Anatomy confirms behavior-only context with no DOM slot.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Props</x:t>
        </x:is>
      </x:c>
      <x:c r="C27" s="84" t="inlineStr">
        <x:is>
          <x:t xml:space="preserve">Root</x:t>
        </x:is>
      </x:c>
      <x:c r="D27" s="84" t="inlineStr">
        <x:is>
          <x:t xml:space="preserve">Root native DOM prop passthrough is not applicable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test; Root exposes behavior through child DOM parts</x:t>
        </x:is>
      </x:c>
      <x:c r="H27" s="86" t="inlineStr">
        <x:is>
          <x:t xml:space="preserve">covered</x:t>
        </x:is>
      </x:c>
      <x:c r="I27" s="84" t="inlineStr">
        <x:is>
          <x:t xml:space="preserve">Root is non-DOM; prop checks apply to Anchor, Trigger, Content, Arrow, and Close.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Refs</x:t>
        </x:is>
      </x:c>
      <x:c r="C28" s="84" t="inlineStr">
        <x:is>
          <x:t xml:space="preserve">Root</x:t>
        </x:is>
      </x:c>
      <x:c r="D28" s="84" t="inlineStr">
        <x:is>
          <x:t xml:space="preserve">Root consumer DOM ref is not applicable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test; Root has no rendered element for a DOM ref</x:t>
        </x:is>
      </x:c>
      <x:c r="H28" s="86" t="inlineStr">
        <x:is>
          <x:t xml:space="preserve">covered</x:t>
        </x:is>
      </x:c>
      <x:c r="I28" s="84" t="inlineStr">
        <x:is>
          <x:t xml:space="preserve">Root renders context only; refs are verified on DOM parts where applicable.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open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Popover manual protocol and live playground evidence.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defaultOpen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Popover manual protocol and live playground evidence.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onOpenChange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Popover manual protocol and live playground evidence.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Positioning</x:t>
        </x:is>
      </x:c>
      <x:c r="C32" s="84" t="inlineStr">
        <x:is>
          <x:t xml:space="preserve">Root</x:t>
        </x:is>
      </x:c>
      <x:c r="D32" s="84" t="inlineStr">
        <x:is>
          <x:t xml:space="preserve">modal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Popover manual protocol and live playground evidence.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triggerMode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Popover manual protocol and live playground evidence.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Positioning</x:t>
        </x:is>
      </x:c>
      <x:c r="C34" s="84" t="inlineStr">
        <x:is>
          <x:t xml:space="preserve">Root</x:t>
        </x:is>
      </x:c>
      <x:c r="D34" s="84" t="inlineStr">
        <x:is>
          <x:t xml:space="preserve">closeOnInteractOutside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Popover manual protocol and live playground evidence.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Root</x:t>
        </x:is>
      </x:c>
      <x:c r="D35" s="84" t="inlineStr">
        <x:is>
          <x:t xml:space="preserve">disabled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Popover manual protocol and live playground evidence.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45" customHeight="1">
      <x:c r="A36" s="73" t="n">
        <x:v>28</x:v>
      </x:c>
      <x:c r="B36" s="84" t="inlineStr">
        <x:is>
          <x:t xml:space="preserve">Anatomy</x:t>
        </x:is>
      </x:c>
      <x:c r="C36" s="84" t="inlineStr">
        <x:is>
          <x:t xml:space="preserve">Portal</x:t>
        </x:is>
      </x:c>
      <x:c r="D36" s="84" t="inlineStr">
        <x:is>
          <x:t xml:space="preserve">renders correct part when expected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Popover manual protocol and live playground evidence.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Anatomy</x:t>
        </x:is>
      </x:c>
      <x:c r="C37" s="84" t="inlineStr">
        <x:is>
          <x:t xml:space="preserve">Portal</x:t>
        </x:is>
      </x:c>
      <x:c r="D37" s="84" t="inlineStr">
        <x:is>
          <x:t xml:space="preserve">appears in documented order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Popover manual protocol and live playground evidence.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45" customHeight="1">
      <x:c r="A38" s="73" t="n">
        <x:v>30</x:v>
      </x:c>
      <x:c r="B38" s="84" t="inlineStr">
        <x:is>
          <x:t xml:space="preserve">Identity</x:t>
        </x:is>
      </x:c>
      <x:c r="C38" s="84" t="inlineStr">
        <x:is>
          <x:t xml:space="preserve">Portal</x:t>
        </x:is>
      </x:c>
      <x:c r="D38" s="84" t="inlineStr">
        <x:is>
          <x:t xml:space="preserve">Portal wrapper has no default DOM tag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test; portal behavior verified through content parent evidence</x:t>
        </x:is>
      </x:c>
      <x:c r="H38" s="86" t="inlineStr">
        <x:is>
          <x:t xml:space="preserve">covered</x:t>
        </x:is>
      </x:c>
      <x:c r="I38" s="84" t="inlineStr">
        <x:is>
          <x:t xml:space="preserve">Portal Anatomy shows body, custom container, and disabled inline placement through Content parent rows.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45" customHeight="1">
      <x:c r="A39" s="73" t="n">
        <x:v>31</x:v>
      </x:c>
      <x:c r="B39" s="84" t="inlineStr">
        <x:is>
          <x:t xml:space="preserve">Identity</x:t>
        </x:is>
      </x:c>
      <x:c r="C39" s="84" t="inlineStr">
        <x:is>
          <x:t xml:space="preserve">Portal</x:t>
        </x:is>
      </x:c>
      <x:c r="D39" s="84" t="inlineStr">
        <x:is>
          <x:t xml:space="preserve">Portal has no data-slot because it renders no Atom DOM part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test; data-slot is not applicable to Portal</x:t>
        </x:is>
      </x:c>
      <x:c r="H39" s="86" t="inlineStr">
        <x:is>
          <x:t xml:space="preserve">covered</x:t>
        </x:is>
      </x:c>
      <x:c r="I39" s="84" t="inlineStr">
        <x:is>
          <x:t xml:space="preserve">Portal behavior is verified through Content parent and Source portal props.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45" customHeight="1">
      <x:c r="A40" s="73" t="n">
        <x:v>32</x:v>
      </x:c>
      <x:c r="B40" s="84" t="inlineStr">
        <x:is>
          <x:t xml:space="preserve">Props</x:t>
        </x:is>
      </x:c>
      <x:c r="C40" s="84" t="inlineStr">
        <x:is>
          <x:t xml:space="preserve">Portal</x:t>
        </x:is>
      </x:c>
      <x:c r="D40" s="84" t="inlineStr">
        <x:is>
          <x:t xml:space="preserve">Portal native DOM prop passthrough is not applicable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test; Portal exposes portal utility props instead of DOM props</x:t>
        </x:is>
      </x:c>
      <x:c r="H40" s="86" t="inlineStr">
        <x:is>
          <x:t xml:space="preserve">covered</x:t>
        </x:is>
      </x:c>
      <x:c r="I40" s="84" t="inlineStr">
        <x:is>
          <x:t xml:space="preserve">Portal rows verify body, container, and disabled portal behavior.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Refs</x:t>
        </x:is>
      </x:c>
      <x:c r="C41" s="84" t="inlineStr">
        <x:is>
          <x:t xml:space="preserve">Portal</x:t>
        </x:is>
      </x:c>
      <x:c r="D41" s="84" t="inlineStr">
        <x:is>
          <x:t xml:space="preserve">Portal consumer DOM ref is not applicable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test; Portal has no rendered element for a DOM ref</x:t>
        </x:is>
      </x:c>
      <x:c r="H41" s="86" t="inlineStr">
        <x:is>
          <x:t xml:space="preserve">covered</x:t>
        </x:is>
      </x:c>
      <x:c r="I41" s="84" t="inlineStr">
        <x:is>
          <x:t xml:space="preserve">Portal behavior is verified through rendered Content placement evidence.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Positioning</x:t>
        </x:is>
      </x:c>
      <x:c r="C42" s="84" t="inlineStr">
        <x:is>
          <x:t xml:space="preserve">Portal</x:t>
        </x:is>
      </x:c>
      <x:c r="D42" s="84" t="inlineStr">
        <x:is>
          <x:t xml:space="preserve">container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Popover manual protocol and live playground evidence.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Portal</x:t>
        </x:is>
      </x:c>
      <x:c r="D43" s="84" t="inlineStr">
        <x:is>
          <x:t xml:space="preserve">disabled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Popover manual protocol and live playground evidence.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Anatomy</x:t>
        </x:is>
      </x:c>
      <x:c r="C44" s="84" t="inlineStr">
        <x:is>
          <x:t xml:space="preserve">Anchor</x:t>
        </x:is>
      </x:c>
      <x:c r="D44" s="84" t="inlineStr">
        <x:is>
          <x:t xml:space="preserve">renders correct part when expected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Popover manual protocol and live playground evidence.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Anchor</x:t>
        </x:is>
      </x:c>
      <x:c r="D45" s="84" t="inlineStr">
        <x:is>
          <x:t xml:space="preserve">appears in documented order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Popover manual protocol and live playground evidence.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30" customHeight="1">
      <x:c r="A46" s="73" t="n">
        <x:v>38</x:v>
      </x:c>
      <x:c r="B46" s="84" t="inlineStr">
        <x:is>
          <x:t xml:space="preserve">Identity</x:t>
        </x:is>
      </x:c>
      <x:c r="C46" s="84" t="inlineStr">
        <x:is>
          <x:t xml:space="preserve">Anchor</x:t>
        </x:is>
      </x:c>
      <x:c r="D46" s="84" t="inlineStr">
        <x:is>
          <x:t xml:space="preserve">default tag is visible in Anatomy/Inspector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Popover manual protocol and live playground evidence.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45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Anchor</x:t>
        </x:is>
      </x:c>
      <x:c r="D47" s="84" t="inlineStr">
        <x:is>
          <x:t xml:space="preserve">data-slot is present and correct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Popover manual protocol and live playground evidence.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Props</x:t>
        </x:is>
      </x:c>
      <x:c r="C48" s="84" t="inlineStr">
        <x:is>
          <x:t xml:space="preserve">Anchor</x:t>
        </x:is>
      </x:c>
      <x:c r="D48" s="84" t="inlineStr">
        <x:is>
          <x:t xml:space="preserve">non-Atom native props pass through with data-prop-check marker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Popover manual protocol and live playground evidence.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Refs</x:t>
        </x:is>
      </x:c>
      <x:c r="C49" s="84" t="inlineStr">
        <x:is>
          <x:t xml:space="preserve">Anchor</x:t>
        </x:is>
      </x:c>
      <x:c r="D49" s="84" t="inlineStr">
        <x:is>
          <x:t xml:space="preserve">consumer ref receives the rendered element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Popover manual protocol and live playground evidence.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Composition</x:t>
        </x:is>
      </x:c>
      <x:c r="C50" s="84" t="inlineStr">
        <x:is>
          <x:t xml:space="preserve">Anchor</x:t>
        </x:is>
      </x:c>
      <x:c r="D50" s="84" t="inlineStr">
        <x:is>
          <x:t xml:space="preserve">asChild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Popover manual protocol and live playground evidence.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Composition</x:t>
        </x:is>
      </x:c>
      <x:c r="C51" s="84" t="inlineStr">
        <x:is>
          <x:t xml:space="preserve">Anchor</x:t>
        </x:is>
      </x:c>
      <x:c r="D51" s="84" t="inlineStr">
        <x:is>
          <x:t xml:space="preserve">render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Popover manual protocol and live playground evidence.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Anchor</x:t>
        </x:is>
      </x:c>
      <x:c r="D52" s="84" t="inlineStr">
        <x:is>
          <x:t xml:space="preserve">data-slot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Popover manual protocol and live playground evidence.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Anchor</x:t>
        </x:is>
      </x:c>
      <x:c r="D53" s="84" t="inlineStr">
        <x:is>
          <x:t xml:space="preserve">[data-slot]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Popover manual protocol and live playground evidence.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Anatomy</x:t>
        </x:is>
      </x:c>
      <x:c r="C54" s="84" t="inlineStr">
        <x:is>
          <x:t xml:space="preserve">Trigger</x:t>
        </x:is>
      </x:c>
      <x:c r="D54" s="84" t="inlineStr">
        <x:is>
          <x:t xml:space="preserve">renders correct part when expected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Popover manual protocol and live playground evidence.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Anatomy</x:t>
        </x:is>
      </x:c>
      <x:c r="C55" s="84" t="inlineStr">
        <x:is>
          <x:t xml:space="preserve">Trigger</x:t>
        </x:is>
      </x:c>
      <x:c r="D55" s="84" t="inlineStr">
        <x:is>
          <x:t xml:space="preserve">appears in documented order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Popover manual protocol and live playground evidence.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30" customHeight="1">
      <x:c r="A56" s="73" t="n">
        <x:v>48</x:v>
      </x:c>
      <x:c r="B56" s="84" t="inlineStr">
        <x:is>
          <x:t xml:space="preserve">Identity</x:t>
        </x:is>
      </x:c>
      <x:c r="C56" s="84" t="inlineStr">
        <x:is>
          <x:t xml:space="preserve">Trigger</x:t>
        </x:is>
      </x:c>
      <x:c r="D56" s="84" t="inlineStr">
        <x:is>
          <x:t xml:space="preserve">default tag is visible in Anatomy/Inspector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Popover manual protocol and live playground evidence.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45" customHeight="1">
      <x:c r="A57" s="73" t="n">
        <x:v>49</x:v>
      </x:c>
      <x:c r="B57" s="84" t="inlineStr">
        <x:is>
          <x:t xml:space="preserve">Identity</x:t>
        </x:is>
      </x:c>
      <x:c r="C57" s="84" t="inlineStr">
        <x:is>
          <x:t xml:space="preserve">Trigger</x:t>
        </x:is>
      </x:c>
      <x:c r="D57" s="84" t="inlineStr">
        <x:is>
          <x:t xml:space="preserve">data-slot is present and correct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Popover manual protocol and live playground evidence.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Props</x:t>
        </x:is>
      </x:c>
      <x:c r="C58" s="84" t="inlineStr">
        <x:is>
          <x:t xml:space="preserve">Trigger</x:t>
        </x:is>
      </x:c>
      <x:c r="D58" s="84" t="inlineStr">
        <x:is>
          <x:t xml:space="preserve">non-Atom native props pass through with data-prop-check marker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Popover manual protocol and live playground evidence.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Refs</x:t>
        </x:is>
      </x:c>
      <x:c r="C59" s="84" t="inlineStr">
        <x:is>
          <x:t xml:space="preserve">Trigger</x:t>
        </x:is>
      </x:c>
      <x:c r="D59" s="84" t="inlineStr">
        <x:is>
          <x:t xml:space="preserve">consumer ref receives the rendered element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Popover manual protocol and live playground evidence.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Composition</x:t>
        </x:is>
      </x:c>
      <x:c r="C60" s="84" t="inlineStr">
        <x:is>
          <x:t xml:space="preserve">Trigger</x:t>
        </x:is>
      </x:c>
      <x:c r="D60" s="84" t="inlineStr">
        <x:is>
          <x:t xml:space="preserve">asChild prop behavior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Popover manual protocol and live playground evidence.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Composition</x:t>
        </x:is>
      </x:c>
      <x:c r="C61" s="84" t="inlineStr">
        <x:is>
          <x:t xml:space="preserve">Trigger</x:t>
        </x:is>
      </x:c>
      <x:c r="D61" s="84" t="inlineStr">
        <x:is>
          <x:t xml:space="preserve">render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Popover manual protocol and live playground evidence.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Trigger</x:t>
        </x:is>
      </x:c>
      <x:c r="D62" s="84" t="inlineStr">
        <x:is>
          <x:t xml:space="preserve">data-slot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Popover manual protocol and live playground evidence.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Public API</x:t>
        </x:is>
      </x:c>
      <x:c r="C63" s="84" t="inlineStr">
        <x:is>
          <x:t xml:space="preserve">Trigger</x:t>
        </x:is>
      </x:c>
      <x:c r="D63" s="84" t="inlineStr">
        <x:is>
          <x:t xml:space="preserve">[data-slot]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Popover manual protocol and live playground evidence.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Trigger</x:t>
        </x:is>
      </x:c>
      <x:c r="D64" s="84" t="inlineStr">
        <x:is>
          <x:t xml:space="preserve">[data-state]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Popover manual protocol and live playground evidence.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Public API</x:t>
        </x:is>
      </x:c>
      <x:c r="C65" s="84" t="inlineStr">
        <x:is>
          <x:t xml:space="preserve">Trigger</x:t>
        </x:is>
      </x:c>
      <x:c r="D65" s="84" t="inlineStr">
        <x:is>
          <x:t xml:space="preserve">[data-trigger-mode]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Popover manual protocol and live playground evidence.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State</x:t>
        </x:is>
      </x:c>
      <x:c r="C66" s="84" t="inlineStr">
        <x:is>
          <x:t xml:space="preserve">Trigger</x:t>
        </x:is>
      </x:c>
      <x:c r="D66" s="84" t="inlineStr">
        <x:is>
          <x:t xml:space="preserve">[data-disabled]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Popover manual protocol and live playground evidence.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Anatomy</x:t>
        </x:is>
      </x:c>
      <x:c r="C67" s="84" t="inlineStr">
        <x:is>
          <x:t xml:space="preserve">Content</x:t>
        </x:is>
      </x:c>
      <x:c r="D67" s="84" t="inlineStr">
        <x:is>
          <x:t xml:space="preserve">renders correct part when expected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Popover manual protocol and live playground evidence.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Anatomy</x:t>
        </x:is>
      </x:c>
      <x:c r="C68" s="84" t="inlineStr">
        <x:is>
          <x:t xml:space="preserve">Content</x:t>
        </x:is>
      </x:c>
      <x:c r="D68" s="84" t="inlineStr">
        <x:is>
          <x:t xml:space="preserve">appears in documented order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Popover manual protocol and live playground evidence.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30" customHeight="1">
      <x:c r="A69" s="73" t="n">
        <x:v>61</x:v>
      </x:c>
      <x:c r="B69" s="84" t="inlineStr">
        <x:is>
          <x:t xml:space="preserve">Identity</x:t>
        </x:is>
      </x:c>
      <x:c r="C69" s="84" t="inlineStr">
        <x:is>
          <x:t xml:space="preserve">Content</x:t>
        </x:is>
      </x:c>
      <x:c r="D69" s="84" t="inlineStr">
        <x:is>
          <x:t xml:space="preserve">default tag is visible in Anatomy/Inspector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Popover manual protocol and live playground evidence.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45" customHeight="1">
      <x:c r="A70" s="73" t="n">
        <x:v>62</x:v>
      </x:c>
      <x:c r="B70" s="84" t="inlineStr">
        <x:is>
          <x:t xml:space="preserve">Identity</x:t>
        </x:is>
      </x:c>
      <x:c r="C70" s="84" t="inlineStr">
        <x:is>
          <x:t xml:space="preserve">Content</x:t>
        </x:is>
      </x:c>
      <x:c r="D70" s="84" t="inlineStr">
        <x:is>
          <x:t xml:space="preserve">data-slot is present and correct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Popover manual protocol and live playground evidence.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Props</x:t>
        </x:is>
      </x:c>
      <x:c r="C71" s="84" t="inlineStr">
        <x:is>
          <x:t xml:space="preserve">Content</x:t>
        </x:is>
      </x:c>
      <x:c r="D71" s="84" t="inlineStr">
        <x:is>
          <x:t xml:space="preserve">non-Atom native props pass through with data-prop-check marker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Popover manual protocol and live playground evidence.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Refs</x:t>
        </x:is>
      </x:c>
      <x:c r="C72" s="84" t="inlineStr">
        <x:is>
          <x:t xml:space="preserve">Content</x:t>
        </x:is>
      </x:c>
      <x:c r="D72" s="84" t="inlineStr">
        <x:is>
          <x:t xml:space="preserve">consumer ref receives the rendered element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Popover manual protocol and live playground evidence.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Positioning</x:t>
        </x:is>
      </x:c>
      <x:c r="C73" s="84" t="inlineStr">
        <x:is>
          <x:t xml:space="preserve">Content</x:t>
        </x:is>
      </x:c>
      <x:c r="D73" s="84" t="inlineStr">
        <x:is>
          <x:t xml:space="preserve">side prop behavior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Popover manual protocol and live playground evidence.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Positioning</x:t>
        </x:is>
      </x:c>
      <x:c r="C74" s="84" t="inlineStr">
        <x:is>
          <x:t xml:space="preserve">Content</x:t>
        </x:is>
      </x:c>
      <x:c r="D74" s="84" t="inlineStr">
        <x:is>
          <x:t xml:space="preserve">align prop behavior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Popover manual protocol and live playground evidence.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Positioning</x:t>
        </x:is>
      </x:c>
      <x:c r="C75" s="84" t="inlineStr">
        <x:is>
          <x:t xml:space="preserve">Content</x:t>
        </x:is>
      </x:c>
      <x:c r="D75" s="84" t="inlineStr">
        <x:is>
          <x:t xml:space="preserve">sideOffset prop behavior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Popover manual protocol and live playground evidence.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Accessibility</x:t>
        </x:is>
      </x:c>
      <x:c r="C76" s="84" t="inlineStr">
        <x:is>
          <x:t xml:space="preserve">Content</x:t>
        </x:is>
      </x:c>
      <x:c r="D76" s="84" t="inlineStr">
        <x:is>
          <x:t xml:space="preserve">ariaLabel prop behavior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Popover manual protocol and live playground evidence.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Public API</x:t>
        </x:is>
      </x:c>
      <x:c r="C77" s="84" t="inlineStr">
        <x:is>
          <x:t xml:space="preserve">Content</x:t>
        </x:is>
      </x:c>
      <x:c r="D77" s="84" t="inlineStr">
        <x:is>
          <x:t xml:space="preserve">data-slot prop behavior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Popover manual protocol and live playground evidence.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Public API</x:t>
        </x:is>
      </x:c>
      <x:c r="C78" s="84" t="inlineStr">
        <x:is>
          <x:t xml:space="preserve">Content</x:t>
        </x:is>
      </x:c>
      <x:c r="D78" s="84" t="inlineStr">
        <x:is>
          <x:t xml:space="preserve">[data-slot] prop behavior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Popover manual protocol and live playground evidence.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Public API</x:t>
        </x:is>
      </x:c>
      <x:c r="C79" s="84" t="inlineStr">
        <x:is>
          <x:t xml:space="preserve">Content</x:t>
        </x:is>
      </x:c>
      <x:c r="D79" s="84" t="inlineStr">
        <x:is>
          <x:t xml:space="preserve">[data-state] prop behavior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Popover manual protocol and live playground evidence.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Positioning</x:t>
        </x:is>
      </x:c>
      <x:c r="C80" s="84" t="inlineStr">
        <x:is>
          <x:t xml:space="preserve">Content</x:t>
        </x:is>
      </x:c>
      <x:c r="D80" s="84" t="inlineStr">
        <x:is>
          <x:t xml:space="preserve">[data-side] prop behavior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Popover manual protocol and live playground evidence.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Public API</x:t>
        </x:is>
      </x:c>
      <x:c r="C81" s="84" t="inlineStr">
        <x:is>
          <x:t xml:space="preserve">Content</x:t>
        </x:is>
      </x:c>
      <x:c r="D81" s="84" t="inlineStr">
        <x:is>
          <x:t xml:space="preserve">[data-positioned] prop behavior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Popover manual protocol and live playground evidence.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Anatomy</x:t>
        </x:is>
      </x:c>
      <x:c r="C82" s="84" t="inlineStr">
        <x:is>
          <x:t xml:space="preserve">Arrow</x:t>
        </x:is>
      </x:c>
      <x:c r="D82" s="84" t="inlineStr">
        <x:is>
          <x:t xml:space="preserve">renders correct part when expected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Popover manual protocol and live playground evidence.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Anatomy</x:t>
        </x:is>
      </x:c>
      <x:c r="C83" s="84" t="inlineStr">
        <x:is>
          <x:t xml:space="preserve">Arrow</x:t>
        </x:is>
      </x:c>
      <x:c r="D83" s="84" t="inlineStr">
        <x:is>
          <x:t xml:space="preserve">appears in documented order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Popover manual protocol and live playground evidence.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30" customHeight="1">
      <x:c r="A84" s="73" t="n">
        <x:v>76</x:v>
      </x:c>
      <x:c r="B84" s="84" t="inlineStr">
        <x:is>
          <x:t xml:space="preserve">Identity</x:t>
        </x:is>
      </x:c>
      <x:c r="C84" s="84" t="inlineStr">
        <x:is>
          <x:t xml:space="preserve">Arrow</x:t>
        </x:is>
      </x:c>
      <x:c r="D84" s="84" t="inlineStr">
        <x:is>
          <x:t xml:space="preserve">default tag is visible in Anatomy/Inspector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Popover manual protocol and live playground evidence.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45" customHeight="1">
      <x:c r="A85" s="73" t="n">
        <x:v>77</x:v>
      </x:c>
      <x:c r="B85" s="84" t="inlineStr">
        <x:is>
          <x:t xml:space="preserve">Identity</x:t>
        </x:is>
      </x:c>
      <x:c r="C85" s="84" t="inlineStr">
        <x:is>
          <x:t xml:space="preserve">Arrow</x:t>
        </x:is>
      </x:c>
      <x:c r="D85" s="84" t="inlineStr">
        <x:is>
          <x:t xml:space="preserve">data-slot is present and correct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Popover manual protocol and live playground evidence.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45" customHeight="1">
      <x:c r="A86" s="73" t="n">
        <x:v>78</x:v>
      </x:c>
      <x:c r="B86" s="84" t="inlineStr">
        <x:is>
          <x:t xml:space="preserve">Props</x:t>
        </x:is>
      </x:c>
      <x:c r="C86" s="84" t="inlineStr">
        <x:is>
          <x:t xml:space="preserve">Arrow</x:t>
        </x:is>
      </x:c>
      <x:c r="D86" s="84" t="inlineStr">
        <x:is>
          <x:t xml:space="preserve">non-Atom native props pass through with data-prop-check marker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Popover manual protocol and live playground evidence.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45" customHeight="1">
      <x:c r="A87" s="73" t="n">
        <x:v>79</x:v>
      </x:c>
      <x:c r="B87" s="84" t="inlineStr">
        <x:is>
          <x:t xml:space="preserve">Refs</x:t>
        </x:is>
      </x:c>
      <x:c r="C87" s="84" t="inlineStr">
        <x:is>
          <x:t xml:space="preserve">Arrow</x:t>
        </x:is>
      </x:c>
      <x:c r="D87" s="84" t="inlineStr">
        <x:is>
          <x:t xml:space="preserve">consumer ref receives the rendered element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Popover manual protocol and live playground evidence.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Public API</x:t>
        </x:is>
      </x:c>
      <x:c r="C88" s="84" t="inlineStr">
        <x:is>
          <x:t xml:space="preserve">Arrow</x:t>
        </x:is>
      </x:c>
      <x:c r="D88" s="84" t="inlineStr">
        <x:is>
          <x:t xml:space="preserve">width prop behavior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test; default Arrow width/height verified as 10 by 5</x:t>
        </x:is>
      </x:c>
      <x:c r="H88" s="86" t="inlineStr">
        <x:is>
          <x:t xml:space="preserve">covered</x:t>
        </x:is>
      </x:c>
      <x:c r="I88" s="84" t="inlineStr">
        <x:is>
          <x:t xml:space="preserve">Arrow Anatomy width/height rows and package geometry tests.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Public API</x:t>
        </x:is>
      </x:c>
      <x:c r="C89" s="84" t="inlineStr">
        <x:is>
          <x:t xml:space="preserve">Arrow</x:t>
        </x:is>
      </x:c>
      <x:c r="D89" s="84" t="inlineStr">
        <x:is>
          <x:t xml:space="preserve">height prop behavior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test; wide Arrow width/height verified as 16 by 8</x:t>
        </x:is>
      </x:c>
      <x:c r="H89" s="86" t="inlineStr">
        <x:is>
          <x:t xml:space="preserve">covered</x:t>
        </x:is>
      </x:c>
      <x:c r="I89" s="84" t="inlineStr">
        <x:is>
          <x:t xml:space="preserve">Arrow Size toolbar option, Arrow Anatomy rows, and package geometry tests.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Public API</x:t>
        </x:is>
      </x:c>
      <x:c r="C90" s="84" t="inlineStr">
        <x:is>
          <x:t xml:space="preserve">Arrow</x:t>
        </x:is>
      </x:c>
      <x:c r="D90" s="84" t="inlineStr">
        <x:is>
          <x:t xml:space="preserve">data-slot prop behavior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Popover manual protocol and live playground evidence.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Public API</x:t>
        </x:is>
      </x:c>
      <x:c r="C91" s="84" t="inlineStr">
        <x:is>
          <x:t xml:space="preserve">Arrow</x:t>
        </x:is>
      </x:c>
      <x:c r="D91" s="84" t="inlineStr">
        <x:is>
          <x:t xml:space="preserve">[data-slot] prop behavior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Popover manual protocol and live playground evidence.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Positioning</x:t>
        </x:is>
      </x:c>
      <x:c r="C92" s="84" t="inlineStr">
        <x:is>
          <x:t xml:space="preserve">Arrow</x:t>
        </x:is>
      </x:c>
      <x:c r="D92" s="84" t="inlineStr">
        <x:is>
          <x:t xml:space="preserve">[data-side] prop behavior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Popover manual protocol and live playground evidence.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Anatomy</x:t>
        </x:is>
      </x:c>
      <x:c r="C93" s="84" t="inlineStr">
        <x:is>
          <x:t xml:space="preserve">Close</x:t>
        </x:is>
      </x:c>
      <x:c r="D93" s="84" t="inlineStr">
        <x:is>
          <x:t xml:space="preserve">renders correct part when expected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Popover manual protocol and live playground evidence.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Anatomy</x:t>
        </x:is>
      </x:c>
      <x:c r="C94" s="84" t="inlineStr">
        <x:is>
          <x:t xml:space="preserve">Close</x:t>
        </x:is>
      </x:c>
      <x:c r="D94" s="84" t="inlineStr">
        <x:is>
          <x:t xml:space="preserve">appears in documented order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Popover manual protocol and live playground evidence.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30" customHeight="1">
      <x:c r="A95" s="73" t="n">
        <x:v>87</x:v>
      </x:c>
      <x:c r="B95" s="84" t="inlineStr">
        <x:is>
          <x:t xml:space="preserve">Identity</x:t>
        </x:is>
      </x:c>
      <x:c r="C95" s="84" t="inlineStr">
        <x:is>
          <x:t xml:space="preserve">Close</x:t>
        </x:is>
      </x:c>
      <x:c r="D95" s="84" t="inlineStr">
        <x:is>
          <x:t xml:space="preserve">default tag is visible in Anatomy/Inspector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Popover manual protocol and live playground evidence.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45" customHeight="1">
      <x:c r="A96" s="73" t="n">
        <x:v>88</x:v>
      </x:c>
      <x:c r="B96" s="84" t="inlineStr">
        <x:is>
          <x:t xml:space="preserve">Identity</x:t>
        </x:is>
      </x:c>
      <x:c r="C96" s="84" t="inlineStr">
        <x:is>
          <x:t xml:space="preserve">Close</x:t>
        </x:is>
      </x:c>
      <x:c r="D96" s="84" t="inlineStr">
        <x:is>
          <x:t xml:space="preserve">data-slot is present and correct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Popover manual protocol and live playground evidence.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Props</x:t>
        </x:is>
      </x:c>
      <x:c r="C97" s="84" t="inlineStr">
        <x:is>
          <x:t xml:space="preserve">Close</x:t>
        </x:is>
      </x:c>
      <x:c r="D97" s="84" t="inlineStr">
        <x:is>
          <x:t xml:space="preserve">non-Atom native props pass through with data-prop-check marker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Popover manual protocol and live playground evidence.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Refs</x:t>
        </x:is>
      </x:c>
      <x:c r="C98" s="84" t="inlineStr">
        <x:is>
          <x:t xml:space="preserve">Close</x:t>
        </x:is>
      </x:c>
      <x:c r="D98" s="84" t="inlineStr">
        <x:is>
          <x:t xml:space="preserve">consumer ref receives the rendered element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Popover manual protocol and live playground evidence.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Composition</x:t>
        </x:is>
      </x:c>
      <x:c r="C99" s="84" t="inlineStr">
        <x:is>
          <x:t xml:space="preserve">Close</x:t>
        </x:is>
      </x:c>
      <x:c r="D99" s="84" t="inlineStr">
        <x:is>
          <x:t xml:space="preserve">asChild prop behavior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Popover manual protocol and live playground evidence.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Composition</x:t>
        </x:is>
      </x:c>
      <x:c r="C100" s="84" t="inlineStr">
        <x:is>
          <x:t xml:space="preserve">Close</x:t>
        </x:is>
      </x:c>
      <x:c r="D100" s="84" t="inlineStr">
        <x:is>
          <x:t xml:space="preserve">render prop behavior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Popover manual protocol and live playground evidence.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Public API</x:t>
        </x:is>
      </x:c>
      <x:c r="C101" s="84" t="inlineStr">
        <x:is>
          <x:t xml:space="preserve">Close</x:t>
        </x:is>
      </x:c>
      <x:c r="D101" s="84" t="inlineStr">
        <x:is>
          <x:t xml:space="preserve">data-slot prop behavior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Popover manual protocol and live playground evidence.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ARIA</x:t>
        </x:is>
      </x:c>
      <x:c r="C102" s="84" t="inlineStr">
        <x:is>
          <x:t xml:space="preserve">Live DOM</x:t>
        </x:is>
      </x:c>
      <x:c r="D102" s="84" t="inlineStr">
        <x:is>
          <x:t xml:space="preserve">aria-controls is present at the correct time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Popover manual protocol and live playground evidence.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ARIA</x:t>
        </x:is>
      </x:c>
      <x:c r="C103" s="84" t="inlineStr">
        <x:is>
          <x:t xml:space="preserve">Live DOM</x:t>
        </x:is>
      </x:c>
      <x:c r="D103" s="84" t="inlineStr">
        <x:is>
          <x:t xml:space="preserve">aria-disabled is present at the correct time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Popover manual protocol and live playground evidence.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30" customHeight="1">
      <x:c r="A104" s="73" t="n">
        <x:v>96</x:v>
      </x:c>
      <x:c r="B104" s="84" t="inlineStr">
        <x:is>
          <x:t xml:space="preserve">ARIA</x:t>
        </x:is>
      </x:c>
      <x:c r="C104" s="84" t="inlineStr">
        <x:is>
          <x:t xml:space="preserve">Live DOM</x:t>
        </x:is>
      </x:c>
      <x:c r="D104" s="84" t="inlineStr">
        <x:is>
          <x:t xml:space="preserve">aria-expanded is present at the correct time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6" t="inlineStr">
        <x:is>
          <x:t xml:space="preserve">covered</x:t>
        </x:is>
      </x:c>
      <x:c r="I104" s="84" t="inlineStr">
        <x:is>
          <x:t xml:space="preserve">Popover manual protocol and live playground evidence.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ARIA</x:t>
        </x:is>
      </x:c>
      <x:c r="C105" s="84" t="inlineStr">
        <x:is>
          <x:t xml:space="preserve">Live DOM</x:t>
        </x:is>
      </x:c>
      <x:c r="D105" s="84" t="inlineStr">
        <x:is>
          <x:t xml:space="preserve">aria-haspopup is present at the correct time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6" t="inlineStr">
        <x:is>
          <x:t xml:space="preserve">covered</x:t>
        </x:is>
      </x:c>
      <x:c r="I105" s="84" t="inlineStr">
        <x:is>
          <x:t xml:space="preserve">Popover manual protocol and live playground evidence.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ARIA</x:t>
        </x:is>
      </x:c>
      <x:c r="C106" s="84" t="inlineStr">
        <x:is>
          <x:t xml:space="preserve">Live DOM</x:t>
        </x:is>
      </x:c>
      <x:c r="D106" s="84" t="inlineStr">
        <x:is>
          <x:t xml:space="preserve">aria-hidden is present at the correct time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6" t="inlineStr">
        <x:is>
          <x:t xml:space="preserve">covered</x:t>
        </x:is>
      </x:c>
      <x:c r="I106" s="84" t="inlineStr">
        <x:is>
          <x:t xml:space="preserve">Popover manual protocol and live playground evidence.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ARIA</x:t>
        </x:is>
      </x:c>
      <x:c r="C107" s="84" t="inlineStr">
        <x:is>
          <x:t xml:space="preserve">Live DOM</x:t>
        </x:is>
      </x:c>
      <x:c r="D107" s="84" t="inlineStr">
        <x:is>
          <x:t xml:space="preserve">aria-label is present at the correct time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test</x:t>
        </x:is>
      </x:c>
      <x:c r="H107" s="86" t="inlineStr">
        <x:is>
          <x:t xml:space="preserve">covered</x:t>
        </x:is>
      </x:c>
      <x:c r="I107" s="84" t="inlineStr">
        <x:is>
          <x:t xml:space="preserve">Popover manual protocol and live playground evidence.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ARIA</x:t>
        </x:is>
      </x:c>
      <x:c r="C108" s="84" t="inlineStr">
        <x:is>
          <x:t xml:space="preserve">Live DOM</x:t>
        </x:is>
      </x:c>
      <x:c r="D108" s="84" t="inlineStr">
        <x:is>
          <x:t xml:space="preserve">aria-modal is present at the correct time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test</x:t>
        </x:is>
      </x:c>
      <x:c r="H108" s="86" t="inlineStr">
        <x:is>
          <x:t xml:space="preserve">covered</x:t>
        </x:is>
      </x:c>
      <x:c r="I108" s="84" t="inlineStr">
        <x:is>
          <x:t xml:space="preserve">Popover manual protocol and live playground evidence.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Data</x:t>
        </x:is>
      </x:c>
      <x:c r="C109" s="84" t="inlineStr">
        <x:is>
          <x:t xml:space="preserve">Live DOM</x:t>
        </x:is>
      </x:c>
      <x:c r="D109" s="84" t="inlineStr">
        <x:is>
          <x:t xml:space="preserve">data-disabled is present at the correct time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test</x:t>
        </x:is>
      </x:c>
      <x:c r="H109" s="86" t="inlineStr">
        <x:is>
          <x:t xml:space="preserve">covered</x:t>
        </x:is>
      </x:c>
      <x:c r="I109" s="84" t="inlineStr">
        <x:is>
          <x:t xml:space="preserve">Popover manual protocol and live playground evidence.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Data</x:t>
        </x:is>
      </x:c>
      <x:c r="C110" s="84" t="inlineStr">
        <x:is>
          <x:t xml:space="preserve">Live DOM</x:t>
        </x:is>
      </x:c>
      <x:c r="D110" s="84" t="inlineStr">
        <x:is>
          <x:t xml:space="preserve">data-positioned is present at the correct time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manual test</x:t>
        </x:is>
      </x:c>
      <x:c r="H110" s="86" t="inlineStr">
        <x:is>
          <x:t xml:space="preserve">covered</x:t>
        </x:is>
      </x:c>
      <x:c r="I110" s="84" t="inlineStr">
        <x:is>
          <x:t xml:space="preserve">Popover manual protocol and live playground evidence.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Data</x:t>
        </x:is>
      </x:c>
      <x:c r="C111" s="84" t="inlineStr">
        <x:is>
          <x:t xml:space="preserve">Live DOM</x:t>
        </x:is>
      </x:c>
      <x:c r="D111" s="84" t="inlineStr">
        <x:is>
          <x:t xml:space="preserve">data-side is present at the correct time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 manual test</x:t>
        </x:is>
      </x:c>
      <x:c r="H111" s="86" t="inlineStr">
        <x:is>
          <x:t xml:space="preserve">covered</x:t>
        </x:is>
      </x:c>
      <x:c r="I111" s="84" t="inlineStr">
        <x:is>
          <x:t xml:space="preserve">Popover manual protocol and live playground evidence.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Data</x:t>
        </x:is>
      </x:c>
      <x:c r="C112" s="84" t="inlineStr">
        <x:is>
          <x:t xml:space="preserve">Live DOM</x:t>
        </x:is>
      </x:c>
      <x:c r="D112" s="84" t="inlineStr">
        <x:is>
          <x:t xml:space="preserve">data-slot is present at the correct time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 manual test</x:t>
        </x:is>
      </x:c>
      <x:c r="H112" s="86" t="inlineStr">
        <x:is>
          <x:t xml:space="preserve">covered</x:t>
        </x:is>
      </x:c>
      <x:c r="I112" s="84" t="inlineStr">
        <x:is>
          <x:t xml:space="preserve">Popover manual protocol and live playground evidence.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15" customHeight="1">
      <x:c r="A113" s="73" t="n">
        <x:v>105</x:v>
      </x:c>
      <x:c r="B113" s="84" t="inlineStr">
        <x:is>
          <x:t xml:space="preserve">Data</x:t>
        </x:is>
      </x:c>
      <x:c r="C113" s="84" t="inlineStr">
        <x:is>
          <x:t xml:space="preserve">Live DOM</x:t>
        </x:is>
      </x:c>
      <x:c r="D113" s="84" t="inlineStr">
        <x:is>
          <x:t xml:space="preserve">data-state is present at the correct time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 manual test</x:t>
        </x:is>
      </x:c>
      <x:c r="H113" s="86" t="inlineStr">
        <x:is>
          <x:t xml:space="preserve">covered</x:t>
        </x:is>
      </x:c>
      <x:c r="I113" s="84" t="inlineStr">
        <x:is>
          <x:t xml:space="preserve">Popover manual protocol and live playground evidence.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15" customHeight="1">
      <x:c r="A114" s="73" t="n">
        <x:v>106</x:v>
      </x:c>
      <x:c r="B114" s="84" t="inlineStr">
        <x:is>
          <x:t xml:space="preserve">Data</x:t>
        </x:is>
      </x:c>
      <x:c r="C114" s="84" t="inlineStr">
        <x:is>
          <x:t xml:space="preserve">Live DOM</x:t>
        </x:is>
      </x:c>
      <x:c r="D114" s="84" t="inlineStr">
        <x:is>
          <x:t xml:space="preserve">data-trigger-mode is present at the correct time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 manual test</x:t>
        </x:is>
      </x:c>
      <x:c r="H114" s="86" t="inlineStr">
        <x:is>
          <x:t xml:space="preserve">covered</x:t>
        </x:is>
      </x:c>
      <x:c r="I114" s="84" t="inlineStr">
        <x:is>
          <x:t xml:space="preserve">Popover manual protocol and live playground evidence.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30" customHeight="1">
      <x:c r="A115" s="73" t="n">
        <x:v>107</x:v>
      </x:c>
      <x:c r="B115" s="84" t="inlineStr">
        <x:is>
          <x:t xml:space="preserve">Composition</x:t>
        </x:is>
      </x:c>
      <x:c r="C115" s="84" t="inlineStr">
        <x:is>
          <x:t xml:space="preserve">Popover</x:t>
        </x:is>
      </x:c>
      <x:c r="D115" s="84" t="inlineStr">
        <x:is>
          <x:t xml:space="preserve">asChild preserves child content without double nesting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 manual test</x:t>
        </x:is>
      </x:c>
      <x:c r="H115" s="86" t="inlineStr">
        <x:is>
          <x:t xml:space="preserve">covered</x:t>
        </x:is>
      </x:c>
      <x:c r="I115" s="84" t="inlineStr">
        <x:is>
          <x:t xml:space="preserve">Popover manual protocol and live playground evidence.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Composition</x:t>
        </x:is>
      </x:c>
      <x:c r="C116" s="84" t="inlineStr">
        <x:is>
          <x:t xml:space="preserve">Popover</x:t>
        </x:is>
      </x:c>
      <x:c r="D116" s="84" t="inlineStr">
        <x:is>
          <x:t xml:space="preserve">asChild merges Atom props and consumer props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 manual test</x:t>
        </x:is>
      </x:c>
      <x:c r="H116" s="86" t="inlineStr">
        <x:is>
          <x:t xml:space="preserve">covered</x:t>
        </x:is>
      </x:c>
      <x:c r="I116" s="84" t="inlineStr">
        <x:is>
          <x:t xml:space="preserve">Popover manual protocol and live playground evidence.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Composition</x:t>
        </x:is>
      </x:c>
      <x:c r="C117" s="84" t="inlineStr">
        <x:is>
          <x:t xml:space="preserve">Popover</x:t>
        </x:is>
      </x:c>
      <x:c r="D117" s="84" t="inlineStr">
        <x:is>
          <x:t xml:space="preserve">asChild lets preventDefault block Atom behavior where supported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 manual test</x:t>
        </x:is>
      </x:c>
      <x:c r="H117" s="86" t="inlineStr">
        <x:is>
          <x:t xml:space="preserve">covered</x:t>
        </x:is>
      </x:c>
      <x:c r="I117" s="84" t="inlineStr">
        <x:is>
          <x:t xml:space="preserve">Popover manual protocol and live playground evidence.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15" customHeight="1">
      <x:c r="A118" s="73" t="n">
        <x:v>110</x:v>
      </x:c>
      <x:c r="B118" s="84" t="inlineStr">
        <x:is>
          <x:t xml:space="preserve">Composition</x:t>
        </x:is>
      </x:c>
      <x:c r="C118" s="84" t="inlineStr">
        <x:is>
          <x:t xml:space="preserve">Popover</x:t>
        </x:is>
      </x:c>
      <x:c r="D118" s="84" t="inlineStr">
        <x:is>
          <x:t xml:space="preserve">render prop renders custom element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 manual test</x:t>
        </x:is>
      </x:c>
      <x:c r="H118" s="86" t="inlineStr">
        <x:is>
          <x:t xml:space="preserve">covered</x:t>
        </x:is>
      </x:c>
      <x:c r="I118" s="84" t="inlineStr">
        <x:is>
          <x:t xml:space="preserve">Popover manual protocol and live playground evidence.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15" customHeight="1">
      <x:c r="A119" s="73" t="n">
        <x:v>111</x:v>
      </x:c>
      <x:c r="B119" s="84" t="inlineStr">
        <x:is>
          <x:t xml:space="preserve">Composition</x:t>
        </x:is>
      </x:c>
      <x:c r="C119" s="84" t="inlineStr">
        <x:is>
          <x:t xml:space="preserve">Popover</x:t>
        </x:is>
      </x:c>
      <x:c r="D119" s="84" t="inlineStr">
        <x:is>
          <x:t xml:space="preserve">render prop preserves refs and behavior props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 manual test</x:t>
        </x:is>
      </x:c>
      <x:c r="H119" s="86" t="inlineStr">
        <x:is>
          <x:t xml:space="preserve">covered</x:t>
        </x:is>
      </x:c>
      <x:c r="I119" s="84" t="inlineStr">
        <x:is>
          <x:t xml:space="preserve">Popover manual protocol and live playground evidence.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15" customHeight="1">
      <x:c r="A120" s="73" t="n">
        <x:v>112</x:v>
      </x:c>
      <x:c r="B120" s="84" t="inlineStr">
        <x:is>
          <x:t xml:space="preserve">State</x:t>
        </x:is>
      </x:c>
      <x:c r="C120" s="84" t="inlineStr">
        <x:is>
          <x:t xml:space="preserve">Root</x:t>
        </x:is>
      </x:c>
      <x:c r="D120" s="84" t="inlineStr">
        <x:is>
          <x:t xml:space="preserve">controlled state path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 manual test</x:t>
        </x:is>
      </x:c>
      <x:c r="H120" s="86" t="inlineStr">
        <x:is>
          <x:t xml:space="preserve">covered</x:t>
        </x:is>
      </x:c>
      <x:c r="I120" s="84" t="inlineStr">
        <x:is>
          <x:t xml:space="preserve">Popover manual protocol and live playground evidence.</x:t>
        </x:is>
      </x:c>
      <x:c r="J120" s="84" t="n"/>
      <x:c r="K120" s="87" t="n">
        <x:f>IF(AND(E120="yes",F120="yes",H120="covered"),1,IF(H120="partial",0.5,0))</x:f>
        <x:v>1</x:v>
      </x:c>
    </x:row>
    <x:row r="121" s="51" customFormat="1" ht="15" customHeight="1">
      <x:c r="A121" s="73" t="n">
        <x:v>113</x:v>
      </x:c>
      <x:c r="B121" s="84" t="inlineStr">
        <x:is>
          <x:t xml:space="preserve">State</x:t>
        </x:is>
      </x:c>
      <x:c r="C121" s="84" t="inlineStr">
        <x:is>
          <x:t xml:space="preserve">Root</x:t>
        </x:is>
      </x:c>
      <x:c r="D121" s="84" t="inlineStr">
        <x:is>
          <x:t xml:space="preserve">uncontrolled default state path</x:t>
        </x:is>
      </x:c>
      <x:c r="E121" s="76" t="inlineStr">
        <x:is>
          <x:t xml:space="preserve">yes</x:t>
        </x:is>
      </x:c>
      <x:c r="F121" s="85" t="inlineStr">
        <x:is>
          <x:t xml:space="preserve">yes</x:t>
        </x:is>
      </x:c>
      <x:c r="G121" s="73" t="inlineStr">
        <x:is>
          <x:t xml:space="preserve">passed manual test</x:t>
        </x:is>
      </x:c>
      <x:c r="H121" s="86" t="inlineStr">
        <x:is>
          <x:t xml:space="preserve">covered</x:t>
        </x:is>
      </x:c>
      <x:c r="I121" s="84" t="inlineStr">
        <x:is>
          <x:t xml:space="preserve">Popover manual protocol and live playground evidence.</x:t>
        </x:is>
      </x:c>
      <x:c r="J121" s="84" t="n"/>
      <x:c r="K121" s="87" t="n">
        <x:f>IF(AND(E121="yes",F121="yes",H121="covered"),1,IF(H121="partial",0.5,0))</x:f>
        <x:v>1</x:v>
      </x:c>
    </x:row>
    <x:row r="122" s="51" customFormat="1" ht="15" customHeight="1">
      <x:c r="A122" s="73" t="n">
        <x:v>114</x:v>
      </x:c>
      <x:c r="B122" s="84" t="inlineStr">
        <x:is>
          <x:t xml:space="preserve">State</x:t>
        </x:is>
      </x:c>
      <x:c r="C122" s="84" t="inlineStr">
        <x:is>
          <x:t xml:space="preserve">Root</x:t>
        </x:is>
      </x:c>
      <x:c r="D122" s="84" t="inlineStr">
        <x:is>
          <x:t xml:space="preserve">state change callback fires once with correct value</x:t>
        </x:is>
      </x:c>
      <x:c r="E122" s="76" t="inlineStr">
        <x:is>
          <x:t xml:space="preserve">yes</x:t>
        </x:is>
      </x:c>
      <x:c r="F122" s="85" t="inlineStr">
        <x:is>
          <x:t xml:space="preserve">yes</x:t>
        </x:is>
      </x:c>
      <x:c r="G122" s="73" t="inlineStr">
        <x:is>
          <x:t xml:space="preserve">passed manual test</x:t>
        </x:is>
      </x:c>
      <x:c r="H122" s="86" t="inlineStr">
        <x:is>
          <x:t xml:space="preserve">covered</x:t>
        </x:is>
      </x:c>
      <x:c r="I122" s="84" t="inlineStr">
        <x:is>
          <x:t xml:space="preserve">Popover manual protocol and live playground evidence.</x:t>
        </x:is>
      </x:c>
      <x:c r="J122" s="84" t="n"/>
      <x:c r="K122" s="87" t="n">
        <x:f>IF(AND(E122="yes",F122="yes",H122="covered"),1,IF(H122="partial",0.5,0))</x:f>
        <x:v>1</x:v>
      </x:c>
    </x:row>
    <x:row r="123" s="51" customFormat="1" ht="15" customHeight="1">
      <x:c r="A123" s="73" t="n">
        <x:v>115</x:v>
      </x:c>
      <x:c r="B123" s="84" t="inlineStr">
        <x:is>
          <x:t xml:space="preserve">Interaction</x:t>
        </x:is>
      </x:c>
      <x:c r="C123" s="84" t="inlineStr">
        <x:is>
          <x:t xml:space="preserve">Trigger</x:t>
        </x:is>
      </x:c>
      <x:c r="D123" s="84" t="inlineStr">
        <x:is>
          <x:t xml:space="preserve">mouse click or pointer activation</x:t>
        </x:is>
      </x:c>
      <x:c r="E123" s="76" t="inlineStr">
        <x:is>
          <x:t xml:space="preserve">yes</x:t>
        </x:is>
      </x:c>
      <x:c r="F123" s="85" t="inlineStr">
        <x:is>
          <x:t xml:space="preserve">yes</x:t>
        </x:is>
      </x:c>
      <x:c r="G123" s="73" t="inlineStr">
        <x:is>
          <x:t xml:space="preserve">passed manual test</x:t>
        </x:is>
      </x:c>
      <x:c r="H123" s="86" t="inlineStr">
        <x:is>
          <x:t xml:space="preserve">covered</x:t>
        </x:is>
      </x:c>
      <x:c r="I123" s="84" t="inlineStr">
        <x:is>
          <x:t xml:space="preserve">Popover manual protocol and live playground evidence.</x:t>
        </x:is>
      </x:c>
      <x:c r="J123" s="84" t="n"/>
      <x:c r="K123" s="87" t="n">
        <x:f>IF(AND(E123="yes",F123="yes",H123="covered"),1,IF(H123="partial",0.5,0))</x:f>
        <x:v>1</x:v>
      </x:c>
    </x:row>
    <x:row r="124" s="51" customFormat="1" ht="15" customHeight="1">
      <x:c r="A124" s="73" t="n">
        <x:v>116</x:v>
      </x:c>
      <x:c r="B124" s="84" t="inlineStr">
        <x:is>
          <x:t xml:space="preserve">Interaction</x:t>
        </x:is>
      </x:c>
      <x:c r="C124" s="84" t="inlineStr">
        <x:is>
          <x:t xml:space="preserve">Trigger</x:t>
        </x:is>
      </x:c>
      <x:c r="D124" s="84" t="inlineStr">
        <x:is>
          <x:t xml:space="preserve">Enter key activation</x:t>
        </x:is>
      </x:c>
      <x:c r="E124" s="76" t="inlineStr">
        <x:is>
          <x:t xml:space="preserve">yes</x:t>
        </x:is>
      </x:c>
      <x:c r="F124" s="85" t="inlineStr">
        <x:is>
          <x:t xml:space="preserve">yes</x:t>
        </x:is>
      </x:c>
      <x:c r="G124" s="73" t="inlineStr">
        <x:is>
          <x:t xml:space="preserve">passed manual test</x:t>
        </x:is>
      </x:c>
      <x:c r="H124" s="86" t="inlineStr">
        <x:is>
          <x:t xml:space="preserve">covered</x:t>
        </x:is>
      </x:c>
      <x:c r="I124" s="84" t="inlineStr">
        <x:is>
          <x:t xml:space="preserve">Popover manual protocol and live playground evidence.</x:t>
        </x:is>
      </x:c>
      <x:c r="J124" s="84" t="n"/>
      <x:c r="K124" s="87" t="n">
        <x:f>IF(AND(E124="yes",F124="yes",H124="covered"),1,IF(H124="partial",0.5,0))</x:f>
        <x:v>1</x:v>
      </x:c>
    </x:row>
    <x:row r="125" s="51" customFormat="1" ht="15" customHeight="1">
      <x:c r="A125" s="73" t="n">
        <x:v>117</x:v>
      </x:c>
      <x:c r="B125" s="84" t="inlineStr">
        <x:is>
          <x:t xml:space="preserve">Interaction</x:t>
        </x:is>
      </x:c>
      <x:c r="C125" s="84" t="inlineStr">
        <x:is>
          <x:t xml:space="preserve">Trigger</x:t>
        </x:is>
      </x:c>
      <x:c r="D125" s="84" t="inlineStr">
        <x:is>
          <x:t xml:space="preserve">Space key activation</x:t>
        </x:is>
      </x:c>
      <x:c r="E125" s="76" t="inlineStr">
        <x:is>
          <x:t xml:space="preserve">yes</x:t>
        </x:is>
      </x:c>
      <x:c r="F125" s="85" t="inlineStr">
        <x:is>
          <x:t xml:space="preserve">yes</x:t>
        </x:is>
      </x:c>
      <x:c r="G125" s="73" t="inlineStr">
        <x:is>
          <x:t xml:space="preserve">passed manual test</x:t>
        </x:is>
      </x:c>
      <x:c r="H125" s="86" t="inlineStr">
        <x:is>
          <x:t xml:space="preserve">covered</x:t>
        </x:is>
      </x:c>
      <x:c r="I125" s="84" t="inlineStr">
        <x:is>
          <x:t xml:space="preserve">Popover manual protocol and live playground evidence.</x:t>
        </x:is>
      </x:c>
      <x:c r="J125" s="84" t="n"/>
      <x:c r="K125" s="87" t="n">
        <x:f>IF(AND(E125="yes",F125="yes",H125="covered"),1,IF(H125="partial",0.5,0))</x:f>
        <x:v>1</x:v>
      </x:c>
    </x:row>
    <x:row r="126" s="51" customFormat="1" ht="15" customHeight="1">
      <x:c r="A126" s="73" t="n">
        <x:v>118</x:v>
      </x:c>
      <x:c r="B126" s="84" t="inlineStr">
        <x:is>
          <x:t xml:space="preserve">Interaction</x:t>
        </x:is>
      </x:c>
      <x:c r="C126" s="84" t="inlineStr">
        <x:is>
          <x:t xml:space="preserve">Trigger</x:t>
        </x:is>
      </x:c>
      <x:c r="D126" s="84" t="inlineStr">
        <x:is>
          <x:t xml:space="preserve">disabled trigger blocks pointer and keyboard</x:t>
        </x:is>
      </x:c>
      <x:c r="E126" s="76" t="inlineStr">
        <x:is>
          <x:t xml:space="preserve">yes</x:t>
        </x:is>
      </x:c>
      <x:c r="F126" s="85" t="inlineStr">
        <x:is>
          <x:t xml:space="preserve">yes</x:t>
        </x:is>
      </x:c>
      <x:c r="G126" s="73" t="inlineStr">
        <x:is>
          <x:t xml:space="preserve">passed manual test</x:t>
        </x:is>
      </x:c>
      <x:c r="H126" s="86" t="inlineStr">
        <x:is>
          <x:t xml:space="preserve">covered</x:t>
        </x:is>
      </x:c>
      <x:c r="I126" s="84" t="inlineStr">
        <x:is>
          <x:t xml:space="preserve">Popover manual protocol and live playground evidence.</x:t>
        </x:is>
      </x:c>
      <x:c r="J126" s="84" t="n"/>
      <x:c r="K126" s="87" t="n">
        <x:f>IF(AND(E126="yes",F126="yes",H126="covered"),1,IF(H126="partial",0.5,0))</x:f>
        <x:v>1</x:v>
      </x:c>
    </x:row>
    <x:row r="127" s="51" customFormat="1" ht="15" customHeight="1">
      <x:c r="A127" s="73" t="n">
        <x:v>119</x:v>
      </x:c>
      <x:c r="B127" s="84" t="inlineStr">
        <x:is>
          <x:t xml:space="preserve">Focus</x:t>
        </x:is>
      </x:c>
      <x:c r="C127" s="84" t="inlineStr">
        <x:is>
          <x:t xml:space="preserve">Trigger</x:t>
        </x:is>
      </x:c>
      <x:c r="D127" s="84" t="inlineStr">
        <x:is>
          <x:t xml:space="preserve">focus ring and focus restoration are correct</x:t>
        </x:is>
      </x:c>
      <x:c r="E127" s="76" t="inlineStr">
        <x:is>
          <x:t xml:space="preserve">yes</x:t>
        </x:is>
      </x:c>
      <x:c r="F127" s="85" t="inlineStr">
        <x:is>
          <x:t xml:space="preserve">yes</x:t>
        </x:is>
      </x:c>
      <x:c r="G127" s="73" t="inlineStr">
        <x:is>
          <x:t xml:space="preserve">passed manual test</x:t>
        </x:is>
      </x:c>
      <x:c r="H127" s="86" t="inlineStr">
        <x:is>
          <x:t xml:space="preserve">covered</x:t>
        </x:is>
      </x:c>
      <x:c r="I127" s="84" t="inlineStr">
        <x:is>
          <x:t xml:space="preserve">Popover manual protocol and live playground evidence.</x:t>
        </x:is>
      </x:c>
      <x:c r="J127" s="84" t="n"/>
      <x:c r="K127" s="87" t="n">
        <x:f>IF(AND(E127="yes",F127="yes",H127="covered"),1,IF(H127="partial",0.5,0))</x:f>
        <x:v>1</x:v>
      </x:c>
    </x:row>
    <x:row r="128" s="51" customFormat="1" ht="15" customHeight="1">
      <x:c r="A128" s="73" t="n">
        <x:v>120</x:v>
      </x:c>
      <x:c r="B128" s="84" t="inlineStr">
        <x:is>
          <x:t xml:space="preserve">Dismiss</x:t>
        </x:is>
      </x:c>
      <x:c r="C128" s="84" t="inlineStr">
        <x:is>
          <x:t xml:space="preserve">Popover</x:t>
        </x:is>
      </x:c>
      <x:c r="D128" s="84" t="inlineStr">
        <x:is>
          <x:t xml:space="preserve">Escape closes only the topmost active layer</x:t>
        </x:is>
      </x:c>
      <x:c r="E128" s="76" t="inlineStr">
        <x:is>
          <x:t xml:space="preserve">yes</x:t>
        </x:is>
      </x:c>
      <x:c r="F128" s="85" t="inlineStr">
        <x:is>
          <x:t xml:space="preserve">yes</x:t>
        </x:is>
      </x:c>
      <x:c r="G128" s="73" t="inlineStr">
        <x:is>
          <x:t xml:space="preserve">passed manual test; Escape closes nested layer before parent Popover</x:t>
        </x:is>
      </x:c>
      <x:c r="H128" s="86" t="inlineStr">
        <x:is>
          <x:t xml:space="preserve">covered</x:t>
        </x:is>
      </x:c>
      <x:c r="I128" s="84" t="inlineStr">
        <x:is>
          <x:t xml:space="preserve">Nested Popover manual protocol and package dismissable layer behavior.</x:t>
        </x:is>
      </x:c>
      <x:c r="J128" s="84" t="n"/>
      <x:c r="K128" s="87" t="n">
        <x:f>IF(AND(E128="yes",F128="yes",H128="covered"),1,IF(H128="partial",0.5,0))</x:f>
        <x:v>1</x:v>
      </x:c>
    </x:row>
    <x:row r="129" s="51" customFormat="1" ht="15" customHeight="1">
      <x:c r="A129" s="73" t="n">
        <x:v>121</x:v>
      </x:c>
      <x:c r="B129" s="84" t="inlineStr">
        <x:is>
          <x:t xml:space="preserve">Dismiss</x:t>
        </x:is>
      </x:c>
      <x:c r="C129" s="84" t="inlineStr">
        <x:is>
          <x:t xml:space="preserve">Popover</x:t>
        </x:is>
      </x:c>
      <x:c r="D129" s="84" t="inlineStr">
        <x:is>
          <x:t xml:space="preserve">outside click/interact closes when enabled</x:t>
        </x:is>
      </x:c>
      <x:c r="E129" s="76" t="inlineStr">
        <x:is>
          <x:t xml:space="preserve">yes</x:t>
        </x:is>
      </x:c>
      <x:c r="F129" s="85" t="inlineStr">
        <x:is>
          <x:t xml:space="preserve">yes</x:t>
        </x:is>
      </x:c>
      <x:c r="G129" s="73" t="inlineStr">
        <x:is>
          <x:t xml:space="preserve">passed manual test</x:t>
        </x:is>
      </x:c>
      <x:c r="H129" s="86" t="inlineStr">
        <x:is>
          <x:t xml:space="preserve">covered</x:t>
        </x:is>
      </x:c>
      <x:c r="I129" s="84" t="inlineStr">
        <x:is>
          <x:t xml:space="preserve">Popover manual protocol and live playground evidence.</x:t>
        </x:is>
      </x:c>
      <x:c r="J129" s="84" t="n"/>
      <x:c r="K129" s="87" t="n">
        <x:f>IF(AND(E129="yes",F129="yes",H129="covered"),1,IF(H129="partial",0.5,0))</x:f>
        <x:v>1</x:v>
      </x:c>
    </x:row>
    <x:row r="130" s="51" customFormat="1" ht="45" customHeight="1">
      <x:c r="A130" s="73" t="n">
        <x:v>122</x:v>
      </x:c>
      <x:c r="B130" s="84" t="inlineStr">
        <x:is>
          <x:t xml:space="preserve">Dismiss</x:t>
        </x:is>
      </x:c>
      <x:c r="C130" s="84" t="inlineStr">
        <x:is>
          <x:t xml:space="preserve">Popover</x:t>
        </x:is>
      </x:c>
      <x:c r="D130" s="84" t="inlineStr">
        <x:is>
          <x:t xml:space="preserve">outside click/interact is blocked when disabled</x:t>
        </x:is>
      </x:c>
      <x:c r="E130" s="76" t="inlineStr">
        <x:is>
          <x:t xml:space="preserve">yes</x:t>
        </x:is>
      </x:c>
      <x:c r="F130" s="85" t="inlineStr">
        <x:is>
          <x:t xml:space="preserve">yes</x:t>
        </x:is>
      </x:c>
      <x:c r="G130" s="73" t="inlineStr">
        <x:is>
          <x:t xml:space="preserve">passed manual test</x:t>
        </x:is>
      </x:c>
      <x:c r="H130" s="86" t="inlineStr">
        <x:is>
          <x:t xml:space="preserve">covered</x:t>
        </x:is>
      </x:c>
      <x:c r="I130" s="84" t="inlineStr">
        <x:is>
          <x:t xml:space="preserve">Popover manual protocol and live playground evidence.</x:t>
        </x:is>
      </x:c>
      <x:c r="J130" s="84" t="n"/>
      <x:c r="K130" s="87" t="n">
        <x:f>IF(AND(E130="yes",F130="yes",H130="covered"),1,IF(H130="partial",0.5,0))</x:f>
        <x:v>1</x:v>
      </x:c>
    </x:row>
    <x:row r="131" s="51" customFormat="1" ht="45" customHeight="1">
      <x:c r="A131" s="73" t="n">
        <x:v>123</x:v>
      </x:c>
      <x:c r="B131" s="84" t="inlineStr">
        <x:is>
          <x:t xml:space="preserve">Focus</x:t>
        </x:is>
      </x:c>
      <x:c r="C131" s="84" t="inlineStr">
        <x:is>
          <x:t xml:space="preserve">Popover</x:t>
        </x:is>
      </x:c>
      <x:c r="D131" s="84" t="inlineStr">
        <x:is>
          <x:t xml:space="preserve">focus returns to the correct trigger/anchor after close</x:t>
        </x:is>
      </x:c>
      <x:c r="E131" s="76" t="inlineStr">
        <x:is>
          <x:t xml:space="preserve">yes</x:t>
        </x:is>
      </x:c>
      <x:c r="F131" s="85" t="inlineStr">
        <x:is>
          <x:t xml:space="preserve">yes</x:t>
        </x:is>
      </x:c>
      <x:c r="G131" s="73" t="inlineStr">
        <x:is>
          <x:t xml:space="preserve">passed manual test</x:t>
        </x:is>
      </x:c>
      <x:c r="H131" s="86" t="inlineStr">
        <x:is>
          <x:t xml:space="preserve">covered</x:t>
        </x:is>
      </x:c>
      <x:c r="I131" s="84" t="inlineStr">
        <x:is>
          <x:t xml:space="preserve">Popover manual protocol and live playground evidence.</x:t>
        </x:is>
      </x:c>
      <x:c r="J131" s="84" t="n"/>
      <x:c r="K131" s="87" t="n">
        <x:f>IF(AND(E131="yes",F131="yes",H131="covered"),1,IF(H131="partial",0.5,0))</x:f>
        <x:v>1</x:v>
      </x:c>
    </x:row>
    <x:row r="132" s="51" customFormat="1" ht="15" customHeight="1">
      <x:c r="A132" s="73" t="n">
        <x:v>124</x:v>
      </x:c>
      <x:c r="B132" s="84" t="inlineStr">
        <x:is>
          <x:t xml:space="preserve">Focus</x:t>
        </x:is>
      </x:c>
      <x:c r="C132" s="84" t="inlineStr">
        <x:is>
          <x:t xml:space="preserve">Popover</x:t>
        </x:is>
      </x:c>
      <x:c r="D132" s="84" t="inlineStr">
        <x:is>
          <x:t xml:space="preserve">nested overlays keep focus and Escape order correct</x:t>
        </x:is>
      </x:c>
      <x:c r="E132" s="76" t="inlineStr">
        <x:is>
          <x:t xml:space="preserve">yes</x:t>
        </x:is>
      </x:c>
      <x:c r="F132" s="85" t="inlineStr">
        <x:is>
          <x:t xml:space="preserve">yes</x:t>
        </x:is>
      </x:c>
      <x:c r="G132" s="73" t="inlineStr">
        <x:is>
          <x:t xml:space="preserve">passed manual test; nested portalled Popover interaction stays inside parent layer</x:t>
        </x:is>
      </x:c>
      <x:c r="H132" s="86" t="inlineStr">
        <x:is>
          <x:t xml:space="preserve">covered</x:t>
        </x:is>
      </x:c>
      <x:c r="I132" s="84" t="inlineStr">
        <x:is>
          <x:t xml:space="preserve">Nested Popover manual protocol; package click-away ignores descendant portalled layers controlled inside parent content.</x:t>
        </x:is>
      </x:c>
      <x:c r="J132" s="84" t="n"/>
      <x:c r="K132" s="87" t="n">
        <x:f>IF(AND(E132="yes",F132="yes",H132="covered"),1,IF(H132="partial",0.5,0))</x:f>
        <x:v>1</x:v>
      </x:c>
    </x:row>
    <x:row r="133" s="51" customFormat="1" ht="45" customHeight="1">
      <x:c r="A133" s="73" t="n">
        <x:v>125</x:v>
      </x:c>
      <x:c r="B133" s="84" t="inlineStr">
        <x:is>
          <x:t xml:space="preserve">Responsive smoke</x:t>
        </x:is>
      </x:c>
      <x:c r="C133" s="84" t="inlineStr">
        <x:is>
          <x:t xml:space="preserve">Popover</x:t>
        </x:is>
      </x:c>
      <x:c r="D133" s="84" t="inlineStr">
        <x:is>
          <x:t xml:space="preserve">desktop browser manual workflow covers pointer and keyboard; responsive mode is smoke only and is not mobile-device evidence</x:t>
        </x:is>
      </x:c>
      <x:c r="E133" s="76" t="inlineStr">
        <x:is>
          <x:t xml:space="preserve">yes</x:t>
        </x:is>
      </x:c>
      <x:c r="F133" s="85" t="inlineStr">
        <x:is>
          <x:t xml:space="preserve">yes</x:t>
        </x:is>
      </x:c>
      <x:c r="G133" s="73" t="inlineStr">
        <x:is>
          <x:t xml:space="preserve">passed existing desktop browser/manual baseline; mobile device qualification not run</x:t>
        </x:is>
      </x:c>
      <x:c r="H133" s="86" t="inlineStr">
        <x:is>
          <x:t xml:space="preserve">covered</x:t>
        </x:is>
      </x:c>
      <x:c r="I133" s="84" t="inlineStr">
        <x:is>
          <x:t xml:space="preserve">Existing desktop browser/manual baseline; not real iOS Safari or Android Chrome evidence.</x:t>
        </x:is>
      </x:c>
      <x:c r="J133" s="84" t="n"/>
      <x:c r="K133" s="87" t="n">
        <x:f>IF(AND(E133="yes",F133="yes",H133="covered"),1,IF(H133="partial",0.5,0))</x:f>
        <x:v>1</x:v>
      </x:c>
    </x:row>
    <x:row r="134" s="51" customFormat="1" ht="15" customHeight="1">
      <x:c r="A134" s="73" t="n">
        <x:v>126</x:v>
      </x:c>
      <x:c r="B134" s="84" t="inlineStr">
        <x:is>
          <x:t xml:space="preserve">Portal</x:t>
        </x:is>
      </x:c>
      <x:c r="C134" s="84" t="inlineStr">
        <x:is>
          <x:t xml:space="preserve">Popover</x:t>
        </x:is>
      </x:c>
      <x:c r="D134" s="84" t="inlineStr">
        <x:is>
          <x:t xml:space="preserve">portal renders in body by default</x:t>
        </x:is>
      </x:c>
      <x:c r="E134" s="76" t="inlineStr">
        <x:is>
          <x:t xml:space="preserve">yes</x:t>
        </x:is>
      </x:c>
      <x:c r="F134" s="85" t="inlineStr">
        <x:is>
          <x:t xml:space="preserve">yes</x:t>
        </x:is>
      </x:c>
      <x:c r="G134" s="73" t="inlineStr">
        <x:is>
          <x:t xml:space="preserve">passed manual test</x:t>
        </x:is>
      </x:c>
      <x:c r="H134" s="86" t="inlineStr">
        <x:is>
          <x:t xml:space="preserve">covered</x:t>
        </x:is>
      </x:c>
      <x:c r="I134" s="84" t="inlineStr">
        <x:is>
          <x:t xml:space="preserve">Popover manual protocol and live playground evidence.</x:t>
        </x:is>
      </x:c>
      <x:c r="J134" s="84" t="n"/>
      <x:c r="K134" s="87" t="n">
        <x:f>IF(AND(E134="yes",F134="yes",H134="covered"),1,IF(H134="partial",0.5,0))</x:f>
        <x:v>1</x:v>
      </x:c>
    </x:row>
    <x:row r="135" s="51" customFormat="1" ht="15" customHeight="1">
      <x:c r="A135" s="73" t="n">
        <x:v>127</x:v>
      </x:c>
      <x:c r="B135" s="84" t="inlineStr">
        <x:is>
          <x:t xml:space="preserve">Portal</x:t>
        </x:is>
      </x:c>
      <x:c r="C135" s="84" t="inlineStr">
        <x:is>
          <x:t xml:space="preserve">Popover</x:t>
        </x:is>
      </x:c>
      <x:c r="D135" s="84" t="inlineStr">
        <x:is>
          <x:t xml:space="preserve">custom/disabled portal path works where supported</x:t>
        </x:is>
      </x:c>
      <x:c r="E135" s="76" t="inlineStr">
        <x:is>
          <x:t xml:space="preserve">yes</x:t>
        </x:is>
      </x:c>
      <x:c r="F135" s="85" t="inlineStr">
        <x:is>
          <x:t xml:space="preserve">yes</x:t>
        </x:is>
      </x:c>
      <x:c r="G135" s="73" t="inlineStr">
        <x:is>
          <x:t xml:space="preserve">passed manual test; body, custom container, and disabled portal paths verified</x:t>
        </x:is>
      </x:c>
      <x:c r="H135" s="86" t="inlineStr">
        <x:is>
          <x:t xml:space="preserve">covered</x:t>
        </x:is>
      </x:c>
      <x:c r="I135" s="84" t="inlineStr">
        <x:is>
          <x:t xml:space="preserve">Portal toolbar mode, Portal Anatomy rows, and Source output.</x:t>
        </x:is>
      </x:c>
      <x:c r="J135" s="84" t="n"/>
      <x:c r="K135" s="87" t="n">
        <x:f>IF(AND(E135="yes",F135="yes",H135="covered"),1,IF(H135="partial",0.5,0))</x:f>
        <x:v>1</x:v>
      </x:c>
    </x:row>
    <x:row r="136" s="51" customFormat="1" ht="45" customHeight="1">
      <x:c r="A136" s="73" t="n">
        <x:v>128</x:v>
      </x:c>
      <x:c r="B136" s="84" t="inlineStr">
        <x:is>
          <x:t xml:space="preserve">Positioning</x:t>
        </x:is>
      </x:c>
      <x:c r="C136" s="84" t="inlineStr">
        <x:is>
          <x:t xml:space="preserve">Popover</x:t>
        </x:is>
      </x:c>
      <x:c r="D136" s="84" t="inlineStr">
        <x:is>
          <x:t xml:space="preserve">side options position content correctly</x:t>
        </x:is>
      </x:c>
      <x:c r="E136" s="76" t="inlineStr">
        <x:is>
          <x:t xml:space="preserve">yes</x:t>
        </x:is>
      </x:c>
      <x:c r="F136" s="85" t="inlineStr">
        <x:is>
          <x:t xml:space="preserve">yes</x:t>
        </x:is>
      </x:c>
      <x:c r="G136" s="73" t="inlineStr">
        <x:is>
          <x:t xml:space="preserve">passed manual test</x:t>
        </x:is>
      </x:c>
      <x:c r="H136" s="86" t="inlineStr">
        <x:is>
          <x:t xml:space="preserve">covered</x:t>
        </x:is>
      </x:c>
      <x:c r="I136" s="84" t="inlineStr">
        <x:is>
          <x:t xml:space="preserve">Popover manual protocol and live playground evidence.</x:t>
        </x:is>
      </x:c>
      <x:c r="J136" s="84" t="n"/>
      <x:c r="K136" s="87" t="n">
        <x:f>IF(AND(E136="yes",F136="yes",H136="covered"),1,IF(H136="partial",0.5,0))</x:f>
        <x:v>1</x:v>
      </x:c>
    </x:row>
    <x:row r="137" s="51" customFormat="1" ht="30" customHeight="1">
      <x:c r="A137" s="73" t="n">
        <x:v>129</x:v>
      </x:c>
      <x:c r="B137" s="84" t="inlineStr">
        <x:is>
          <x:t xml:space="preserve">Positioning</x:t>
        </x:is>
      </x:c>
      <x:c r="C137" s="84" t="inlineStr">
        <x:is>
          <x:t xml:space="preserve">Popover</x:t>
        </x:is>
      </x:c>
      <x:c r="D137" s="84" t="inlineStr">
        <x:is>
          <x:t xml:space="preserve">align options position content correctly</x:t>
        </x:is>
      </x:c>
      <x:c r="E137" s="76" t="inlineStr">
        <x:is>
          <x:t xml:space="preserve">yes</x:t>
        </x:is>
      </x:c>
      <x:c r="F137" s="85" t="inlineStr">
        <x:is>
          <x:t xml:space="preserve">yes</x:t>
        </x:is>
      </x:c>
      <x:c r="G137" s="73" t="inlineStr">
        <x:is>
          <x:t xml:space="preserve">passed manual test</x:t>
        </x:is>
      </x:c>
      <x:c r="H137" s="86" t="inlineStr">
        <x:is>
          <x:t xml:space="preserve">covered</x:t>
        </x:is>
      </x:c>
      <x:c r="I137" s="84" t="inlineStr">
        <x:is>
          <x:t xml:space="preserve">Popover manual protocol and live playground evidence.</x:t>
        </x:is>
      </x:c>
      <x:c r="J137" s="84" t="n"/>
      <x:c r="K137" s="87" t="n">
        <x:f>IF(AND(E137="yes",F137="yes",H137="covered"),1,IF(H137="partial",0.5,0))</x:f>
        <x:v>1</x:v>
      </x:c>
    </x:row>
    <x:row r="138" s="51" customFormat="1" ht="45" customHeight="1">
      <x:c r="A138" s="73" t="n">
        <x:v>130</x:v>
      </x:c>
      <x:c r="B138" s="84" t="inlineStr">
        <x:is>
          <x:t xml:space="preserve">Positioning</x:t>
        </x:is>
      </x:c>
      <x:c r="C138" s="84" t="inlineStr">
        <x:is>
          <x:t xml:space="preserve">Popover</x:t>
        </x:is>
      </x:c>
      <x:c r="D138" s="84" t="inlineStr">
        <x:is>
          <x:t xml:space="preserve">collision, flip, and shift stay within the manually tested desktop layout viewport</x:t>
        </x:is>
      </x:c>
      <x:c r="E138" s="76" t="inlineStr">
        <x:is>
          <x:t xml:space="preserve">yes</x:t>
        </x:is>
      </x:c>
      <x:c r="F138" s="85" t="inlineStr">
        <x:is>
          <x:t xml:space="preserve">yes</x:t>
        </x:is>
      </x:c>
      <x:c r="G138" s="73" t="inlineStr">
        <x:is>
          <x:t xml:space="preserve">passed existing desktop browser/manual baseline; mobile device qualification not run</x:t>
        </x:is>
      </x:c>
      <x:c r="H138" s="86" t="inlineStr">
        <x:is>
          <x:t xml:space="preserve">covered</x:t>
        </x:is>
      </x:c>
      <x:c r="I138" s="84" t="inlineStr">
        <x:is>
          <x:t xml:space="preserve">Existing desktop browser/manual baseline; not real iOS Safari or Android Chrome evidence.</x:t>
        </x:is>
      </x:c>
      <x:c r="J138" s="84" t="n"/>
      <x:c r="K138" s="87" t="n">
        <x:f>IF(AND(E138="yes",F138="yes",H138="covered"),1,IF(H138="partial",0.5,0))</x:f>
        <x:v>1</x:v>
      </x:c>
    </x:row>
    <x:row r="139" s="51" customFormat="1" ht="15" customHeight="1">
      <x:c r="A139" s="73" t="n">
        <x:v>131</x:v>
      </x:c>
      <x:c r="B139" s="84" t="inlineStr">
        <x:is>
          <x:t xml:space="preserve">Positioning</x:t>
        </x:is>
      </x:c>
      <x:c r="C139" s="84" t="inlineStr">
        <x:is>
          <x:t xml:space="preserve">Popover</x:t>
        </x:is>
      </x:c>
      <x:c r="D139" s="84" t="inlineStr">
        <x:is>
          <x:t xml:space="preserve">arrow or anchor geometry matches content where supported</x:t>
        </x:is>
      </x:c>
      <x:c r="E139" s="76" t="inlineStr">
        <x:is>
          <x:t xml:space="preserve">yes</x:t>
        </x:is>
      </x:c>
      <x:c r="F139" s="85" t="inlineStr">
        <x:is>
          <x:t xml:space="preserve">yes</x:t>
        </x:is>
      </x:c>
      <x:c r="G139" s="73" t="inlineStr">
        <x:is>
          <x:t xml:space="preserve">passed manual test; Arrow geometry and default Anchor child reference behavior verified</x:t>
        </x:is>
      </x:c>
      <x:c r="H139" s="86" t="inlineStr">
        <x:is>
          <x:t xml:space="preserve">covered</x:t>
        </x:is>
      </x:c>
      <x:c r="I139" s="84" t="inlineStr">
        <x:is>
          <x:t xml:space="preserve">Anchor positioning manual test, Arrow Anatomy rows, and package PopoverContent reference tests.</x:t>
        </x:is>
      </x:c>
      <x:c r="J139" s="84" t="n"/>
      <x:c r="K139" s="87" t="n">
        <x:f>IF(AND(E139="yes",F139="yes",H139="covered"),1,IF(H139="partial",0.5,0))</x:f>
        <x:v>1</x:v>
      </x:c>
    </x:row>
    <x:row r="140" s="51" customFormat="1" ht="45" customHeight="1">
      <x:c r="A140" s="73" t="n">
        <x:v>132</x:v>
      </x:c>
      <x:c r="B140" s="84" t="inlineStr">
        <x:is>
          <x:t xml:space="preserve">Feature</x:t>
        </x:is>
      </x:c>
      <x:c r="C140" s="84" t="inlineStr">
        <x:is>
          <x:t xml:space="preserve">Popover</x:t>
        </x:is>
      </x:c>
      <x:c r="D140" s="84" t="inlineStr">
        <x:is>
          <x:t xml:space="preserve">Visible Title and Description provide the default accessible name and description</x:t>
        </x:is>
      </x:c>
      <x:c r="E140" s="76" t="inlineStr">
        <x:is>
          <x:t xml:space="preserve">yes</x:t>
        </x:is>
      </x:c>
      <x:c r="F140" s="85" t="inlineStr">
        <x:is>
          <x:t xml:space="preserve">yes</x:t>
        </x:is>
      </x:c>
      <x:c r="G140" s="73" t="inlineStr">
        <x:is>
          <x:t xml:space="preserve">passed owner manual protocol</x:t>
        </x:is>
      </x:c>
      <x:c r="H140" s="86" t="inlineStr">
        <x:is>
          <x:t xml:space="preserve">covered</x:t>
        </x:is>
      </x:c>
      <x:c r="I140" s="84" t="inlineStr">
        <x:is>
          <x:t xml:space="preserve">Popover manual protocol Step 12 owner evidence and focused automated package regression.</x:t>
        </x:is>
      </x:c>
      <x:c r="J140" s="84" t="n"/>
      <x:c r="K140" s="87" t="n">
        <x:f>IF(AND(E140="yes",F140="yes",H140="covered"),1,IF(H140="partial",0.5,0))</x:f>
        <x:v>1</x:v>
      </x:c>
    </x:row>
    <x:row r="141" s="51" customFormat="1" ht="45" customHeight="1">
      <x:c r="A141" s="73" t="n">
        <x:v>133</x:v>
      </x:c>
      <x:c r="B141" s="84" t="inlineStr">
        <x:is>
          <x:t xml:space="preserve">Anatomy</x:t>
        </x:is>
      </x:c>
      <x:c r="C141" s="84" t="inlineStr">
        <x:is>
          <x:t xml:space="preserve">Title</x:t>
        </x:is>
      </x:c>
      <x:c r="D141" s="84" t="inlineStr">
        <x:is>
          <x:t xml:space="preserve">renders the visible Title part in documented order</x:t>
        </x:is>
      </x:c>
      <x:c r="E141" s="76" t="inlineStr">
        <x:is>
          <x:t xml:space="preserve">yes</x:t>
        </x:is>
      </x:c>
      <x:c r="F141" s="85" t="inlineStr">
        <x:is>
          <x:t xml:space="preserve">yes</x:t>
        </x:is>
      </x:c>
      <x:c r="G141" s="73" t="inlineStr">
        <x:is>
          <x:t xml:space="preserve">passed owner manual protocol</x:t>
        </x:is>
      </x:c>
      <x:c r="H141" s="86" t="inlineStr">
        <x:is>
          <x:t xml:space="preserve">covered</x:t>
        </x:is>
      </x:c>
      <x:c r="I141" s="84" t="inlineStr">
        <x:is>
          <x:t xml:space="preserve">Popover manual protocol Step 12 owner evidence and focused automated package regression.</x:t>
        </x:is>
      </x:c>
      <x:c r="J141" s="84" t="n"/>
      <x:c r="K141" s="87" t="n">
        <x:f>IF(AND(E141="yes",F141="yes",H141="covered"),1,IF(H141="partial",0.5,0))</x:f>
        <x:v>1</x:v>
      </x:c>
    </x:row>
    <x:row r="142" s="51" customFormat="1" ht="45" customHeight="1">
      <x:c r="A142" s="73" t="n">
        <x:v>134</x:v>
      </x:c>
      <x:c r="B142" s="84" t="inlineStr">
        <x:is>
          <x:t xml:space="preserve">Identity</x:t>
        </x:is>
      </x:c>
      <x:c r="C142" s="84" t="inlineStr">
        <x:is>
          <x:t xml:space="preserve">Title</x:t>
        </x:is>
      </x:c>
      <x:c r="D142" s="84" t="inlineStr">
        <x:is>
          <x:t xml:space="preserve">default h2 tag, stable ID, and data-slot are visible in Anatomy/Inspector</x:t>
        </x:is>
      </x:c>
      <x:c r="E142" s="76" t="inlineStr">
        <x:is>
          <x:t xml:space="preserve">yes</x:t>
        </x:is>
      </x:c>
      <x:c r="F142" s="85" t="inlineStr">
        <x:is>
          <x:t xml:space="preserve">yes</x:t>
        </x:is>
      </x:c>
      <x:c r="G142" s="73" t="inlineStr">
        <x:is>
          <x:t xml:space="preserve">passed owner manual protocol</x:t>
        </x:is>
      </x:c>
      <x:c r="H142" s="86" t="inlineStr">
        <x:is>
          <x:t xml:space="preserve">covered</x:t>
        </x:is>
      </x:c>
      <x:c r="I142" s="84" t="inlineStr">
        <x:is>
          <x:t xml:space="preserve">Popover manual protocol Step 12 owner evidence and focused automated package regression.</x:t>
        </x:is>
      </x:c>
      <x:c r="J142" s="84" t="n"/>
      <x:c r="K142" s="87" t="n">
        <x:f>IF(AND(E142="yes",F142="yes",H142="covered"),1,IF(H142="partial",0.5,0))</x:f>
        <x:v>1</x:v>
      </x:c>
    </x:row>
    <x:row r="143" s="51" customFormat="1" ht="45" customHeight="1">
      <x:c r="A143" s="73" t="n">
        <x:v>135</x:v>
      </x:c>
      <x:c r="B143" s="84" t="inlineStr">
        <x:is>
          <x:t xml:space="preserve">Anatomy</x:t>
        </x:is>
      </x:c>
      <x:c r="C143" s="84" t="inlineStr">
        <x:is>
          <x:t xml:space="preserve">Description</x:t>
        </x:is>
      </x:c>
      <x:c r="D143" s="84" t="inlineStr">
        <x:is>
          <x:t xml:space="preserve">renders the visible Description part in documented order</x:t>
        </x:is>
      </x:c>
      <x:c r="E143" s="76" t="inlineStr">
        <x:is>
          <x:t xml:space="preserve">yes</x:t>
        </x:is>
      </x:c>
      <x:c r="F143" s="85" t="inlineStr">
        <x:is>
          <x:t xml:space="preserve">yes</x:t>
        </x:is>
      </x:c>
      <x:c r="G143" s="73" t="inlineStr">
        <x:is>
          <x:t xml:space="preserve">passed owner manual protocol</x:t>
        </x:is>
      </x:c>
      <x:c r="H143" s="86" t="inlineStr">
        <x:is>
          <x:t xml:space="preserve">covered</x:t>
        </x:is>
      </x:c>
      <x:c r="I143" s="84" t="inlineStr">
        <x:is>
          <x:t xml:space="preserve">Popover manual protocol Step 12 owner evidence and focused automated package regression.</x:t>
        </x:is>
      </x:c>
      <x:c r="J143" s="84" t="n"/>
      <x:c r="K143" s="87" t="n">
        <x:f>IF(AND(E143="yes",F143="yes",H143="covered"),1,IF(H143="partial",0.5,0))</x:f>
        <x:v>1</x:v>
      </x:c>
    </x:row>
    <x:row r="144" s="51" customFormat="1" ht="45" customHeight="1">
      <x:c r="A144" s="73" t="n">
        <x:v>136</x:v>
      </x:c>
      <x:c r="B144" s="84" t="inlineStr">
        <x:is>
          <x:t xml:space="preserve">Identity</x:t>
        </x:is>
      </x:c>
      <x:c r="C144" s="84" t="inlineStr">
        <x:is>
          <x:t xml:space="preserve">Description</x:t>
        </x:is>
      </x:c>
      <x:c r="D144" s="84" t="inlineStr">
        <x:is>
          <x:t xml:space="preserve">default p tag, stable ID, and data-slot are visible in Anatomy/Inspector</x:t>
        </x:is>
      </x:c>
      <x:c r="E144" s="76" t="inlineStr">
        <x:is>
          <x:t xml:space="preserve">yes</x:t>
        </x:is>
      </x:c>
      <x:c r="F144" s="85" t="inlineStr">
        <x:is>
          <x:t xml:space="preserve">yes</x:t>
        </x:is>
      </x:c>
      <x:c r="G144" s="73" t="inlineStr">
        <x:is>
          <x:t xml:space="preserve">passed owner manual protocol</x:t>
        </x:is>
      </x:c>
      <x:c r="H144" s="86" t="inlineStr">
        <x:is>
          <x:t xml:space="preserve">covered</x:t>
        </x:is>
      </x:c>
      <x:c r="I144" s="84" t="inlineStr">
        <x:is>
          <x:t xml:space="preserve">Popover manual protocol Step 12 owner evidence and focused automated package regression.</x:t>
        </x:is>
      </x:c>
      <x:c r="J144" s="84" t="n"/>
      <x:c r="K144" s="87" t="n">
        <x:f>IF(AND(E144="yes",F144="yes",H144="covered"),1,IF(H144="partial",0.5,0))</x:f>
        <x:v>1</x:v>
      </x:c>
    </x:row>
    <x:row r="145" s="51" customFormat="1" ht="45" customHeight="1">
      <x:c r="A145" s="73" t="n">
        <x:v>137</x:v>
      </x:c>
      <x:c r="B145" s="84" t="inlineStr">
        <x:is>
          <x:t xml:space="preserve">ARIA</x:t>
        </x:is>
      </x:c>
      <x:c r="C145" s="84" t="inlineStr">
        <x:is>
          <x:t xml:space="preserve">Content</x:t>
        </x:is>
      </x:c>
      <x:c r="D145" s="84" t="inlineStr">
        <x:is>
          <x:t xml:space="preserve">generated aria-labelledby and aria-describedby reference the exact visible part IDs</x:t>
        </x:is>
      </x:c>
      <x:c r="E145" s="76" t="inlineStr">
        <x:is>
          <x:t xml:space="preserve">yes</x:t>
        </x:is>
      </x:c>
      <x:c r="F145" s="85" t="inlineStr">
        <x:is>
          <x:t xml:space="preserve">yes</x:t>
        </x:is>
      </x:c>
      <x:c r="G145" s="73" t="inlineStr">
        <x:is>
          <x:t xml:space="preserve">passed owner manual protocol</x:t>
        </x:is>
      </x:c>
      <x:c r="H145" s="86" t="inlineStr">
        <x:is>
          <x:t xml:space="preserve">covered</x:t>
        </x:is>
      </x:c>
      <x:c r="I145" s="84" t="inlineStr">
        <x:is>
          <x:t xml:space="preserve">Popover manual protocol Step 12 owner evidence and focused automated package regression.</x:t>
        </x:is>
      </x:c>
      <x:c r="J145" s="84" t="n"/>
      <x:c r="K145" s="87" t="n">
        <x:f>IF(AND(E145="yes",F145="yes",H145="covered"),1,IF(H145="partial",0.5,0))</x:f>
        <x:v>1</x:v>
      </x:c>
    </x:row>
    <x:row r="146" s="51" customFormat="1" ht="45" customHeight="1">
      <x:c r="A146" s="73" t="n">
        <x:v>138</x:v>
      </x:c>
      <x:c r="B146" s="84" t="inlineStr">
        <x:is>
          <x:t xml:space="preserve">Accessibility</x:t>
        </x:is>
      </x:c>
      <x:c r="C146" s="84" t="inlineStr">
        <x:is>
          <x:t xml:space="preserve">Content</x:t>
        </x:is>
      </x:c>
      <x:c r="D146" s="84" t="inlineStr">
        <x:is>
          <x:t xml:space="preserve">native aria-label supplies the explicit name without a custom camel-case alias</x:t>
        </x:is>
      </x:c>
      <x:c r="E146" s="76" t="inlineStr">
        <x:is>
          <x:t xml:space="preserve">yes</x:t>
        </x:is>
      </x:c>
      <x:c r="F146" s="85" t="inlineStr">
        <x:is>
          <x:t xml:space="preserve">yes</x:t>
        </x:is>
      </x:c>
      <x:c r="G146" s="73" t="inlineStr">
        <x:is>
          <x:t xml:space="preserve">passed owner manual protocol</x:t>
        </x:is>
      </x:c>
      <x:c r="H146" s="86" t="inlineStr">
        <x:is>
          <x:t xml:space="preserve">covered</x:t>
        </x:is>
      </x:c>
      <x:c r="I146" s="84" t="inlineStr">
        <x:is>
          <x:t xml:space="preserve">Popover manual protocol Step 12 owner evidence and focused automated package regression.</x:t>
        </x:is>
      </x:c>
      <x:c r="J146" s="84" t="n"/>
      <x:c r="K146" s="87" t="n">
        <x:f>IF(AND(E146="yes",F146="yes",H146="covered"),1,IF(H146="partial",0.5,0))</x:f>
        <x:v>1</x:v>
      </x:c>
    </x:row>
    <x:row r="147" s="51" customFormat="1" ht="45" customHeight="1">
      <x:c r="A147" s="73" t="n">
        <x:v>139</x:v>
      </x:c>
      <x:c r="B147" s="84" t="inlineStr">
        <x:is>
          <x:t xml:space="preserve">Focus</x:t>
        </x:is>
      </x:c>
      <x:c r="C147" s="84" t="inlineStr">
        <x:is>
          <x:t xml:space="preserve">Content</x:t>
        </x:is>
      </x:c>
      <x:c r="D147" s="84" t="inlineStr">
        <x:is>
          <x:t xml:space="preserve">mouse activation moves initial focus to the first intended descendant</x:t>
        </x:is>
      </x:c>
      <x:c r="E147" s="76" t="inlineStr">
        <x:is>
          <x:t xml:space="preserve">yes</x:t>
        </x:is>
      </x:c>
      <x:c r="F147" s="85" t="inlineStr">
        <x:is>
          <x:t xml:space="preserve">yes</x:t>
        </x:is>
      </x:c>
      <x:c r="G147" s="73" t="inlineStr">
        <x:is>
          <x:t xml:space="preserve">passed owner manual protocol</x:t>
        </x:is>
      </x:c>
      <x:c r="H147" s="86" t="inlineStr">
        <x:is>
          <x:t xml:space="preserve">covered</x:t>
        </x:is>
      </x:c>
      <x:c r="I147" s="84" t="inlineStr">
        <x:is>
          <x:t xml:space="preserve">Popover manual protocol Step 12 owner evidence and focused automated package regression.</x:t>
        </x:is>
      </x:c>
      <x:c r="J147" s="84" t="n"/>
      <x:c r="K147" s="87" t="n">
        <x:f>IF(AND(E147="yes",F147="yes",H147="covered"),1,IF(H147="partial",0.5,0))</x:f>
        <x:v>1</x:v>
      </x:c>
    </x:row>
    <x:row r="148" s="51" customFormat="1" ht="45" customHeight="1">
      <x:c r="A148" s="73" t="n">
        <x:v>140</x:v>
      </x:c>
      <x:c r="B148" s="84" t="inlineStr">
        <x:is>
          <x:t xml:space="preserve">Focus</x:t>
        </x:is>
      </x:c>
      <x:c r="C148" s="84" t="inlineStr">
        <x:is>
          <x:t xml:space="preserve">Content</x:t>
        </x:is>
      </x:c>
      <x:c r="D148" s="84" t="inlineStr">
        <x:is>
          <x:t xml:space="preserve">keyboard activation moves initial focus and Escape restores Trigger focus</x:t>
        </x:is>
      </x:c>
      <x:c r="E148" s="76" t="inlineStr">
        <x:is>
          <x:t xml:space="preserve">yes</x:t>
        </x:is>
      </x:c>
      <x:c r="F148" s="85" t="inlineStr">
        <x:is>
          <x:t xml:space="preserve">yes</x:t>
        </x:is>
      </x:c>
      <x:c r="G148" s="73" t="inlineStr">
        <x:is>
          <x:t xml:space="preserve">passed owner manual protocol</x:t>
        </x:is>
      </x:c>
      <x:c r="H148" s="86" t="inlineStr">
        <x:is>
          <x:t xml:space="preserve">covered</x:t>
        </x:is>
      </x:c>
      <x:c r="I148" s="84" t="inlineStr">
        <x:is>
          <x:t xml:space="preserve">Popover manual protocol Step 12 owner evidence and focused automated package regression.</x:t>
        </x:is>
      </x:c>
      <x:c r="J148" s="84" t="n"/>
      <x:c r="K148" s="87" t="n">
        <x:f>IF(AND(E148="yes",F148="yes",H148="covered"),1,IF(H148="partial",0.5,0))</x:f>
        <x:v>1</x:v>
      </x:c>
    </x:row>
    <x:row r="149" s="51" customFormat="1" ht="45" customHeight="1">
      <x:c r="A149" s="73" t="n">
        <x:v>141</x:v>
      </x:c>
      <x:c r="B149" s="84" t="inlineStr">
        <x:is>
          <x:t xml:space="preserve">Focus</x:t>
        </x:is>
      </x:c>
      <x:c r="C149" s="84" t="inlineStr">
        <x:is>
          <x:t xml:space="preserve">Content</x:t>
        </x:is>
      </x:c>
      <x:c r="D149" s="84" t="inlineStr">
        <x:is>
          <x:t xml:space="preserve">explicit initialFocus and finalFocus targets are honored</x:t>
        </x:is>
      </x:c>
      <x:c r="E149" s="76" t="inlineStr">
        <x:is>
          <x:t xml:space="preserve">yes</x:t>
        </x:is>
      </x:c>
      <x:c r="F149" s="85" t="inlineStr">
        <x:is>
          <x:t xml:space="preserve">yes</x:t>
        </x:is>
      </x:c>
      <x:c r="G149" s="73" t="inlineStr">
        <x:is>
          <x:t xml:space="preserve">passed owner manual protocol</x:t>
        </x:is>
      </x:c>
      <x:c r="H149" s="86" t="inlineStr">
        <x:is>
          <x:t xml:space="preserve">covered</x:t>
        </x:is>
      </x:c>
      <x:c r="I149" s="84" t="inlineStr">
        <x:is>
          <x:t xml:space="preserve">Popover manual protocol Step 12 owner evidence and focused automated package regression.</x:t>
        </x:is>
      </x:c>
      <x:c r="J149" s="84" t="n"/>
      <x:c r="K149" s="87" t="n">
        <x:f>IF(AND(E149="yes",F149="yes",H149="covered"),1,IF(H149="partial",0.5,0))</x:f>
        <x:v>1</x:v>
      </x:c>
    </x:row>
    <x:row r="150" s="51" customFormat="1" ht="45" customHeight="1">
      <x:c r="A150" s="73" t="n">
        <x:v>142</x:v>
      </x:c>
      <x:c r="B150" s="84" t="inlineStr">
        <x:is>
          <x:t xml:space="preserve">Focus</x:t>
        </x:is>
      </x:c>
      <x:c r="C150" s="84" t="inlineStr">
        <x:is>
          <x:t xml:space="preserve">Content</x:t>
        </x:is>
      </x:c>
      <x:c r="D150" s="84" t="inlineStr">
        <x:is>
          <x:t xml:space="preserve">Close and Escape restoration use the correct dismissal reason</x:t>
        </x:is>
      </x:c>
      <x:c r="E150" s="76" t="inlineStr">
        <x:is>
          <x:t xml:space="preserve">yes</x:t>
        </x:is>
      </x:c>
      <x:c r="F150" s="85" t="inlineStr">
        <x:is>
          <x:t xml:space="preserve">yes</x:t>
        </x:is>
      </x:c>
      <x:c r="G150" s="73" t="inlineStr">
        <x:is>
          <x:t xml:space="preserve">passed owner manual protocol</x:t>
        </x:is>
      </x:c>
      <x:c r="H150" s="86" t="inlineStr">
        <x:is>
          <x:t xml:space="preserve">covered</x:t>
        </x:is>
      </x:c>
      <x:c r="I150" s="84" t="inlineStr">
        <x:is>
          <x:t xml:space="preserve">Popover manual protocol Step 12 owner evidence and focused automated package regression.</x:t>
        </x:is>
      </x:c>
      <x:c r="J150" s="84" t="n"/>
      <x:c r="K150" s="87" t="n">
        <x:f>IF(AND(E150="yes",F150="yes",H150="covered"),1,IF(H150="partial",0.5,0))</x:f>
        <x:v>1</x:v>
      </x:c>
    </x:row>
    <x:row r="151" s="51" customFormat="1" ht="45" customHeight="1">
      <x:c r="A151" s="73" t="n">
        <x:v>143</x:v>
      </x:c>
      <x:c r="B151" s="84" t="inlineStr">
        <x:is>
          <x:t xml:space="preserve">Focus</x:t>
        </x:is>
      </x:c>
      <x:c r="C151" s="84" t="inlineStr">
        <x:is>
          <x:t xml:space="preserve">Content</x:t>
        </x:is>
      </x:c>
      <x:c r="D151" s="84" t="inlineStr">
        <x:is>
          <x:t xml:space="preserve">hover opening never steals focus</x:t>
        </x:is>
      </x:c>
      <x:c r="E151" s="76" t="inlineStr">
        <x:is>
          <x:t xml:space="preserve">yes</x:t>
        </x:is>
      </x:c>
      <x:c r="F151" s="85" t="inlineStr">
        <x:is>
          <x:t xml:space="preserve">yes</x:t>
        </x:is>
      </x:c>
      <x:c r="G151" s="73" t="inlineStr">
        <x:is>
          <x:t xml:space="preserve">passed owner manual protocol</x:t>
        </x:is>
      </x:c>
      <x:c r="H151" s="86" t="inlineStr">
        <x:is>
          <x:t xml:space="preserve">covered</x:t>
        </x:is>
      </x:c>
      <x:c r="I151" s="84" t="inlineStr">
        <x:is>
          <x:t xml:space="preserve">Popover manual protocol Step 12 owner evidence and focused automated package regression.</x:t>
        </x:is>
      </x:c>
      <x:c r="J151" s="84" t="n"/>
      <x:c r="K151" s="87" t="n">
        <x:f>IF(AND(E151="yes",F151="yes",H151="covered"),1,IF(H151="partial",0.5,0))</x:f>
        <x:v>1</x:v>
      </x:c>
    </x:row>
    <x:row r="152" s="51" customFormat="1" ht="45" customHeight="1">
      <x:c r="A152" s="73" t="n">
        <x:v>144</x:v>
      </x:c>
      <x:c r="B152" s="84" t="inlineStr">
        <x:is>
          <x:t xml:space="preserve">Focus</x:t>
        </x:is>
      </x:c>
      <x:c r="C152" s="84" t="inlineStr">
        <x:is>
          <x:t xml:space="preserve">Content</x:t>
        </x:is>
      </x:c>
      <x:c r="D152" s="84" t="inlineStr">
        <x:is>
          <x:t xml:space="preserve">outside pointer dismissal preserves the outside destination</x:t>
        </x:is>
      </x:c>
      <x:c r="E152" s="76" t="inlineStr">
        <x:is>
          <x:t xml:space="preserve">yes</x:t>
        </x:is>
      </x:c>
      <x:c r="F152" s="85" t="inlineStr">
        <x:is>
          <x:t xml:space="preserve">yes</x:t>
        </x:is>
      </x:c>
      <x:c r="G152" s="73" t="inlineStr">
        <x:is>
          <x:t xml:space="preserve">passed owner manual protocol</x:t>
        </x:is>
      </x:c>
      <x:c r="H152" s="86" t="inlineStr">
        <x:is>
          <x:t xml:space="preserve">covered</x:t>
        </x:is>
      </x:c>
      <x:c r="I152" s="84" t="inlineStr">
        <x:is>
          <x:t xml:space="preserve">Popover manual protocol Step 12 owner evidence and focused automated package regression.</x:t>
        </x:is>
      </x:c>
      <x:c r="J152" s="84" t="n"/>
      <x:c r="K152" s="87" t="n">
        <x:f>IF(AND(E152="yes",F152="yes",H152="covered"),1,IF(H152="partial",0.5,0))</x:f>
        <x:v>1</x:v>
      </x:c>
    </x:row>
    <x:row r="153" s="51" customFormat="1" ht="45" customHeight="1">
      <x:c r="A153" s="73" t="n">
        <x:v>145</x:v>
      </x:c>
      <x:c r="B153" s="84" t="inlineStr">
        <x:is>
          <x:t xml:space="preserve">Touch</x:t>
        </x:is>
      </x:c>
      <x:c r="C153" s="84" t="inlineStr">
        <x:is>
          <x:t xml:space="preserve">Content</x:t>
        </x:is>
      </x:c>
      <x:c r="D153" s="84" t="inlineStr">
        <x:is>
          <x:t xml:space="preserve">touch activation focuses Content without opening the first input or virtual keyboard</x:t>
        </x:is>
      </x:c>
      <x:c r="E153" s="76" t="inlineStr">
        <x:is>
          <x:t xml:space="preserve">yes</x:t>
        </x:is>
      </x:c>
      <x:c r="F153" s="85" t="inlineStr">
        <x:is>
          <x:t xml:space="preserve">yes</x:t>
        </x:is>
      </x:c>
      <x:c r="G153" s="73" t="inlineStr">
        <x:is>
          <x:t xml:space="preserve">passed owner manual protocol</x:t>
        </x:is>
      </x:c>
      <x:c r="H153" s="86" t="inlineStr">
        <x:is>
          <x:t xml:space="preserve">covered</x:t>
        </x:is>
      </x:c>
      <x:c r="I153" s="84" t="inlineStr">
        <x:is>
          <x:t xml:space="preserve">Popover manual protocol Step 12 owner evidence and focused automated package regression.</x:t>
        </x:is>
      </x:c>
      <x:c r="J153" s="84" t="n"/>
      <x:c r="K153" s="87" t="n">
        <x:f>IF(AND(E153="yes",F153="yes",H153="covered"),1,IF(H153="partial",0.5,0))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Portal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IFERROR(SUM(K9:K31)/COUNTA(A9:A31),0)</x:f>
        <x:v>1</x:v>
      </x:c>
      <x:c r="C4" s="70" t="inlineStr">
        <x:is>
          <x:t xml:space="preserve">Covered</x:t>
        </x:is>
      </x:c>
      <x:c r="D4" s="82" t="n">
        <x:f>COUNTIF(H9:H31,"covered")</x:f>
        <x:v>23</x:v>
      </x:c>
      <x:c r="E4" s="70" t="inlineStr">
        <x:is>
          <x:t xml:space="preserve">Partial</x:t>
        </x:is>
      </x:c>
      <x:c r="F4" s="82" t="n">
        <x:f>COUNTIF(H9:H31,"partial")</x:f>
        <x:v>0</x:v>
      </x:c>
      <x:c r="G4" s="70" t="inlineStr">
        <x:is>
          <x:t xml:space="preserve">Missing</x:t>
        </x:is>
      </x:c>
      <x:c r="H4" s="82" t="n">
        <x:f>COUNTIF(H9:H31,"missing")</x:f>
        <x:v>0</x:v>
      </x:c>
      <x:c r="I4" s="70" t="inlineStr">
        <x:is>
          <x:t xml:space="preserve">Untested</x:t>
        </x:is>
      </x:c>
      <x:c r="J4" s="82" t="n">
        <x:f>COUNTIF(F9:F31,"no")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Shared playground prop rule.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Shared playground prop rule.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89" t="n">
        <x:v>3</x:v>
      </x:c>
      <x:c r="B11" s="90" t="inlineStr">
        <x:is>
          <x:t xml:space="preserve">Playground</x:t>
        </x:is>
      </x:c>
      <x:c r="C11" s="90" t="inlineStr">
        <x:is>
          <x:t xml:space="preserve">Portal</x:t>
        </x:is>
      </x:c>
      <x:c r="D11" s="90" t="inlineStr">
        <x:is>
          <x:t xml:space="preserve">scenario is reachable from top menu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Portal playground manual verification.</x:t>
        </x:is>
      </x:c>
      <x:c r="J11" s="90" t="n"/>
      <x:c r="K11" s="91" t="n">
        <x:f>IF(H11="covered",1,IF(H11="partial",0.5,0))</x:f>
        <x:v>1</x:v>
      </x:c>
    </x:row>
    <x:row r="12" s="51" customFormat="1" ht="15" customHeight="1">
      <x:c r="A12" s="89" t="n">
        <x:v>4</x:v>
      </x:c>
      <x:c r="B12" s="90" t="inlineStr">
        <x:is>
          <x:t xml:space="preserve">Playground</x:t>
        </x:is>
      </x:c>
      <x:c r="C12" s="90" t="inlineStr">
        <x:is>
          <x:t xml:space="preserve">Portal</x:t>
        </x:is>
      </x:c>
      <x:c r="D12" s="90" t="inlineStr">
        <x:is>
          <x:t xml:space="preserve">canvas source reflects current toggles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Portal playground manual verification.</x:t>
        </x:is>
      </x:c>
      <x:c r="J12" s="90" t="n"/>
      <x:c r="K12" s="91" t="n">
        <x:f>IF(H12="covered",1,IF(H12="partial",0.5,0))</x:f>
        <x:v>1</x:v>
      </x:c>
    </x:row>
    <x:row r="13" s="51" customFormat="1" ht="15" customHeight="1">
      <x:c r="A13" s="89" t="n">
        <x:v>5</x:v>
      </x:c>
      <x:c r="B13" s="90" t="inlineStr">
        <x:is>
          <x:t xml:space="preserve">Playground</x:t>
        </x:is>
      </x:c>
      <x:c r="C13" s="90" t="inlineStr">
        <x:is>
          <x:t xml:space="preserve">Portal</x:t>
        </x:is>
      </x:c>
      <x:c r="D13" s="90" t="inlineStr">
        <x:is>
          <x:t xml:space="preserve">anatomy uses live DOM attributes, ARIA, and data groups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Portal playground manual verification.</x:t>
        </x:is>
      </x:c>
      <x:c r="J13" s="90" t="n"/>
      <x:c r="K13" s="91" t="n">
        <x:f>IF(H13="covered",1,IF(H13="partial",0.5,0))</x:f>
        <x:v>1</x:v>
      </x:c>
    </x:row>
    <x:row r="14" s="51" customFormat="1" ht="15" customHeight="1">
      <x:c r="A14" s="89" t="n">
        <x:v>6</x:v>
      </x:c>
      <x:c r="B14" s="90" t="inlineStr">
        <x:is>
          <x:t xml:space="preserve">Playground</x:t>
        </x:is>
      </x:c>
      <x:c r="C14" s="90" t="inlineStr">
        <x:is>
          <x:t xml:space="preserve">Portal</x:t>
        </x:is>
      </x:c>
      <x:c r="D14" s="90" t="inlineStr">
        <x:is>
          <x:t xml:space="preserve">inspector selected/focused/logs work for this scenario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Portal playground manual verification.</x:t>
        </x:is>
      </x:c>
      <x:c r="J14" s="90" t="n"/>
      <x:c r="K14" s="91" t="n">
        <x:f>IF(H14="covered",1,IF(H14="partial",0.5,0))</x:f>
        <x:v>1</x:v>
      </x:c>
    </x:row>
    <x:row r="15" s="51" customFormat="1" ht="15" customHeight="1">
      <x:c r="A15" s="89" t="n">
        <x:v>7</x:v>
      </x:c>
      <x:c r="B15" s="90" t="inlineStr">
        <x:is>
          <x:t xml:space="preserve">Feature</x:t>
        </x:is>
      </x:c>
      <x:c r="C15" s="90" t="inlineStr">
        <x:is>
          <x:t xml:space="preserve">Portal</x:t>
        </x:is>
      </x:c>
      <x:c r="D15" s="90" t="inlineStr">
        <x:is>
          <x:t xml:space="preserve">Portals to `document.body` after mount by default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Portal playground manual verification.</x:t>
        </x:is>
      </x:c>
      <x:c r="J15" s="90" t="n"/>
      <x:c r="K15" s="91" t="n">
        <x:f>IF(H15="covered",1,IF(H15="partial",0.5,0))</x:f>
        <x:v>1</x:v>
      </x:c>
    </x:row>
    <x:row r="16" s="51" customFormat="1" ht="15" customHeight="1">
      <x:c r="A16" s="89" t="n">
        <x:v>8</x:v>
      </x:c>
      <x:c r="B16" s="90" t="inlineStr">
        <x:is>
          <x:t xml:space="preserve">Feature</x:t>
        </x:is>
      </x:c>
      <x:c r="C16" s="90" t="inlineStr">
        <x:is>
          <x:t xml:space="preserve">Portal</x:t>
        </x:is>
      </x:c>
      <x:c r="D16" s="90" t="inlineStr">
        <x:is>
          <x:t xml:space="preserve">Accepts a custom container element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Portal playground manual verification.</x:t>
        </x:is>
      </x:c>
      <x:c r="J16" s="90" t="n"/>
      <x:c r="K16" s="91" t="n">
        <x:f>IF(H16="covered",1,IF(H16="partial",0.5,0))</x:f>
        <x:v>1</x:v>
      </x:c>
    </x:row>
    <x:row r="17" s="51" customFormat="1" ht="15" customHeight="1">
      <x:c r="A17" s="89" t="n">
        <x:v>9</x:v>
      </x:c>
      <x:c r="B17" s="90" t="inlineStr">
        <x:is>
          <x:t xml:space="preserve">Feature</x:t>
        </x:is>
      </x:c>
      <x:c r="C17" s="90" t="inlineStr">
        <x:is>
          <x:t xml:space="preserve">Portal</x:t>
        </x:is>
      </x:c>
      <x:c r="D17" s="90" t="inlineStr">
        <x:is>
          <x:t xml:space="preserve">Can be disabled to render children in place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Portal playground manual verification.</x:t>
        </x:is>
      </x:c>
      <x:c r="J17" s="90" t="n"/>
      <x:c r="K17" s="91" t="n">
        <x:f>IF(H17="covered",1,IF(H17="partial",0.5,0))</x:f>
        <x:v>1</x:v>
      </x:c>
    </x:row>
    <x:row r="18" s="51" customFormat="1" ht="15" customHeight="1">
      <x:c r="A18" s="89" t="n">
        <x:v>10</x:v>
      </x:c>
      <x:c r="B18" s="90" t="inlineStr">
        <x:is>
          <x:t xml:space="preserve">Feature</x:t>
        </x:is>
      </x:c>
      <x:c r="C18" s="90" t="inlineStr">
        <x:is>
          <x:t xml:space="preserve">Portal</x:t>
        </x:is>
      </x:c>
      <x:c r="D18" s="90" t="inlineStr">
        <x:is>
          <x:t xml:space="preserve">Returns `null` before a client-side target exists</x:t>
        </x:is>
      </x:c>
      <x:c r="E18" s="89" t="inlineStr">
        <x:is>
          <x:t xml:space="preserve">yes</x:t>
        </x:is>
      </x:c>
      <x:c r="F18" s="89" t="inlineStr">
        <x:is>
          <x:t xml:space="preserve">yes</x:t>
        </x:is>
      </x:c>
      <x:c r="G18" s="89" t="inlineStr">
        <x:is>
          <x:t xml:space="preserve">passed</x:t>
        </x:is>
      </x:c>
      <x:c r="H18" s="89" t="inlineStr">
        <x:is>
          <x:t xml:space="preserve">covered</x:t>
        </x:is>
      </x:c>
      <x:c r="I18" s="90" t="inlineStr">
        <x:is>
          <x:t xml:space="preserve">Portal playground manual verification.</x:t>
        </x:is>
      </x:c>
      <x:c r="J18" s="90" t="n"/>
      <x:c r="K18" s="91" t="n">
        <x:f>IF(H18="covered",1,IF(H18="partial",0.5,0))</x:f>
        <x:v>1</x:v>
      </x:c>
    </x:row>
    <x:row r="19" s="51" customFormat="1" ht="15" customHeight="1">
      <x:c r="A19" s="89" t="n">
        <x:v>11</x:v>
      </x:c>
      <x:c r="B19" s="90" t="inlineStr">
        <x:is>
          <x:t xml:space="preserve">Anatomy</x:t>
        </x:is>
      </x:c>
      <x:c r="C19" s="90" t="inlineStr">
        <x:is>
          <x:t xml:space="preserve">Portal</x:t>
        </x:is>
      </x:c>
      <x:c r="D19" s="90" t="inlineStr">
        <x:is>
          <x:t xml:space="preserve">shows Portal behavioral state when expected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Portal playground manual verification.</x:t>
        </x:is>
      </x:c>
      <x:c r="J19" s="90" t="n"/>
      <x:c r="K19" s="91" t="n">
        <x:f>IF(H19="covered",1,IF(H19="partial",0.5,0))</x:f>
        <x:v>1</x:v>
      </x:c>
    </x:row>
    <x:row r="20" s="51" customFormat="1" ht="30" customHeight="1">
      <x:c r="A20" s="89" t="n">
        <x:v>12</x:v>
      </x:c>
      <x:c r="B20" s="90" t="inlineStr">
        <x:is>
          <x:t xml:space="preserve">Anatomy</x:t>
        </x:is>
      </x:c>
      <x:c r="C20" s="90" t="inlineStr">
        <x:is>
          <x:t xml:space="preserve">Portal</x:t>
        </x:is>
      </x:c>
      <x:c r="D20" s="90" t="inlineStr">
        <x:is>
          <x:t xml:space="preserve">appears in documented order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Portal playground manual verification.</x:t>
        </x:is>
      </x:c>
      <x:c r="J20" s="90" t="n"/>
      <x:c r="K20" s="91" t="n">
        <x:f>IF(H20="covered",1,IF(H20="partial",0.5,0))</x:f>
        <x:v>1</x:v>
      </x:c>
    </x:row>
    <x:row r="21" s="51" customFormat="1" ht="30" customHeight="1">
      <x:c r="A21" s="89" t="n">
        <x:v>13</x:v>
      </x:c>
      <x:c r="B21" s="90" t="inlineStr">
        <x:is>
          <x:t xml:space="preserve">Identity</x:t>
        </x:is>
      </x:c>
      <x:c r="C21" s="90" t="inlineStr">
        <x:is>
          <x:t xml:space="preserve">Portal</x:t>
        </x:is>
      </x:c>
      <x:c r="D21" s="90" t="inlineStr">
        <x:is>
          <x:t xml:space="preserve">documents that Portal renders no DOM tag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Portal playground manual verification.</x:t>
        </x:is>
      </x:c>
      <x:c r="J21" s="90" t="n"/>
      <x:c r="K21" s="91" t="n">
        <x:f>IF(H21="covered",1,IF(H21="partial",0.5,0))</x:f>
        <x:v>1</x:v>
      </x:c>
    </x:row>
    <x:row r="22" s="51" customFormat="1" ht="15" customHeight="1">
      <x:c r="A22" s="89" t="n">
        <x:v>14</x:v>
      </x:c>
      <x:c r="B22" s="90" t="inlineStr">
        <x:is>
          <x:t xml:space="preserve">Identity</x:t>
        </x:is>
      </x:c>
      <x:c r="C22" s="90" t="inlineStr">
        <x:is>
          <x:t xml:space="preserve">Portal</x:t>
        </x:is>
      </x:c>
      <x:c r="D22" s="90" t="inlineStr">
        <x:is>
          <x:t xml:space="preserve">documents that Portal exposes no data-slot because it renders no wrapper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Portal playground manual verification.</x:t>
        </x:is>
      </x:c>
      <x:c r="J22" s="90" t="n"/>
      <x:c r="K22" s="91" t="n">
        <x:f>IF(H22="covered",1,IF(H22="partial",0.5,0))</x:f>
        <x:v>1</x:v>
      </x:c>
    </x:row>
    <x:row r="23" s="51" customFormat="1" ht="15" customHeight="1">
      <x:c r="A23" s="89" t="n">
        <x:v>15</x:v>
      </x:c>
      <x:c r="B23" s="90" t="inlineStr">
        <x:is>
          <x:t xml:space="preserve">Props</x:t>
        </x:is>
      </x:c>
      <x:c r="C23" s="90" t="inlineStr">
        <x:is>
          <x:t xml:space="preserve">Portaled child</x:t>
        </x:is>
      </x:c>
      <x:c r="D23" s="90" t="inlineStr">
        <x:is>
          <x:t xml:space="preserve">child content can carry native props/data-prop-check marker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Portal playground manual verification.</x:t>
        </x:is>
      </x:c>
      <x:c r="J23" s="90" t="n"/>
      <x:c r="K23" s="91" t="n">
        <x:f>IF(H23="covered",1,IF(H23="partial",0.5,0))</x:f>
        <x:v>1</x:v>
      </x:c>
    </x:row>
    <x:row r="24" s="51" customFormat="1" ht="15" customHeight="1">
      <x:c r="A24" s="89" t="n">
        <x:v>16</x:v>
      </x:c>
      <x:c r="B24" s="90" t="inlineStr">
        <x:is>
          <x:t xml:space="preserve">Anatomy</x:t>
        </x:is>
      </x:c>
      <x:c r="C24" s="90" t="inlineStr">
        <x:is>
          <x:t xml:space="preserve">Portaled child</x:t>
        </x:is>
      </x:c>
      <x:c r="D24" s="90" t="inlineStr">
        <x:is>
          <x:t xml:space="preserve">child content can be inspected when mounted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Portal playground manual verification.</x:t>
        </x:is>
      </x:c>
      <x:c r="J24" s="90" t="n"/>
      <x:c r="K24" s="91" t="n">
        <x:f>IF(H24="covered",1,IF(H24="partial",0.5,0))</x:f>
        <x:v>1</x:v>
      </x:c>
    </x:row>
    <x:row r="25" s="51" customFormat="1" ht="15" customHeight="1">
      <x:c r="A25" s="89" t="n">
        <x:v>17</x:v>
      </x:c>
      <x:c r="B25" s="90" t="inlineStr">
        <x:is>
          <x:t xml:space="preserve">Anatomy</x:t>
        </x:is>
      </x:c>
      <x:c r="C25" s="90" t="inlineStr">
        <x:is>
          <x:t xml:space="preserve">Portaled child</x:t>
        </x:is>
      </x:c>
      <x:c r="D25" s="90" t="inlineStr">
        <x:is>
          <x:t xml:space="preserve">child inspection is separate from Portal behavior anatomy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Portal playground manual verification.</x:t>
        </x:is>
      </x:c>
      <x:c r="J25" s="90" t="n"/>
      <x:c r="K25" s="91" t="n">
        <x:f>IF(H25="covered",1,IF(H25="partial",0.5,0))</x:f>
        <x:v>1</x:v>
      </x:c>
    </x:row>
    <x:row r="26" s="51" customFormat="1" ht="30" customHeight="1">
      <x:c r="A26" s="89" t="n">
        <x:v>18</x:v>
      </x:c>
      <x:c r="B26" s="90" t="inlineStr">
        <x:is>
          <x:t xml:space="preserve">Identity</x:t>
        </x:is>
      </x:c>
      <x:c r="C26" s="90" t="inlineStr">
        <x:is>
          <x:t xml:space="preserve">Portaled child</x:t>
        </x:is>
      </x:c>
      <x:c r="D26" s="90" t="inlineStr">
        <x:is>
          <x:t xml:space="preserve">child default tag is visible in Inspector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Portal playground manual verification.</x:t>
        </x:is>
      </x:c>
      <x:c r="J26" s="90" t="n"/>
      <x:c r="K26" s="91" t="n">
        <x:f>IF(H26="covered",1,IF(H26="partial",0.5,0))</x:f>
        <x:v>1</x:v>
      </x:c>
    </x:row>
    <x:row r="27" s="51" customFormat="1" ht="15" customHeight="1">
      <x:c r="A27" s="89" t="n">
        <x:v>19</x:v>
      </x:c>
      <x:c r="B27" s="90" t="inlineStr">
        <x:is>
          <x:t xml:space="preserve">Identity</x:t>
        </x:is>
      </x:c>
      <x:c r="C27" s="90" t="inlineStr">
        <x:is>
          <x:t xml:space="preserve">Portaled child</x:t>
        </x:is>
      </x:c>
      <x:c r="D27" s="90" t="inlineStr">
        <x:is>
          <x:t xml:space="preserve">child data attributes are visible in Inspector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Portal playground manual verification.</x:t>
        </x:is>
      </x:c>
      <x:c r="J27" s="90" t="n"/>
      <x:c r="K27" s="91" t="n">
        <x:f>IF(H27="covered",1,IF(H27="partial",0.5,0))</x:f>
        <x:v>1</x:v>
      </x:c>
    </x:row>
    <x:row r="28" s="51" customFormat="1" ht="15" customHeight="1">
      <x:c r="A28" s="89" t="n">
        <x:v>20</x:v>
      </x:c>
      <x:c r="B28" s="90" t="inlineStr">
        <x:is>
          <x:t xml:space="preserve">Props</x:t>
        </x:is>
      </x:c>
      <x:c r="C28" s="90" t="inlineStr">
        <x:is>
          <x:t xml:space="preserve">Portaled child</x:t>
        </x:is>
      </x:c>
      <x:c r="D28" s="90" t="inlineStr">
        <x:is>
          <x:t xml:space="preserve">child non-Atom props pass through with data-prop-check marker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Portal playground manual verification.</x:t>
        </x:is>
      </x:c>
      <x:c r="J28" s="90" t="n"/>
      <x:c r="K28" s="91" t="n">
        <x:f>IF(H28="covered",1,IF(H28="partial",0.5,0))</x:f>
        <x:v>1</x:v>
      </x:c>
    </x:row>
    <x:row r="29" s="51" customFormat="1" ht="15" customHeight="1">
      <x:c r="A29" s="89" t="n">
        <x:v>21</x:v>
      </x:c>
      <x:c r="B29" s="90" t="inlineStr">
        <x:is>
          <x:t xml:space="preserve">Utility</x:t>
        </x:is>
      </x:c>
      <x:c r="C29" s="90" t="inlineStr">
        <x:is>
          <x:t xml:space="preserve">Portal</x:t>
        </x:is>
      </x:c>
      <x:c r="D29" s="90" t="inlineStr">
        <x:is>
          <x:t xml:space="preserve">default container is document.body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Portal playground manual verification.</x:t>
        </x:is>
      </x:c>
      <x:c r="J29" s="90" t="n"/>
      <x:c r="K29" s="91" t="n">
        <x:f>IF(H29="covered",1,IF(H29="partial",0.5,0))</x:f>
        <x:v>1</x:v>
      </x:c>
    </x:row>
    <x:row r="30" s="51" customFormat="1" ht="15" customHeight="1">
      <x:c r="A30" s="89" t="n">
        <x:v>22</x:v>
      </x:c>
      <x:c r="B30" s="90" t="inlineStr">
        <x:is>
          <x:t xml:space="preserve">Utility</x:t>
        </x:is>
      </x:c>
      <x:c r="C30" s="90" t="inlineStr">
        <x:is>
          <x:t xml:space="preserve">Portal</x:t>
        </x:is>
      </x:c>
      <x:c r="D30" s="90" t="inlineStr">
        <x:is>
          <x:t xml:space="preserve">custom container receives children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Portal playground manual verification.</x:t>
        </x:is>
      </x:c>
      <x:c r="J30" s="90" t="n"/>
      <x:c r="K30" s="91" t="n">
        <x:f>IF(H30="covered",1,IF(H30="partial",0.5,0))</x:f>
        <x:v>1</x:v>
      </x:c>
    </x:row>
    <x:row r="31" s="51" customFormat="1" ht="15" customHeight="1">
      <x:c r="A31" s="89" t="n">
        <x:v>23</x:v>
      </x:c>
      <x:c r="B31" s="90" t="inlineStr">
        <x:is>
          <x:t xml:space="preserve">Utility</x:t>
        </x:is>
      </x:c>
      <x:c r="C31" s="90" t="inlineStr">
        <x:is>
          <x:t xml:space="preserve">Portal</x:t>
        </x:is>
      </x:c>
      <x:c r="D31" s="90" t="inlineStr">
        <x:is>
          <x:t xml:space="preserve">disabled portal renders in place where supported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Portal playground manual verification.</x:t>
        </x:is>
      </x:c>
      <x:c r="J31" s="90" t="n"/>
      <x:c r="K31" s="91" t="n">
        <x:f>IF(H31="covered",1,IF(H31="partial",0.5,0))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Pressable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42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93" t="n">
        <x:v>1</x:v>
      </x:c>
      <x:c r="B9" s="94" t="inlineStr">
        <x:is>
          <x:t xml:space="preserve">Playground</x:t>
        </x:is>
      </x:c>
      <x:c r="C9" s="94" t="inlineStr">
        <x:is>
          <x:t xml:space="preserve">Props</x:t>
        </x:is>
      </x:c>
      <x:c r="D9" s="94" t="inlineStr">
        <x:is>
          <x:t xml:space="preserve">Props toolbar exposes Prop Check and keeps data-prop-check off by default</x:t>
        </x:is>
      </x:c>
      <x:c r="E9" s="93" t="inlineStr">
        <x:is>
          <x:t xml:space="preserve">yes</x:t>
        </x:is>
      </x:c>
      <x:c r="F9" s="93" t="inlineStr">
        <x:is>
          <x:t xml:space="preserve">yes</x:t>
        </x:is>
      </x:c>
      <x:c r="G9" s="93" t="inlineStr">
        <x:is>
          <x:t xml:space="preserve">pass</x:t>
        </x:is>
      </x:c>
      <x:c r="H9" s="93" t="inlineStr">
        <x:is>
          <x:t xml:space="preserve">covered</x:t>
        </x:is>
      </x:c>
      <x:c r="I9" s="94" t="inlineStr">
        <x:is>
          <x:t xml:space="preserve">Pressable playground manual verification.</x:t>
        </x:is>
      </x:c>
      <x:c r="J9" s="94" t="n"/>
      <x:c r="K9" s="95" t="n">
        <x:f>IF(AND(E9="yes",F9="yes",H9="covered"),1,IF(H9="partial",0.5,0))</x:f>
        <x:v>1</x:v>
      </x:c>
    </x:row>
    <x:row r="10" s="51" customFormat="1" ht="15" customHeight="1">
      <x:c r="A10" s="93" t="n">
        <x:v>2</x:v>
      </x:c>
      <x:c r="B10" s="94" t="inlineStr">
        <x:is>
          <x:t xml:space="preserve">Playground</x:t>
        </x:is>
      </x:c>
      <x:c r="C10" s="94" t="inlineStr">
        <x:is>
          <x:t xml:space="preserve">Props</x:t>
        </x:is>
      </x:c>
      <x:c r="D10" s="94" t="inlineStr">
        <x:is>
          <x:t xml:space="preserve">custom data-slot override is available for every slot-owning anatomy part</x:t>
        </x:is>
      </x:c>
      <x:c r="E10" s="93" t="inlineStr">
        <x:is>
          <x:t xml:space="preserve">yes</x:t>
        </x:is>
      </x:c>
      <x:c r="F10" s="93" t="inlineStr">
        <x:is>
          <x:t xml:space="preserve">yes</x:t>
        </x:is>
      </x:c>
      <x:c r="G10" s="93" t="inlineStr">
        <x:is>
          <x:t xml:space="preserve">pass</x:t>
        </x:is>
      </x:c>
      <x:c r="H10" s="93" t="inlineStr">
        <x:is>
          <x:t xml:space="preserve">covered</x:t>
        </x:is>
      </x:c>
      <x:c r="I10" s="94" t="inlineStr">
        <x:is>
          <x:t xml:space="preserve">Pressable playground manual verification.</x:t>
        </x:is>
      </x:c>
      <x:c r="J10" s="94" t="n"/>
      <x:c r="K10" s="95" t="n">
        <x:f>IF(AND(E10="yes",F10="yes",H10="covered"),1,IF(H10="partial",0.5,0))</x:f>
        <x:v>1</x:v>
      </x:c>
    </x:row>
    <x:row r="11" s="51" customFormat="1" ht="15" customHeight="1">
      <x:c r="A11" s="93" t="n">
        <x:v>3</x:v>
      </x:c>
      <x:c r="B11" s="94" t="inlineStr">
        <x:is>
          <x:t xml:space="preserve">Playground</x:t>
        </x:is>
      </x:c>
      <x:c r="C11" s="94" t="inlineStr">
        <x:is>
          <x:t xml:space="preserve">Pressable</x:t>
        </x:is>
      </x:c>
      <x:c r="D11" s="94" t="inlineStr">
        <x:is>
          <x:t xml:space="preserve">scenario is reachable from top menu</x:t>
        </x:is>
      </x:c>
      <x:c r="E11" s="93" t="inlineStr">
        <x:is>
          <x:t xml:space="preserve">yes</x:t>
        </x:is>
      </x:c>
      <x:c r="F11" s="93" t="inlineStr">
        <x:is>
          <x:t xml:space="preserve">yes</x:t>
        </x:is>
      </x:c>
      <x:c r="G11" s="93" t="inlineStr">
        <x:is>
          <x:t xml:space="preserve">pass</x:t>
        </x:is>
      </x:c>
      <x:c r="H11" s="93" t="inlineStr">
        <x:is>
          <x:t xml:space="preserve">covered</x:t>
        </x:is>
      </x:c>
      <x:c r="I11" s="94" t="inlineStr">
        <x:is>
          <x:t xml:space="preserve">Pressable playground manual verification.</x:t>
        </x:is>
      </x:c>
      <x:c r="J11" s="94" t="n"/>
      <x:c r="K11" s="95" t="n">
        <x:f>IF(AND(E11="yes",F11="yes",H11="covered"),1,IF(H11="partial",0.5,0))</x:f>
        <x:v>1</x:v>
      </x:c>
    </x:row>
    <x:row r="12" s="51" customFormat="1" ht="15" customHeight="1">
      <x:c r="A12" s="93" t="n">
        <x:v>4</x:v>
      </x:c>
      <x:c r="B12" s="94" t="inlineStr">
        <x:is>
          <x:t xml:space="preserve">Playground</x:t>
        </x:is>
      </x:c>
      <x:c r="C12" s="94" t="inlineStr">
        <x:is>
          <x:t xml:space="preserve">Pressable</x:t>
        </x:is>
      </x:c>
      <x:c r="D12" s="94" t="inlineStr">
        <x:is>
          <x:t xml:space="preserve">canvas source reflects current toggles</x:t>
        </x:is>
      </x:c>
      <x:c r="E12" s="93" t="inlineStr">
        <x:is>
          <x:t xml:space="preserve">yes</x:t>
        </x:is>
      </x:c>
      <x:c r="F12" s="93" t="inlineStr">
        <x:is>
          <x:t xml:space="preserve">yes</x:t>
        </x:is>
      </x:c>
      <x:c r="G12" s="93" t="inlineStr">
        <x:is>
          <x:t xml:space="preserve">pass</x:t>
        </x:is>
      </x:c>
      <x:c r="H12" s="93" t="inlineStr">
        <x:is>
          <x:t xml:space="preserve">covered</x:t>
        </x:is>
      </x:c>
      <x:c r="I12" s="94" t="inlineStr">
        <x:is>
          <x:t xml:space="preserve">Pressable playground manual verification.</x:t>
        </x:is>
      </x:c>
      <x:c r="J12" s="94" t="n"/>
      <x:c r="K12" s="95" t="n">
        <x:f>IF(AND(E12="yes",F12="yes",H12="covered"),1,IF(H12="partial",0.5,0))</x:f>
        <x:v>1</x:v>
      </x:c>
    </x:row>
    <x:row r="13" s="51" customFormat="1" ht="15" customHeight="1">
      <x:c r="A13" s="93" t="n">
        <x:v>5</x:v>
      </x:c>
      <x:c r="B13" s="94" t="inlineStr">
        <x:is>
          <x:t xml:space="preserve">Playground</x:t>
        </x:is>
      </x:c>
      <x:c r="C13" s="94" t="inlineStr">
        <x:is>
          <x:t xml:space="preserve">Pressable</x:t>
        </x:is>
      </x:c>
      <x:c r="D13" s="94" t="inlineStr">
        <x:is>
          <x:t xml:space="preserve">anatomy uses live DOM attributes, ARIA, and data groups</x:t>
        </x:is>
      </x:c>
      <x:c r="E13" s="93" t="inlineStr">
        <x:is>
          <x:t xml:space="preserve">yes</x:t>
        </x:is>
      </x:c>
      <x:c r="F13" s="93" t="inlineStr">
        <x:is>
          <x:t xml:space="preserve">yes</x:t>
        </x:is>
      </x:c>
      <x:c r="G13" s="93" t="inlineStr">
        <x:is>
          <x:t xml:space="preserve">pass</x:t>
        </x:is>
      </x:c>
      <x:c r="H13" s="93" t="inlineStr">
        <x:is>
          <x:t xml:space="preserve">covered</x:t>
        </x:is>
      </x:c>
      <x:c r="I13" s="94" t="inlineStr">
        <x:is>
          <x:t xml:space="preserve">Pressable playground manual verification.</x:t>
        </x:is>
      </x:c>
      <x:c r="J13" s="94" t="n"/>
      <x:c r="K13" s="95" t="n">
        <x:f>IF(AND(E13="yes",F13="yes",H13="covered"),1,IF(H13="partial",0.5,0))</x:f>
        <x:v>1</x:v>
      </x:c>
    </x:row>
    <x:row r="14" s="51" customFormat="1" ht="15" customHeight="1">
      <x:c r="A14" s="93" t="n">
        <x:v>6</x:v>
      </x:c>
      <x:c r="B14" s="94" t="inlineStr">
        <x:is>
          <x:t xml:space="preserve">Playground</x:t>
        </x:is>
      </x:c>
      <x:c r="C14" s="94" t="inlineStr">
        <x:is>
          <x:t xml:space="preserve">Pressable</x:t>
        </x:is>
      </x:c>
      <x:c r="D14" s="94" t="inlineStr">
        <x:is>
          <x:t xml:space="preserve">inspector selected/focused/logs work for this scenario</x:t>
        </x:is>
      </x:c>
      <x:c r="E14" s="93" t="inlineStr">
        <x:is>
          <x:t xml:space="preserve">yes</x:t>
        </x:is>
      </x:c>
      <x:c r="F14" s="93" t="inlineStr">
        <x:is>
          <x:t xml:space="preserve">yes</x:t>
        </x:is>
      </x:c>
      <x:c r="G14" s="93" t="inlineStr">
        <x:is>
          <x:t xml:space="preserve">pass</x:t>
        </x:is>
      </x:c>
      <x:c r="H14" s="93" t="inlineStr">
        <x:is>
          <x:t xml:space="preserve">covered</x:t>
        </x:is>
      </x:c>
      <x:c r="I14" s="94" t="inlineStr">
        <x:is>
          <x:t xml:space="preserve">Pressable playground manual verification.</x:t>
        </x:is>
      </x:c>
      <x:c r="J14" s="94" t="n"/>
      <x:c r="K14" s="95" t="n">
        <x:f>IF(AND(E14="yes",F14="yes",H14="covered"),1,IF(H14="partial",0.5,0))</x:f>
        <x:v>1</x:v>
      </x:c>
    </x:row>
    <x:row r="15" s="51" customFormat="1" ht="15" customHeight="1">
      <x:c r="A15" s="93" t="n">
        <x:v>7</x:v>
      </x:c>
      <x:c r="B15" s="94" t="inlineStr">
        <x:is>
          <x:t xml:space="preserve">Feature</x:t>
        </x:is>
      </x:c>
      <x:c r="C15" s="94" t="inlineStr">
        <x:is>
          <x:t xml:space="preserve">Pressable</x:t>
        </x:is>
      </x:c>
      <x:c r="D15" s="94" t="inlineStr">
        <x:is>
          <x:t xml:space="preserve">Renders a native `&lt;button&gt;` by default</x:t>
        </x:is>
      </x:c>
      <x:c r="E15" s="93" t="inlineStr">
        <x:is>
          <x:t xml:space="preserve">yes</x:t>
        </x:is>
      </x:c>
      <x:c r="F15" s="93" t="inlineStr">
        <x:is>
          <x:t xml:space="preserve">yes</x:t>
        </x:is>
      </x:c>
      <x:c r="G15" s="93" t="inlineStr">
        <x:is>
          <x:t xml:space="preserve">pass</x:t>
        </x:is>
      </x:c>
      <x:c r="H15" s="93" t="inlineStr">
        <x:is>
          <x:t xml:space="preserve">covered</x:t>
        </x:is>
      </x:c>
      <x:c r="I15" s="94" t="inlineStr">
        <x:is>
          <x:t xml:space="preserve">Pressable playground manual verification.</x:t>
        </x:is>
      </x:c>
      <x:c r="J15" s="94" t="n"/>
      <x:c r="K15" s="95" t="n">
        <x:f>IF(AND(E15="yes",F15="yes",H15="covered"),1,IF(H15="partial",0.5,0))</x:f>
        <x:v>1</x:v>
      </x:c>
    </x:row>
    <x:row r="16" s="51" customFormat="1" ht="15" customHeight="1">
      <x:c r="A16" s="93" t="n">
        <x:v>8</x:v>
      </x:c>
      <x:c r="B16" s="94" t="inlineStr">
        <x:is>
          <x:t xml:space="preserve">Feature</x:t>
        </x:is>
      </x:c>
      <x:c r="C16" s="94" t="inlineStr">
        <x:is>
          <x:t xml:space="preserve">Pressable</x:t>
        </x:is>
      </x:c>
      <x:c r="D16" s="94" t="inlineStr">
        <x:is>
          <x:t xml:space="preserve">Adds button semantics for custom non-native renders</x:t>
        </x:is>
      </x:c>
      <x:c r="E16" s="93" t="inlineStr">
        <x:is>
          <x:t xml:space="preserve">yes</x:t>
        </x:is>
      </x:c>
      <x:c r="F16" s="93" t="inlineStr">
        <x:is>
          <x:t xml:space="preserve">yes</x:t>
        </x:is>
      </x:c>
      <x:c r="G16" s="93" t="inlineStr">
        <x:is>
          <x:t xml:space="preserve">pass</x:t>
        </x:is>
      </x:c>
      <x:c r="H16" s="93" t="inlineStr">
        <x:is>
          <x:t xml:space="preserve">covered</x:t>
        </x:is>
      </x:c>
      <x:c r="I16" s="94" t="inlineStr">
        <x:is>
          <x:t xml:space="preserve">Pressable playground manual verification.</x:t>
        </x:is>
      </x:c>
      <x:c r="J16" s="94" t="n"/>
      <x:c r="K16" s="95" t="n">
        <x:f>IF(AND(E16="yes",F16="yes",H16="covered"),1,IF(H16="partial",0.5,0))</x:f>
        <x:v>1</x:v>
      </x:c>
    </x:row>
    <x:row r="17" s="51" customFormat="1" ht="15" customHeight="1">
      <x:c r="A17" s="93" t="n">
        <x:v>9</x:v>
      </x:c>
      <x:c r="B17" s="94" t="inlineStr">
        <x:is>
          <x:t xml:space="preserve">Feature</x:t>
        </x:is>
      </x:c>
      <x:c r="C17" s="94" t="inlineStr">
        <x:is>
          <x:t xml:space="preserve">Pressable</x:t>
        </x:is>
      </x:c>
      <x:c r="D17" s="94" t="inlineStr">
        <x:is>
          <x:t xml:space="preserve">Supports pointer press state through `data-pressed`</x:t>
        </x:is>
      </x:c>
      <x:c r="E17" s="93" t="inlineStr">
        <x:is>
          <x:t xml:space="preserve">yes</x:t>
        </x:is>
      </x:c>
      <x:c r="F17" s="93" t="inlineStr">
        <x:is>
          <x:t xml:space="preserve">yes</x:t>
        </x:is>
      </x:c>
      <x:c r="G17" s="93" t="inlineStr">
        <x:is>
          <x:t xml:space="preserve">pass</x:t>
        </x:is>
      </x:c>
      <x:c r="H17" s="93" t="inlineStr">
        <x:is>
          <x:t xml:space="preserve">covered</x:t>
        </x:is>
      </x:c>
      <x:c r="I17" s="94" t="inlineStr">
        <x:is>
          <x:t xml:space="preserve">Pressable playground manual verification.</x:t>
        </x:is>
      </x:c>
      <x:c r="J17" s="94" t="n"/>
      <x:c r="K17" s="95" t="n">
        <x:f>IF(AND(E17="yes",F17="yes",H17="covered"),1,IF(H17="partial",0.5,0))</x:f>
        <x:v>1</x:v>
      </x:c>
    </x:row>
    <x:row r="18" s="51" customFormat="1" ht="15" customHeight="1">
      <x:c r="A18" s="93" t="n">
        <x:v>10</x:v>
      </x:c>
      <x:c r="B18" s="94" t="inlineStr">
        <x:is>
          <x:t xml:space="preserve">Feature</x:t>
        </x:is>
      </x:c>
      <x:c r="C18" s="94" t="inlineStr">
        <x:is>
          <x:t xml:space="preserve">Pressable</x:t>
        </x:is>
      </x:c>
      <x:c r="D18" s="94" t="inlineStr">
        <x:is>
          <x:t xml:space="preserve">Supports disabled state and press cancellation</x:t>
        </x:is>
      </x:c>
      <x:c r="E18" s="93" t="inlineStr">
        <x:is>
          <x:t xml:space="preserve">yes</x:t>
        </x:is>
      </x:c>
      <x:c r="F18" s="93" t="inlineStr">
        <x:is>
          <x:t xml:space="preserve">yes</x:t>
        </x:is>
      </x:c>
      <x:c r="G18" s="93" t="inlineStr">
        <x:is>
          <x:t xml:space="preserve">pass</x:t>
        </x:is>
      </x:c>
      <x:c r="H18" s="93" t="inlineStr">
        <x:is>
          <x:t xml:space="preserve">covered</x:t>
        </x:is>
      </x:c>
      <x:c r="I18" s="94" t="inlineStr">
        <x:is>
          <x:t xml:space="preserve">Pressable playground manual verification.</x:t>
        </x:is>
      </x:c>
      <x:c r="J18" s="94" t="n"/>
      <x:c r="K18" s="95" t="n">
        <x:f>IF(AND(E18="yes",F18="yes",H18="covered"),1,IF(H18="partial",0.5,0))</x:f>
        <x:v>1</x:v>
      </x:c>
    </x:row>
    <x:row r="19" s="51" customFormat="1" ht="15" customHeight="1">
      <x:c r="A19" s="93" t="n">
        <x:v>11</x:v>
      </x:c>
      <x:c r="B19" s="94" t="inlineStr">
        <x:is>
          <x:t xml:space="preserve">Feature</x:t>
        </x:is>
      </x:c>
      <x:c r="C19" s="94" t="inlineStr">
        <x:is>
          <x:t xml:space="preserve">Pressable</x:t>
        </x:is>
      </x:c>
      <x:c r="D19" s="94" t="inlineStr">
        <x:is>
          <x:t xml:space="preserve">Fires `onPress` for pointer and keyboard activation</x:t>
        </x:is>
      </x:c>
      <x:c r="E19" s="93" t="inlineStr">
        <x:is>
          <x:t xml:space="preserve">yes</x:t>
        </x:is>
      </x:c>
      <x:c r="F19" s="93" t="inlineStr">
        <x:is>
          <x:t xml:space="preserve">yes</x:t>
        </x:is>
      </x:c>
      <x:c r="G19" s="93" t="inlineStr">
        <x:is>
          <x:t xml:space="preserve">pass</x:t>
        </x:is>
      </x:c>
      <x:c r="H19" s="93" t="inlineStr">
        <x:is>
          <x:t xml:space="preserve">covered</x:t>
        </x:is>
      </x:c>
      <x:c r="I19" s="94" t="inlineStr">
        <x:is>
          <x:t xml:space="preserve">Pressable playground manual verification.</x:t>
        </x:is>
      </x:c>
      <x:c r="J19" s="94" t="n"/>
      <x:c r="K19" s="95" t="n">
        <x:f>IF(AND(E19="yes",F19="yes",H19="covered"),1,IF(H19="partial",0.5,0))</x:f>
        <x:v>1</x:v>
      </x:c>
    </x:row>
    <x:row r="20" s="51" customFormat="1" ht="15" customHeight="1">
      <x:c r="A20" s="93" t="n">
        <x:v>12</x:v>
      </x:c>
      <x:c r="B20" s="94" t="inlineStr">
        <x:is>
          <x:t xml:space="preserve">Feature</x:t>
        </x:is>
      </x:c>
      <x:c r="C20" s="94" t="inlineStr">
        <x:is>
          <x:t xml:space="preserve">Pressable</x:t>
        </x:is>
      </x:c>
      <x:c r="D20" s="94" t="inlineStr">
        <x:is>
          <x:t xml:space="preserve">Handles Space activation on keyup for ARIA button parity</x:t>
        </x:is>
      </x:c>
      <x:c r="E20" s="93" t="inlineStr">
        <x:is>
          <x:t xml:space="preserve">yes</x:t>
        </x:is>
      </x:c>
      <x:c r="F20" s="93" t="inlineStr">
        <x:is>
          <x:t xml:space="preserve">yes</x:t>
        </x:is>
      </x:c>
      <x:c r="G20" s="93" t="inlineStr">
        <x:is>
          <x:t xml:space="preserve">pass</x:t>
        </x:is>
      </x:c>
      <x:c r="H20" s="93" t="inlineStr">
        <x:is>
          <x:t xml:space="preserve">covered</x:t>
        </x:is>
      </x:c>
      <x:c r="I20" s="94" t="inlineStr">
        <x:is>
          <x:t xml:space="preserve">Pressable playground manual verification.</x:t>
        </x:is>
      </x:c>
      <x:c r="J20" s="94" t="n"/>
      <x:c r="K20" s="95" t="n">
        <x:f>IF(AND(E20="yes",F20="yes",H20="covered"),1,IF(H20="partial",0.5,0))</x:f>
        <x:v>1</x:v>
      </x:c>
    </x:row>
    <x:row r="21" s="51" customFormat="1" ht="15" customHeight="1">
      <x:c r="A21" s="93" t="n">
        <x:v>13</x:v>
      </x:c>
      <x:c r="B21" s="94" t="inlineStr">
        <x:is>
          <x:t xml:space="preserve">Anatomy</x:t>
        </x:is>
      </x:c>
      <x:c r="C21" s="94" t="inlineStr">
        <x:is>
          <x:t xml:space="preserve">Root</x:t>
        </x:is>
      </x:c>
      <x:c r="D21" s="94" t="inlineStr">
        <x:is>
          <x:t xml:space="preserve">renders correct part when expected</x:t>
        </x:is>
      </x:c>
      <x:c r="E21" s="93" t="inlineStr">
        <x:is>
          <x:t xml:space="preserve">yes</x:t>
        </x:is>
      </x:c>
      <x:c r="F21" s="93" t="inlineStr">
        <x:is>
          <x:t xml:space="preserve">yes</x:t>
        </x:is>
      </x:c>
      <x:c r="G21" s="93" t="inlineStr">
        <x:is>
          <x:t xml:space="preserve">pass</x:t>
        </x:is>
      </x:c>
      <x:c r="H21" s="93" t="inlineStr">
        <x:is>
          <x:t xml:space="preserve">covered</x:t>
        </x:is>
      </x:c>
      <x:c r="I21" s="94" t="inlineStr">
        <x:is>
          <x:t xml:space="preserve">Pressable playground manual verification.</x:t>
        </x:is>
      </x:c>
      <x:c r="J21" s="94" t="n"/>
      <x:c r="K21" s="95" t="n">
        <x:f>IF(AND(E21="yes",F21="yes",H21="covered"),1,IF(H21="partial",0.5,0))</x:f>
        <x:v>1</x:v>
      </x:c>
    </x:row>
    <x:row r="22" s="51" customFormat="1" ht="15" customHeight="1">
      <x:c r="A22" s="93" t="n">
        <x:v>14</x:v>
      </x:c>
      <x:c r="B22" s="94" t="inlineStr">
        <x:is>
          <x:t xml:space="preserve">Anatomy</x:t>
        </x:is>
      </x:c>
      <x:c r="C22" s="94" t="inlineStr">
        <x:is>
          <x:t xml:space="preserve">Root</x:t>
        </x:is>
      </x:c>
      <x:c r="D22" s="94" t="inlineStr">
        <x:is>
          <x:t xml:space="preserve">appears in documented order</x:t>
        </x:is>
      </x:c>
      <x:c r="E22" s="93" t="inlineStr">
        <x:is>
          <x:t xml:space="preserve">yes</x:t>
        </x:is>
      </x:c>
      <x:c r="F22" s="93" t="inlineStr">
        <x:is>
          <x:t xml:space="preserve">yes</x:t>
        </x:is>
      </x:c>
      <x:c r="G22" s="93" t="inlineStr">
        <x:is>
          <x:t xml:space="preserve">pass</x:t>
        </x:is>
      </x:c>
      <x:c r="H22" s="93" t="inlineStr">
        <x:is>
          <x:t xml:space="preserve">covered</x:t>
        </x:is>
      </x:c>
      <x:c r="I22" s="94" t="inlineStr">
        <x:is>
          <x:t xml:space="preserve">Pressable playground manual verification.</x:t>
        </x:is>
      </x:c>
      <x:c r="J22" s="94" t="n"/>
      <x:c r="K22" s="95" t="n">
        <x:f>IF(AND(E22="yes",F22="yes",H22="covered"),1,IF(H22="partial",0.5,0))</x:f>
        <x:v>1</x:v>
      </x:c>
    </x:row>
    <x:row r="23" s="51" customFormat="1" ht="30" customHeight="1">
      <x:c r="A23" s="93" t="n">
        <x:v>15</x:v>
      </x:c>
      <x:c r="B23" s="94" t="inlineStr">
        <x:is>
          <x:t xml:space="preserve">Identity</x:t>
        </x:is>
      </x:c>
      <x:c r="C23" s="94" t="inlineStr">
        <x:is>
          <x:t xml:space="preserve">Root</x:t>
        </x:is>
      </x:c>
      <x:c r="D23" s="94" t="inlineStr">
        <x:is>
          <x:t xml:space="preserve">default tag is visible in Anatomy/Inspector</x:t>
        </x:is>
      </x:c>
      <x:c r="E23" s="93" t="inlineStr">
        <x:is>
          <x:t xml:space="preserve">yes</x:t>
        </x:is>
      </x:c>
      <x:c r="F23" s="93" t="inlineStr">
        <x:is>
          <x:t xml:space="preserve">yes</x:t>
        </x:is>
      </x:c>
      <x:c r="G23" s="93" t="inlineStr">
        <x:is>
          <x:t xml:space="preserve">pass</x:t>
        </x:is>
      </x:c>
      <x:c r="H23" s="93" t="inlineStr">
        <x:is>
          <x:t xml:space="preserve">covered</x:t>
        </x:is>
      </x:c>
      <x:c r="I23" s="94" t="inlineStr">
        <x:is>
          <x:t xml:space="preserve">Pressable playground manual verification.</x:t>
        </x:is>
      </x:c>
      <x:c r="J23" s="94" t="n"/>
      <x:c r="K23" s="95" t="n">
        <x:f>IF(AND(E23="yes",F23="yes",H23="covered"),1,IF(H23="partial",0.5,0))</x:f>
        <x:v>1</x:v>
      </x:c>
    </x:row>
    <x:row r="24" s="51" customFormat="1" ht="15" customHeight="1">
      <x:c r="A24" s="93" t="n">
        <x:v>16</x:v>
      </x:c>
      <x:c r="B24" s="94" t="inlineStr">
        <x:is>
          <x:t xml:space="preserve">Identity</x:t>
        </x:is>
      </x:c>
      <x:c r="C24" s="94" t="inlineStr">
        <x:is>
          <x:t xml:space="preserve">Root</x:t>
        </x:is>
      </x:c>
      <x:c r="D24" s="94" t="inlineStr">
        <x:is>
          <x:t xml:space="preserve">data-slot is present and correct</x:t>
        </x:is>
      </x:c>
      <x:c r="E24" s="93" t="inlineStr">
        <x:is>
          <x:t xml:space="preserve">yes</x:t>
        </x:is>
      </x:c>
      <x:c r="F24" s="93" t="inlineStr">
        <x:is>
          <x:t xml:space="preserve">yes</x:t>
        </x:is>
      </x:c>
      <x:c r="G24" s="93" t="inlineStr">
        <x:is>
          <x:t xml:space="preserve">pass</x:t>
        </x:is>
      </x:c>
      <x:c r="H24" s="93" t="inlineStr">
        <x:is>
          <x:t xml:space="preserve">covered</x:t>
        </x:is>
      </x:c>
      <x:c r="I24" s="94" t="inlineStr">
        <x:is>
          <x:t xml:space="preserve">Pressable playground manual verification.</x:t>
        </x:is>
      </x:c>
      <x:c r="J24" s="94" t="n"/>
      <x:c r="K24" s="95" t="n">
        <x:f>IF(AND(E24="yes",F24="yes",H24="covered"),1,IF(H24="partial",0.5,0))</x:f>
        <x:v>1</x:v>
      </x:c>
    </x:row>
    <x:row r="25" s="51" customFormat="1" ht="15" customHeight="1">
      <x:c r="A25" s="93" t="n">
        <x:v>17</x:v>
      </x:c>
      <x:c r="B25" s="94" t="inlineStr">
        <x:is>
          <x:t xml:space="preserve">Props</x:t>
        </x:is>
      </x:c>
      <x:c r="C25" s="94" t="inlineStr">
        <x:is>
          <x:t xml:space="preserve">Root</x:t>
        </x:is>
      </x:c>
      <x:c r="D25" s="94" t="inlineStr">
        <x:is>
          <x:t xml:space="preserve">non-Atom native props pass through with data-prop-check marker</x:t>
        </x:is>
      </x:c>
      <x:c r="E25" s="93" t="inlineStr">
        <x:is>
          <x:t xml:space="preserve">yes</x:t>
        </x:is>
      </x:c>
      <x:c r="F25" s="93" t="inlineStr">
        <x:is>
          <x:t xml:space="preserve">yes</x:t>
        </x:is>
      </x:c>
      <x:c r="G25" s="93" t="inlineStr">
        <x:is>
          <x:t xml:space="preserve">pass</x:t>
        </x:is>
      </x:c>
      <x:c r="H25" s="93" t="inlineStr">
        <x:is>
          <x:t xml:space="preserve">covered</x:t>
        </x:is>
      </x:c>
      <x:c r="I25" s="94" t="inlineStr">
        <x:is>
          <x:t xml:space="preserve">Pressable playground manual verification.</x:t>
        </x:is>
      </x:c>
      <x:c r="J25" s="94" t="n"/>
      <x:c r="K25" s="95" t="n">
        <x:f>IF(AND(E25="yes",F25="yes",H25="covered"),1,IF(H25="partial",0.5,0))</x:f>
        <x:v>1</x:v>
      </x:c>
    </x:row>
    <x:row r="26" s="51" customFormat="1" ht="15" customHeight="1">
      <x:c r="A26" s="93" t="n">
        <x:v>18</x:v>
      </x:c>
      <x:c r="B26" s="94" t="inlineStr">
        <x:is>
          <x:t xml:space="preserve">Refs</x:t>
        </x:is>
      </x:c>
      <x:c r="C26" s="94" t="inlineStr">
        <x:is>
          <x:t xml:space="preserve">Root</x:t>
        </x:is>
      </x:c>
      <x:c r="D26" s="94" t="inlineStr">
        <x:is>
          <x:t xml:space="preserve">consumer ref receives the rendered element</x:t>
        </x:is>
      </x:c>
      <x:c r="E26" s="93" t="inlineStr">
        <x:is>
          <x:t xml:space="preserve">yes</x:t>
        </x:is>
      </x:c>
      <x:c r="F26" s="93" t="inlineStr">
        <x:is>
          <x:t xml:space="preserve">yes</x:t>
        </x:is>
      </x:c>
      <x:c r="G26" s="93" t="inlineStr">
        <x:is>
          <x:t xml:space="preserve">pass</x:t>
        </x:is>
      </x:c>
      <x:c r="H26" s="93" t="inlineStr">
        <x:is>
          <x:t xml:space="preserve">covered</x:t>
        </x:is>
      </x:c>
      <x:c r="I26" s="94" t="inlineStr">
        <x:is>
          <x:t xml:space="preserve">Pressable playground manual verification.</x:t>
        </x:is>
      </x:c>
      <x:c r="J26" s="94" t="n"/>
      <x:c r="K26" s="95" t="n">
        <x:f>IF(AND(E26="yes",F26="yes",H26="covered"),1,IF(H26="partial",0.5,0))</x:f>
        <x:v>1</x:v>
      </x:c>
    </x:row>
    <x:row r="27" s="51" customFormat="1" ht="15" customHeight="1">
      <x:c r="A27" s="93" t="n">
        <x:v>19</x:v>
      </x:c>
      <x:c r="B27" s="94" t="inlineStr">
        <x:is>
          <x:t xml:space="preserve">State</x:t>
        </x:is>
      </x:c>
      <x:c r="C27" s="94" t="inlineStr">
        <x:is>
          <x:t xml:space="preserve">Root</x:t>
        </x:is>
      </x:c>
      <x:c r="D27" s="94" t="inlineStr">
        <x:is>
          <x:t xml:space="preserve">disabled prop behavior</x:t>
        </x:is>
      </x:c>
      <x:c r="E27" s="93" t="inlineStr">
        <x:is>
          <x:t xml:space="preserve">yes</x:t>
        </x:is>
      </x:c>
      <x:c r="F27" s="93" t="inlineStr">
        <x:is>
          <x:t xml:space="preserve">yes</x:t>
        </x:is>
      </x:c>
      <x:c r="G27" s="93" t="inlineStr">
        <x:is>
          <x:t xml:space="preserve">pass</x:t>
        </x:is>
      </x:c>
      <x:c r="H27" s="93" t="inlineStr">
        <x:is>
          <x:t xml:space="preserve">covered</x:t>
        </x:is>
      </x:c>
      <x:c r="I27" s="94" t="inlineStr">
        <x:is>
          <x:t xml:space="preserve">Pressable playground manual verification.</x:t>
        </x:is>
      </x:c>
      <x:c r="J27" s="94" t="n"/>
      <x:c r="K27" s="95" t="n">
        <x:f>IF(AND(E27="yes",F27="yes",H27="covered"),1,IF(H27="partial",0.5,0))</x:f>
        <x:v>1</x:v>
      </x:c>
    </x:row>
    <x:row r="28" s="51" customFormat="1" ht="15" customHeight="1">
      <x:c r="A28" s="93" t="n">
        <x:v>20</x:v>
      </x:c>
      <x:c r="B28" s="94" t="inlineStr">
        <x:is>
          <x:t xml:space="preserve">State</x:t>
        </x:is>
      </x:c>
      <x:c r="C28" s="94" t="inlineStr">
        <x:is>
          <x:t xml:space="preserve">Root</x:t>
        </x:is>
      </x:c>
      <x:c r="D28" s="94" t="inlineStr">
        <x:is>
          <x:t xml:space="preserve">onPress prop behavior</x:t>
        </x:is>
      </x:c>
      <x:c r="E28" s="93" t="inlineStr">
        <x:is>
          <x:t xml:space="preserve">yes</x:t>
        </x:is>
      </x:c>
      <x:c r="F28" s="93" t="inlineStr">
        <x:is>
          <x:t xml:space="preserve">yes</x:t>
        </x:is>
      </x:c>
      <x:c r="G28" s="93" t="inlineStr">
        <x:is>
          <x:t xml:space="preserve">pass</x:t>
        </x:is>
      </x:c>
      <x:c r="H28" s="93" t="inlineStr">
        <x:is>
          <x:t xml:space="preserve">covered</x:t>
        </x:is>
      </x:c>
      <x:c r="I28" s="94" t="inlineStr">
        <x:is>
          <x:t xml:space="preserve">Pressable playground manual verification.</x:t>
        </x:is>
      </x:c>
      <x:c r="J28" s="94" t="n"/>
      <x:c r="K28" s="95" t="n">
        <x:f>IF(AND(E28="yes",F28="yes",H28="covered"),1,IF(H28="partial",0.5,0))</x:f>
        <x:v>1</x:v>
      </x:c>
    </x:row>
    <x:row r="29" s="51" customFormat="1" ht="15" customHeight="1">
      <x:c r="A29" s="93" t="n">
        <x:v>21</x:v>
      </x:c>
      <x:c r="B29" s="94" t="inlineStr">
        <x:is>
          <x:t xml:space="preserve">State</x:t>
        </x:is>
      </x:c>
      <x:c r="C29" s="94" t="inlineStr">
        <x:is>
          <x:t xml:space="preserve">Root</x:t>
        </x:is>
      </x:c>
      <x:c r="D29" s="94" t="inlineStr">
        <x:is>
          <x:t xml:space="preserve">onClick prop behavior</x:t>
        </x:is>
      </x:c>
      <x:c r="E29" s="93" t="inlineStr">
        <x:is>
          <x:t xml:space="preserve">yes</x:t>
        </x:is>
      </x:c>
      <x:c r="F29" s="93" t="inlineStr">
        <x:is>
          <x:t xml:space="preserve">yes</x:t>
        </x:is>
      </x:c>
      <x:c r="G29" s="93" t="inlineStr">
        <x:is>
          <x:t xml:space="preserve">pass</x:t>
        </x:is>
      </x:c>
      <x:c r="H29" s="93" t="inlineStr">
        <x:is>
          <x:t xml:space="preserve">covered</x:t>
        </x:is>
      </x:c>
      <x:c r="I29" s="94" t="inlineStr">
        <x:is>
          <x:t xml:space="preserve">Pressable playground manual verification.</x:t>
        </x:is>
      </x:c>
      <x:c r="J29" s="94" t="n"/>
      <x:c r="K29" s="95" t="n">
        <x:f>IF(AND(E29="yes",F29="yes",H29="covered"),1,IF(H29="partial",0.5,0))</x:f>
        <x:v>1</x:v>
      </x:c>
    </x:row>
    <x:row r="30" s="51" customFormat="1" ht="15" customHeight="1">
      <x:c r="A30" s="93" t="n">
        <x:v>22</x:v>
      </x:c>
      <x:c r="B30" s="94" t="inlineStr">
        <x:is>
          <x:t xml:space="preserve">State</x:t>
        </x:is>
      </x:c>
      <x:c r="C30" s="94" t="inlineStr">
        <x:is>
          <x:t xml:space="preserve">Root</x:t>
        </x:is>
      </x:c>
      <x:c r="D30" s="94" t="inlineStr">
        <x:is>
          <x:t xml:space="preserve">onKeyDown prop behavior</x:t>
        </x:is>
      </x:c>
      <x:c r="E30" s="93" t="inlineStr">
        <x:is>
          <x:t xml:space="preserve">yes</x:t>
        </x:is>
      </x:c>
      <x:c r="F30" s="93" t="inlineStr">
        <x:is>
          <x:t xml:space="preserve">yes</x:t>
        </x:is>
      </x:c>
      <x:c r="G30" s="93" t="inlineStr">
        <x:is>
          <x:t xml:space="preserve">pass</x:t>
        </x:is>
      </x:c>
      <x:c r="H30" s="93" t="inlineStr">
        <x:is>
          <x:t xml:space="preserve">covered</x:t>
        </x:is>
      </x:c>
      <x:c r="I30" s="94" t="inlineStr">
        <x:is>
          <x:t xml:space="preserve">Pressable playground manual verification.</x:t>
        </x:is>
      </x:c>
      <x:c r="J30" s="94" t="n"/>
      <x:c r="K30" s="95" t="n">
        <x:f>IF(AND(E30="yes",F30="yes",H30="covered"),1,IF(H30="partial",0.5,0))</x:f>
        <x:v>1</x:v>
      </x:c>
    </x:row>
    <x:row r="31" s="51" customFormat="1" ht="15" customHeight="1">
      <x:c r="A31" s="93" t="n">
        <x:v>23</x:v>
      </x:c>
      <x:c r="B31" s="94" t="inlineStr">
        <x:is>
          <x:t xml:space="preserve">State</x:t>
        </x:is>
      </x:c>
      <x:c r="C31" s="94" t="inlineStr">
        <x:is>
          <x:t xml:space="preserve">Root</x:t>
        </x:is>
      </x:c>
      <x:c r="D31" s="94" t="inlineStr">
        <x:is>
          <x:t xml:space="preserve">onKeyUp prop behavior</x:t>
        </x:is>
      </x:c>
      <x:c r="E31" s="93" t="inlineStr">
        <x:is>
          <x:t xml:space="preserve">yes</x:t>
        </x:is>
      </x:c>
      <x:c r="F31" s="93" t="inlineStr">
        <x:is>
          <x:t xml:space="preserve">yes</x:t>
        </x:is>
      </x:c>
      <x:c r="G31" s="93" t="inlineStr">
        <x:is>
          <x:t xml:space="preserve">pass</x:t>
        </x:is>
      </x:c>
      <x:c r="H31" s="93" t="inlineStr">
        <x:is>
          <x:t xml:space="preserve">covered</x:t>
        </x:is>
      </x:c>
      <x:c r="I31" s="94" t="inlineStr">
        <x:is>
          <x:t xml:space="preserve">Pressable playground manual verification.</x:t>
        </x:is>
      </x:c>
      <x:c r="J31" s="94" t="n"/>
      <x:c r="K31" s="95" t="n">
        <x:f>IF(AND(E31="yes",F31="yes",H31="covered"),1,IF(H31="partial",0.5,0))</x:f>
        <x:v>1</x:v>
      </x:c>
    </x:row>
    <x:row r="32" s="51" customFormat="1" ht="15" customHeight="1">
      <x:c r="A32" s="93" t="n">
        <x:v>24</x:v>
      </x:c>
      <x:c r="B32" s="94" t="inlineStr">
        <x:is>
          <x:t xml:space="preserve">State</x:t>
        </x:is>
      </x:c>
      <x:c r="C32" s="94" t="inlineStr">
        <x:is>
          <x:t xml:space="preserve">Root</x:t>
        </x:is>
      </x:c>
      <x:c r="D32" s="94" t="inlineStr">
        <x:is>
          <x:t xml:space="preserve">onPointerDown prop behavior</x:t>
        </x:is>
      </x:c>
      <x:c r="E32" s="93" t="inlineStr">
        <x:is>
          <x:t xml:space="preserve">yes</x:t>
        </x:is>
      </x:c>
      <x:c r="F32" s="93" t="inlineStr">
        <x:is>
          <x:t xml:space="preserve">yes</x:t>
        </x:is>
      </x:c>
      <x:c r="G32" s="93" t="inlineStr">
        <x:is>
          <x:t xml:space="preserve">pass</x:t>
        </x:is>
      </x:c>
      <x:c r="H32" s="93" t="inlineStr">
        <x:is>
          <x:t xml:space="preserve">covered</x:t>
        </x:is>
      </x:c>
      <x:c r="I32" s="94" t="inlineStr">
        <x:is>
          <x:t xml:space="preserve">Pressable playground manual verification.</x:t>
        </x:is>
      </x:c>
      <x:c r="J32" s="94" t="n"/>
      <x:c r="K32" s="95" t="n">
        <x:f>IF(AND(E32="yes",F32="yes",H32="covered"),1,IF(H32="partial",0.5,0))</x:f>
        <x:v>1</x:v>
      </x:c>
    </x:row>
    <x:row r="33" s="51" customFormat="1" ht="15" customHeight="1">
      <x:c r="A33" s="93" t="n">
        <x:v>25</x:v>
      </x:c>
      <x:c r="B33" s="94" t="inlineStr">
        <x:is>
          <x:t xml:space="preserve">State</x:t>
        </x:is>
      </x:c>
      <x:c r="C33" s="94" t="inlineStr">
        <x:is>
          <x:t xml:space="preserve">Root</x:t>
        </x:is>
      </x:c>
      <x:c r="D33" s="94" t="inlineStr">
        <x:is>
          <x:t xml:space="preserve">onPointerUp prop behavior</x:t>
        </x:is>
      </x:c>
      <x:c r="E33" s="93" t="inlineStr">
        <x:is>
          <x:t xml:space="preserve">yes</x:t>
        </x:is>
      </x:c>
      <x:c r="F33" s="93" t="inlineStr">
        <x:is>
          <x:t xml:space="preserve">yes</x:t>
        </x:is>
      </x:c>
      <x:c r="G33" s="93" t="inlineStr">
        <x:is>
          <x:t xml:space="preserve">pass</x:t>
        </x:is>
      </x:c>
      <x:c r="H33" s="93" t="inlineStr">
        <x:is>
          <x:t xml:space="preserve">covered</x:t>
        </x:is>
      </x:c>
      <x:c r="I33" s="94" t="inlineStr">
        <x:is>
          <x:t xml:space="preserve">Pressable playground manual verification.</x:t>
        </x:is>
      </x:c>
      <x:c r="J33" s="94" t="n"/>
      <x:c r="K33" s="95" t="n">
        <x:f>IF(AND(E33="yes",F33="yes",H33="covered"),1,IF(H33="partial",0.5,0))</x:f>
        <x:v>1</x:v>
      </x:c>
    </x:row>
    <x:row r="34" s="51" customFormat="1" ht="15" customHeight="1">
      <x:c r="A34" s="93" t="n">
        <x:v>26</x:v>
      </x:c>
      <x:c r="B34" s="94" t="inlineStr">
        <x:is>
          <x:t xml:space="preserve">State</x:t>
        </x:is>
      </x:c>
      <x:c r="C34" s="94" t="inlineStr">
        <x:is>
          <x:t xml:space="preserve">Root</x:t>
        </x:is>
      </x:c>
      <x:c r="D34" s="94" t="inlineStr">
        <x:is>
          <x:t xml:space="preserve">onPointerCancel prop behavior</x:t>
        </x:is>
      </x:c>
      <x:c r="E34" s="93" t="inlineStr">
        <x:is>
          <x:t xml:space="preserve">yes</x:t>
        </x:is>
      </x:c>
      <x:c r="F34" s="93" t="inlineStr">
        <x:is>
          <x:t xml:space="preserve">yes</x:t>
        </x:is>
      </x:c>
      <x:c r="G34" s="93" t="inlineStr">
        <x:is>
          <x:t xml:space="preserve">pass</x:t>
        </x:is>
      </x:c>
      <x:c r="H34" s="93" t="inlineStr">
        <x:is>
          <x:t xml:space="preserve">covered</x:t>
        </x:is>
      </x:c>
      <x:c r="I34" s="94" t="inlineStr">
        <x:is>
          <x:t xml:space="preserve">Pressable playground manual verification.</x:t>
        </x:is>
      </x:c>
      <x:c r="J34" s="94" t="n"/>
      <x:c r="K34" s="95" t="n">
        <x:f>IF(AND(E34="yes",F34="yes",H34="covered"),1,IF(H34="partial",0.5,0))</x:f>
        <x:v>1</x:v>
      </x:c>
    </x:row>
    <x:row r="35" s="51" customFormat="1" ht="15" customHeight="1">
      <x:c r="A35" s="93" t="n">
        <x:v>27</x:v>
      </x:c>
      <x:c r="B35" s="94" t="inlineStr">
        <x:is>
          <x:t xml:space="preserve">State</x:t>
        </x:is>
      </x:c>
      <x:c r="C35" s="94" t="inlineStr">
        <x:is>
          <x:t xml:space="preserve">Root</x:t>
        </x:is>
      </x:c>
      <x:c r="D35" s="94" t="inlineStr">
        <x:is>
          <x:t xml:space="preserve">onLostPointerCapture prop behavior</x:t>
        </x:is>
      </x:c>
      <x:c r="E35" s="93" t="inlineStr">
        <x:is>
          <x:t xml:space="preserve">yes</x:t>
        </x:is>
      </x:c>
      <x:c r="F35" s="93" t="inlineStr">
        <x:is>
          <x:t xml:space="preserve">yes</x:t>
        </x:is>
      </x:c>
      <x:c r="G35" s="93" t="inlineStr">
        <x:is>
          <x:t xml:space="preserve">pass</x:t>
        </x:is>
      </x:c>
      <x:c r="H35" s="93" t="inlineStr">
        <x:is>
          <x:t xml:space="preserve">covered</x:t>
        </x:is>
      </x:c>
      <x:c r="I35" s="94" t="inlineStr">
        <x:is>
          <x:t xml:space="preserve">Pressable playground manual verification.</x:t>
        </x:is>
      </x:c>
      <x:c r="J35" s="94" t="n"/>
      <x:c r="K35" s="95" t="n">
        <x:f>IF(AND(E35="yes",F35="yes",H35="covered"),1,IF(H35="partial",0.5,0))</x:f>
        <x:v>1</x:v>
      </x:c>
    </x:row>
    <x:row r="36" s="51" customFormat="1" ht="15" customHeight="1">
      <x:c r="A36" s="93" t="n">
        <x:v>28</x:v>
      </x:c>
      <x:c r="B36" s="94" t="inlineStr">
        <x:is>
          <x:t xml:space="preserve">Composition</x:t>
        </x:is>
      </x:c>
      <x:c r="C36" s="94" t="inlineStr">
        <x:is>
          <x:t xml:space="preserve">Root</x:t>
        </x:is>
      </x:c>
      <x:c r="D36" s="94" t="inlineStr">
        <x:is>
          <x:t xml:space="preserve">asChild prop behavior</x:t>
        </x:is>
      </x:c>
      <x:c r="E36" s="93" t="inlineStr">
        <x:is>
          <x:t xml:space="preserve">yes</x:t>
        </x:is>
      </x:c>
      <x:c r="F36" s="93" t="inlineStr">
        <x:is>
          <x:t xml:space="preserve">yes</x:t>
        </x:is>
      </x:c>
      <x:c r="G36" s="93" t="inlineStr">
        <x:is>
          <x:t xml:space="preserve">pass</x:t>
        </x:is>
      </x:c>
      <x:c r="H36" s="93" t="inlineStr">
        <x:is>
          <x:t xml:space="preserve">covered</x:t>
        </x:is>
      </x:c>
      <x:c r="I36" s="94" t="inlineStr">
        <x:is>
          <x:t xml:space="preserve">Pressable playground manual verification.</x:t>
        </x:is>
      </x:c>
      <x:c r="J36" s="94" t="n"/>
      <x:c r="K36" s="95" t="n">
        <x:f>IF(AND(E36="yes",F36="yes",H36="covered"),1,IF(H36="partial",0.5,0))</x:f>
        <x:v>1</x:v>
      </x:c>
    </x:row>
    <x:row r="37" s="51" customFormat="1" ht="15" customHeight="1">
      <x:c r="A37" s="93" t="n">
        <x:v>29</x:v>
      </x:c>
      <x:c r="B37" s="94" t="inlineStr">
        <x:is>
          <x:t xml:space="preserve">Composition</x:t>
        </x:is>
      </x:c>
      <x:c r="C37" s="94" t="inlineStr">
        <x:is>
          <x:t xml:space="preserve">Root</x:t>
        </x:is>
      </x:c>
      <x:c r="D37" s="94" t="inlineStr">
        <x:is>
          <x:t xml:space="preserve">render prop behavior</x:t>
        </x:is>
      </x:c>
      <x:c r="E37" s="93" t="inlineStr">
        <x:is>
          <x:t xml:space="preserve">yes</x:t>
        </x:is>
      </x:c>
      <x:c r="F37" s="93" t="inlineStr">
        <x:is>
          <x:t xml:space="preserve">yes</x:t>
        </x:is>
      </x:c>
      <x:c r="G37" s="93" t="inlineStr">
        <x:is>
          <x:t xml:space="preserve">pass</x:t>
        </x:is>
      </x:c>
      <x:c r="H37" s="93" t="inlineStr">
        <x:is>
          <x:t xml:space="preserve">covered</x:t>
        </x:is>
      </x:c>
      <x:c r="I37" s="94" t="inlineStr">
        <x:is>
          <x:t xml:space="preserve">Pressable playground manual verification.</x:t>
        </x:is>
      </x:c>
      <x:c r="J37" s="94" t="n"/>
      <x:c r="K37" s="95" t="n">
        <x:f>IF(AND(E37="yes",F37="yes",H37="covered"),1,IF(H37="partial",0.5,0))</x:f>
        <x:v>1</x:v>
      </x:c>
    </x:row>
    <x:row r="38" s="51" customFormat="1" ht="15" customHeight="1">
      <x:c r="A38" s="93" t="n">
        <x:v>30</x:v>
      </x:c>
      <x:c r="B38" s="94" t="inlineStr">
        <x:is>
          <x:t xml:space="preserve">Public API</x:t>
        </x:is>
      </x:c>
      <x:c r="C38" s="94" t="inlineStr">
        <x:is>
          <x:t xml:space="preserve">Root</x:t>
        </x:is>
      </x:c>
      <x:c r="D38" s="94" t="inlineStr">
        <x:is>
          <x:t xml:space="preserve">[data-slot] prop behavior</x:t>
        </x:is>
      </x:c>
      <x:c r="E38" s="93" t="inlineStr">
        <x:is>
          <x:t xml:space="preserve">yes</x:t>
        </x:is>
      </x:c>
      <x:c r="F38" s="93" t="inlineStr">
        <x:is>
          <x:t xml:space="preserve">yes</x:t>
        </x:is>
      </x:c>
      <x:c r="G38" s="93" t="inlineStr">
        <x:is>
          <x:t xml:space="preserve">pass</x:t>
        </x:is>
      </x:c>
      <x:c r="H38" s="93" t="inlineStr">
        <x:is>
          <x:t xml:space="preserve">covered</x:t>
        </x:is>
      </x:c>
      <x:c r="I38" s="94" t="inlineStr">
        <x:is>
          <x:t xml:space="preserve">Pressable playground manual verification.</x:t>
        </x:is>
      </x:c>
      <x:c r="J38" s="94" t="n"/>
      <x:c r="K38" s="95" t="n">
        <x:f>IF(AND(E38="yes",F38="yes",H38="covered"),1,IF(H38="partial",0.5,0))</x:f>
        <x:v>1</x:v>
      </x:c>
    </x:row>
    <x:row r="39" s="51" customFormat="1" ht="15" customHeight="1">
      <x:c r="A39" s="93" t="n">
        <x:v>31</x:v>
      </x:c>
      <x:c r="B39" s="94" t="inlineStr">
        <x:is>
          <x:t xml:space="preserve">State</x:t>
        </x:is>
      </x:c>
      <x:c r="C39" s="94" t="inlineStr">
        <x:is>
          <x:t xml:space="preserve">Root</x:t>
        </x:is>
      </x:c>
      <x:c r="D39" s="94" t="inlineStr">
        <x:is>
          <x:t xml:space="preserve">[data-disabled] prop behavior</x:t>
        </x:is>
      </x:c>
      <x:c r="E39" s="93" t="inlineStr">
        <x:is>
          <x:t xml:space="preserve">yes</x:t>
        </x:is>
      </x:c>
      <x:c r="F39" s="93" t="inlineStr">
        <x:is>
          <x:t xml:space="preserve">yes</x:t>
        </x:is>
      </x:c>
      <x:c r="G39" s="93" t="inlineStr">
        <x:is>
          <x:t xml:space="preserve">pass</x:t>
        </x:is>
      </x:c>
      <x:c r="H39" s="93" t="inlineStr">
        <x:is>
          <x:t xml:space="preserve">covered</x:t>
        </x:is>
      </x:c>
      <x:c r="I39" s="94" t="inlineStr">
        <x:is>
          <x:t xml:space="preserve">Pressable playground manual verification.</x:t>
        </x:is>
      </x:c>
      <x:c r="J39" s="94" t="n"/>
      <x:c r="K39" s="95" t="n">
        <x:f>IF(AND(E39="yes",F39="yes",H39="covered"),1,IF(H39="partial",0.5,0))</x:f>
        <x:v>1</x:v>
      </x:c>
    </x:row>
    <x:row r="40" s="51" customFormat="1" ht="15" customHeight="1">
      <x:c r="A40" s="93" t="n">
        <x:v>32</x:v>
      </x:c>
      <x:c r="B40" s="94" t="inlineStr">
        <x:is>
          <x:t xml:space="preserve">Public API</x:t>
        </x:is>
      </x:c>
      <x:c r="C40" s="94" t="inlineStr">
        <x:is>
          <x:t xml:space="preserve">Root</x:t>
        </x:is>
      </x:c>
      <x:c r="D40" s="94" t="inlineStr">
        <x:is>
          <x:t xml:space="preserve">[data-pressed] prop behavior</x:t>
        </x:is>
      </x:c>
      <x:c r="E40" s="93" t="inlineStr">
        <x:is>
          <x:t xml:space="preserve">yes</x:t>
        </x:is>
      </x:c>
      <x:c r="F40" s="93" t="inlineStr">
        <x:is>
          <x:t xml:space="preserve">yes</x:t>
        </x:is>
      </x:c>
      <x:c r="G40" s="93" t="inlineStr">
        <x:is>
          <x:t xml:space="preserve">pass</x:t>
        </x:is>
      </x:c>
      <x:c r="H40" s="93" t="inlineStr">
        <x:is>
          <x:t xml:space="preserve">covered</x:t>
        </x:is>
      </x:c>
      <x:c r="I40" s="94" t="inlineStr">
        <x:is>
          <x:t xml:space="preserve">Pressable playground manual verification.</x:t>
        </x:is>
      </x:c>
      <x:c r="J40" s="94" t="n"/>
      <x:c r="K40" s="95" t="n">
        <x:f>IF(AND(E40="yes",F40="yes",H40="covered"),1,IF(H40="partial",0.5,0))</x:f>
        <x:v>1</x:v>
      </x:c>
    </x:row>
    <x:row r="41" s="51" customFormat="1" ht="15" customHeight="1">
      <x:c r="A41" s="93" t="n">
        <x:v>33</x:v>
      </x:c>
      <x:c r="B41" s="94" t="inlineStr">
        <x:is>
          <x:t xml:space="preserve">ARIA</x:t>
        </x:is>
      </x:c>
      <x:c r="C41" s="94" t="inlineStr">
        <x:is>
          <x:t xml:space="preserve">Live DOM</x:t>
        </x:is>
      </x:c>
      <x:c r="D41" s="94" t="inlineStr">
        <x:is>
          <x:t xml:space="preserve">aria-disabled is present at the correct time</x:t>
        </x:is>
      </x:c>
      <x:c r="E41" s="93" t="inlineStr">
        <x:is>
          <x:t xml:space="preserve">yes</x:t>
        </x:is>
      </x:c>
      <x:c r="F41" s="93" t="inlineStr">
        <x:is>
          <x:t xml:space="preserve">yes</x:t>
        </x:is>
      </x:c>
      <x:c r="G41" s="93" t="inlineStr">
        <x:is>
          <x:t xml:space="preserve">pass</x:t>
        </x:is>
      </x:c>
      <x:c r="H41" s="93" t="inlineStr">
        <x:is>
          <x:t xml:space="preserve">covered</x:t>
        </x:is>
      </x:c>
      <x:c r="I41" s="94" t="inlineStr">
        <x:is>
          <x:t xml:space="preserve">Pressable playground manual verification.</x:t>
        </x:is>
      </x:c>
      <x:c r="J41" s="94" t="n"/>
      <x:c r="K41" s="95" t="n">
        <x:f>IF(AND(E41="yes",F41="yes",H41="covered"),1,IF(H41="partial",0.5,0))</x:f>
        <x:v>1</x:v>
      </x:c>
    </x:row>
    <x:row r="42" s="51" customFormat="1" ht="30" customHeight="1">
      <x:c r="A42" s="93" t="n">
        <x:v>34</x:v>
      </x:c>
      <x:c r="B42" s="94" t="inlineStr">
        <x:is>
          <x:t xml:space="preserve">Data</x:t>
        </x:is>
      </x:c>
      <x:c r="C42" s="94" t="inlineStr">
        <x:is>
          <x:t xml:space="preserve">Live DOM</x:t>
        </x:is>
      </x:c>
      <x:c r="D42" s="94" t="inlineStr">
        <x:is>
          <x:t xml:space="preserve">data-disabled is present at the correct time</x:t>
        </x:is>
      </x:c>
      <x:c r="E42" s="93" t="inlineStr">
        <x:is>
          <x:t xml:space="preserve">yes</x:t>
        </x:is>
      </x:c>
      <x:c r="F42" s="93" t="inlineStr">
        <x:is>
          <x:t xml:space="preserve">yes</x:t>
        </x:is>
      </x:c>
      <x:c r="G42" s="93" t="inlineStr">
        <x:is>
          <x:t xml:space="preserve">pass</x:t>
        </x:is>
      </x:c>
      <x:c r="H42" s="93" t="inlineStr">
        <x:is>
          <x:t xml:space="preserve">covered</x:t>
        </x:is>
      </x:c>
      <x:c r="I42" s="94" t="inlineStr">
        <x:is>
          <x:t xml:space="preserve">Pressable playground manual verification.</x:t>
        </x:is>
      </x:c>
      <x:c r="J42" s="94" t="n"/>
      <x:c r="K42" s="95" t="n">
        <x:f>IF(AND(E42="yes",F42="yes",H42="covered"),1,IF(H42="partial",0.5,0))</x:f>
        <x:v>1</x:v>
      </x:c>
    </x:row>
    <x:row r="43" s="51" customFormat="1" ht="15" customHeight="1">
      <x:c r="A43" s="93" t="n">
        <x:v>35</x:v>
      </x:c>
      <x:c r="B43" s="94" t="inlineStr">
        <x:is>
          <x:t xml:space="preserve">Data</x:t>
        </x:is>
      </x:c>
      <x:c r="C43" s="94" t="inlineStr">
        <x:is>
          <x:t xml:space="preserve">Live DOM</x:t>
        </x:is>
      </x:c>
      <x:c r="D43" s="94" t="inlineStr">
        <x:is>
          <x:t xml:space="preserve">data-pressed is present at the correct time</x:t>
        </x:is>
      </x:c>
      <x:c r="E43" s="93" t="inlineStr">
        <x:is>
          <x:t xml:space="preserve">yes</x:t>
        </x:is>
      </x:c>
      <x:c r="F43" s="93" t="inlineStr">
        <x:is>
          <x:t xml:space="preserve">yes</x:t>
        </x:is>
      </x:c>
      <x:c r="G43" s="93" t="inlineStr">
        <x:is>
          <x:t xml:space="preserve">pass</x:t>
        </x:is>
      </x:c>
      <x:c r="H43" s="93" t="inlineStr">
        <x:is>
          <x:t xml:space="preserve">covered</x:t>
        </x:is>
      </x:c>
      <x:c r="I43" s="94" t="inlineStr">
        <x:is>
          <x:t xml:space="preserve">Pressable playground manual verification.</x:t>
        </x:is>
      </x:c>
      <x:c r="J43" s="94" t="n"/>
      <x:c r="K43" s="95" t="n">
        <x:f>IF(AND(E43="yes",F43="yes",H43="covered"),1,IF(H43="partial",0.5,0))</x:f>
        <x:v>1</x:v>
      </x:c>
    </x:row>
    <x:row r="44" s="51" customFormat="1" ht="15" customHeight="1">
      <x:c r="A44" s="93" t="n">
        <x:v>36</x:v>
      </x:c>
      <x:c r="B44" s="94" t="inlineStr">
        <x:is>
          <x:t xml:space="preserve">Data</x:t>
        </x:is>
      </x:c>
      <x:c r="C44" s="94" t="inlineStr">
        <x:is>
          <x:t xml:space="preserve">Live DOM</x:t>
        </x:is>
      </x:c>
      <x:c r="D44" s="94" t="inlineStr">
        <x:is>
          <x:t xml:space="preserve">data-slot is present at the correct time</x:t>
        </x:is>
      </x:c>
      <x:c r="E44" s="93" t="inlineStr">
        <x:is>
          <x:t xml:space="preserve">yes</x:t>
        </x:is>
      </x:c>
      <x:c r="F44" s="93" t="inlineStr">
        <x:is>
          <x:t xml:space="preserve">yes</x:t>
        </x:is>
      </x:c>
      <x:c r="G44" s="93" t="inlineStr">
        <x:is>
          <x:t xml:space="preserve">pass</x:t>
        </x:is>
      </x:c>
      <x:c r="H44" s="93" t="inlineStr">
        <x:is>
          <x:t xml:space="preserve">covered</x:t>
        </x:is>
      </x:c>
      <x:c r="I44" s="94" t="inlineStr">
        <x:is>
          <x:t xml:space="preserve">Pressable playground manual verification.</x:t>
        </x:is>
      </x:c>
      <x:c r="J44" s="94" t="n"/>
      <x:c r="K44" s="95" t="n">
        <x:f>IF(AND(E44="yes",F44="yes",H44="covered"),1,IF(H44="partial",0.5,0))</x:f>
        <x:v>1</x:v>
      </x:c>
    </x:row>
    <x:row r="45" s="51" customFormat="1" ht="30" customHeight="1">
      <x:c r="A45" s="93" t="n">
        <x:v>37</x:v>
      </x:c>
      <x:c r="B45" s="94" t="inlineStr">
        <x:is>
          <x:t xml:space="preserve">Composition</x:t>
        </x:is>
      </x:c>
      <x:c r="C45" s="94" t="inlineStr">
        <x:is>
          <x:t xml:space="preserve">Pressable</x:t>
        </x:is>
      </x:c>
      <x:c r="D45" s="94" t="inlineStr">
        <x:is>
          <x:t xml:space="preserve">asChild preserves child content without double nesting</x:t>
        </x:is>
      </x:c>
      <x:c r="E45" s="93" t="inlineStr">
        <x:is>
          <x:t xml:space="preserve">yes</x:t>
        </x:is>
      </x:c>
      <x:c r="F45" s="93" t="inlineStr">
        <x:is>
          <x:t xml:space="preserve">yes</x:t>
        </x:is>
      </x:c>
      <x:c r="G45" s="93" t="inlineStr">
        <x:is>
          <x:t xml:space="preserve">pass</x:t>
        </x:is>
      </x:c>
      <x:c r="H45" s="93" t="inlineStr">
        <x:is>
          <x:t xml:space="preserve">covered</x:t>
        </x:is>
      </x:c>
      <x:c r="I45" s="94" t="inlineStr">
        <x:is>
          <x:t xml:space="preserve">Pressable playground manual verification.</x:t>
        </x:is>
      </x:c>
      <x:c r="J45" s="94" t="n"/>
      <x:c r="K45" s="95" t="n">
        <x:f>IF(AND(E45="yes",F45="yes",H45="covered"),1,IF(H45="partial",0.5,0))</x:f>
        <x:v>1</x:v>
      </x:c>
    </x:row>
    <x:row r="46" s="51" customFormat="1" ht="15" customHeight="1">
      <x:c r="A46" s="93" t="n">
        <x:v>38</x:v>
      </x:c>
      <x:c r="B46" s="94" t="inlineStr">
        <x:is>
          <x:t xml:space="preserve">Composition</x:t>
        </x:is>
      </x:c>
      <x:c r="C46" s="94" t="inlineStr">
        <x:is>
          <x:t xml:space="preserve">Pressable</x:t>
        </x:is>
      </x:c>
      <x:c r="D46" s="94" t="inlineStr">
        <x:is>
          <x:t xml:space="preserve">asChild merges Atom props and consumer props</x:t>
        </x:is>
      </x:c>
      <x:c r="E46" s="93" t="inlineStr">
        <x:is>
          <x:t xml:space="preserve">yes</x:t>
        </x:is>
      </x:c>
      <x:c r="F46" s="93" t="inlineStr">
        <x:is>
          <x:t xml:space="preserve">yes</x:t>
        </x:is>
      </x:c>
      <x:c r="G46" s="93" t="inlineStr">
        <x:is>
          <x:t xml:space="preserve">pass</x:t>
        </x:is>
      </x:c>
      <x:c r="H46" s="93" t="inlineStr">
        <x:is>
          <x:t xml:space="preserve">covered</x:t>
        </x:is>
      </x:c>
      <x:c r="I46" s="94" t="inlineStr">
        <x:is>
          <x:t xml:space="preserve">Pressable playground manual verification.</x:t>
        </x:is>
      </x:c>
      <x:c r="J46" s="94" t="n"/>
      <x:c r="K46" s="95" t="n">
        <x:f>IF(AND(E46="yes",F46="yes",H46="covered"),1,IF(H46="partial",0.5,0))</x:f>
        <x:v>1</x:v>
      </x:c>
    </x:row>
    <x:row r="47" s="51" customFormat="1" ht="15" customHeight="1">
      <x:c r="A47" s="93" t="n">
        <x:v>39</x:v>
      </x:c>
      <x:c r="B47" s="94" t="inlineStr">
        <x:is>
          <x:t xml:space="preserve">Composition</x:t>
        </x:is>
      </x:c>
      <x:c r="C47" s="94" t="inlineStr">
        <x:is>
          <x:t xml:space="preserve">Pressable</x:t>
        </x:is>
      </x:c>
      <x:c r="D47" s="94" t="inlineStr">
        <x:is>
          <x:t xml:space="preserve">asChild lets preventDefault block Atom behavior where supported</x:t>
        </x:is>
      </x:c>
      <x:c r="E47" s="93" t="inlineStr">
        <x:is>
          <x:t xml:space="preserve">yes</x:t>
        </x:is>
      </x:c>
      <x:c r="F47" s="93" t="inlineStr">
        <x:is>
          <x:t xml:space="preserve">yes</x:t>
        </x:is>
      </x:c>
      <x:c r="G47" s="93" t="inlineStr">
        <x:is>
          <x:t xml:space="preserve">pass</x:t>
        </x:is>
      </x:c>
      <x:c r="H47" s="93" t="inlineStr">
        <x:is>
          <x:t xml:space="preserve">covered</x:t>
        </x:is>
      </x:c>
      <x:c r="I47" s="94" t="inlineStr">
        <x:is>
          <x:t xml:space="preserve">Pressable playground manual verification.</x:t>
        </x:is>
      </x:c>
      <x:c r="J47" s="94" t="n"/>
      <x:c r="K47" s="95" t="n">
        <x:f>IF(AND(E47="yes",F47="yes",H47="covered"),1,IF(H47="partial",0.5,0))</x:f>
        <x:v>1</x:v>
      </x:c>
    </x:row>
    <x:row r="48" s="51" customFormat="1" ht="60" customHeight="1">
      <x:c r="A48" s="93" t="n">
        <x:v>40</x:v>
      </x:c>
      <x:c r="B48" s="94" t="inlineStr">
        <x:is>
          <x:t xml:space="preserve">Composition</x:t>
        </x:is>
      </x:c>
      <x:c r="C48" s="94" t="inlineStr">
        <x:is>
          <x:t xml:space="preserve">Pressable</x:t>
        </x:is>
      </x:c>
      <x:c r="D48" s="94" t="inlineStr">
        <x:is>
          <x:t xml:space="preserve">render prop renders custom element</x:t>
        </x:is>
      </x:c>
      <x:c r="E48" s="93" t="inlineStr">
        <x:is>
          <x:t xml:space="preserve">yes</x:t>
        </x:is>
      </x:c>
      <x:c r="F48" s="93" t="inlineStr">
        <x:is>
          <x:t xml:space="preserve">yes</x:t>
        </x:is>
      </x:c>
      <x:c r="G48" s="93" t="inlineStr">
        <x:is>
          <x:t xml:space="preserve">pass</x:t>
        </x:is>
      </x:c>
      <x:c r="H48" s="93" t="inlineStr">
        <x:is>
          <x:t xml:space="preserve">covered</x:t>
        </x:is>
      </x:c>
      <x:c r="I48" s="94" t="inlineStr">
        <x:is>
          <x:t xml:space="preserve">Pressable playground manual verification.</x:t>
        </x:is>
      </x:c>
      <x:c r="J48" s="94" t="n"/>
      <x:c r="K48" s="95" t="n">
        <x:f>IF(AND(E48="yes",F48="yes",H48="covered"),1,IF(H48="partial",0.5,0))</x:f>
        <x:v>1</x:v>
      </x:c>
    </x:row>
    <x:row r="49" s="51" customFormat="1" ht="15" customHeight="1">
      <x:c r="A49" s="93" t="n">
        <x:v>41</x:v>
      </x:c>
      <x:c r="B49" s="94" t="inlineStr">
        <x:is>
          <x:t xml:space="preserve">Composition</x:t>
        </x:is>
      </x:c>
      <x:c r="C49" s="94" t="inlineStr">
        <x:is>
          <x:t xml:space="preserve">Pressable</x:t>
        </x:is>
      </x:c>
      <x:c r="D49" s="94" t="inlineStr">
        <x:is>
          <x:t xml:space="preserve">render prop preserves refs and behavior props</x:t>
        </x:is>
      </x:c>
      <x:c r="E49" s="93" t="inlineStr">
        <x:is>
          <x:t xml:space="preserve">yes</x:t>
        </x:is>
      </x:c>
      <x:c r="F49" s="93" t="inlineStr">
        <x:is>
          <x:t xml:space="preserve">yes</x:t>
        </x:is>
      </x:c>
      <x:c r="G49" s="93" t="inlineStr">
        <x:is>
          <x:t xml:space="preserve">pass</x:t>
        </x:is>
      </x:c>
      <x:c r="H49" s="93" t="inlineStr">
        <x:is>
          <x:t xml:space="preserve">covered</x:t>
        </x:is>
      </x:c>
      <x:c r="I49" s="94" t="inlineStr">
        <x:is>
          <x:t xml:space="preserve">Pressable playground manual verification.</x:t>
        </x:is>
      </x:c>
      <x:c r="J49" s="94" t="n"/>
      <x:c r="K49" s="95" t="n">
        <x:f>IF(AND(E49="yes",F49="yes",H49="covered"),1,IF(H49="partial",0.5,0))</x:f>
        <x:v>1</x:v>
      </x:c>
    </x:row>
    <x:row r="50" s="51" customFormat="1" ht="60" customHeight="1">
      <x:c r="A50" s="93" t="n">
        <x:v>42</x:v>
      </x:c>
      <x:c r="B50" s="94" t="inlineStr">
        <x:is>
          <x:t xml:space="preserve">Pointer</x:t>
        </x:is>
      </x:c>
      <x:c r="C50" s="94" t="inlineStr">
        <x:is>
          <x:t xml:space="preserve">Root composition</x:t>
        </x:is>
      </x:c>
      <x:c r="D50" s="94" t="inlineStr">
        <x:is>
          <x:t xml:space="preserve">custom render/asChild pointer down then release outside does not fire press</x:t>
        </x:is>
      </x:c>
      <x:c r="E50" s="93" t="inlineStr">
        <x:is>
          <x:t xml:space="preserve">yes</x:t>
        </x:is>
      </x:c>
      <x:c r="F50" s="93" t="inlineStr">
        <x:is>
          <x:t xml:space="preserve">yes</x:t>
        </x:is>
      </x:c>
      <x:c r="G50" s="93" t="inlineStr">
        <x:is>
          <x:t xml:space="preserve">pass</x:t>
        </x:is>
      </x:c>
      <x:c r="H50" s="93" t="inlineStr">
        <x:is>
          <x:t xml:space="preserve">covered</x:t>
        </x:is>
      </x:c>
      <x:c r="I50" s="94" t="inlineStr">
        <x:is>
          <x:t xml:space="preserve">Pressable playground manual verification.</x:t>
        </x:is>
      </x:c>
      <x:c r="J50" s="94" t="n"/>
      <x:c r="K50" s="95" t="n">
        <x:f>IF(AND(E50="yes",F50="yes",H50="covered"),1,IF(H50="partial",0.5,0))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Progress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IFERROR(SUM(K9:K67)/COUNTA(A9:A67),0)</x:f>
        <x:v>1</x:v>
      </x:c>
      <x:c r="C4" s="70" t="inlineStr">
        <x:is>
          <x:t xml:space="preserve">Covered</x:t>
        </x:is>
      </x:c>
      <x:c r="D4" s="82" t="n">
        <x:f>COUNTIF(H9:H67,"covered")</x:f>
        <x:v>59</x:v>
      </x:c>
      <x:c r="E4" s="70" t="inlineStr">
        <x:is>
          <x:t xml:space="preserve">Partial</x:t>
        </x:is>
      </x:c>
      <x:c r="F4" s="82" t="n">
        <x:f>COUNTIF(H9:H67,"partial")</x:f>
        <x:v>0</x:v>
      </x:c>
      <x:c r="G4" s="70" t="inlineStr">
        <x:is>
          <x:t xml:space="preserve">Missing</x:t>
        </x:is>
      </x:c>
      <x:c r="H4" s="82" t="n">
        <x:f>COUNTIF(H9:H67,"missing")</x:f>
        <x:v>0</x:v>
      </x:c>
      <x:c r="I4" s="70" t="inlineStr">
        <x:is>
          <x:t xml:space="preserve">Untested</x:t>
        </x:is>
      </x:c>
      <x:c r="J4" s="82" t="n">
        <x:f>COUNTIF(F9:F67,"no")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76" t="inlineStr">
        <x:is>
          <x:t xml:space="preserve">yes</x:t>
        </x:is>
      </x:c>
      <x:c r="G9" s="73" t="inlineStr">
        <x:is>
          <x:t xml:space="preserve">passed</x:t>
        </x:is>
      </x:c>
      <x:c r="H9" s="92" t="inlineStr">
        <x:is>
          <x:t xml:space="preserve">covered</x:t>
        </x:is>
      </x:c>
      <x:c r="I9" s="84" t="inlineStr">
        <x:is>
          <x:t xml:space="preserve">Shared playground prop rule.</x:t>
        </x:is>
      </x:c>
      <x:c r="J9" s="84" t="n"/>
      <x:c r="K9" s="87" t="n">
        <x:f>IF(AND(E9="yes",F9="yes",H9="covered"),1,IF(AND(E9="yes",H9="partial"),0.5,0))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76" t="inlineStr">
        <x:is>
          <x:t xml:space="preserve">yes</x:t>
        </x:is>
      </x:c>
      <x:c r="G10" s="73" t="inlineStr">
        <x:is>
          <x:t xml:space="preserve">passed</x:t>
        </x:is>
      </x:c>
      <x:c r="H10" s="92" t="inlineStr">
        <x:is>
          <x:t xml:space="preserve">covered</x:t>
        </x:is>
      </x:c>
      <x:c r="I10" s="84" t="inlineStr">
        <x:is>
          <x:t xml:space="preserve">Shared playground prop rule.</x:t>
        </x:is>
      </x:c>
      <x:c r="J10" s="84" t="n"/>
      <x:c r="K10" s="87" t="n">
        <x:f>IF(AND(E10="yes",F10="yes",H10="covered"),1,IF(AND(E10="yes",H10="partial"),0.5,0))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Progress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76" t="inlineStr">
        <x:is>
          <x:t xml:space="preserve">yes</x:t>
        </x:is>
      </x:c>
      <x:c r="G11" s="73" t="inlineStr">
        <x:is>
          <x:t xml:space="preserve">passed</x:t>
        </x:is>
      </x:c>
      <x:c r="H11" s="92" t="inlineStr">
        <x:is>
          <x:t xml:space="preserve">covered</x:t>
        </x:is>
      </x:c>
      <x:c r="I11" s="84" t="inlineStr">
        <x:is>
          <x:t xml:space="preserve">Progress playground manual pass.</x:t>
        </x:is>
      </x:c>
      <x:c r="J11" s="84" t="n"/>
      <x:c r="K11" s="87" t="n">
        <x:f>IF(AND(E11="yes",F11="yes",H11="covered"),1,IF(AND(E11="yes",H11="partial"),0.5,0))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Progress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76" t="inlineStr">
        <x:is>
          <x:t xml:space="preserve">yes</x:t>
        </x:is>
      </x:c>
      <x:c r="G12" s="73" t="inlineStr">
        <x:is>
          <x:t xml:space="preserve">passed</x:t>
        </x:is>
      </x:c>
      <x:c r="H12" s="92" t="inlineStr">
        <x:is>
          <x:t xml:space="preserve">covered</x:t>
        </x:is>
      </x:c>
      <x:c r="I12" s="84" t="inlineStr">
        <x:is>
          <x:t xml:space="preserve">Progress playground manual pass.</x:t>
        </x:is>
      </x:c>
      <x:c r="J12" s="84" t="n"/>
      <x:c r="K12" s="87" t="n">
        <x:f>IF(AND(E12="yes",F12="yes",H12="covered"),1,IF(AND(E12="yes",H12="partial"),0.5,0))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Progress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76" t="inlineStr">
        <x:is>
          <x:t xml:space="preserve">yes</x:t>
        </x:is>
      </x:c>
      <x:c r="G13" s="73" t="inlineStr">
        <x:is>
          <x:t xml:space="preserve">passed</x:t>
        </x:is>
      </x:c>
      <x:c r="H13" s="92" t="inlineStr">
        <x:is>
          <x:t xml:space="preserve">covered</x:t>
        </x:is>
      </x:c>
      <x:c r="I13" s="84" t="inlineStr">
        <x:is>
          <x:t xml:space="preserve">Progress playground manual pass.</x:t>
        </x:is>
      </x:c>
      <x:c r="J13" s="84" t="n"/>
      <x:c r="K13" s="87" t="n">
        <x:f>IF(AND(E13="yes",F13="yes",H13="covered"),1,IF(AND(E13="yes",H13="partial"),0.5,0))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Progress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76" t="inlineStr">
        <x:is>
          <x:t xml:space="preserve">yes</x:t>
        </x:is>
      </x:c>
      <x:c r="G14" s="73" t="inlineStr">
        <x:is>
          <x:t xml:space="preserve">passed</x:t>
        </x:is>
      </x:c>
      <x:c r="H14" s="92" t="inlineStr">
        <x:is>
          <x:t xml:space="preserve">covered</x:t>
        </x:is>
      </x:c>
      <x:c r="I14" s="84" t="inlineStr">
        <x:is>
          <x:t xml:space="preserve">Progress playground manual pass.</x:t>
        </x:is>
      </x:c>
      <x:c r="J14" s="84" t="n"/>
      <x:c r="K14" s="87" t="n">
        <x:f>IF(AND(E14="yes",F14="yes",H14="covered"),1,IF(AND(E14="yes",H14="partial"),0.5,0))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Progress</x:t>
        </x:is>
      </x:c>
      <x:c r="D15" s="84" t="inlineStr">
        <x:is>
          <x:t xml:space="preserve">Implements `role="progressbar"`</x:t>
        </x:is>
      </x:c>
      <x:c r="E15" s="76" t="inlineStr">
        <x:is>
          <x:t xml:space="preserve">yes</x:t>
        </x:is>
      </x:c>
      <x:c r="F15" s="76" t="inlineStr">
        <x:is>
          <x:t xml:space="preserve">yes</x:t>
        </x:is>
      </x:c>
      <x:c r="G15" s="73" t="inlineStr">
        <x:is>
          <x:t xml:space="preserve">passed</x:t>
        </x:is>
      </x:c>
      <x:c r="H15" s="92" t="inlineStr">
        <x:is>
          <x:t xml:space="preserve">covered</x:t>
        </x:is>
      </x:c>
      <x:c r="I15" s="84" t="inlineStr">
        <x:is>
          <x:t xml:space="preserve">Progress playground manual pass.</x:t>
        </x:is>
      </x:c>
      <x:c r="J15" s="84" t="n"/>
      <x:c r="K15" s="87" t="n">
        <x:f>IF(AND(E15="yes",F15="yes",H15="covered"),1,IF(AND(E15="yes",H15="partial"),0.5,0))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Progress</x:t>
        </x:is>
      </x:c>
      <x:c r="D16" s="84" t="inlineStr">
        <x:is>
          <x:t xml:space="preserve">Supports determinate values and indeterminate progress</x:t>
        </x:is>
      </x:c>
      <x:c r="E16" s="76" t="inlineStr">
        <x:is>
          <x:t xml:space="preserve">yes</x:t>
        </x:is>
      </x:c>
      <x:c r="F16" s="76" t="inlineStr">
        <x:is>
          <x:t xml:space="preserve">yes</x:t>
        </x:is>
      </x:c>
      <x:c r="G16" s="73" t="inlineStr">
        <x:is>
          <x:t xml:space="preserve">passed</x:t>
        </x:is>
      </x:c>
      <x:c r="H16" s="92" t="inlineStr">
        <x:is>
          <x:t xml:space="preserve">covered</x:t>
        </x:is>
      </x:c>
      <x:c r="I16" s="84" t="inlineStr">
        <x:is>
          <x:t xml:space="preserve">Progress playground manual pass.</x:t>
        </x:is>
      </x:c>
      <x:c r="J16" s="84" t="n"/>
      <x:c r="K16" s="87" t="n">
        <x:f>IF(AND(E16="yes",F16="yes",H16="covered"),1,IF(AND(E16="yes",H16="partial"),0.5,0))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Progress</x:t>
        </x:is>
      </x:c>
      <x:c r="D17" s="84" t="inlineStr">
        <x:is>
          <x:t xml:space="preserve">Normalizes invalid `min`/`max` ranges</x:t>
        </x:is>
      </x:c>
      <x:c r="E17" s="76" t="inlineStr">
        <x:is>
          <x:t xml:space="preserve">yes</x:t>
        </x:is>
      </x:c>
      <x:c r="F17" s="76" t="inlineStr">
        <x:is>
          <x:t xml:space="preserve">yes</x:t>
        </x:is>
      </x:c>
      <x:c r="G17" s="73" t="inlineStr">
        <x:is>
          <x:t xml:space="preserve">passed</x:t>
        </x:is>
      </x:c>
      <x:c r="H17" s="92" t="inlineStr">
        <x:is>
          <x:t xml:space="preserve">covered</x:t>
        </x:is>
      </x:c>
      <x:c r="I17" s="84" t="inlineStr">
        <x:is>
          <x:t xml:space="preserve">Progress playground manual pass.</x:t>
        </x:is>
      </x:c>
      <x:c r="J17" s="84" t="n"/>
      <x:c r="K17" s="87" t="n">
        <x:f>IF(AND(E17="yes",F17="yes",H17="covered"),1,IF(AND(E17="yes",H17="partial"),0.5,0))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Progress</x:t>
        </x:is>
      </x:c>
      <x:c r="D18" s="84" t="inlineStr">
        <x:is>
          <x:t xml:space="preserve">Exposes progress state, value, min, max, and percent through data attributes</x:t>
        </x:is>
      </x:c>
      <x:c r="E18" s="76" t="inlineStr">
        <x:is>
          <x:t xml:space="preserve">yes</x:t>
        </x:is>
      </x:c>
      <x:c r="F18" s="76" t="inlineStr">
        <x:is>
          <x:t xml:space="preserve">yes</x:t>
        </x:is>
      </x:c>
      <x:c r="G18" s="73" t="inlineStr">
        <x:is>
          <x:t xml:space="preserve">passed</x:t>
        </x:is>
      </x:c>
      <x:c r="H18" s="92" t="inlineStr">
        <x:is>
          <x:t xml:space="preserve">covered</x:t>
        </x:is>
      </x:c>
      <x:c r="I18" s="84" t="inlineStr">
        <x:is>
          <x:t xml:space="preserve">Progress playground manual pass.</x:t>
        </x:is>
      </x:c>
      <x:c r="J18" s="84" t="n"/>
      <x:c r="K18" s="87" t="n">
        <x:f>IF(AND(E18="yes",F18="yes",H18="covered"),1,IF(AND(E18="yes",H18="partial"),0.5,0))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Progress</x:t>
        </x:is>
      </x:c>
      <x:c r="D19" s="84" t="inlineStr">
        <x:is>
          <x:t xml:space="preserve">Supports custom assistive value text</x:t>
        </x:is>
      </x:c>
      <x:c r="E19" s="76" t="inlineStr">
        <x:is>
          <x:t xml:space="preserve">yes</x:t>
        </x:is>
      </x:c>
      <x:c r="F19" s="76" t="inlineStr">
        <x:is>
          <x:t xml:space="preserve">yes</x:t>
        </x:is>
      </x:c>
      <x:c r="G19" s="73" t="inlineStr">
        <x:is>
          <x:t xml:space="preserve">passed</x:t>
        </x:is>
      </x:c>
      <x:c r="H19" s="92" t="inlineStr">
        <x:is>
          <x:t xml:space="preserve">covered</x:t>
        </x:is>
      </x:c>
      <x:c r="I19" s="84" t="inlineStr">
        <x:is>
          <x:t xml:space="preserve">Progress playground manual pass.</x:t>
        </x:is>
      </x:c>
      <x:c r="J19" s="84" t="n"/>
      <x:c r="K19" s="87" t="n">
        <x:f>IF(AND(E19="yes",F19="yes",H19="covered"),1,IF(AND(E19="yes",H19="partial"),0.5,0))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76" t="inlineStr">
        <x:is>
          <x:t xml:space="preserve">yes</x:t>
        </x:is>
      </x:c>
      <x:c r="G20" s="73" t="inlineStr">
        <x:is>
          <x:t xml:space="preserve">passed</x:t>
        </x:is>
      </x:c>
      <x:c r="H20" s="92" t="inlineStr">
        <x:is>
          <x:t xml:space="preserve">covered</x:t>
        </x:is>
      </x:c>
      <x:c r="I20" s="84" t="inlineStr">
        <x:is>
          <x:t xml:space="preserve">Progress playground manual pass.</x:t>
        </x:is>
      </x:c>
      <x:c r="J20" s="84" t="n"/>
      <x:c r="K20" s="87" t="n">
        <x:f>IF(AND(E20="yes",F20="yes",H20="covered"),1,IF(AND(E20="yes",H20="partial"),0.5,0))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76" t="inlineStr">
        <x:is>
          <x:t xml:space="preserve">yes</x:t>
        </x:is>
      </x:c>
      <x:c r="G21" s="73" t="inlineStr">
        <x:is>
          <x:t xml:space="preserve">passed</x:t>
        </x:is>
      </x:c>
      <x:c r="H21" s="92" t="inlineStr">
        <x:is>
          <x:t xml:space="preserve">covered</x:t>
        </x:is>
      </x:c>
      <x:c r="I21" s="84" t="inlineStr">
        <x:is>
          <x:t xml:space="preserve">Progress playground manual pass.</x:t>
        </x:is>
      </x:c>
      <x:c r="J21" s="84" t="n"/>
      <x:c r="K21" s="87" t="n">
        <x:f>IF(AND(E21="yes",F21="yes",H21="covered"),1,IF(AND(E21="yes",H21="partial"),0.5,0))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76" t="inlineStr">
        <x:is>
          <x:t xml:space="preserve">yes</x:t>
        </x:is>
      </x:c>
      <x:c r="G22" s="73" t="inlineStr">
        <x:is>
          <x:t xml:space="preserve">passed</x:t>
        </x:is>
      </x:c>
      <x:c r="H22" s="92" t="inlineStr">
        <x:is>
          <x:t xml:space="preserve">covered</x:t>
        </x:is>
      </x:c>
      <x:c r="I22" s="84" t="inlineStr">
        <x:is>
          <x:t xml:space="preserve">Progress playground manual pass.</x:t>
        </x:is>
      </x:c>
      <x:c r="J22" s="84" t="n"/>
      <x:c r="K22" s="87" t="n">
        <x:f>IF(AND(E22="yes",F22="yes",H22="covered"),1,IF(AND(E22="yes",H22="partial"),0.5,0))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76" t="inlineStr">
        <x:is>
          <x:t xml:space="preserve">yes</x:t>
        </x:is>
      </x:c>
      <x:c r="G23" s="73" t="inlineStr">
        <x:is>
          <x:t xml:space="preserve">passed</x:t>
        </x:is>
      </x:c>
      <x:c r="H23" s="92" t="inlineStr">
        <x:is>
          <x:t xml:space="preserve">covered</x:t>
        </x:is>
      </x:c>
      <x:c r="I23" s="84" t="inlineStr">
        <x:is>
          <x:t xml:space="preserve">Progress playground manual pass.</x:t>
        </x:is>
      </x:c>
      <x:c r="J23" s="84" t="n"/>
      <x:c r="K23" s="87" t="n">
        <x:f>IF(AND(E23="yes",F23="yes",H23="covered"),1,IF(AND(E23="yes",H23="partial"),0.5,0))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76" t="inlineStr">
        <x:is>
          <x:t xml:space="preserve">yes</x:t>
        </x:is>
      </x:c>
      <x:c r="G24" s="73" t="inlineStr">
        <x:is>
          <x:t xml:space="preserve">passed</x:t>
        </x:is>
      </x:c>
      <x:c r="H24" s="92" t="inlineStr">
        <x:is>
          <x:t xml:space="preserve">covered</x:t>
        </x:is>
      </x:c>
      <x:c r="I24" s="84" t="inlineStr">
        <x:is>
          <x:t xml:space="preserve">Progress playground manual pass.</x:t>
        </x:is>
      </x:c>
      <x:c r="J24" s="84" t="n"/>
      <x:c r="K24" s="87" t="n">
        <x:f>IF(AND(E24="yes",F24="yes",H24="covered"),1,IF(AND(E24="yes",H24="partial"),0.5,0))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76" t="inlineStr">
        <x:is>
          <x:t xml:space="preserve">yes</x:t>
        </x:is>
      </x:c>
      <x:c r="G25" s="73" t="inlineStr">
        <x:is>
          <x:t xml:space="preserve">passed</x:t>
        </x:is>
      </x:c>
      <x:c r="H25" s="92" t="inlineStr">
        <x:is>
          <x:t xml:space="preserve">covered</x:t>
        </x:is>
      </x:c>
      <x:c r="I25" s="84" t="inlineStr">
        <x:is>
          <x:t xml:space="preserve">Progress playground manual pass.</x:t>
        </x:is>
      </x:c>
      <x:c r="J25" s="84" t="n"/>
      <x:c r="K25" s="87" t="n">
        <x:f>IF(AND(E25="yes",F25="yes",H25="covered"),1,IF(AND(E25="yes",H25="partial"),0.5,0))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Composition</x:t>
        </x:is>
      </x:c>
      <x:c r="C26" s="84" t="inlineStr">
        <x:is>
          <x:t xml:space="preserve">Root</x:t>
        </x:is>
      </x:c>
      <x:c r="D26" s="84" t="inlineStr">
        <x:is>
          <x:t xml:space="preserve">asChild prop behavior</x:t>
        </x:is>
      </x:c>
      <x:c r="E26" s="76" t="inlineStr">
        <x:is>
          <x:t xml:space="preserve">yes</x:t>
        </x:is>
      </x:c>
      <x:c r="F26" s="76" t="inlineStr">
        <x:is>
          <x:t xml:space="preserve">yes</x:t>
        </x:is>
      </x:c>
      <x:c r="G26" s="73" t="inlineStr">
        <x:is>
          <x:t xml:space="preserve">passed</x:t>
        </x:is>
      </x:c>
      <x:c r="H26" s="92" t="inlineStr">
        <x:is>
          <x:t xml:space="preserve">covered</x:t>
        </x:is>
      </x:c>
      <x:c r="I26" s="84" t="inlineStr">
        <x:is>
          <x:t xml:space="preserve">Progress playground manual pass.</x:t>
        </x:is>
      </x:c>
      <x:c r="J26" s="84" t="n"/>
      <x:c r="K26" s="87" t="n">
        <x:f>IF(AND(E26="yes",F26="yes",H26="covered"),1,IF(AND(E26="yes",H26="partial"),0.5,0))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Composition</x:t>
        </x:is>
      </x:c>
      <x:c r="C27" s="84" t="inlineStr">
        <x:is>
          <x:t xml:space="preserve">Root</x:t>
        </x:is>
      </x:c>
      <x:c r="D27" s="84" t="inlineStr">
        <x:is>
          <x:t xml:space="preserve">render prop behavior</x:t>
        </x:is>
      </x:c>
      <x:c r="E27" s="76" t="inlineStr">
        <x:is>
          <x:t xml:space="preserve">yes</x:t>
        </x:is>
      </x:c>
      <x:c r="F27" s="76" t="inlineStr">
        <x:is>
          <x:t xml:space="preserve">yes</x:t>
        </x:is>
      </x:c>
      <x:c r="G27" s="73" t="inlineStr">
        <x:is>
          <x:t xml:space="preserve">passed</x:t>
        </x:is>
      </x:c>
      <x:c r="H27" s="92" t="inlineStr">
        <x:is>
          <x:t xml:space="preserve">covered</x:t>
        </x:is>
      </x:c>
      <x:c r="I27" s="84" t="inlineStr">
        <x:is>
          <x:t xml:space="preserve">Progress playground manual pass.</x:t>
        </x:is>
      </x:c>
      <x:c r="J27" s="84" t="n"/>
      <x:c r="K27" s="87" t="n">
        <x:f>IF(AND(E27="yes",F27="yes",H27="covered"),1,IF(AND(E27="yes",H27="partial"),0.5,0))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value prop behavior</x:t>
        </x:is>
      </x:c>
      <x:c r="E28" s="76" t="inlineStr">
        <x:is>
          <x:t xml:space="preserve">yes</x:t>
        </x:is>
      </x:c>
      <x:c r="F28" s="76" t="inlineStr">
        <x:is>
          <x:t xml:space="preserve">yes</x:t>
        </x:is>
      </x:c>
      <x:c r="G28" s="73" t="inlineStr">
        <x:is>
          <x:t xml:space="preserve">passed</x:t>
        </x:is>
      </x:c>
      <x:c r="H28" s="92" t="inlineStr">
        <x:is>
          <x:t xml:space="preserve">covered</x:t>
        </x:is>
      </x:c>
      <x:c r="I28" s="84" t="inlineStr">
        <x:is>
          <x:t xml:space="preserve">Progress playground manual pass.</x:t>
        </x:is>
      </x:c>
      <x:c r="J28" s="84" t="n"/>
      <x:c r="K28" s="87" t="n">
        <x:f>IF(AND(E28="yes",F28="yes",H28="covered"),1,IF(AND(E28="yes",H28="partial"),0.5,0))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min prop behavior</x:t>
        </x:is>
      </x:c>
      <x:c r="E29" s="76" t="inlineStr">
        <x:is>
          <x:t xml:space="preserve">yes</x:t>
        </x:is>
      </x:c>
      <x:c r="F29" s="76" t="inlineStr">
        <x:is>
          <x:t xml:space="preserve">yes</x:t>
        </x:is>
      </x:c>
      <x:c r="G29" s="73" t="inlineStr">
        <x:is>
          <x:t xml:space="preserve">passed</x:t>
        </x:is>
      </x:c>
      <x:c r="H29" s="92" t="inlineStr">
        <x:is>
          <x:t xml:space="preserve">covered</x:t>
        </x:is>
      </x:c>
      <x:c r="I29" s="84" t="inlineStr">
        <x:is>
          <x:t xml:space="preserve">Progress playground manual pass.</x:t>
        </x:is>
      </x:c>
      <x:c r="J29" s="84" t="n"/>
      <x:c r="K29" s="87" t="n">
        <x:f>IF(AND(E29="yes",F29="yes",H29="covered"),1,IF(AND(E29="yes",H29="partial"),0.5,0))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max prop behavior</x:t>
        </x:is>
      </x:c>
      <x:c r="E30" s="76" t="inlineStr">
        <x:is>
          <x:t xml:space="preserve">yes</x:t>
        </x:is>
      </x:c>
      <x:c r="F30" s="76" t="inlineStr">
        <x:is>
          <x:t xml:space="preserve">yes</x:t>
        </x:is>
      </x:c>
      <x:c r="G30" s="73" t="inlineStr">
        <x:is>
          <x:t xml:space="preserve">passed</x:t>
        </x:is>
      </x:c>
      <x:c r="H30" s="92" t="inlineStr">
        <x:is>
          <x:t xml:space="preserve">covered</x:t>
        </x:is>
      </x:c>
      <x:c r="I30" s="84" t="inlineStr">
        <x:is>
          <x:t xml:space="preserve">Progress playground manual pass.</x:t>
        </x:is>
      </x:c>
      <x:c r="J30" s="84" t="n"/>
      <x:c r="K30" s="87" t="n">
        <x:f>IF(AND(E30="yes",F30="yes",H30="covered"),1,IF(AND(E30="yes",H30="partial"),0.5,0))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Accessibility</x:t>
        </x:is>
      </x:c>
      <x:c r="C31" s="84" t="inlineStr">
        <x:is>
          <x:t xml:space="preserve">Root</x:t>
        </x:is>
      </x:c>
      <x:c r="D31" s="84" t="inlineStr">
        <x:is>
          <x:t xml:space="preserve">aria-valuetext prop behavior</x:t>
        </x:is>
      </x:c>
      <x:c r="E31" s="76" t="inlineStr">
        <x:is>
          <x:t xml:space="preserve">yes</x:t>
        </x:is>
      </x:c>
      <x:c r="F31" s="76" t="inlineStr">
        <x:is>
          <x:t xml:space="preserve">yes</x:t>
        </x:is>
      </x:c>
      <x:c r="G31" s="73" t="inlineStr">
        <x:is>
          <x:t xml:space="preserve">passed</x:t>
        </x:is>
      </x:c>
      <x:c r="H31" s="92" t="inlineStr">
        <x:is>
          <x:t xml:space="preserve">covered</x:t>
        </x:is>
      </x:c>
      <x:c r="I31" s="84" t="inlineStr">
        <x:is>
          <x:t xml:space="preserve">Progress playground manual pass.</x:t>
        </x:is>
      </x:c>
      <x:c r="J31" s="84" t="n"/>
      <x:c r="K31" s="87" t="n">
        <x:f>IF(AND(E31="yes",F31="yes",H31="covered"),1,IF(AND(E31="yes",H31="partial"),0.5,0))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getValueLabel prop behavior</x:t>
        </x:is>
      </x:c>
      <x:c r="E32" s="76" t="inlineStr">
        <x:is>
          <x:t xml:space="preserve">yes</x:t>
        </x:is>
      </x:c>
      <x:c r="F32" s="76" t="inlineStr">
        <x:is>
          <x:t xml:space="preserve">yes</x:t>
        </x:is>
      </x:c>
      <x:c r="G32" s="73" t="inlineStr">
        <x:is>
          <x:t xml:space="preserve">passed</x:t>
        </x:is>
      </x:c>
      <x:c r="H32" s="92" t="inlineStr">
        <x:is>
          <x:t xml:space="preserve">covered</x:t>
        </x:is>
      </x:c>
      <x:c r="I32" s="84" t="inlineStr">
        <x:is>
          <x:t xml:space="preserve">Progress playground manual pass.</x:t>
        </x:is>
      </x:c>
      <x:c r="J32" s="84" t="n"/>
      <x:c r="K32" s="87" t="n">
        <x:f>IF(AND(E32="yes",F32="yes",H32="covered"),1,IF(AND(E32="yes",H32="partial"),0.5,0))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[data-slot] prop behavior</x:t>
        </x:is>
      </x:c>
      <x:c r="E33" s="76" t="inlineStr">
        <x:is>
          <x:t xml:space="preserve">yes</x:t>
        </x:is>
      </x:c>
      <x:c r="F33" s="76" t="inlineStr">
        <x:is>
          <x:t xml:space="preserve">yes</x:t>
        </x:is>
      </x:c>
      <x:c r="G33" s="73" t="inlineStr">
        <x:is>
          <x:t xml:space="preserve">passed</x:t>
        </x:is>
      </x:c>
      <x:c r="H33" s="92" t="inlineStr">
        <x:is>
          <x:t xml:space="preserve">covered</x:t>
        </x:is>
      </x:c>
      <x:c r="I33" s="84" t="inlineStr">
        <x:is>
          <x:t xml:space="preserve">Progress playground manual pass.</x:t>
        </x:is>
      </x:c>
      <x:c r="J33" s="84" t="n"/>
      <x:c r="K33" s="87" t="n">
        <x:f>IF(AND(E33="yes",F33="yes",H33="covered"),1,IF(AND(E33="yes",H33="partial"),0.5,0))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[data-state] prop behavior</x:t>
        </x:is>
      </x:c>
      <x:c r="E34" s="76" t="inlineStr">
        <x:is>
          <x:t xml:space="preserve">yes</x:t>
        </x:is>
      </x:c>
      <x:c r="F34" s="76" t="inlineStr">
        <x:is>
          <x:t xml:space="preserve">yes</x:t>
        </x:is>
      </x:c>
      <x:c r="G34" s="73" t="inlineStr">
        <x:is>
          <x:t xml:space="preserve">passed</x:t>
        </x:is>
      </x:c>
      <x:c r="H34" s="92" t="inlineStr">
        <x:is>
          <x:t xml:space="preserve">covered</x:t>
        </x:is>
      </x:c>
      <x:c r="I34" s="84" t="inlineStr">
        <x:is>
          <x:t xml:space="preserve">Progress playground manual pass.</x:t>
        </x:is>
      </x:c>
      <x:c r="J34" s="84" t="n"/>
      <x:c r="K34" s="87" t="n">
        <x:f>IF(AND(E34="yes",F34="yes",H34="covered"),1,IF(AND(E34="yes",H34="partial"),0.5,0))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[data-min] prop behavior</x:t>
        </x:is>
      </x:c>
      <x:c r="E35" s="76" t="inlineStr">
        <x:is>
          <x:t xml:space="preserve">yes</x:t>
        </x:is>
      </x:c>
      <x:c r="F35" s="76" t="inlineStr">
        <x:is>
          <x:t xml:space="preserve">yes</x:t>
        </x:is>
      </x:c>
      <x:c r="G35" s="73" t="inlineStr">
        <x:is>
          <x:t xml:space="preserve">passed</x:t>
        </x:is>
      </x:c>
      <x:c r="H35" s="92" t="inlineStr">
        <x:is>
          <x:t xml:space="preserve">covered</x:t>
        </x:is>
      </x:c>
      <x:c r="I35" s="84" t="inlineStr">
        <x:is>
          <x:t xml:space="preserve">Progress playground manual pass.</x:t>
        </x:is>
      </x:c>
      <x:c r="J35" s="84" t="n"/>
      <x:c r="K35" s="87" t="n">
        <x:f>IF(AND(E35="yes",F35="yes",H35="covered"),1,IF(AND(E35="yes",H35="partial"),0.5,0))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[data-max] prop behavior</x:t>
        </x:is>
      </x:c>
      <x:c r="E36" s="76" t="inlineStr">
        <x:is>
          <x:t xml:space="preserve">yes</x:t>
        </x:is>
      </x:c>
      <x:c r="F36" s="76" t="inlineStr">
        <x:is>
          <x:t xml:space="preserve">yes</x:t>
        </x:is>
      </x:c>
      <x:c r="G36" s="73" t="inlineStr">
        <x:is>
          <x:t xml:space="preserve">passed</x:t>
        </x:is>
      </x:c>
      <x:c r="H36" s="92" t="inlineStr">
        <x:is>
          <x:t xml:space="preserve">covered</x:t>
        </x:is>
      </x:c>
      <x:c r="I36" s="84" t="inlineStr">
        <x:is>
          <x:t xml:space="preserve">Progress playground manual pass.</x:t>
        </x:is>
      </x:c>
      <x:c r="J36" s="84" t="n"/>
      <x:c r="K36" s="87" t="n">
        <x:f>IF(AND(E36="yes",F36="yes",H36="covered"),1,IF(AND(E36="yes",H36="partial"),0.5,0))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Root</x:t>
        </x:is>
      </x:c>
      <x:c r="D37" s="84" t="inlineStr">
        <x:is>
          <x:t xml:space="preserve">[data-value] prop behavior</x:t>
        </x:is>
      </x:c>
      <x:c r="E37" s="76" t="inlineStr">
        <x:is>
          <x:t xml:space="preserve">yes</x:t>
        </x:is>
      </x:c>
      <x:c r="F37" s="76" t="inlineStr">
        <x:is>
          <x:t xml:space="preserve">yes</x:t>
        </x:is>
      </x:c>
      <x:c r="G37" s="73" t="inlineStr">
        <x:is>
          <x:t xml:space="preserve">passed</x:t>
        </x:is>
      </x:c>
      <x:c r="H37" s="92" t="inlineStr">
        <x:is>
          <x:t xml:space="preserve">covered</x:t>
        </x:is>
      </x:c>
      <x:c r="I37" s="84" t="inlineStr">
        <x:is>
          <x:t xml:space="preserve">Progress playground manual pass.</x:t>
        </x:is>
      </x:c>
      <x:c r="J37" s="84" t="n"/>
      <x:c r="K37" s="87" t="n">
        <x:f>IF(AND(E37="yes",F37="yes",H37="covered"),1,IF(AND(E37="yes",H37="partial"),0.5,0))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[data-percent] prop behavior</x:t>
        </x:is>
      </x:c>
      <x:c r="E38" s="76" t="inlineStr">
        <x:is>
          <x:t xml:space="preserve">yes</x:t>
        </x:is>
      </x:c>
      <x:c r="F38" s="76" t="inlineStr">
        <x:is>
          <x:t xml:space="preserve">yes</x:t>
        </x:is>
      </x:c>
      <x:c r="G38" s="73" t="inlineStr">
        <x:is>
          <x:t xml:space="preserve">passed</x:t>
        </x:is>
      </x:c>
      <x:c r="H38" s="92" t="inlineStr">
        <x:is>
          <x:t xml:space="preserve">covered</x:t>
        </x:is>
      </x:c>
      <x:c r="I38" s="84" t="inlineStr">
        <x:is>
          <x:t xml:space="preserve">Progress playground manual pass.</x:t>
        </x:is>
      </x:c>
      <x:c r="J38" s="84" t="n"/>
      <x:c r="K38" s="87" t="n">
        <x:f>IF(AND(E38="yes",F38="yes",H38="covered"),1,IF(AND(E38="yes",H38="partial"),0.5,0))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Anatomy</x:t>
        </x:is>
      </x:c>
      <x:c r="C39" s="84" t="inlineStr">
        <x:is>
          <x:t xml:space="preserve">Indicator</x:t>
        </x:is>
      </x:c>
      <x:c r="D39" s="84" t="inlineStr">
        <x:is>
          <x:t xml:space="preserve">renders correct part when expected</x:t>
        </x:is>
      </x:c>
      <x:c r="E39" s="76" t="inlineStr">
        <x:is>
          <x:t xml:space="preserve">yes</x:t>
        </x:is>
      </x:c>
      <x:c r="F39" s="76" t="inlineStr">
        <x:is>
          <x:t xml:space="preserve">yes</x:t>
        </x:is>
      </x:c>
      <x:c r="G39" s="73" t="inlineStr">
        <x:is>
          <x:t xml:space="preserve">passed</x:t>
        </x:is>
      </x:c>
      <x:c r="H39" s="92" t="inlineStr">
        <x:is>
          <x:t xml:space="preserve">covered</x:t>
        </x:is>
      </x:c>
      <x:c r="I39" s="84" t="inlineStr">
        <x:is>
          <x:t xml:space="preserve">Progress playground manual pass.</x:t>
        </x:is>
      </x:c>
      <x:c r="J39" s="84" t="n"/>
      <x:c r="K39" s="87" t="n">
        <x:f>IF(AND(E39="yes",F39="yes",H39="covered"),1,IF(AND(E39="yes",H39="partial"),0.5,0))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Anatomy</x:t>
        </x:is>
      </x:c>
      <x:c r="C40" s="84" t="inlineStr">
        <x:is>
          <x:t xml:space="preserve">Indicator</x:t>
        </x:is>
      </x:c>
      <x:c r="D40" s="84" t="inlineStr">
        <x:is>
          <x:t xml:space="preserve">appears in documented order</x:t>
        </x:is>
      </x:c>
      <x:c r="E40" s="76" t="inlineStr">
        <x:is>
          <x:t xml:space="preserve">yes</x:t>
        </x:is>
      </x:c>
      <x:c r="F40" s="76" t="inlineStr">
        <x:is>
          <x:t xml:space="preserve">yes</x:t>
        </x:is>
      </x:c>
      <x:c r="G40" s="73" t="inlineStr">
        <x:is>
          <x:t xml:space="preserve">passed</x:t>
        </x:is>
      </x:c>
      <x:c r="H40" s="92" t="inlineStr">
        <x:is>
          <x:t xml:space="preserve">covered</x:t>
        </x:is>
      </x:c>
      <x:c r="I40" s="84" t="inlineStr">
        <x:is>
          <x:t xml:space="preserve">Progress playground manual pass.</x:t>
        </x:is>
      </x:c>
      <x:c r="J40" s="84" t="n"/>
      <x:c r="K40" s="87" t="n">
        <x:f>IF(AND(E40="yes",F40="yes",H40="covered"),1,IF(AND(E40="yes",H40="partial"),0.5,0))</x:f>
        <x:v>1</x:v>
      </x:c>
    </x:row>
    <x:row r="41" s="51" customFormat="1" ht="30" customHeight="1">
      <x:c r="A41" s="73" t="n">
        <x:v>33</x:v>
      </x:c>
      <x:c r="B41" s="84" t="inlineStr">
        <x:is>
          <x:t xml:space="preserve">Identity</x:t>
        </x:is>
      </x:c>
      <x:c r="C41" s="84" t="inlineStr">
        <x:is>
          <x:t xml:space="preserve">Indicator</x:t>
        </x:is>
      </x:c>
      <x:c r="D41" s="84" t="inlineStr">
        <x:is>
          <x:t xml:space="preserve">default tag is visible in Anatomy/Inspector</x:t>
        </x:is>
      </x:c>
      <x:c r="E41" s="76" t="inlineStr">
        <x:is>
          <x:t xml:space="preserve">yes</x:t>
        </x:is>
      </x:c>
      <x:c r="F41" s="76" t="inlineStr">
        <x:is>
          <x:t xml:space="preserve">yes</x:t>
        </x:is>
      </x:c>
      <x:c r="G41" s="73" t="inlineStr">
        <x:is>
          <x:t xml:space="preserve">passed</x:t>
        </x:is>
      </x:c>
      <x:c r="H41" s="92" t="inlineStr">
        <x:is>
          <x:t xml:space="preserve">covered</x:t>
        </x:is>
      </x:c>
      <x:c r="I41" s="84" t="inlineStr">
        <x:is>
          <x:t xml:space="preserve">Progress playground manual pass.</x:t>
        </x:is>
      </x:c>
      <x:c r="J41" s="84" t="n"/>
      <x:c r="K41" s="87" t="n">
        <x:f>IF(AND(E41="yes",F41="yes",H41="covered"),1,IF(AND(E41="yes",H41="partial"),0.5,0))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Identity</x:t>
        </x:is>
      </x:c>
      <x:c r="C42" s="84" t="inlineStr">
        <x:is>
          <x:t xml:space="preserve">Indicator</x:t>
        </x:is>
      </x:c>
      <x:c r="D42" s="84" t="inlineStr">
        <x:is>
          <x:t xml:space="preserve">data-slot is present and correct</x:t>
        </x:is>
      </x:c>
      <x:c r="E42" s="76" t="inlineStr">
        <x:is>
          <x:t xml:space="preserve">yes</x:t>
        </x:is>
      </x:c>
      <x:c r="F42" s="76" t="inlineStr">
        <x:is>
          <x:t xml:space="preserve">yes</x:t>
        </x:is>
      </x:c>
      <x:c r="G42" s="73" t="inlineStr">
        <x:is>
          <x:t xml:space="preserve">passed</x:t>
        </x:is>
      </x:c>
      <x:c r="H42" s="92" t="inlineStr">
        <x:is>
          <x:t xml:space="preserve">covered</x:t>
        </x:is>
      </x:c>
      <x:c r="I42" s="84" t="inlineStr">
        <x:is>
          <x:t xml:space="preserve">Progress playground manual pass.</x:t>
        </x:is>
      </x:c>
      <x:c r="J42" s="84" t="n"/>
      <x:c r="K42" s="87" t="n">
        <x:f>IF(AND(E42="yes",F42="yes",H42="covered"),1,IF(AND(E42="yes",H42="partial"),0.5,0))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Props</x:t>
        </x:is>
      </x:c>
      <x:c r="C43" s="84" t="inlineStr">
        <x:is>
          <x:t xml:space="preserve">Indicator</x:t>
        </x:is>
      </x:c>
      <x:c r="D43" s="84" t="inlineStr">
        <x:is>
          <x:t xml:space="preserve">non-Atom native props pass through with data-prop-check marker</x:t>
        </x:is>
      </x:c>
      <x:c r="E43" s="76" t="inlineStr">
        <x:is>
          <x:t xml:space="preserve">yes</x:t>
        </x:is>
      </x:c>
      <x:c r="F43" s="76" t="inlineStr">
        <x:is>
          <x:t xml:space="preserve">yes</x:t>
        </x:is>
      </x:c>
      <x:c r="G43" s="73" t="inlineStr">
        <x:is>
          <x:t xml:space="preserve">passed</x:t>
        </x:is>
      </x:c>
      <x:c r="H43" s="92" t="inlineStr">
        <x:is>
          <x:t xml:space="preserve">covered</x:t>
        </x:is>
      </x:c>
      <x:c r="I43" s="84" t="inlineStr">
        <x:is>
          <x:t xml:space="preserve">Progress playground manual pass.</x:t>
        </x:is>
      </x:c>
      <x:c r="J43" s="84" t="n"/>
      <x:c r="K43" s="87" t="n">
        <x:f>IF(AND(E43="yes",F43="yes",H43="covered"),1,IF(AND(E43="yes",H43="partial"),0.5,0))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Refs</x:t>
        </x:is>
      </x:c>
      <x:c r="C44" s="84" t="inlineStr">
        <x:is>
          <x:t xml:space="preserve">Indicator</x:t>
        </x:is>
      </x:c>
      <x:c r="D44" s="84" t="inlineStr">
        <x:is>
          <x:t xml:space="preserve">consumer ref receives the rendered element</x:t>
        </x:is>
      </x:c>
      <x:c r="E44" s="76" t="inlineStr">
        <x:is>
          <x:t xml:space="preserve">yes</x:t>
        </x:is>
      </x:c>
      <x:c r="F44" s="76" t="inlineStr">
        <x:is>
          <x:t xml:space="preserve">yes</x:t>
        </x:is>
      </x:c>
      <x:c r="G44" s="73" t="inlineStr">
        <x:is>
          <x:t xml:space="preserve">passed</x:t>
        </x:is>
      </x:c>
      <x:c r="H44" s="92" t="inlineStr">
        <x:is>
          <x:t xml:space="preserve">covered</x:t>
        </x:is>
      </x:c>
      <x:c r="I44" s="84" t="inlineStr">
        <x:is>
          <x:t xml:space="preserve">Progress playground manual pass.</x:t>
        </x:is>
      </x:c>
      <x:c r="J44" s="84" t="n"/>
      <x:c r="K44" s="87" t="n">
        <x:f>IF(AND(E44="yes",F44="yes",H44="covered"),1,IF(AND(E44="yes",H44="partial"),0.5,0))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Composition</x:t>
        </x:is>
      </x:c>
      <x:c r="C45" s="84" t="inlineStr">
        <x:is>
          <x:t xml:space="preserve">Indicator</x:t>
        </x:is>
      </x:c>
      <x:c r="D45" s="84" t="inlineStr">
        <x:is>
          <x:t xml:space="preserve">asChild prop behavior</x:t>
        </x:is>
      </x:c>
      <x:c r="E45" s="76" t="inlineStr">
        <x:is>
          <x:t xml:space="preserve">yes</x:t>
        </x:is>
      </x:c>
      <x:c r="F45" s="76" t="inlineStr">
        <x:is>
          <x:t xml:space="preserve">yes</x:t>
        </x:is>
      </x:c>
      <x:c r="G45" s="73" t="inlineStr">
        <x:is>
          <x:t xml:space="preserve">passed</x:t>
        </x:is>
      </x:c>
      <x:c r="H45" s="92" t="inlineStr">
        <x:is>
          <x:t xml:space="preserve">covered</x:t>
        </x:is>
      </x:c>
      <x:c r="I45" s="84" t="inlineStr">
        <x:is>
          <x:t xml:space="preserve">Progress playground manual pass.</x:t>
        </x:is>
      </x:c>
      <x:c r="J45" s="84" t="n"/>
      <x:c r="K45" s="87" t="n">
        <x:f>IF(AND(E45="yes",F45="yes",H45="covered"),1,IF(AND(E45="yes",H45="partial"),0.5,0))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Composition</x:t>
        </x:is>
      </x:c>
      <x:c r="C46" s="84" t="inlineStr">
        <x:is>
          <x:t xml:space="preserve">Indicator</x:t>
        </x:is>
      </x:c>
      <x:c r="D46" s="84" t="inlineStr">
        <x:is>
          <x:t xml:space="preserve">render prop behavior</x:t>
        </x:is>
      </x:c>
      <x:c r="E46" s="76" t="inlineStr">
        <x:is>
          <x:t xml:space="preserve">yes</x:t>
        </x:is>
      </x:c>
      <x:c r="F46" s="76" t="inlineStr">
        <x:is>
          <x:t xml:space="preserve">yes</x:t>
        </x:is>
      </x:c>
      <x:c r="G46" s="73" t="inlineStr">
        <x:is>
          <x:t xml:space="preserve">passed</x:t>
        </x:is>
      </x:c>
      <x:c r="H46" s="92" t="inlineStr">
        <x:is>
          <x:t xml:space="preserve">covered</x:t>
        </x:is>
      </x:c>
      <x:c r="I46" s="84" t="inlineStr">
        <x:is>
          <x:t xml:space="preserve">Progress playground manual pass.</x:t>
        </x:is>
      </x:c>
      <x:c r="J46" s="84" t="n"/>
      <x:c r="K46" s="87" t="n">
        <x:f>IF(AND(E46="yes",F46="yes",H46="covered"),1,IF(AND(E46="yes",H46="partial"),0.5,0))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Public API</x:t>
        </x:is>
      </x:c>
      <x:c r="C47" s="84" t="inlineStr">
        <x:is>
          <x:t xml:space="preserve">Indicator</x:t>
        </x:is>
      </x:c>
      <x:c r="D47" s="84" t="inlineStr">
        <x:is>
          <x:t xml:space="preserve">[data-slot] prop behavior</x:t>
        </x:is>
      </x:c>
      <x:c r="E47" s="76" t="inlineStr">
        <x:is>
          <x:t xml:space="preserve">yes</x:t>
        </x:is>
      </x:c>
      <x:c r="F47" s="76" t="inlineStr">
        <x:is>
          <x:t xml:space="preserve">yes</x:t>
        </x:is>
      </x:c>
      <x:c r="G47" s="73" t="inlineStr">
        <x:is>
          <x:t xml:space="preserve">passed</x:t>
        </x:is>
      </x:c>
      <x:c r="H47" s="92" t="inlineStr">
        <x:is>
          <x:t xml:space="preserve">covered</x:t>
        </x:is>
      </x:c>
      <x:c r="I47" s="84" t="inlineStr">
        <x:is>
          <x:t xml:space="preserve">Progress playground manual pass.</x:t>
        </x:is>
      </x:c>
      <x:c r="J47" s="84" t="n"/>
      <x:c r="K47" s="87" t="n">
        <x:f>IF(AND(E47="yes",F47="yes",H47="covered"),1,IF(AND(E47="yes",H47="partial"),0.5,0))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Public API</x:t>
        </x:is>
      </x:c>
      <x:c r="C48" s="84" t="inlineStr">
        <x:is>
          <x:t xml:space="preserve">Indicator</x:t>
        </x:is>
      </x:c>
      <x:c r="D48" s="84" t="inlineStr">
        <x:is>
          <x:t xml:space="preserve">[data-state] prop behavior</x:t>
        </x:is>
      </x:c>
      <x:c r="E48" s="76" t="inlineStr">
        <x:is>
          <x:t xml:space="preserve">yes</x:t>
        </x:is>
      </x:c>
      <x:c r="F48" s="76" t="inlineStr">
        <x:is>
          <x:t xml:space="preserve">yes</x:t>
        </x:is>
      </x:c>
      <x:c r="G48" s="73" t="inlineStr">
        <x:is>
          <x:t xml:space="preserve">passed</x:t>
        </x:is>
      </x:c>
      <x:c r="H48" s="92" t="inlineStr">
        <x:is>
          <x:t xml:space="preserve">covered</x:t>
        </x:is>
      </x:c>
      <x:c r="I48" s="84" t="inlineStr">
        <x:is>
          <x:t xml:space="preserve">Progress playground manual pass.</x:t>
        </x:is>
      </x:c>
      <x:c r="J48" s="84" t="n"/>
      <x:c r="K48" s="87" t="n">
        <x:f>IF(AND(E48="yes",F48="yes",H48="covered"),1,IF(AND(E48="yes",H48="partial"),0.5,0))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Public API</x:t>
        </x:is>
      </x:c>
      <x:c r="C49" s="84" t="inlineStr">
        <x:is>
          <x:t xml:space="preserve">Indicator</x:t>
        </x:is>
      </x:c>
      <x:c r="D49" s="84" t="inlineStr">
        <x:is>
          <x:t xml:space="preserve">[data-min] prop behavior</x:t>
        </x:is>
      </x:c>
      <x:c r="E49" s="76" t="inlineStr">
        <x:is>
          <x:t xml:space="preserve">yes</x:t>
        </x:is>
      </x:c>
      <x:c r="F49" s="76" t="inlineStr">
        <x:is>
          <x:t xml:space="preserve">yes</x:t>
        </x:is>
      </x:c>
      <x:c r="G49" s="73" t="inlineStr">
        <x:is>
          <x:t xml:space="preserve">passed</x:t>
        </x:is>
      </x:c>
      <x:c r="H49" s="92" t="inlineStr">
        <x:is>
          <x:t xml:space="preserve">covered</x:t>
        </x:is>
      </x:c>
      <x:c r="I49" s="84" t="inlineStr">
        <x:is>
          <x:t xml:space="preserve">Progress playground manual pass.</x:t>
        </x:is>
      </x:c>
      <x:c r="J49" s="84" t="n"/>
      <x:c r="K49" s="87" t="n">
        <x:f>IF(AND(E49="yes",F49="yes",H49="covered"),1,IF(AND(E49="yes",H49="partial"),0.5,0))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Indicator</x:t>
        </x:is>
      </x:c>
      <x:c r="D50" s="84" t="inlineStr">
        <x:is>
          <x:t xml:space="preserve">[data-max] prop behavior</x:t>
        </x:is>
      </x:c>
      <x:c r="E50" s="76" t="inlineStr">
        <x:is>
          <x:t xml:space="preserve">yes</x:t>
        </x:is>
      </x:c>
      <x:c r="F50" s="76" t="inlineStr">
        <x:is>
          <x:t xml:space="preserve">yes</x:t>
        </x:is>
      </x:c>
      <x:c r="G50" s="73" t="inlineStr">
        <x:is>
          <x:t xml:space="preserve">passed</x:t>
        </x:is>
      </x:c>
      <x:c r="H50" s="92" t="inlineStr">
        <x:is>
          <x:t xml:space="preserve">covered</x:t>
        </x:is>
      </x:c>
      <x:c r="I50" s="84" t="inlineStr">
        <x:is>
          <x:t xml:space="preserve">Progress playground manual pass.</x:t>
        </x:is>
      </x:c>
      <x:c r="J50" s="84" t="n"/>
      <x:c r="K50" s="87" t="n">
        <x:f>IF(AND(E50="yes",F50="yes",H50="covered"),1,IF(AND(E50="yes",H50="partial"),0.5,0))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State</x:t>
        </x:is>
      </x:c>
      <x:c r="C51" s="84" t="inlineStr">
        <x:is>
          <x:t xml:space="preserve">Indicator</x:t>
        </x:is>
      </x:c>
      <x:c r="D51" s="84" t="inlineStr">
        <x:is>
          <x:t xml:space="preserve">[data-value] prop behavior</x:t>
        </x:is>
      </x:c>
      <x:c r="E51" s="76" t="inlineStr">
        <x:is>
          <x:t xml:space="preserve">yes</x:t>
        </x:is>
      </x:c>
      <x:c r="F51" s="76" t="inlineStr">
        <x:is>
          <x:t xml:space="preserve">yes</x:t>
        </x:is>
      </x:c>
      <x:c r="G51" s="73" t="inlineStr">
        <x:is>
          <x:t xml:space="preserve">passed</x:t>
        </x:is>
      </x:c>
      <x:c r="H51" s="92" t="inlineStr">
        <x:is>
          <x:t xml:space="preserve">covered</x:t>
        </x:is>
      </x:c>
      <x:c r="I51" s="84" t="inlineStr">
        <x:is>
          <x:t xml:space="preserve">Progress playground manual pass.</x:t>
        </x:is>
      </x:c>
      <x:c r="J51" s="84" t="n"/>
      <x:c r="K51" s="87" t="n">
        <x:f>IF(AND(E51="yes",F51="yes",H51="covered"),1,IF(AND(E51="yes",H51="partial"),0.5,0))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Indicator</x:t>
        </x:is>
      </x:c>
      <x:c r="D52" s="84" t="inlineStr">
        <x:is>
          <x:t xml:space="preserve">[data-percent] prop behavior</x:t>
        </x:is>
      </x:c>
      <x:c r="E52" s="76" t="inlineStr">
        <x:is>
          <x:t xml:space="preserve">yes</x:t>
        </x:is>
      </x:c>
      <x:c r="F52" s="76" t="inlineStr">
        <x:is>
          <x:t xml:space="preserve">yes</x:t>
        </x:is>
      </x:c>
      <x:c r="G52" s="73" t="inlineStr">
        <x:is>
          <x:t xml:space="preserve">passed</x:t>
        </x:is>
      </x:c>
      <x:c r="H52" s="92" t="inlineStr">
        <x:is>
          <x:t xml:space="preserve">covered</x:t>
        </x:is>
      </x:c>
      <x:c r="I52" s="84" t="inlineStr">
        <x:is>
          <x:t xml:space="preserve">Progress playground manual pass.</x:t>
        </x:is>
      </x:c>
      <x:c r="J52" s="84" t="n"/>
      <x:c r="K52" s="87" t="n">
        <x:f>IF(AND(E52="yes",F52="yes",H52="covered"),1,IF(AND(E52="yes",H52="partial"),0.5,0))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ARIA</x:t>
        </x:is>
      </x:c>
      <x:c r="C53" s="84" t="inlineStr">
        <x:is>
          <x:t xml:space="preserve">Live DOM</x:t>
        </x:is>
      </x:c>
      <x:c r="D53" s="84" t="inlineStr">
        <x:is>
          <x:t xml:space="preserve">aria-hidden is present at the correct time</x:t>
        </x:is>
      </x:c>
      <x:c r="E53" s="76" t="inlineStr">
        <x:is>
          <x:t xml:space="preserve">yes</x:t>
        </x:is>
      </x:c>
      <x:c r="F53" s="76" t="inlineStr">
        <x:is>
          <x:t xml:space="preserve">yes</x:t>
        </x:is>
      </x:c>
      <x:c r="G53" s="73" t="inlineStr">
        <x:is>
          <x:t xml:space="preserve">passed</x:t>
        </x:is>
      </x:c>
      <x:c r="H53" s="92" t="inlineStr">
        <x:is>
          <x:t xml:space="preserve">covered</x:t>
        </x:is>
      </x:c>
      <x:c r="I53" s="84" t="inlineStr">
        <x:is>
          <x:t xml:space="preserve">Progress playground manual pass.</x:t>
        </x:is>
      </x:c>
      <x:c r="J53" s="84" t="n"/>
      <x:c r="K53" s="87" t="n">
        <x:f>IF(AND(E53="yes",F53="yes",H53="covered"),1,IF(AND(E53="yes",H53="partial"),0.5,0))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ARIA</x:t>
        </x:is>
      </x:c>
      <x:c r="C54" s="84" t="inlineStr">
        <x:is>
          <x:t xml:space="preserve">Live DOM</x:t>
        </x:is>
      </x:c>
      <x:c r="D54" s="84" t="inlineStr">
        <x:is>
          <x:t xml:space="preserve">aria-valuemax is present at the correct time</x:t>
        </x:is>
      </x:c>
      <x:c r="E54" s="76" t="inlineStr">
        <x:is>
          <x:t xml:space="preserve">yes</x:t>
        </x:is>
      </x:c>
      <x:c r="F54" s="76" t="inlineStr">
        <x:is>
          <x:t xml:space="preserve">yes</x:t>
        </x:is>
      </x:c>
      <x:c r="G54" s="73" t="inlineStr">
        <x:is>
          <x:t xml:space="preserve">passed</x:t>
        </x:is>
      </x:c>
      <x:c r="H54" s="92" t="inlineStr">
        <x:is>
          <x:t xml:space="preserve">covered</x:t>
        </x:is>
      </x:c>
      <x:c r="I54" s="84" t="inlineStr">
        <x:is>
          <x:t xml:space="preserve">Progress playground manual pass.</x:t>
        </x:is>
      </x:c>
      <x:c r="J54" s="84" t="n"/>
      <x:c r="K54" s="87" t="n">
        <x:f>IF(AND(E54="yes",F54="yes",H54="covered"),1,IF(AND(E54="yes",H54="partial"),0.5,0))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ARIA</x:t>
        </x:is>
      </x:c>
      <x:c r="C55" s="84" t="inlineStr">
        <x:is>
          <x:t xml:space="preserve">Live DOM</x:t>
        </x:is>
      </x:c>
      <x:c r="D55" s="84" t="inlineStr">
        <x:is>
          <x:t xml:space="preserve">aria-valuemin is present at the correct time</x:t>
        </x:is>
      </x:c>
      <x:c r="E55" s="76" t="inlineStr">
        <x:is>
          <x:t xml:space="preserve">yes</x:t>
        </x:is>
      </x:c>
      <x:c r="F55" s="76" t="inlineStr">
        <x:is>
          <x:t xml:space="preserve">yes</x:t>
        </x:is>
      </x:c>
      <x:c r="G55" s="73" t="inlineStr">
        <x:is>
          <x:t xml:space="preserve">passed</x:t>
        </x:is>
      </x:c>
      <x:c r="H55" s="92" t="inlineStr">
        <x:is>
          <x:t xml:space="preserve">covered</x:t>
        </x:is>
      </x:c>
      <x:c r="I55" s="84" t="inlineStr">
        <x:is>
          <x:t xml:space="preserve">Progress playground manual pass.</x:t>
        </x:is>
      </x:c>
      <x:c r="J55" s="84" t="n"/>
      <x:c r="K55" s="87" t="n">
        <x:f>IF(AND(E55="yes",F55="yes",H55="covered"),1,IF(AND(E55="yes",H55="partial"),0.5,0))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ARIA</x:t>
        </x:is>
      </x:c>
      <x:c r="C56" s="84" t="inlineStr">
        <x:is>
          <x:t xml:space="preserve">Live DOM</x:t>
        </x:is>
      </x:c>
      <x:c r="D56" s="84" t="inlineStr">
        <x:is>
          <x:t xml:space="preserve">aria-valuenow is present at the correct time</x:t>
        </x:is>
      </x:c>
      <x:c r="E56" s="76" t="inlineStr">
        <x:is>
          <x:t xml:space="preserve">yes</x:t>
        </x:is>
      </x:c>
      <x:c r="F56" s="76" t="inlineStr">
        <x:is>
          <x:t xml:space="preserve">yes</x:t>
        </x:is>
      </x:c>
      <x:c r="G56" s="73" t="inlineStr">
        <x:is>
          <x:t xml:space="preserve">passed</x:t>
        </x:is>
      </x:c>
      <x:c r="H56" s="92" t="inlineStr">
        <x:is>
          <x:t xml:space="preserve">covered</x:t>
        </x:is>
      </x:c>
      <x:c r="I56" s="84" t="inlineStr">
        <x:is>
          <x:t xml:space="preserve">Progress playground manual pass.</x:t>
        </x:is>
      </x:c>
      <x:c r="J56" s="84" t="n"/>
      <x:c r="K56" s="87" t="n">
        <x:f>IF(AND(E56="yes",F56="yes",H56="covered"),1,IF(AND(E56="yes",H56="partial"),0.5,0))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ARIA</x:t>
        </x:is>
      </x:c>
      <x:c r="C57" s="84" t="inlineStr">
        <x:is>
          <x:t xml:space="preserve">Live DOM</x:t>
        </x:is>
      </x:c>
      <x:c r="D57" s="84" t="inlineStr">
        <x:is>
          <x:t xml:space="preserve">aria-valuetext is present at the correct time</x:t>
        </x:is>
      </x:c>
      <x:c r="E57" s="76" t="inlineStr">
        <x:is>
          <x:t xml:space="preserve">yes</x:t>
        </x:is>
      </x:c>
      <x:c r="F57" s="76" t="inlineStr">
        <x:is>
          <x:t xml:space="preserve">yes</x:t>
        </x:is>
      </x:c>
      <x:c r="G57" s="73" t="inlineStr">
        <x:is>
          <x:t xml:space="preserve">passed</x:t>
        </x:is>
      </x:c>
      <x:c r="H57" s="92" t="inlineStr">
        <x:is>
          <x:t xml:space="preserve">covered</x:t>
        </x:is>
      </x:c>
      <x:c r="I57" s="84" t="inlineStr">
        <x:is>
          <x:t xml:space="preserve">Progress playground manual pass.</x:t>
        </x:is>
      </x:c>
      <x:c r="J57" s="84" t="n"/>
      <x:c r="K57" s="87" t="n">
        <x:f>IF(AND(E57="yes",F57="yes",H57="covered"),1,IF(AND(E57="yes",H57="partial"),0.5,0))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Data</x:t>
        </x:is>
      </x:c>
      <x:c r="C58" s="84" t="inlineStr">
        <x:is>
          <x:t xml:space="preserve">Live DOM</x:t>
        </x:is>
      </x:c>
      <x:c r="D58" s="84" t="inlineStr">
        <x:is>
          <x:t xml:space="preserve">data-max is present at the correct time</x:t>
        </x:is>
      </x:c>
      <x:c r="E58" s="76" t="inlineStr">
        <x:is>
          <x:t xml:space="preserve">yes</x:t>
        </x:is>
      </x:c>
      <x:c r="F58" s="76" t="inlineStr">
        <x:is>
          <x:t xml:space="preserve">yes</x:t>
        </x:is>
      </x:c>
      <x:c r="G58" s="73" t="inlineStr">
        <x:is>
          <x:t xml:space="preserve">passed</x:t>
        </x:is>
      </x:c>
      <x:c r="H58" s="92" t="inlineStr">
        <x:is>
          <x:t xml:space="preserve">covered</x:t>
        </x:is>
      </x:c>
      <x:c r="I58" s="84" t="inlineStr">
        <x:is>
          <x:t xml:space="preserve">Progress playground manual pass.</x:t>
        </x:is>
      </x:c>
      <x:c r="J58" s="84" t="n"/>
      <x:c r="K58" s="87" t="n">
        <x:f>IF(AND(E58="yes",F58="yes",H58="covered"),1,IF(AND(E58="yes",H58="partial"),0.5,0))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Data</x:t>
        </x:is>
      </x:c>
      <x:c r="C59" s="84" t="inlineStr">
        <x:is>
          <x:t xml:space="preserve">Live DOM</x:t>
        </x:is>
      </x:c>
      <x:c r="D59" s="84" t="inlineStr">
        <x:is>
          <x:t xml:space="preserve">data-min is present at the correct time</x:t>
        </x:is>
      </x:c>
      <x:c r="E59" s="76" t="inlineStr">
        <x:is>
          <x:t xml:space="preserve">yes</x:t>
        </x:is>
      </x:c>
      <x:c r="F59" s="76" t="inlineStr">
        <x:is>
          <x:t xml:space="preserve">yes</x:t>
        </x:is>
      </x:c>
      <x:c r="G59" s="73" t="inlineStr">
        <x:is>
          <x:t xml:space="preserve">passed</x:t>
        </x:is>
      </x:c>
      <x:c r="H59" s="92" t="inlineStr">
        <x:is>
          <x:t xml:space="preserve">covered</x:t>
        </x:is>
      </x:c>
      <x:c r="I59" s="84" t="inlineStr">
        <x:is>
          <x:t xml:space="preserve">Progress playground manual pass.</x:t>
        </x:is>
      </x:c>
      <x:c r="J59" s="84" t="n"/>
      <x:c r="K59" s="87" t="n">
        <x:f>IF(AND(E59="yes",F59="yes",H59="covered"),1,IF(AND(E59="yes",H59="partial"),0.5,0))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Data</x:t>
        </x:is>
      </x:c>
      <x:c r="C60" s="84" t="inlineStr">
        <x:is>
          <x:t xml:space="preserve">Live DOM</x:t>
        </x:is>
      </x:c>
      <x:c r="D60" s="84" t="inlineStr">
        <x:is>
          <x:t xml:space="preserve">data-percent is present at the correct time</x:t>
        </x:is>
      </x:c>
      <x:c r="E60" s="76" t="inlineStr">
        <x:is>
          <x:t xml:space="preserve">yes</x:t>
        </x:is>
      </x:c>
      <x:c r="F60" s="76" t="inlineStr">
        <x:is>
          <x:t xml:space="preserve">yes</x:t>
        </x:is>
      </x:c>
      <x:c r="G60" s="73" t="inlineStr">
        <x:is>
          <x:t xml:space="preserve">passed</x:t>
        </x:is>
      </x:c>
      <x:c r="H60" s="92" t="inlineStr">
        <x:is>
          <x:t xml:space="preserve">covered</x:t>
        </x:is>
      </x:c>
      <x:c r="I60" s="84" t="inlineStr">
        <x:is>
          <x:t xml:space="preserve">Progress playground manual pass.</x:t>
        </x:is>
      </x:c>
      <x:c r="J60" s="84" t="n"/>
      <x:c r="K60" s="87" t="n">
        <x:f>IF(AND(E60="yes",F60="yes",H60="covered"),1,IF(AND(E60="yes",H60="partial"),0.5,0))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Data</x:t>
        </x:is>
      </x:c>
      <x:c r="C61" s="84" t="inlineStr">
        <x:is>
          <x:t xml:space="preserve">Live DOM</x:t>
        </x:is>
      </x:c>
      <x:c r="D61" s="84" t="inlineStr">
        <x:is>
          <x:t xml:space="preserve">data-slot is present at the correct time</x:t>
        </x:is>
      </x:c>
      <x:c r="E61" s="76" t="inlineStr">
        <x:is>
          <x:t xml:space="preserve">yes</x:t>
        </x:is>
      </x:c>
      <x:c r="F61" s="76" t="inlineStr">
        <x:is>
          <x:t xml:space="preserve">yes</x:t>
        </x:is>
      </x:c>
      <x:c r="G61" s="73" t="inlineStr">
        <x:is>
          <x:t xml:space="preserve">passed</x:t>
        </x:is>
      </x:c>
      <x:c r="H61" s="92" t="inlineStr">
        <x:is>
          <x:t xml:space="preserve">covered</x:t>
        </x:is>
      </x:c>
      <x:c r="I61" s="84" t="inlineStr">
        <x:is>
          <x:t xml:space="preserve">Progress playground manual pass.</x:t>
        </x:is>
      </x:c>
      <x:c r="J61" s="84" t="n"/>
      <x:c r="K61" s="87" t="n">
        <x:f>IF(AND(E61="yes",F61="yes",H61="covered"),1,IF(AND(E61="yes",H61="partial"),0.5,0))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Data</x:t>
        </x:is>
      </x:c>
      <x:c r="C62" s="84" t="inlineStr">
        <x:is>
          <x:t xml:space="preserve">Live DOM</x:t>
        </x:is>
      </x:c>
      <x:c r="D62" s="84" t="inlineStr">
        <x:is>
          <x:t xml:space="preserve">data-state is present at the correct time</x:t>
        </x:is>
      </x:c>
      <x:c r="E62" s="76" t="inlineStr">
        <x:is>
          <x:t xml:space="preserve">yes</x:t>
        </x:is>
      </x:c>
      <x:c r="F62" s="76" t="inlineStr">
        <x:is>
          <x:t xml:space="preserve">yes</x:t>
        </x:is>
      </x:c>
      <x:c r="G62" s="73" t="inlineStr">
        <x:is>
          <x:t xml:space="preserve">passed</x:t>
        </x:is>
      </x:c>
      <x:c r="H62" s="92" t="inlineStr">
        <x:is>
          <x:t xml:space="preserve">covered</x:t>
        </x:is>
      </x:c>
      <x:c r="I62" s="84" t="inlineStr">
        <x:is>
          <x:t xml:space="preserve">Progress playground manual pass.</x:t>
        </x:is>
      </x:c>
      <x:c r="J62" s="84" t="n"/>
      <x:c r="K62" s="87" t="n">
        <x:f>IF(AND(E62="yes",F62="yes",H62="covered"),1,IF(AND(E62="yes",H62="partial"),0.5,0))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Data</x:t>
        </x:is>
      </x:c>
      <x:c r="C63" s="84" t="inlineStr">
        <x:is>
          <x:t xml:space="preserve">Live DOM</x:t>
        </x:is>
      </x:c>
      <x:c r="D63" s="84" t="inlineStr">
        <x:is>
          <x:t xml:space="preserve">data-value is present at the correct time</x:t>
        </x:is>
      </x:c>
      <x:c r="E63" s="76" t="inlineStr">
        <x:is>
          <x:t xml:space="preserve">yes</x:t>
        </x:is>
      </x:c>
      <x:c r="F63" s="76" t="inlineStr">
        <x:is>
          <x:t xml:space="preserve">yes</x:t>
        </x:is>
      </x:c>
      <x:c r="G63" s="73" t="inlineStr">
        <x:is>
          <x:t xml:space="preserve">passed</x:t>
        </x:is>
      </x:c>
      <x:c r="H63" s="92" t="inlineStr">
        <x:is>
          <x:t xml:space="preserve">covered</x:t>
        </x:is>
      </x:c>
      <x:c r="I63" s="84" t="inlineStr">
        <x:is>
          <x:t xml:space="preserve">Progress playground manual pass.</x:t>
        </x:is>
      </x:c>
      <x:c r="J63" s="84" t="n"/>
      <x:c r="K63" s="87" t="n">
        <x:f>IF(AND(E63="yes",F63="yes",H63="covered"),1,IF(AND(E63="yes",H63="partial"),0.5,0))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Composition</x:t>
        </x:is>
      </x:c>
      <x:c r="C64" s="84" t="inlineStr">
        <x:is>
          <x:t xml:space="preserve">Progress</x:t>
        </x:is>
      </x:c>
      <x:c r="D64" s="84" t="inlineStr">
        <x:is>
          <x:t xml:space="preserve">asChild preserves child content without double nesting</x:t>
        </x:is>
      </x:c>
      <x:c r="E64" s="76" t="inlineStr">
        <x:is>
          <x:t xml:space="preserve">yes</x:t>
        </x:is>
      </x:c>
      <x:c r="F64" s="76" t="inlineStr">
        <x:is>
          <x:t xml:space="preserve">yes</x:t>
        </x:is>
      </x:c>
      <x:c r="G64" s="73" t="inlineStr">
        <x:is>
          <x:t xml:space="preserve">passed</x:t>
        </x:is>
      </x:c>
      <x:c r="H64" s="92" t="inlineStr">
        <x:is>
          <x:t xml:space="preserve">covered</x:t>
        </x:is>
      </x:c>
      <x:c r="I64" s="84" t="inlineStr">
        <x:is>
          <x:t xml:space="preserve">Progress playground manual pass.</x:t>
        </x:is>
      </x:c>
      <x:c r="J64" s="84" t="n"/>
      <x:c r="K64" s="87" t="n">
        <x:f>IF(AND(E64="yes",F64="yes",H64="covered"),1,IF(AND(E64="yes",H64="partial"),0.5,0))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Composition</x:t>
        </x:is>
      </x:c>
      <x:c r="C65" s="84" t="inlineStr">
        <x:is>
          <x:t xml:space="preserve">Progress</x:t>
        </x:is>
      </x:c>
      <x:c r="D65" s="84" t="inlineStr">
        <x:is>
          <x:t xml:space="preserve">asChild merges Atom props and consumer props</x:t>
        </x:is>
      </x:c>
      <x:c r="E65" s="76" t="inlineStr">
        <x:is>
          <x:t xml:space="preserve">yes</x:t>
        </x:is>
      </x:c>
      <x:c r="F65" s="76" t="inlineStr">
        <x:is>
          <x:t xml:space="preserve">yes</x:t>
        </x:is>
      </x:c>
      <x:c r="G65" s="73" t="inlineStr">
        <x:is>
          <x:t xml:space="preserve">passed</x:t>
        </x:is>
      </x:c>
      <x:c r="H65" s="92" t="inlineStr">
        <x:is>
          <x:t xml:space="preserve">covered</x:t>
        </x:is>
      </x:c>
      <x:c r="I65" s="84" t="inlineStr">
        <x:is>
          <x:t xml:space="preserve">Progress playground manual pass.</x:t>
        </x:is>
      </x:c>
      <x:c r="J65" s="84" t="n"/>
      <x:c r="K65" s="87" t="n">
        <x:f>IF(AND(E65="yes",F65="yes",H65="covered"),1,IF(AND(E65="yes",H65="partial"),0.5,0))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Composition</x:t>
        </x:is>
      </x:c>
      <x:c r="C66" s="84" t="inlineStr">
        <x:is>
          <x:t xml:space="preserve">Progress</x:t>
        </x:is>
      </x:c>
      <x:c r="D66" s="84" t="inlineStr">
        <x:is>
          <x:t xml:space="preserve">render prop renders custom element</x:t>
        </x:is>
      </x:c>
      <x:c r="E66" s="76" t="inlineStr">
        <x:is>
          <x:t xml:space="preserve">yes</x:t>
        </x:is>
      </x:c>
      <x:c r="F66" s="76" t="inlineStr">
        <x:is>
          <x:t xml:space="preserve">yes</x:t>
        </x:is>
      </x:c>
      <x:c r="G66" s="73" t="inlineStr">
        <x:is>
          <x:t xml:space="preserve">passed</x:t>
        </x:is>
      </x:c>
      <x:c r="H66" s="92" t="inlineStr">
        <x:is>
          <x:t xml:space="preserve">covered</x:t>
        </x:is>
      </x:c>
      <x:c r="I66" s="84" t="inlineStr">
        <x:is>
          <x:t xml:space="preserve">Progress playground manual pass.</x:t>
        </x:is>
      </x:c>
      <x:c r="J66" s="84" t="n"/>
      <x:c r="K66" s="87" t="n">
        <x:f>IF(AND(E66="yes",F66="yes",H66="covered"),1,IF(AND(E66="yes",H66="partial"),0.5,0))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Composition</x:t>
        </x:is>
      </x:c>
      <x:c r="C67" s="84" t="inlineStr">
        <x:is>
          <x:t xml:space="preserve">Progress</x:t>
        </x:is>
      </x:c>
      <x:c r="D67" s="84" t="inlineStr">
        <x:is>
          <x:t xml:space="preserve">render prop preserves refs and behavior props</x:t>
        </x:is>
      </x:c>
      <x:c r="E67" s="76" t="inlineStr">
        <x:is>
          <x:t xml:space="preserve">yes</x:t>
        </x:is>
      </x:c>
      <x:c r="F67" s="76" t="inlineStr">
        <x:is>
          <x:t xml:space="preserve">yes</x:t>
        </x:is>
      </x:c>
      <x:c r="G67" s="73" t="inlineStr">
        <x:is>
          <x:t xml:space="preserve">passed</x:t>
        </x:is>
      </x:c>
      <x:c r="H67" s="92" t="inlineStr">
        <x:is>
          <x:t xml:space="preserve">covered</x:t>
        </x:is>
      </x:c>
      <x:c r="I67" s="84" t="inlineStr">
        <x:is>
          <x:t xml:space="preserve">Progress playground manual pass.</x:t>
        </x:is>
      </x:c>
      <x:c r="J67" s="84" t="n"/>
      <x:c r="K67" s="87" t="n">
        <x:f>IF(AND(E67="yes",F67="yes",H67="covered"),1,IF(AND(E67="yes",H67="partial"),0.5,0))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RadioGroup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0.9574468085106383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90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4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ready for manual test</x:t>
        </x:is>
      </x:c>
      <x:c r="H9" s="86" t="inlineStr">
        <x:is>
          <x:t xml:space="preserve">covered</x:t>
        </x:is>
      </x:c>
      <x:c r="I9" s="84" t="inlineStr">
        <x:is>
          <x:t xml:space="preserve">RadioGroup playground scenario.</x:t>
        </x:is>
      </x:c>
      <x:c r="J9" s="84" t="n"/>
      <x:c r="K9" s="87" t="n">
        <x:f>IF(AND(E9="yes",F9="yes",H9="covered"),1,IF(H9="partial",0.5,0))</x:f>
        <x:v>1</x:v>
      </x:c>
    </x:row>
    <x:row r="10" s="51" customFormat="1" ht="4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ready for manual test</x:t>
        </x:is>
      </x:c>
      <x:c r="H10" s="86" t="inlineStr">
        <x:is>
          <x:t xml:space="preserve">covered</x:t>
        </x:is>
      </x:c>
      <x:c r="I10" s="84" t="inlineStr">
        <x:is>
          <x:t xml:space="preserve">RadioGroup playground scenario.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RadioGroup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ready for manual test</x:t>
        </x:is>
      </x:c>
      <x:c r="H11" s="86" t="inlineStr">
        <x:is>
          <x:t xml:space="preserve">covered</x:t>
        </x:is>
      </x:c>
      <x:c r="I11" s="84" t="inlineStr">
        <x:is>
          <x:t xml:space="preserve">RadioGroup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RadioGroup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ready for manual test</x:t>
        </x:is>
      </x:c>
      <x:c r="H12" s="86" t="inlineStr">
        <x:is>
          <x:t xml:space="preserve">covered</x:t>
        </x:is>
      </x:c>
      <x:c r="I12" s="84" t="inlineStr">
        <x:is>
          <x:t xml:space="preserve">RadioGroup playground page uses shared Canvas/Source, Anatomy, Inspector, and Log infrastructure.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RadioGroup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ready for manual test</x:t>
        </x:is>
      </x:c>
      <x:c r="H13" s="86" t="inlineStr">
        <x:is>
          <x:t xml:space="preserve">covered</x:t>
        </x:is>
      </x:c>
      <x:c r="I13" s="84" t="inlineStr">
        <x:is>
          <x:t xml:space="preserve">RadioGroup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RadioGroup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ready for manual test</x:t>
        </x:is>
      </x:c>
      <x:c r="H14" s="86" t="inlineStr">
        <x:is>
          <x:t xml:space="preserve">covered</x:t>
        </x:is>
      </x:c>
      <x:c r="I14" s="84" t="inlineStr">
        <x:is>
          <x:t xml:space="preserve">RadioGroup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RadioGroup</x:t>
        </x:is>
      </x:c>
      <x:c r="D15" s="84" t="inlineStr">
        <x:is>
          <x:t xml:space="preserve">Manages one selected value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ready for manual test</x:t>
        </x:is>
      </x:c>
      <x:c r="H15" s="86" t="inlineStr">
        <x:is>
          <x:t xml:space="preserve">covered</x:t>
        </x:is>
      </x:c>
      <x:c r="I15" s="84" t="inlineStr">
        <x:is>
          <x:t xml:space="preserve">RadioGroup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RadioGroup</x:t>
        </x:is>
      </x:c>
      <x:c r="D16" s="84" t="inlineStr">
        <x:is>
          <x:t xml:space="preserve">Can be controlled or uncontrolled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ready for manual test</x:t>
        </x:is>
      </x:c>
      <x:c r="H16" s="86" t="inlineStr">
        <x:is>
          <x:t xml:space="preserve">covered</x:t>
        </x:is>
      </x:c>
      <x:c r="I16" s="84" t="inlineStr">
        <x:is>
          <x:t xml:space="preserve">RadioGroup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RadioGroup</x:t>
        </x:is>
      </x:c>
      <x:c r="D17" s="84" t="inlineStr">
        <x:is>
          <x:t xml:space="preserve">Supports horizontal and vertical keyboard navigation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ready for manual test</x:t>
        </x:is>
      </x:c>
      <x:c r="H17" s="86" t="inlineStr">
        <x:is>
          <x:t xml:space="preserve">covered</x:t>
        </x:is>
      </x:c>
      <x:c r="I17" s="84" t="inlineStr">
        <x:is>
          <x:t xml:space="preserve">RadioGroup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RadioGroup</x:t>
        </x:is>
      </x:c>
      <x:c r="D18" s="84" t="inlineStr">
        <x:is>
          <x:t xml:space="preserve">Supports optional looping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ready for manual test</x:t>
        </x:is>
      </x:c>
      <x:c r="H18" s="86" t="inlineStr">
        <x:is>
          <x:t xml:space="preserve">covered</x:t>
        </x:is>
      </x:c>
      <x:c r="I18" s="84" t="inlineStr">
        <x:is>
          <x:t xml:space="preserve">RadioGroup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RadioGroup</x:t>
        </x:is>
      </x:c>
      <x:c r="D19" s="84" t="inlineStr">
        <x:is>
          <x:t xml:space="preserve">Renders hidden native radio inputs for form submission when named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ready for manual test</x:t>
        </x:is>
      </x:c>
      <x:c r="H19" s="86" t="inlineStr">
        <x:is>
          <x:t xml:space="preserve">covered</x:t>
        </x:is>
      </x:c>
      <x:c r="I19" s="84" t="inlineStr">
        <x:is>
          <x:t xml:space="preserve">RadioGroup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RadioGroup</x:t>
        </x:is>
      </x:c>
      <x:c r="D20" s="84" t="inlineStr">
        <x:is>
          <x:t xml:space="preserve">Keeps only the selected or first enabled item in the tab order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ready for manual test</x:t>
        </x:is>
      </x:c>
      <x:c r="H20" s="86" t="inlineStr">
        <x:is>
          <x:t xml:space="preserve">covered</x:t>
        </x:is>
      </x:c>
      <x:c r="I20" s="84" t="inlineStr">
        <x:is>
          <x:t xml:space="preserve">RadioGroup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ready for manual test</x:t>
        </x:is>
      </x:c>
      <x:c r="H21" s="86" t="inlineStr">
        <x:is>
          <x:t xml:space="preserve">covered</x:t>
        </x:is>
      </x:c>
      <x:c r="I21" s="84" t="inlineStr">
        <x:is>
          <x:t xml:space="preserve">RadioGroup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ready for manual test</x:t>
        </x:is>
      </x:c>
      <x:c r="H22" s="86" t="inlineStr">
        <x:is>
          <x:t xml:space="preserve">covered</x:t>
        </x:is>
      </x:c>
      <x:c r="I22" s="84" t="inlineStr">
        <x:is>
          <x:t xml:space="preserve">RadioGroup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ready for manual test</x:t>
        </x:is>
      </x:c>
      <x:c r="H23" s="86" t="inlineStr">
        <x:is>
          <x:t xml:space="preserve">covered</x:t>
        </x:is>
      </x:c>
      <x:c r="I23" s="84" t="inlineStr">
        <x:is>
          <x:t xml:space="preserve">RadioGroup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4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ready for manual test</x:t>
        </x:is>
      </x:c>
      <x:c r="H24" s="86" t="inlineStr">
        <x:is>
          <x:t xml:space="preserve">covered</x:t>
        </x:is>
      </x:c>
      <x:c r="I24" s="84" t="inlineStr">
        <x:is>
          <x:t xml:space="preserve">RadioGroup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ready for manual test</x:t>
        </x:is>
      </x:c>
      <x:c r="H25" s="86" t="inlineStr">
        <x:is>
          <x:t xml:space="preserve">covered</x:t>
        </x:is>
      </x:c>
      <x:c r="I25" s="84" t="inlineStr">
        <x:is>
          <x:t xml:space="preserve">RadioGroup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ready for manual test</x:t>
        </x:is>
      </x:c>
      <x:c r="H26" s="86" t="inlineStr">
        <x:is>
          <x:t xml:space="preserve">covered</x:t>
        </x:is>
      </x:c>
      <x:c r="I26" s="84" t="inlineStr">
        <x:is>
          <x:t xml:space="preserve">Package tests/source review verify consumer ref plumbing for RadioGroup; playground manual pass can inspect rendered DOM behavior.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ready for manual test</x:t>
        </x:is>
      </x:c>
      <x:c r="H27" s="86" t="inlineStr">
        <x:is>
          <x:t xml:space="preserve">covered</x:t>
        </x:is>
      </x:c>
      <x:c r="I27" s="84" t="inlineStr">
        <x:is>
          <x:t xml:space="preserve">RadioGroup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ready for manual test</x:t>
        </x:is>
      </x:c>
      <x:c r="H28" s="86" t="inlineStr">
        <x:is>
          <x:t xml:space="preserve">covered</x:t>
        </x:is>
      </x:c>
      <x:c r="I28" s="84" t="inlineStr">
        <x:is>
          <x:t xml:space="preserve">RadioGroup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ready for manual test</x:t>
        </x:is>
      </x:c>
      <x:c r="H29" s="86" t="inlineStr">
        <x:is>
          <x:t xml:space="preserve">covered</x:t>
        </x:is>
      </x:c>
      <x:c r="I29" s="84" t="inlineStr">
        <x:is>
          <x:t xml:space="preserve">RadioGroup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name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ready for manual test</x:t>
        </x:is>
      </x:c>
      <x:c r="H30" s="86" t="inlineStr">
        <x:is>
          <x:t xml:space="preserve">covered</x:t>
        </x:is>
      </x:c>
      <x:c r="I30" s="84" t="inlineStr">
        <x:is>
          <x:t xml:space="preserve">RadioGroup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form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ready for manual test</x:t>
        </x:is>
      </x:c>
      <x:c r="H31" s="86" t="inlineStr">
        <x:is>
          <x:t xml:space="preserve">covered</x:t>
        </x:is>
      </x:c>
      <x:c r="I31" s="84" t="inlineStr">
        <x:is>
          <x:t xml:space="preserve">RadioGroup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disabled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ready for manual test</x:t>
        </x:is>
      </x:c>
      <x:c r="H32" s="86" t="inlineStr">
        <x:is>
          <x:t xml:space="preserve">covered</x:t>
        </x:is>
      </x:c>
      <x:c r="I32" s="84" t="inlineStr">
        <x:is>
          <x:t xml:space="preserve">RadioGroup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required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ready for manual test</x:t>
        </x:is>
      </x:c>
      <x:c r="H33" s="86" t="inlineStr">
        <x:is>
          <x:t xml:space="preserve">covered</x:t>
        </x:is>
      </x:c>
      <x:c r="I33" s="84" t="inlineStr">
        <x:is>
          <x:t xml:space="preserve">RadioGroup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invalid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ready for manual test</x:t>
        </x:is>
      </x:c>
      <x:c r="H34" s="86" t="inlineStr">
        <x:is>
          <x:t xml:space="preserve">covered</x:t>
        </x:is>
      </x:c>
      <x:c r="I34" s="84" t="inlineStr">
        <x:is>
          <x:t xml:space="preserve">RadioGroup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orientation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ready for manual test</x:t>
        </x:is>
      </x:c>
      <x:c r="H35" s="86" t="inlineStr">
        <x:is>
          <x:t xml:space="preserve">covered</x:t>
        </x:is>
      </x:c>
      <x:c r="I35" s="84" t="inlineStr">
        <x:is>
          <x:t xml:space="preserve">RadioGroup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loop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ready for manual test</x:t>
        </x:is>
      </x:c>
      <x:c r="H36" s="86" t="inlineStr">
        <x:is>
          <x:t xml:space="preserve">covered</x:t>
        </x:is>
      </x:c>
      <x:c r="I36" s="84" t="inlineStr">
        <x:is>
          <x:t xml:space="preserve">RadioGroup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Accessibility</x:t>
        </x:is>
      </x:c>
      <x:c r="C37" s="84" t="inlineStr">
        <x:is>
          <x:t xml:space="preserve">Root</x:t>
        </x:is>
      </x:c>
      <x:c r="D37" s="84" t="inlineStr">
        <x:is>
          <x:t xml:space="preserve">aria-label prop behavior</x:t>
        </x:is>
      </x:c>
      <x:c r="E37" s="76" t="inlineStr">
        <x:is>
          <x:t xml:space="preserve">yes</x:t>
        </x:is>
      </x:c>
      <x:c r="F37" s="85" t="inlineStr">
        <x:is>
          <x:t xml:space="preserve">no</x:t>
        </x:is>
      </x:c>
      <x:c r="G37" s="73" t="inlineStr">
        <x:is>
          <x:t xml:space="preserve">automated tests pass; manual pending</x:t>
        </x:is>
      </x:c>
      <x:c r="H37" s="86" t="inlineStr">
        <x:is>
          <x:t xml:space="preserve">untested</x:t>
        </x:is>
      </x:c>
      <x:c r="I37" s="84" t="inlineStr">
        <x:is>
          <x:t xml:space="preserve">Form &gt; Control: Foundation plus the component scenario and automated package tests.</x:t>
        </x:is>
      </x:c>
      <x:c r="J37" s="84" t="inlineStr">
        <x:is>
          <x:t xml:space="preserve">Run the form-foundation manual protocol.</x:t>
        </x:is>
      </x:c>
      <x:c r="K37" s="87" t="n">
        <x:f>IF(AND(E37="yes",F37="yes",H37="covered"),1,IF(H37="partial",0.5,0))</x:f>
        <x:v>0</x:v>
      </x:c>
    </x:row>
    <x:row r="38" s="51" customFormat="1" ht="15" customHeight="1">
      <x:c r="A38" s="73" t="n">
        <x:v>30</x:v>
      </x:c>
      <x:c r="B38" s="84" t="inlineStr">
        <x:is>
          <x:t xml:space="preserve">Composition</x:t>
        </x:is>
      </x:c>
      <x:c r="C38" s="84" t="inlineStr">
        <x:is>
          <x:t xml:space="preserve">Root</x:t>
        </x:is>
      </x:c>
      <x:c r="D38" s="84" t="inlineStr">
        <x:is>
          <x:t xml:space="preserve">asChild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ready for manual test</x:t>
        </x:is>
      </x:c>
      <x:c r="H38" s="86" t="inlineStr">
        <x:is>
          <x:t xml:space="preserve">covered</x:t>
        </x:is>
      </x:c>
      <x:c r="I38" s="84" t="inlineStr">
        <x:is>
          <x:t xml:space="preserve">RadioGroup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Composition</x:t>
        </x:is>
      </x:c>
      <x:c r="C39" s="84" t="inlineStr">
        <x:is>
          <x:t xml:space="preserve">Root</x:t>
        </x:is>
      </x:c>
      <x:c r="D39" s="84" t="inlineStr">
        <x:is>
          <x:t xml:space="preserve">render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ready for manual test</x:t>
        </x:is>
      </x:c>
      <x:c r="H39" s="86" t="inlineStr">
        <x:is>
          <x:t xml:space="preserve">covered</x:t>
        </x:is>
      </x:c>
      <x:c r="I39" s="84" t="inlineStr">
        <x:is>
          <x:t xml:space="preserve">RadioGroup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[data-slot]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ready for manual test</x:t>
        </x:is>
      </x:c>
      <x:c r="H40" s="86" t="inlineStr">
        <x:is>
          <x:t xml:space="preserve">covered</x:t>
        </x:is>
      </x:c>
      <x:c r="I40" s="84" t="inlineStr">
        <x:is>
          <x:t xml:space="preserve">RadioGroup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Public API</x:t>
        </x:is>
      </x:c>
      <x:c r="C41" s="84" t="inlineStr">
        <x:is>
          <x:t xml:space="preserve">Root</x:t>
        </x:is>
      </x:c>
      <x:c r="D41" s="84" t="inlineStr">
        <x:is>
          <x:t xml:space="preserve">[data-orientation]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ready for manual test</x:t>
        </x:is>
      </x:c>
      <x:c r="H41" s="86" t="inlineStr">
        <x:is>
          <x:t xml:space="preserve">covered</x:t>
        </x:is>
      </x:c>
      <x:c r="I41" s="84" t="inlineStr">
        <x:is>
          <x:t xml:space="preserve">RadioGroup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Root</x:t>
        </x:is>
      </x:c>
      <x:c r="D42" s="84" t="inlineStr">
        <x:is>
          <x:t xml:space="preserve">[data-disabled]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ready for manual test</x:t>
        </x:is>
      </x:c>
      <x:c r="H42" s="86" t="inlineStr">
        <x:is>
          <x:t xml:space="preserve">covered</x:t>
        </x:is>
      </x:c>
      <x:c r="I42" s="84" t="inlineStr">
        <x:is>
          <x:t xml:space="preserve">RadioGroup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Root</x:t>
        </x:is>
      </x:c>
      <x:c r="D43" s="84" t="inlineStr">
        <x:is>
          <x:t xml:space="preserve">[data-invalid]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ready for manual test</x:t>
        </x:is>
      </x:c>
      <x:c r="H43" s="86" t="inlineStr">
        <x:is>
          <x:t xml:space="preserve">covered</x:t>
        </x:is>
      </x:c>
      <x:c r="I43" s="84" t="inlineStr">
        <x:is>
          <x:t xml:space="preserve">RadioGroup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Anatomy</x:t>
        </x:is>
      </x:c>
      <x:c r="C44" s="84" t="inlineStr">
        <x:is>
          <x:t xml:space="preserve">Item</x:t>
        </x:is>
      </x:c>
      <x:c r="D44" s="84" t="inlineStr">
        <x:is>
          <x:t xml:space="preserve">renders correct part when expected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ready for manual test</x:t>
        </x:is>
      </x:c>
      <x:c r="H44" s="86" t="inlineStr">
        <x:is>
          <x:t xml:space="preserve">covered</x:t>
        </x:is>
      </x:c>
      <x:c r="I44" s="84" t="inlineStr">
        <x:is>
          <x:t xml:space="preserve">RadioGroup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Item</x:t>
        </x:is>
      </x:c>
      <x:c r="D45" s="84" t="inlineStr">
        <x:is>
          <x:t xml:space="preserve">appears in documented order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ready for manual test</x:t>
        </x:is>
      </x:c>
      <x:c r="H45" s="86" t="inlineStr">
        <x:is>
          <x:t xml:space="preserve">covered</x:t>
        </x:is>
      </x:c>
      <x:c r="I45" s="84" t="inlineStr">
        <x:is>
          <x:t xml:space="preserve">RadioGroup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30" customHeight="1">
      <x:c r="A46" s="73" t="n">
        <x:v>38</x:v>
      </x:c>
      <x:c r="B46" s="84" t="inlineStr">
        <x:is>
          <x:t xml:space="preserve">Identity</x:t>
        </x:is>
      </x:c>
      <x:c r="C46" s="84" t="inlineStr">
        <x:is>
          <x:t xml:space="preserve">Item</x:t>
        </x:is>
      </x:c>
      <x:c r="D46" s="84" t="inlineStr">
        <x:is>
          <x:t xml:space="preserve">default tag is visible in Anatomy/Inspector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ready for manual test</x:t>
        </x:is>
      </x:c>
      <x:c r="H46" s="86" t="inlineStr">
        <x:is>
          <x:t xml:space="preserve">covered</x:t>
        </x:is>
      </x:c>
      <x:c r="I46" s="84" t="inlineStr">
        <x:is>
          <x:t xml:space="preserve">RadioGroup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45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Item</x:t>
        </x:is>
      </x:c>
      <x:c r="D47" s="84" t="inlineStr">
        <x:is>
          <x:t xml:space="preserve">data-slot is present and correct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ready for manual test</x:t>
        </x:is>
      </x:c>
      <x:c r="H47" s="86" t="inlineStr">
        <x:is>
          <x:t xml:space="preserve">covered</x:t>
        </x:is>
      </x:c>
      <x:c r="I47" s="84" t="inlineStr">
        <x:is>
          <x:t xml:space="preserve">RadioGroup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Props</x:t>
        </x:is>
      </x:c>
      <x:c r="C48" s="84" t="inlineStr">
        <x:is>
          <x:t xml:space="preserve">Item</x:t>
        </x:is>
      </x:c>
      <x:c r="D48" s="84" t="inlineStr">
        <x:is>
          <x:t xml:space="preserve">non-Atom native props pass through with data-prop-check marker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ready for manual test</x:t>
        </x:is>
      </x:c>
      <x:c r="H48" s="86" t="inlineStr">
        <x:is>
          <x:t xml:space="preserve">covered</x:t>
        </x:is>
      </x:c>
      <x:c r="I48" s="84" t="inlineStr">
        <x:is>
          <x:t xml:space="preserve">RadioGroup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Refs</x:t>
        </x:is>
      </x:c>
      <x:c r="C49" s="84" t="inlineStr">
        <x:is>
          <x:t xml:space="preserve">Item</x:t>
        </x:is>
      </x:c>
      <x:c r="D49" s="84" t="inlineStr">
        <x:is>
          <x:t xml:space="preserve">consumer ref receives the rendered element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ready for manual test</x:t>
        </x:is>
      </x:c>
      <x:c r="H49" s="86" t="inlineStr">
        <x:is>
          <x:t xml:space="preserve">covered</x:t>
        </x:is>
      </x:c>
      <x:c r="I49" s="84" t="inlineStr">
        <x:is>
          <x:t xml:space="preserve">Package tests/source review verify consumer ref plumbing for RadioGroup; playground manual pass can inspect rendered DOM behavior.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State</x:t>
        </x:is>
      </x:c>
      <x:c r="C50" s="84" t="inlineStr">
        <x:is>
          <x:t xml:space="preserve">Item</x:t>
        </x:is>
      </x:c>
      <x:c r="D50" s="84" t="inlineStr">
        <x:is>
          <x:t xml:space="preserve">value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ready for manual test</x:t>
        </x:is>
      </x:c>
      <x:c r="H50" s="86" t="inlineStr">
        <x:is>
          <x:t xml:space="preserve">covered</x:t>
        </x:is>
      </x:c>
      <x:c r="I50" s="84" t="inlineStr">
        <x:is>
          <x:t xml:space="preserve">RadioGroup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State</x:t>
        </x:is>
      </x:c>
      <x:c r="C51" s="84" t="inlineStr">
        <x:is>
          <x:t xml:space="preserve">Item</x:t>
        </x:is>
      </x:c>
      <x:c r="D51" s="84" t="inlineStr">
        <x:is>
          <x:t xml:space="preserve">disabled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ready for manual test</x:t>
        </x:is>
      </x:c>
      <x:c r="H51" s="86" t="inlineStr">
        <x:is>
          <x:t xml:space="preserve">covered</x:t>
        </x:is>
      </x:c>
      <x:c r="I51" s="84" t="inlineStr">
        <x:is>
          <x:t xml:space="preserve">RadioGroup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Accessibility</x:t>
        </x:is>
      </x:c>
      <x:c r="C52" s="84" t="inlineStr">
        <x:is>
          <x:t xml:space="preserve">Item</x:t>
        </x:is>
      </x:c>
      <x:c r="D52" s="84" t="inlineStr">
        <x:is>
          <x:t xml:space="preserve">aria-label prop behavior</x:t>
        </x:is>
      </x:c>
      <x:c r="E52" s="76" t="inlineStr">
        <x:is>
          <x:t xml:space="preserve">yes</x:t>
        </x:is>
      </x:c>
      <x:c r="F52" s="85" t="inlineStr">
        <x:is>
          <x:t xml:space="preserve">no</x:t>
        </x:is>
      </x:c>
      <x:c r="G52" s="73" t="inlineStr">
        <x:is>
          <x:t xml:space="preserve">automated tests pass; manual pending</x:t>
        </x:is>
      </x:c>
      <x:c r="H52" s="86" t="inlineStr">
        <x:is>
          <x:t xml:space="preserve">untested</x:t>
        </x:is>
      </x:c>
      <x:c r="I52" s="84" t="inlineStr">
        <x:is>
          <x:t xml:space="preserve">Form &gt; Control: Foundation plus the component scenario and automated package tests.</x:t>
        </x:is>
      </x:c>
      <x:c r="J52" s="84" t="inlineStr">
        <x:is>
          <x:t xml:space="preserve">Run the form-foundation manual protocol.</x:t>
        </x:is>
      </x:c>
      <x:c r="K52" s="87" t="n">
        <x:f>IF(AND(E52="yes",F52="yes",H52="covered"),1,IF(H52="partial",0.5,0))</x:f>
        <x:v>0</x:v>
      </x:c>
    </x:row>
    <x:row r="53" s="51" customFormat="1" ht="15" customHeight="1">
      <x:c r="A53" s="73" t="n">
        <x:v>45</x:v>
      </x:c>
      <x:c r="B53" s="84" t="inlineStr">
        <x:is>
          <x:t xml:space="preserve">Composition</x:t>
        </x:is>
      </x:c>
      <x:c r="C53" s="84" t="inlineStr">
        <x:is>
          <x:t xml:space="preserve">Item</x:t>
        </x:is>
      </x:c>
      <x:c r="D53" s="84" t="inlineStr">
        <x:is>
          <x:t xml:space="preserve">asChild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ready for manual test</x:t>
        </x:is>
      </x:c>
      <x:c r="H53" s="86" t="inlineStr">
        <x:is>
          <x:t xml:space="preserve">covered</x:t>
        </x:is>
      </x:c>
      <x:c r="I53" s="84" t="inlineStr">
        <x:is>
          <x:t xml:space="preserve">RadioGroup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Composition</x:t>
        </x:is>
      </x:c>
      <x:c r="C54" s="84" t="inlineStr">
        <x:is>
          <x:t xml:space="preserve">Item</x:t>
        </x:is>
      </x:c>
      <x:c r="D54" s="84" t="inlineStr">
        <x:is>
          <x:t xml:space="preserve">render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ready for manual test</x:t>
        </x:is>
      </x:c>
      <x:c r="H54" s="86" t="inlineStr">
        <x:is>
          <x:t xml:space="preserve">covered</x:t>
        </x:is>
      </x:c>
      <x:c r="I54" s="84" t="inlineStr">
        <x:is>
          <x:t xml:space="preserve">RadioGroup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Item</x:t>
        </x:is>
      </x:c>
      <x:c r="D55" s="84" t="inlineStr">
        <x:is>
          <x:t xml:space="preserve">[data-slot]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ready for manual test</x:t>
        </x:is>
      </x:c>
      <x:c r="H55" s="86" t="inlineStr">
        <x:is>
          <x:t xml:space="preserve">covered</x:t>
        </x:is>
      </x:c>
      <x:c r="I55" s="84" t="inlineStr">
        <x:is>
          <x:t xml:space="preserve">RadioGroup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State</x:t>
        </x:is>
      </x:c>
      <x:c r="C56" s="84" t="inlineStr">
        <x:is>
          <x:t xml:space="preserve">Item</x:t>
        </x:is>
      </x:c>
      <x:c r="D56" s="84" t="inlineStr">
        <x:is>
          <x:t xml:space="preserve">[data-value]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ready for manual test</x:t>
        </x:is>
      </x:c>
      <x:c r="H56" s="86" t="inlineStr">
        <x:is>
          <x:t xml:space="preserve">covered</x:t>
        </x:is>
      </x:c>
      <x:c r="I56" s="84" t="inlineStr">
        <x:is>
          <x:t xml:space="preserve">RadioGroup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Public API</x:t>
        </x:is>
      </x:c>
      <x:c r="C57" s="84" t="inlineStr">
        <x:is>
          <x:t xml:space="preserve">Item</x:t>
        </x:is>
      </x:c>
      <x:c r="D57" s="84" t="inlineStr">
        <x:is>
          <x:t xml:space="preserve">[data-state]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ready for manual test</x:t>
        </x:is>
      </x:c>
      <x:c r="H57" s="86" t="inlineStr">
        <x:is>
          <x:t xml:space="preserve">covered</x:t>
        </x:is>
      </x:c>
      <x:c r="I57" s="84" t="inlineStr">
        <x:is>
          <x:t xml:space="preserve">RadioGroup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State</x:t>
        </x:is>
      </x:c>
      <x:c r="C58" s="84" t="inlineStr">
        <x:is>
          <x:t xml:space="preserve">Item</x:t>
        </x:is>
      </x:c>
      <x:c r="D58" s="84" t="inlineStr">
        <x:is>
          <x:t xml:space="preserve">[data-disabled]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ready for manual test</x:t>
        </x:is>
      </x:c>
      <x:c r="H58" s="86" t="inlineStr">
        <x:is>
          <x:t xml:space="preserve">covered</x:t>
        </x:is>
      </x:c>
      <x:c r="I58" s="84" t="inlineStr">
        <x:is>
          <x:t xml:space="preserve">RadioGroup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State</x:t>
        </x:is>
      </x:c>
      <x:c r="C59" s="84" t="inlineStr">
        <x:is>
          <x:t xml:space="preserve">Item</x:t>
        </x:is>
      </x:c>
      <x:c r="D59" s="84" t="inlineStr">
        <x:is>
          <x:t xml:space="preserve">[data-invalid] prop behavior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ready for manual test</x:t>
        </x:is>
      </x:c>
      <x:c r="H59" s="86" t="inlineStr">
        <x:is>
          <x:t xml:space="preserve">covered</x:t>
        </x:is>
      </x:c>
      <x:c r="I59" s="84" t="inlineStr">
        <x:is>
          <x:t xml:space="preserve">RadioGroup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ARIA</x:t>
        </x:is>
      </x:c>
      <x:c r="C60" s="84" t="inlineStr">
        <x:is>
          <x:t xml:space="preserve">Live DOM</x:t>
        </x:is>
      </x:c>
      <x:c r="D60" s="84" t="inlineStr">
        <x:is>
          <x:t xml:space="preserve">aria-checked is present at the correct time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ready for manual test</x:t>
        </x:is>
      </x:c>
      <x:c r="H60" s="86" t="inlineStr">
        <x:is>
          <x:t xml:space="preserve">covered</x:t>
        </x:is>
      </x:c>
      <x:c r="I60" s="84" t="inlineStr">
        <x:is>
          <x:t xml:space="preserve">RadioGroup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ARIA</x:t>
        </x:is>
      </x:c>
      <x:c r="C61" s="84" t="inlineStr">
        <x:is>
          <x:t xml:space="preserve">Live DOM</x:t>
        </x:is>
      </x:c>
      <x:c r="D61" s="84" t="inlineStr">
        <x:is>
          <x:t xml:space="preserve">aria-disabled is present at the correct time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ready for manual test</x:t>
        </x:is>
      </x:c>
      <x:c r="H61" s="86" t="inlineStr">
        <x:is>
          <x:t xml:space="preserve">covered</x:t>
        </x:is>
      </x:c>
      <x:c r="I61" s="84" t="inlineStr">
        <x:is>
          <x:t xml:space="preserve">RadioGroup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ARIA</x:t>
        </x:is>
      </x:c>
      <x:c r="C62" s="84" t="inlineStr">
        <x:is>
          <x:t xml:space="preserve">Live DOM</x:t>
        </x:is>
      </x:c>
      <x:c r="D62" s="84" t="inlineStr">
        <x:is>
          <x:t xml:space="preserve">aria-hidden is present at the correct time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ready for manual test</x:t>
        </x:is>
      </x:c>
      <x:c r="H62" s="86" t="inlineStr">
        <x:is>
          <x:t xml:space="preserve">covered</x:t>
        </x:is>
      </x:c>
      <x:c r="I62" s="84" t="inlineStr">
        <x:is>
          <x:t xml:space="preserve">RadioGroup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ARIA</x:t>
        </x:is>
      </x:c>
      <x:c r="C63" s="84" t="inlineStr">
        <x:is>
          <x:t xml:space="preserve">Live DOM</x:t>
        </x:is>
      </x:c>
      <x:c r="D63" s="84" t="inlineStr">
        <x:is>
          <x:t xml:space="preserve">aria-invalid is present at the correct time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ready for manual test</x:t>
        </x:is>
      </x:c>
      <x:c r="H63" s="86" t="inlineStr">
        <x:is>
          <x:t xml:space="preserve">covered</x:t>
        </x:is>
      </x:c>
      <x:c r="I63" s="84" t="inlineStr">
        <x:is>
          <x:t xml:space="preserve">RadioGroup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ARIA</x:t>
        </x:is>
      </x:c>
      <x:c r="C64" s="84" t="inlineStr">
        <x:is>
          <x:t xml:space="preserve">Live DOM</x:t>
        </x:is>
      </x:c>
      <x:c r="D64" s="84" t="inlineStr">
        <x:is>
          <x:t xml:space="preserve">aria-label is present at the correct time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ready for manual test</x:t>
        </x:is>
      </x:c>
      <x:c r="H64" s="86" t="inlineStr">
        <x:is>
          <x:t xml:space="preserve">covered</x:t>
        </x:is>
      </x:c>
      <x:c r="I64" s="84" t="inlineStr">
        <x:is>
          <x:t xml:space="preserve">RadioGroup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ARIA</x:t>
        </x:is>
      </x:c>
      <x:c r="C65" s="84" t="inlineStr">
        <x:is>
          <x:t xml:space="preserve">Live DOM</x:t>
        </x:is>
      </x:c>
      <x:c r="D65" s="84" t="inlineStr">
        <x:is>
          <x:t xml:space="preserve">aria-orientation is present at the correct time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ready for manual test</x:t>
        </x:is>
      </x:c>
      <x:c r="H65" s="86" t="inlineStr">
        <x:is>
          <x:t xml:space="preserve">covered</x:t>
        </x:is>
      </x:c>
      <x:c r="I65" s="84" t="inlineStr">
        <x:is>
          <x:t xml:space="preserve">RadioGroup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ARIA</x:t>
        </x:is>
      </x:c>
      <x:c r="C66" s="84" t="inlineStr">
        <x:is>
          <x:t xml:space="preserve">Live DOM</x:t>
        </x:is>
      </x:c>
      <x:c r="D66" s="84" t="inlineStr">
        <x:is>
          <x:t xml:space="preserve">aria-required is present at the correct time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ready for manual test</x:t>
        </x:is>
      </x:c>
      <x:c r="H66" s="86" t="inlineStr">
        <x:is>
          <x:t xml:space="preserve">covered</x:t>
        </x:is>
      </x:c>
      <x:c r="I66" s="84" t="inlineStr">
        <x:is>
          <x:t xml:space="preserve">RadioGroup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Data</x:t>
        </x:is>
      </x:c>
      <x:c r="C67" s="84" t="inlineStr">
        <x:is>
          <x:t xml:space="preserve">Live DOM</x:t>
        </x:is>
      </x:c>
      <x:c r="D67" s="84" t="inlineStr">
        <x:is>
          <x:t xml:space="preserve">data-disabled is present at the correct time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ready for manual test</x:t>
        </x:is>
      </x:c>
      <x:c r="H67" s="86" t="inlineStr">
        <x:is>
          <x:t xml:space="preserve">covered</x:t>
        </x:is>
      </x:c>
      <x:c r="I67" s="84" t="inlineStr">
        <x:is>
          <x:t xml:space="preserve">RadioGroup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Data</x:t>
        </x:is>
      </x:c>
      <x:c r="C68" s="84" t="inlineStr">
        <x:is>
          <x:t xml:space="preserve">Live DOM</x:t>
        </x:is>
      </x:c>
      <x:c r="D68" s="84" t="inlineStr">
        <x:is>
          <x:t xml:space="preserve">data-invalid is present at the correct time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ready for manual test</x:t>
        </x:is>
      </x:c>
      <x:c r="H68" s="86" t="inlineStr">
        <x:is>
          <x:t xml:space="preserve">covered</x:t>
        </x:is>
      </x:c>
      <x:c r="I68" s="84" t="inlineStr">
        <x:is>
          <x:t xml:space="preserve">RadioGroup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Data</x:t>
        </x:is>
      </x:c>
      <x:c r="C69" s="84" t="inlineStr">
        <x:is>
          <x:t xml:space="preserve">Live DOM</x:t>
        </x:is>
      </x:c>
      <x:c r="D69" s="84" t="inlineStr">
        <x:is>
          <x:t xml:space="preserve">data-orientation is present at the correct time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ready for manual test</x:t>
        </x:is>
      </x:c>
      <x:c r="H69" s="86" t="inlineStr">
        <x:is>
          <x:t xml:space="preserve">covered</x:t>
        </x:is>
      </x:c>
      <x:c r="I69" s="84" t="inlineStr">
        <x:is>
          <x:t xml:space="preserve">RadioGroup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Data</x:t>
        </x:is>
      </x:c>
      <x:c r="C70" s="84" t="inlineStr">
        <x:is>
          <x:t xml:space="preserve">Live DOM</x:t>
        </x:is>
      </x:c>
      <x:c r="D70" s="84" t="inlineStr">
        <x:is>
          <x:t xml:space="preserve">data-slot is present at the correct time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ready for manual test</x:t>
        </x:is>
      </x:c>
      <x:c r="H70" s="86" t="inlineStr">
        <x:is>
          <x:t xml:space="preserve">covered</x:t>
        </x:is>
      </x:c>
      <x:c r="I70" s="84" t="inlineStr">
        <x:is>
          <x:t xml:space="preserve">RadioGroup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Data</x:t>
        </x:is>
      </x:c>
      <x:c r="C71" s="84" t="inlineStr">
        <x:is>
          <x:t xml:space="preserve">Live DOM</x:t>
        </x:is>
      </x:c>
      <x:c r="D71" s="84" t="inlineStr">
        <x:is>
          <x:t xml:space="preserve">data-state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ready for manual test</x:t>
        </x:is>
      </x:c>
      <x:c r="H71" s="86" t="inlineStr">
        <x:is>
          <x:t xml:space="preserve">covered</x:t>
        </x:is>
      </x:c>
      <x:c r="I71" s="84" t="inlineStr">
        <x:is>
          <x:t xml:space="preserve">RadioGroup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Data</x:t>
        </x:is>
      </x:c>
      <x:c r="C72" s="84" t="inlineStr">
        <x:is>
          <x:t xml:space="preserve">Live DOM</x:t>
        </x:is>
      </x:c>
      <x:c r="D72" s="84" t="inlineStr">
        <x:is>
          <x:t xml:space="preserve">data-value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ready for manual test</x:t>
        </x:is>
      </x:c>
      <x:c r="H72" s="86" t="inlineStr">
        <x:is>
          <x:t xml:space="preserve">covered</x:t>
        </x:is>
      </x:c>
      <x:c r="I72" s="84" t="inlineStr">
        <x:is>
          <x:t xml:space="preserve">RadioGroup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30" customHeight="1">
      <x:c r="A73" s="73" t="n">
        <x:v>65</x:v>
      </x:c>
      <x:c r="B73" s="84" t="inlineStr">
        <x:is>
          <x:t xml:space="preserve">Composition</x:t>
        </x:is>
      </x:c>
      <x:c r="C73" s="84" t="inlineStr">
        <x:is>
          <x:t xml:space="preserve">RadioGroup</x:t>
        </x:is>
      </x:c>
      <x:c r="D73" s="84" t="inlineStr">
        <x:is>
          <x:t xml:space="preserve">asChild preserves child content without double nesting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ready for manual test</x:t>
        </x:is>
      </x:c>
      <x:c r="H73" s="86" t="inlineStr">
        <x:is>
          <x:t xml:space="preserve">covered</x:t>
        </x:is>
      </x:c>
      <x:c r="I73" s="84" t="inlineStr">
        <x:is>
          <x:t xml:space="preserve">RadioGroup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Composition</x:t>
        </x:is>
      </x:c>
      <x:c r="C74" s="84" t="inlineStr">
        <x:is>
          <x:t xml:space="preserve">RadioGroup</x:t>
        </x:is>
      </x:c>
      <x:c r="D74" s="84" t="inlineStr">
        <x:is>
          <x:t xml:space="preserve">asChild merges Atom props and consumer props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ready for manual test</x:t>
        </x:is>
      </x:c>
      <x:c r="H74" s="86" t="inlineStr">
        <x:is>
          <x:t xml:space="preserve">covered</x:t>
        </x:is>
      </x:c>
      <x:c r="I74" s="84" t="inlineStr">
        <x:is>
          <x:t xml:space="preserve">RadioGroup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45" customHeight="1">
      <x:c r="A75" s="73" t="n">
        <x:v>67</x:v>
      </x:c>
      <x:c r="B75" s="84" t="inlineStr">
        <x:is>
          <x:t xml:space="preserve">Composition</x:t>
        </x:is>
      </x:c>
      <x:c r="C75" s="84" t="inlineStr">
        <x:is>
          <x:t xml:space="preserve">RadioGroup</x:t>
        </x:is>
      </x:c>
      <x:c r="D75" s="84" t="inlineStr">
        <x:is>
          <x:t xml:space="preserve">asChild lets preventDefault block Atom behavior where supported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ready for manual test</x:t>
        </x:is>
      </x:c>
      <x:c r="H75" s="86" t="inlineStr">
        <x:is>
          <x:t xml:space="preserve">covered</x:t>
        </x:is>
      </x:c>
      <x:c r="I75" s="84" t="inlineStr">
        <x:is>
          <x:t xml:space="preserve">RadioGroup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Composition</x:t>
        </x:is>
      </x:c>
      <x:c r="C76" s="84" t="inlineStr">
        <x:is>
          <x:t xml:space="preserve">RadioGroup</x:t>
        </x:is>
      </x:c>
      <x:c r="D76" s="84" t="inlineStr">
        <x:is>
          <x:t xml:space="preserve">render prop renders custom element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ready for manual test</x:t>
        </x:is>
      </x:c>
      <x:c r="H76" s="86" t="inlineStr">
        <x:is>
          <x:t xml:space="preserve">covered</x:t>
        </x:is>
      </x:c>
      <x:c r="I76" s="84" t="inlineStr">
        <x:is>
          <x:t xml:space="preserve">RadioGroup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Composition</x:t>
        </x:is>
      </x:c>
      <x:c r="C77" s="84" t="inlineStr">
        <x:is>
          <x:t xml:space="preserve">RadioGroup</x:t>
        </x:is>
      </x:c>
      <x:c r="D77" s="84" t="inlineStr">
        <x:is>
          <x:t xml:space="preserve">render prop preserves refs and behavior props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ready for manual test</x:t>
        </x:is>
      </x:c>
      <x:c r="H77" s="86" t="inlineStr">
        <x:is>
          <x:t xml:space="preserve">covered</x:t>
        </x:is>
      </x:c>
      <x:c r="I77" s="84" t="inlineStr">
        <x:is>
          <x:t xml:space="preserve">Composition controls/package tests cover render/asChild behavior for RadioGroup; ready for manual verification where exposed.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State</x:t>
        </x:is>
      </x:c>
      <x:c r="C78" s="84" t="inlineStr">
        <x:is>
          <x:t xml:space="preserve">Root</x:t>
        </x:is>
      </x:c>
      <x:c r="D78" s="84" t="inlineStr">
        <x:is>
          <x:t xml:space="preserve">controlled state path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ready for manual test</x:t>
        </x:is>
      </x:c>
      <x:c r="H78" s="86" t="inlineStr">
        <x:is>
          <x:t xml:space="preserve">covered</x:t>
        </x:is>
      </x:c>
      <x:c r="I78" s="84" t="inlineStr">
        <x:is>
          <x:t xml:space="preserve">RadioGroup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30" customHeight="1">
      <x:c r="A79" s="73" t="n">
        <x:v>71</x:v>
      </x:c>
      <x:c r="B79" s="84" t="inlineStr">
        <x:is>
          <x:t xml:space="preserve">State</x:t>
        </x:is>
      </x:c>
      <x:c r="C79" s="84" t="inlineStr">
        <x:is>
          <x:t xml:space="preserve">Root</x:t>
        </x:is>
      </x:c>
      <x:c r="D79" s="84" t="inlineStr">
        <x:is>
          <x:t xml:space="preserve">uncontrolled default state path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ready for manual test</x:t>
        </x:is>
      </x:c>
      <x:c r="H79" s="86" t="inlineStr">
        <x:is>
          <x:t xml:space="preserve">covered</x:t>
        </x:is>
      </x:c>
      <x:c r="I79" s="84" t="inlineStr">
        <x:is>
          <x:t xml:space="preserve">RadioGroup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30" customHeight="1">
      <x:c r="A80" s="73" t="n">
        <x:v>72</x:v>
      </x:c>
      <x:c r="B80" s="84" t="inlineStr">
        <x:is>
          <x:t xml:space="preserve">State</x:t>
        </x:is>
      </x:c>
      <x:c r="C80" s="84" t="inlineStr">
        <x:is>
          <x:t xml:space="preserve">Root</x:t>
        </x:is>
      </x:c>
      <x:c r="D80" s="84" t="inlineStr">
        <x:is>
          <x:t xml:space="preserve">state change callback fires once with correct value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ready for manual test</x:t>
        </x:is>
      </x:c>
      <x:c r="H80" s="86" t="inlineStr">
        <x:is>
          <x:t xml:space="preserve">covered</x:t>
        </x:is>
      </x:c>
      <x:c r="I80" s="84" t="inlineStr">
        <x:is>
          <x:t xml:space="preserve">RadioGroup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30" customHeight="1">
      <x:c r="A81" s="73" t="n">
        <x:v>73</x:v>
      </x:c>
      <x:c r="B81" s="84" t="inlineStr">
        <x:is>
          <x:t xml:space="preserve">State</x:t>
        </x:is>
      </x:c>
      <x:c r="C81" s="84" t="inlineStr">
        <x:is>
          <x:t xml:space="preserve">RadioGroup</x:t>
        </x:is>
      </x:c>
      <x:c r="D81" s="84" t="inlineStr">
        <x:is>
          <x:t xml:space="preserve">disabled state blocks or exposes behavior correctly where supported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ready for manual test</x:t>
        </x:is>
      </x:c>
      <x:c r="H81" s="86" t="inlineStr">
        <x:is>
          <x:t xml:space="preserve">covered</x:t>
        </x:is>
      </x:c>
      <x:c r="I81" s="84" t="inlineStr">
        <x:is>
          <x:t xml:space="preserve">RadioGroup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30" customHeight="1">
      <x:c r="A82" s="73" t="n">
        <x:v>74</x:v>
      </x:c>
      <x:c r="B82" s="84" t="inlineStr">
        <x:is>
          <x:t xml:space="preserve">State</x:t>
        </x:is>
      </x:c>
      <x:c r="C82" s="84" t="inlineStr">
        <x:is>
          <x:t xml:space="preserve">RadioGroup</x:t>
        </x:is>
      </x:c>
      <x:c r="D82" s="84" t="inlineStr">
        <x:is>
          <x:t xml:space="preserve">required state blocks or exposes behavior correctly where supported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ready for manual test</x:t>
        </x:is>
      </x:c>
      <x:c r="H82" s="86" t="inlineStr">
        <x:is>
          <x:t xml:space="preserve">covered</x:t>
        </x:is>
      </x:c>
      <x:c r="I82" s="84" t="inlineStr">
        <x:is>
          <x:t xml:space="preserve">RadioGroup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State</x:t>
        </x:is>
      </x:c>
      <x:c r="C83" s="84" t="inlineStr">
        <x:is>
          <x:t xml:space="preserve">RadioGroup</x:t>
        </x:is>
      </x:c>
      <x:c r="D83" s="84" t="inlineStr">
        <x:is>
          <x:t xml:space="preserve">invalid state blocks or exposes behavior correctly where supported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ready for manual test</x:t>
        </x:is>
      </x:c>
      <x:c r="H83" s="86" t="inlineStr">
        <x:is>
          <x:t xml:space="preserve">covered</x:t>
        </x:is>
      </x:c>
      <x:c r="I83" s="84" t="inlineStr">
        <x:is>
          <x:t xml:space="preserve">RadioGroup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30" customHeight="1">
      <x:c r="A84" s="73" t="n">
        <x:v>76</x:v>
      </x:c>
      <x:c r="B84" s="84" t="inlineStr">
        <x:is>
          <x:t xml:space="preserve">Forms</x:t>
        </x:is>
      </x:c>
      <x:c r="C84" s="84" t="inlineStr">
        <x:is>
          <x:t xml:space="preserve">RadioGroup</x:t>
        </x:is>
      </x:c>
      <x:c r="D84" s="84" t="inlineStr">
        <x:is>
          <x:t xml:space="preserve">form value participates correctly where supported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ready for manual test</x:t>
        </x:is>
      </x:c>
      <x:c r="H84" s="86" t="inlineStr">
        <x:is>
          <x:t xml:space="preserve">covered</x:t>
        </x:is>
      </x:c>
      <x:c r="I84" s="84" t="inlineStr">
        <x:is>
          <x:t xml:space="preserve">RadioGroup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Forms</x:t>
        </x:is>
      </x:c>
      <x:c r="C85" s="84" t="inlineStr">
        <x:is>
          <x:t xml:space="preserve">RadioGroup</x:t>
        </x:is>
      </x:c>
      <x:c r="D85" s="84" t="inlineStr">
        <x:is>
          <x:t xml:space="preserve">hidden input mirrors value/checked/disabled where supported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ready for manual test</x:t>
        </x:is>
      </x:c>
      <x:c r="H85" s="86" t="inlineStr">
        <x:is>
          <x:t xml:space="preserve">covered</x:t>
        </x:is>
      </x:c>
      <x:c r="I85" s="84" t="inlineStr">
        <x:is>
          <x:t xml:space="preserve">RadioGroup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Keyboard</x:t>
        </x:is>
      </x:c>
      <x:c r="C86" s="84" t="inlineStr">
        <x:is>
          <x:t xml:space="preserve">RadioGroup</x:t>
        </x:is>
      </x:c>
      <x:c r="D86" s="84" t="inlineStr">
        <x:is>
          <x:t xml:space="preserve">End behavior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ready for manual test</x:t>
        </x:is>
      </x:c>
      <x:c r="H86" s="86" t="inlineStr">
        <x:is>
          <x:t xml:space="preserve">covered</x:t>
        </x:is>
      </x:c>
      <x:c r="I86" s="84" t="inlineStr">
        <x:is>
          <x:t xml:space="preserve">RadioGroup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Keyboard</x:t>
        </x:is>
      </x:c>
      <x:c r="C87" s="84" t="inlineStr">
        <x:is>
          <x:t xml:space="preserve">RadioGroup</x:t>
        </x:is>
      </x:c>
      <x:c r="D87" s="84" t="inlineStr">
        <x:is>
          <x:t xml:space="preserve">Home behavior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ready for manual test</x:t>
        </x:is>
      </x:c>
      <x:c r="H87" s="86" t="inlineStr">
        <x:is>
          <x:t xml:space="preserve">covered</x:t>
        </x:is>
      </x:c>
      <x:c r="I87" s="84" t="inlineStr">
        <x:is>
          <x:t xml:space="preserve">RadioGroup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Keyboard</x:t>
        </x:is>
      </x:c>
      <x:c r="C88" s="84" t="inlineStr">
        <x:is>
          <x:t xml:space="preserve">RadioGroup</x:t>
        </x:is>
      </x:c>
      <x:c r="D88" s="84" t="inlineStr">
        <x:is>
          <x:t xml:space="preserve">Arrow key navigation follows documented orientation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ready for manual test</x:t>
        </x:is>
      </x:c>
      <x:c r="H88" s="86" t="inlineStr">
        <x:is>
          <x:t xml:space="preserve">covered</x:t>
        </x:is>
      </x:c>
      <x:c r="I88" s="84" t="inlineStr">
        <x:is>
          <x:t xml:space="preserve">RadioGroup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Keyboard</x:t>
        </x:is>
      </x:c>
      <x:c r="C89" s="84" t="inlineStr">
        <x:is>
          <x:t xml:space="preserve">RadioGroup</x:t>
        </x:is>
      </x:c>
      <x:c r="D89" s="84" t="inlineStr">
        <x:is>
          <x:t xml:space="preserve">Home and End navigation where supported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ready for manual test</x:t>
        </x:is>
      </x:c>
      <x:c r="H89" s="86" t="inlineStr">
        <x:is>
          <x:t xml:space="preserve">covered</x:t>
        </x:is>
      </x:c>
      <x:c r="I89" s="84" t="inlineStr">
        <x:is>
          <x:t xml:space="preserve">RadioGroup playground scenario.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Keyboard</x:t>
        </x:is>
      </x:c>
      <x:c r="C90" s="84" t="inlineStr">
        <x:is>
          <x:t xml:space="preserve">RadioGroup</x:t>
        </x:is>
      </x:c>
      <x:c r="D90" s="84" t="inlineStr">
        <x:is>
          <x:t xml:space="preserve">disabled items are skipped or exposed according to pattern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ready for manual test</x:t>
        </x:is>
      </x:c>
      <x:c r="H90" s="86" t="inlineStr">
        <x:is>
          <x:t xml:space="preserve">covered</x:t>
        </x:is>
      </x:c>
      <x:c r="I90" s="84" t="inlineStr">
        <x:is>
          <x:t xml:space="preserve">RadioGroup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Focus</x:t>
        </x:is>
      </x:c>
      <x:c r="C91" s="84" t="inlineStr">
        <x:is>
          <x:t xml:space="preserve">RadioGroup</x:t>
        </x:is>
      </x:c>
      <x:c r="D91" s="84" t="inlineStr">
        <x:is>
          <x:t xml:space="preserve">roving focus or active descendant state is visible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ready for manual test</x:t>
        </x:is>
      </x:c>
      <x:c r="H91" s="86" t="inlineStr">
        <x:is>
          <x:t xml:space="preserve">covered</x:t>
        </x:is>
      </x:c>
      <x:c r="I91" s="84" t="inlineStr">
        <x:is>
          <x:t xml:space="preserve">RadioGroup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30" customHeight="1">
      <x:c r="A92" s="73" t="n">
        <x:v>84</x:v>
      </x:c>
      <x:c r="B92" s="84" t="inlineStr">
        <x:is>
          <x:t xml:space="preserve">Direction</x:t>
        </x:is>
      </x:c>
      <x:c r="C92" s="84" t="inlineStr">
        <x:is>
          <x:t xml:space="preserve">Root</x:t>
        </x:is>
      </x:c>
      <x:c r="D92" s="84" t="inlineStr">
        <x:is>
          <x:t xml:space="preserve">reads Direction.Provider context for horizontal keyboard navigation</x:t>
        </x:is>
      </x:c>
      <x:c r="E92" s="88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ready for manual test</x:t>
        </x:is>
      </x:c>
      <x:c r="H92" s="88" t="inlineStr">
        <x:is>
          <x:t xml:space="preserve">covered</x:t>
        </x:is>
      </x:c>
      <x:c r="I92" s="84" t="inlineStr">
        <x:is>
          <x:t xml:space="preserve">RadioGroup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30" customHeight="1">
      <x:c r="A93" s="73" t="n">
        <x:v>85</x:v>
      </x:c>
      <x:c r="B93" s="84" t="inlineStr">
        <x:is>
          <x:t xml:space="preserve">Direction</x:t>
        </x:is>
      </x:c>
      <x:c r="C93" s="84" t="inlineStr">
        <x:is>
          <x:t xml:space="preserve">Root</x:t>
        </x:is>
      </x:c>
      <x:c r="D93" s="84" t="inlineStr">
        <x:is>
          <x:t xml:space="preserve">RTL mirrors horizontal ArrowLeft and ArrowRight navigation</x:t>
        </x:is>
      </x:c>
      <x:c r="E93" s="88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ready for manual test</x:t>
        </x:is>
      </x:c>
      <x:c r="H93" s="88" t="inlineStr">
        <x:is>
          <x:t xml:space="preserve">covered</x:t>
        </x:is>
      </x:c>
      <x:c r="I93" s="84" t="inlineStr">
        <x:is>
          <x:t xml:space="preserve">RadioGroup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30" customHeight="1">
      <x:c r="A94" s="73" t="n">
        <x:v>86</x:v>
      </x:c>
      <x:c r="B94" s="84" t="inlineStr">
        <x:is>
          <x:t xml:space="preserve">Playground</x:t>
        </x:is>
      </x:c>
      <x:c r="C94" s="84" t="inlineStr">
        <x:is>
          <x:t xml:space="preserve">Direction controls</x:t>
        </x:is>
      </x:c>
      <x:c r="D94" s="84" t="inlineStr">
        <x:is>
          <x:t xml:space="preserve">scenario exposes provider direction controls</x:t>
        </x:is>
      </x:c>
      <x:c r="E94" s="88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ready for manual test</x:t>
        </x:is>
      </x:c>
      <x:c r="H94" s="88" t="inlineStr">
        <x:is>
          <x:t xml:space="preserve">covered</x:t>
        </x:is>
      </x:c>
      <x:c r="I94" s="84" t="inlineStr">
        <x:is>
          <x:t xml:space="preserve">RadioGroup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30" customHeight="1">
      <x:c r="A95" s="73" t="n">
        <x:v>87</x:v>
      </x:c>
      <x:c r="B95" s="84" t="inlineStr">
        <x:is>
          <x:t xml:space="preserve">Forms</x:t>
        </x:is>
      </x:c>
      <x:c r="C95" s="84" t="inlineStr">
        <x:is>
          <x:t xml:space="preserve">Root</x:t>
        </x:is>
      </x:c>
      <x:c r="D95" s="84" t="inlineStr">
        <x:is>
          <x:t xml:space="preserve">Fieldset inheritance, single-value FormData, required validity, and uncontrolled reset</x:t>
        </x:is>
      </x:c>
      <x:c r="E95" s="88" t="inlineStr">
        <x:is>
          <x:t xml:space="preserve">yes</x:t>
        </x:is>
      </x:c>
      <x:c r="F95" s="85" t="inlineStr">
        <x:is>
          <x:t xml:space="preserve">no</x:t>
        </x:is>
      </x:c>
      <x:c r="G95" s="73" t="inlineStr">
        <x:is>
          <x:t xml:space="preserve">automated tests pass; manual pending</x:t>
        </x:is>
      </x:c>
      <x:c r="H95" s="88" t="inlineStr">
        <x:is>
          <x:t xml:space="preserve">untested</x:t>
        </x:is>
      </x:c>
      <x:c r="I95" s="84" t="inlineStr">
        <x:is>
          <x:t xml:space="preserve">Form &gt; Control: Foundation plus the component scenario and automated package tests.</x:t>
        </x:is>
      </x:c>
      <x:c r="J95" s="84" t="inlineStr">
        <x:is>
          <x:t xml:space="preserve">Run and review the form-foundation manual protocol.</x:t>
        </x:is>
      </x:c>
      <x:c r="K95" s="87" t="n">
        <x:f>IF(AND(E95="yes",F95="yes",H95="covered"),1,IF(H95="partial",0.5,0))</x:f>
        <x:v>0</x:v>
      </x:c>
    </x:row>
    <x:row r="96" s="51" customFormat="1" ht="30" customHeight="1">
      <x:c r="A96" s="73" t="n">
        <x:v>88</x:v>
      </x:c>
      <x:c r="B96" s="84" t="inlineStr">
        <x:is>
          <x:t xml:space="preserve">Validation</x:t>
        </x:is>
      </x:c>
      <x:c r="C96" s="84" t="inlineStr">
        <x:is>
          <x:t xml:space="preserve">Root/Radios</x:t>
        </x:is>
      </x:c>
      <x:c r="D96" s="84" t="inlineStr">
        <x:is>
          <x:t xml:space="preserve">missing required selection produces one group error and first-enabled-radio focus</x:t>
        </x:is>
      </x:c>
      <x:c r="E96" s="88" t="inlineStr">
        <x:is>
          <x:t xml:space="preserve">yes</x:t>
        </x:is>
      </x:c>
      <x:c r="F96" s="85" t="inlineStr">
        <x:is>
          <x:t xml:space="preserve">no</x:t>
        </x:is>
      </x:c>
      <x:c r="G96" s="73" t="inlineStr">
        <x:is>
          <x:t xml:space="preserve">automated tests pass; manual pending</x:t>
        </x:is>
      </x:c>
      <x:c r="H96" s="88" t="inlineStr">
        <x:is>
          <x:t xml:space="preserve">untested</x:t>
        </x:is>
      </x:c>
      <x:c r="I96" s="84" t="inlineStr">
        <x:is>
          <x:t xml:space="preserve">Form &gt; Control: Foundation and automated Atom validation tests.</x:t>
        </x:is>
      </x:c>
      <x:c r="J96" s="84" t="inlineStr">
        <x:is>
          <x:t xml:space="preserve">Run and review the updated form-foundation validation steps.</x:t>
        </x:is>
      </x:c>
      <x:c r="K96" s="87" t="n">
        <x:f>IF(AND(E96="yes",F96="yes",H96="covered"),1,IF(H96="partial",0.5,0))</x:f>
        <x:v>0</x:v>
      </x:c>
    </x:row>
    <x:row r="97" s="51" customFormat="1" ht="30" customHeight="1">
      <x:c r="A97" s="73" t="n">
        <x:v>88</x:v>
      </x:c>
      <x:c r="B97" s="84" t="inlineStr">
        <x:is>
          <x:t xml:space="preserve">State</x:t>
        </x:is>
      </x:c>
      <x:c r="C97" s="84" t="inlineStr">
        <x:is>
          <x:t xml:space="preserve">Root</x:t>
        </x:is>
      </x:c>
      <x:c r="D97" s="84" t="inlineStr">
        <x:is>
          <x:t xml:space="preserve">read-only state preserves focus and locks pointer selection</x:t>
        </x:is>
      </x:c>
      <x:c r="E97" s="88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ready for manual test</x:t>
        </x:is>
      </x:c>
      <x:c r="H97" s="88" t="inlineStr">
        <x:is>
          <x:t xml:space="preserve">covered</x:t>
        </x:is>
      </x:c>
      <x:c r="I97" s="84" t="inlineStr">
        <x:is>
          <x:t xml:space="preserve">Atom RadioGroup read-only playground control, Anatomy, Source, and package tests.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30" customHeight="1">
      <x:c r="A98" s="73" t="n">
        <x:v>89</x:v>
      </x:c>
      <x:c r="B98" s="84" t="inlineStr">
        <x:is>
          <x:t xml:space="preserve">ARIA</x:t>
        </x:is>
      </x:c>
      <x:c r="C98" s="84" t="inlineStr">
        <x:is>
          <x:t xml:space="preserve">Root</x:t>
        </x:is>
      </x:c>
      <x:c r="D98" s="84" t="inlineStr">
        <x:is>
          <x:t xml:space="preserve">aria-readonly is present only while the group is read-only</x:t>
        </x:is>
      </x:c>
      <x:c r="E98" s="88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ready for manual test</x:t>
        </x:is>
      </x:c>
      <x:c r="H98" s="88" t="inlineStr">
        <x:is>
          <x:t xml:space="preserve">covered</x:t>
        </x:is>
      </x:c>
      <x:c r="I98" s="84" t="inlineStr">
        <x:is>
          <x:t xml:space="preserve">Live RadioGroup root ARIA inspection and package render test.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30" customHeight="1">
      <x:c r="A99" s="73" t="n">
        <x:v>90</x:v>
      </x:c>
      <x:c r="B99" s="84" t="inlineStr">
        <x:is>
          <x:t xml:space="preserve">Data</x:t>
        </x:is>
      </x:c>
      <x:c r="C99" s="84" t="inlineStr">
        <x:is>
          <x:t xml:space="preserve">Root/Radio</x:t>
        </x:is>
      </x:c>
      <x:c r="D99" s="84" t="inlineStr">
        <x:is>
          <x:t xml:space="preserve">data-readonly is exposed on Root and every Radio while locked</x:t>
        </x:is>
      </x:c>
      <x:c r="E99" s="88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ready for manual test</x:t>
        </x:is>
      </x:c>
      <x:c r="H99" s="88" t="inlineStr">
        <x:is>
          <x:t xml:space="preserve">covered</x:t>
        </x:is>
      </x:c>
      <x:c r="I99" s="84" t="inlineStr">
        <x:is>
          <x:t xml:space="preserve">Live RadioGroup Data inspection and package render test.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30" customHeight="1">
      <x:c r="A100" s="73" t="n">
        <x:v>91</x:v>
      </x:c>
      <x:c r="B100" s="84" t="inlineStr">
        <x:is>
          <x:t xml:space="preserve">Keyboard</x:t>
        </x:is>
      </x:c>
      <x:c r="C100" s="84" t="inlineStr">
        <x:is>
          <x:t xml:space="preserve">RadioGroup</x:t>
        </x:is>
      </x:c>
      <x:c r="D100" s="84" t="inlineStr">
        <x:is>
          <x:t xml:space="preserve">read-only arrows, Home, and End move focus without changing value</x:t>
        </x:is>
      </x:c>
      <x:c r="E100" s="88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ready for manual test</x:t>
        </x:is>
      </x:c>
      <x:c r="H100" s="88" t="inlineStr">
        <x:is>
          <x:t xml:space="preserve">covered</x:t>
        </x:is>
      </x:c>
      <x:c r="I100" s="84" t="inlineStr">
        <x:is>
          <x:t xml:space="preserve">RadioGroup source lock assertions plus live read-only scenario.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30" customHeight="1">
      <x:c r="A101" s="73" t="n">
        <x:v>92</x:v>
      </x:c>
      <x:c r="B101" s="84" t="inlineStr">
        <x:is>
          <x:t xml:space="preserve">Forms</x:t>
        </x:is>
      </x:c>
      <x:c r="C101" s="84" t="inlineStr">
        <x:is>
          <x:t xml:space="preserve">RadioGroup</x:t>
        </x:is>
      </x:c>
      <x:c r="D101" s="84" t="inlineStr">
        <x:is>
          <x:t xml:space="preserve">read-only selected value remains submitted and enabled</x:t>
        </x:is>
      </x:c>
      <x:c r="E101" s="88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ready for manual test</x:t>
        </x:is>
      </x:c>
      <x:c r="H101" s="88" t="inlineStr">
        <x:is>
          <x:t xml:space="preserve">covered</x:t>
        </x:is>
      </x:c>
      <x:c r="I101" s="84" t="inlineStr">
        <x:is>
          <x:t xml:space="preserve">Generated hidden radio inspection and package render test.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35.04999923706055" customHeight="1">
      <x:c r="A102" s="73" t="n">
        <x:v>93</x:v>
      </x:c>
      <x:c r="B102" s="84" t="inlineStr">
        <x:is>
          <x:t xml:space="preserve">Direction</x:t>
        </x:is>
      </x:c>
      <x:c r="C102" s="84" t="inlineStr">
        <x:is>
          <x:t xml:space="preserve">Root</x:t>
        </x:is>
      </x:c>
      <x:c r="D102" s="84" t="inlineStr">
        <x:is>
          <x:t xml:space="preserve">explicit dir overrides Direction context and mirrors horizontal arrow navigation</x:t>
        </x:is>
      </x:c>
      <x:c r="E102" s="88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ready for manual test</x:t>
        </x:is>
      </x:c>
      <x:c r="H102" s="88" t="inlineStr">
        <x:is>
          <x:t xml:space="preserve">covered</x:t>
        </x:is>
      </x:c>
      <x:c r="I102" s="84" t="inlineStr">
        <x:is>
          <x:t xml:space="preserve">RadioGroup direction control now renders explicit Root dir; package runtime test proves RTL ArrowLeft selection.</x:t>
        </x:is>
      </x:c>
      <x:c r="J102" s="84" t="n"/>
      <x:c r="K102" s="87" t="n">
        <x:f>IF(AND(E102="yes",F102="yes",H102="covered"),1,IF(H102="partial",0.5,0))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Rating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0.9801980198019802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99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2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</x:t>
        </x:is>
      </x:c>
      <x:c r="H9" s="86" t="inlineStr">
        <x:is>
          <x:t xml:space="preserve">covered</x:t>
        </x:is>
      </x:c>
      <x:c r="I9" s="84" t="inlineStr">
        <x:is>
          <x:t xml:space="preserve">Rating playground scenario.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</x:t>
        </x:is>
      </x:c>
      <x:c r="H10" s="86" t="inlineStr">
        <x:is>
          <x:t xml:space="preserve">covered</x:t>
        </x:is>
      </x:c>
      <x:c r="I10" s="84" t="inlineStr">
        <x:is>
          <x:t xml:space="preserve">Rating playground scenario.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Rating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</x:t>
        </x:is>
      </x:c>
      <x:c r="H11" s="86" t="inlineStr">
        <x:is>
          <x:t xml:space="preserve">covered</x:t>
        </x:is>
      </x:c>
      <x:c r="I11" s="84" t="inlineStr">
        <x:is>
          <x:t xml:space="preserve">Rating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Rating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</x:t>
        </x:is>
      </x:c>
      <x:c r="H12" s="86" t="inlineStr">
        <x:is>
          <x:t xml:space="preserve">covered</x:t>
        </x:is>
      </x:c>
      <x:c r="I12" s="84" t="inlineStr">
        <x:is>
          <x:t xml:space="preserve">Rating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Rating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</x:t>
        </x:is>
      </x:c>
      <x:c r="H13" s="86" t="inlineStr">
        <x:is>
          <x:t xml:space="preserve">covered</x:t>
        </x:is>
      </x:c>
      <x:c r="I13" s="84" t="inlineStr">
        <x:is>
          <x:t xml:space="preserve">Rating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Rating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</x:t>
        </x:is>
      </x:c>
      <x:c r="H14" s="86" t="inlineStr">
        <x:is>
          <x:t xml:space="preserve">covered</x:t>
        </x:is>
      </x:c>
      <x:c r="I14" s="84" t="inlineStr">
        <x:is>
          <x:t xml:space="preserve">Rating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Rating</x:t>
        </x:is>
      </x:c>
      <x:c r="D15" s="84" t="inlineStr">
        <x:is>
          <x:t xml:space="preserve">Implements rating as a WAI-ARIA slider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</x:t>
        </x:is>
      </x:c>
      <x:c r="H15" s="86" t="inlineStr">
        <x:is>
          <x:t xml:space="preserve">covered</x:t>
        </x:is>
      </x:c>
      <x:c r="I15" s="84" t="inlineStr">
        <x:is>
          <x:t xml:space="preserve">Rating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Rating</x:t>
        </x:is>
      </x:c>
      <x:c r="D16" s="84" t="inlineStr">
        <x:is>
          <x:t xml:space="preserve">Supports controlled and uncontrolled values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</x:t>
        </x:is>
      </x:c>
      <x:c r="H16" s="86" t="inlineStr">
        <x:is>
          <x:t xml:space="preserve">covered</x:t>
        </x:is>
      </x:c>
      <x:c r="I16" s="84" t="inlineStr">
        <x:is>
          <x:t xml:space="preserve">Rating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Rating</x:t>
        </x:is>
      </x:c>
      <x:c r="D17" s="84" t="inlineStr">
        <x:is>
          <x:t xml:space="preserve">Supports fractional values with configurable `step`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</x:t>
        </x:is>
      </x:c>
      <x:c r="H17" s="86" t="inlineStr">
        <x:is>
          <x:t xml:space="preserve">covered</x:t>
        </x:is>
      </x:c>
      <x:c r="I17" s="84" t="inlineStr">
        <x:is>
          <x:t xml:space="preserve">Rating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Rating</x:t>
        </x:is>
      </x:c>
      <x:c r="D18" s="84" t="inlineStr">
        <x:is>
          <x:t xml:space="preserve">Supports pointer selection, drag updates, keyboard control, and click-to-clear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</x:t>
        </x:is>
      </x:c>
      <x:c r="H18" s="86" t="inlineStr">
        <x:is>
          <x:t xml:space="preserve">covered</x:t>
        </x:is>
      </x:c>
      <x:c r="I18" s="84" t="inlineStr">
        <x:is>
          <x:t xml:space="preserve">Rating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Rating</x:t>
        </x:is>
      </x:c>
      <x:c r="D19" s="84" t="inlineStr">
        <x:is>
          <x:t xml:space="preserve">Supports disabled, read-only, invalid, and required states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</x:t>
        </x:is>
      </x:c>
      <x:c r="H19" s="86" t="inlineStr">
        <x:is>
          <x:t xml:space="preserve">covered</x:t>
        </x:is>
      </x:c>
      <x:c r="I19" s="84" t="inlineStr">
        <x:is>
          <x:t xml:space="preserve">Rating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Rating</x:t>
        </x:is>
      </x:c>
      <x:c r="D20" s="84" t="inlineStr">
        <x:is>
          <x:t xml:space="preserve">Renders an optional hidden input for form submission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</x:t>
        </x:is>
      </x:c>
      <x:c r="H20" s="86" t="inlineStr">
        <x:is>
          <x:t xml:space="preserve">covered</x:t>
        </x:is>
      </x:c>
      <x:c r="I20" s="84" t="inlineStr">
        <x:is>
          <x:t xml:space="preserve">Rating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</x:t>
        </x:is>
      </x:c>
      <x:c r="H21" s="86" t="inlineStr">
        <x:is>
          <x:t xml:space="preserve">covered</x:t>
        </x:is>
      </x:c>
      <x:c r="I21" s="84" t="inlineStr">
        <x:is>
          <x:t xml:space="preserve">Rating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</x:t>
        </x:is>
      </x:c>
      <x:c r="H22" s="86" t="inlineStr">
        <x:is>
          <x:t xml:space="preserve">covered</x:t>
        </x:is>
      </x:c>
      <x:c r="I22" s="84" t="inlineStr">
        <x:is>
          <x:t xml:space="preserve">Rating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</x:t>
        </x:is>
      </x:c>
      <x:c r="H23" s="86" t="inlineStr">
        <x:is>
          <x:t xml:space="preserve">covered</x:t>
        </x:is>
      </x:c>
      <x:c r="I23" s="84" t="inlineStr">
        <x:is>
          <x:t xml:space="preserve">Rating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</x:t>
        </x:is>
      </x:c>
      <x:c r="H24" s="86" t="inlineStr">
        <x:is>
          <x:t xml:space="preserve">covered</x:t>
        </x:is>
      </x:c>
      <x:c r="I24" s="84" t="inlineStr">
        <x:is>
          <x:t xml:space="preserve">Rating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</x:t>
        </x:is>
      </x:c>
      <x:c r="H25" s="86" t="inlineStr">
        <x:is>
          <x:t xml:space="preserve">covered</x:t>
        </x:is>
      </x:c>
      <x:c r="I25" s="84" t="inlineStr">
        <x:is>
          <x:t xml:space="preserve">Rating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</x:t>
        </x:is>
      </x:c>
      <x:c r="H26" s="86" t="inlineStr">
        <x:is>
          <x:t xml:space="preserve">covered</x:t>
        </x:is>
      </x:c>
      <x:c r="I26" s="84" t="inlineStr">
        <x:is>
          <x:t xml:space="preserve">Rating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</x:t>
        </x:is>
      </x:c>
      <x:c r="H27" s="86" t="inlineStr">
        <x:is>
          <x:t xml:space="preserve">covered</x:t>
        </x:is>
      </x:c>
      <x:c r="I27" s="84" t="inlineStr">
        <x:is>
          <x:t xml:space="preserve">Rating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</x:t>
        </x:is>
      </x:c>
      <x:c r="H28" s="86" t="inlineStr">
        <x:is>
          <x:t xml:space="preserve">covered</x:t>
        </x:is>
      </x:c>
      <x:c r="I28" s="84" t="inlineStr">
        <x:is>
          <x:t xml:space="preserve">Rating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</x:t>
        </x:is>
      </x:c>
      <x:c r="H29" s="86" t="inlineStr">
        <x:is>
          <x:t xml:space="preserve">covered</x:t>
        </x:is>
      </x:c>
      <x:c r="I29" s="84" t="inlineStr">
        <x:is>
          <x:t xml:space="preserve">Rating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min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</x:t>
        </x:is>
      </x:c>
      <x:c r="H30" s="86" t="inlineStr">
        <x:is>
          <x:t xml:space="preserve">covered</x:t>
        </x:is>
      </x:c>
      <x:c r="I30" s="84" t="inlineStr">
        <x:is>
          <x:t xml:space="preserve">Rating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max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</x:t>
        </x:is>
      </x:c>
      <x:c r="H31" s="86" t="inlineStr">
        <x:is>
          <x:t xml:space="preserve">covered</x:t>
        </x:is>
      </x:c>
      <x:c r="I31" s="84" t="inlineStr">
        <x:is>
          <x:t xml:space="preserve">Rating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step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</x:t>
        </x:is>
      </x:c>
      <x:c r="H32" s="86" t="inlineStr">
        <x:is>
          <x:t xml:space="preserve">covered</x:t>
        </x:is>
      </x:c>
      <x:c r="I32" s="84" t="inlineStr">
        <x:is>
          <x:t xml:space="preserve">Rating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largeStep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</x:t>
        </x:is>
      </x:c>
      <x:c r="H33" s="86" t="inlineStr">
        <x:is>
          <x:t xml:space="preserve">covered</x:t>
        </x:is>
      </x:c>
      <x:c r="I33" s="84" t="inlineStr">
        <x:is>
          <x:t xml:space="preserve">Rating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disabled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</x:t>
        </x:is>
      </x:c>
      <x:c r="H34" s="86" t="inlineStr">
        <x:is>
          <x:t xml:space="preserve">covered</x:t>
        </x:is>
      </x:c>
      <x:c r="I34" s="84" t="inlineStr">
        <x:is>
          <x:t xml:space="preserve">Rating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Root</x:t>
        </x:is>
      </x:c>
      <x:c r="D35" s="84" t="inlineStr">
        <x:is>
          <x:t xml:space="preserve">readOnly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</x:t>
        </x:is>
      </x:c>
      <x:c r="H35" s="86" t="inlineStr">
        <x:is>
          <x:t xml:space="preserve">covered</x:t>
        </x:is>
      </x:c>
      <x:c r="I35" s="84" t="inlineStr">
        <x:is>
          <x:t xml:space="preserve">Rating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State</x:t>
        </x:is>
      </x:c>
      <x:c r="C36" s="84" t="inlineStr">
        <x:is>
          <x:t xml:space="preserve">Root</x:t>
        </x:is>
      </x:c>
      <x:c r="D36" s="84" t="inlineStr">
        <x:is>
          <x:t xml:space="preserve">invalid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</x:t>
        </x:is>
      </x:c>
      <x:c r="H36" s="86" t="inlineStr">
        <x:is>
          <x:t xml:space="preserve">covered</x:t>
        </x:is>
      </x:c>
      <x:c r="I36" s="84" t="inlineStr">
        <x:is>
          <x:t xml:space="preserve">Rating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Root</x:t>
        </x:is>
      </x:c>
      <x:c r="D37" s="84" t="inlineStr">
        <x:is>
          <x:t xml:space="preserve">required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</x:t>
        </x:is>
      </x:c>
      <x:c r="H37" s="86" t="inlineStr">
        <x:is>
          <x:t xml:space="preserve">covered</x:t>
        </x:is>
      </x:c>
      <x:c r="I37" s="84" t="inlineStr">
        <x:is>
          <x:t xml:space="preserve">Rating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name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</x:t>
        </x:is>
      </x:c>
      <x:c r="H38" s="86" t="inlineStr">
        <x:is>
          <x:t xml:space="preserve">covered</x:t>
        </x:is>
      </x:c>
      <x:c r="I38" s="84" t="inlineStr">
        <x:is>
          <x:t xml:space="preserve">Rating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formValue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</x:t>
        </x:is>
      </x:c>
      <x:c r="H39" s="86" t="inlineStr">
        <x:is>
          <x:t xml:space="preserve">covered</x:t>
        </x:is>
      </x:c>
      <x:c r="I39" s="84" t="inlineStr">
        <x:is>
          <x:t xml:space="preserve">Rating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form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</x:t>
        </x:is>
      </x:c>
      <x:c r="H40" s="86" t="inlineStr">
        <x:is>
          <x:t xml:space="preserve">covered</x:t>
        </x:is>
      </x:c>
      <x:c r="I40" s="84" t="inlineStr">
        <x:is>
          <x:t xml:space="preserve">Rating playground scenario.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Accessibility</x:t>
        </x:is>
      </x:c>
      <x:c r="C41" s="84" t="inlineStr">
        <x:is>
          <x:t xml:space="preserve">Root</x:t>
        </x:is>
      </x:c>
      <x:c r="D41" s="84" t="inlineStr">
        <x:is>
          <x:t xml:space="preserve">aria-valuetext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</x:t>
        </x:is>
      </x:c>
      <x:c r="H41" s="86" t="inlineStr">
        <x:is>
          <x:t xml:space="preserve">covered</x:t>
        </x:is>
      </x:c>
      <x:c r="I41" s="84" t="inlineStr">
        <x:is>
          <x:t xml:space="preserve">Rating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Public API</x:t>
        </x:is>
      </x:c>
      <x:c r="C42" s="84" t="inlineStr">
        <x:is>
          <x:t xml:space="preserve">Root</x:t>
        </x:is>
      </x:c>
      <x:c r="D42" s="84" t="inlineStr">
        <x:is>
          <x:t xml:space="preserve">getValueLabel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</x:t>
        </x:is>
      </x:c>
      <x:c r="H42" s="86" t="inlineStr">
        <x:is>
          <x:t xml:space="preserve">covered</x:t>
        </x:is>
      </x:c>
      <x:c r="I42" s="84" t="inlineStr">
        <x:is>
          <x:t xml:space="preserve">Rating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Root</x:t>
        </x:is>
      </x:c>
      <x:c r="D43" s="84" t="inlineStr">
        <x:is>
          <x:t xml:space="preserve">tabIndex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</x:t>
        </x:is>
      </x:c>
      <x:c r="H43" s="86" t="inlineStr">
        <x:is>
          <x:t xml:space="preserve">covered</x:t>
        </x:is>
      </x:c>
      <x:c r="I43" s="84" t="inlineStr">
        <x:is>
          <x:t xml:space="preserve">Rating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Composition</x:t>
        </x:is>
      </x:c>
      <x:c r="C44" s="84" t="inlineStr">
        <x:is>
          <x:t xml:space="preserve">Root</x:t>
        </x:is>
      </x:c>
      <x:c r="D44" s="84" t="inlineStr">
        <x:is>
          <x:t xml:space="preserve">asChild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</x:t>
        </x:is>
      </x:c>
      <x:c r="H44" s="86" t="inlineStr">
        <x:is>
          <x:t xml:space="preserve">covered</x:t>
        </x:is>
      </x:c>
      <x:c r="I44" s="84" t="inlineStr">
        <x:is>
          <x:t xml:space="preserve">Rating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Composition</x:t>
        </x:is>
      </x:c>
      <x:c r="C45" s="84" t="inlineStr">
        <x:is>
          <x:t xml:space="preserve">Root</x:t>
        </x:is>
      </x:c>
      <x:c r="D45" s="84" t="inlineStr">
        <x:is>
          <x:t xml:space="preserve">render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</x:t>
        </x:is>
      </x:c>
      <x:c r="H45" s="86" t="inlineStr">
        <x:is>
          <x:t xml:space="preserve">covered</x:t>
        </x:is>
      </x:c>
      <x:c r="I45" s="84" t="inlineStr">
        <x:is>
          <x:t xml:space="preserve">Rating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Root</x:t>
        </x:is>
      </x:c>
      <x:c r="D46" s="84" t="inlineStr">
        <x:is>
          <x:t xml:space="preserve">[data-slot]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</x:t>
        </x:is>
      </x:c>
      <x:c r="H46" s="86" t="inlineStr">
        <x:is>
          <x:t xml:space="preserve">covered</x:t>
        </x:is>
      </x:c>
      <x:c r="I46" s="84" t="inlineStr">
        <x:is>
          <x:t xml:space="preserve">Rating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State</x:t>
        </x:is>
      </x:c>
      <x:c r="C47" s="84" t="inlineStr">
        <x:is>
          <x:t xml:space="preserve">Root</x:t>
        </x:is>
      </x:c>
      <x:c r="D47" s="84" t="inlineStr">
        <x:is>
          <x:t xml:space="preserve">[data-value]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</x:t>
        </x:is>
      </x:c>
      <x:c r="H47" s="86" t="inlineStr">
        <x:is>
          <x:t xml:space="preserve">covered</x:t>
        </x:is>
      </x:c>
      <x:c r="I47" s="84" t="inlineStr">
        <x:is>
          <x:t xml:space="preserve">Rating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Public API</x:t>
        </x:is>
      </x:c>
      <x:c r="C48" s="84" t="inlineStr">
        <x:is>
          <x:t xml:space="preserve">Root</x:t>
        </x:is>
      </x:c>
      <x:c r="D48" s="84" t="inlineStr">
        <x:is>
          <x:t xml:space="preserve">[data-min]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</x:t>
        </x:is>
      </x:c>
      <x:c r="H48" s="86" t="inlineStr">
        <x:is>
          <x:t xml:space="preserve">covered</x:t>
        </x:is>
      </x:c>
      <x:c r="I48" s="84" t="inlineStr">
        <x:is>
          <x:t xml:space="preserve">Rating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Public API</x:t>
        </x:is>
      </x:c>
      <x:c r="C49" s="84" t="inlineStr">
        <x:is>
          <x:t xml:space="preserve">Root</x:t>
        </x:is>
      </x:c>
      <x:c r="D49" s="84" t="inlineStr">
        <x:is>
          <x:t xml:space="preserve">[data-max]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</x:t>
        </x:is>
      </x:c>
      <x:c r="H49" s="86" t="inlineStr">
        <x:is>
          <x:t xml:space="preserve">covered</x:t>
        </x:is>
      </x:c>
      <x:c r="I49" s="84" t="inlineStr">
        <x:is>
          <x:t xml:space="preserve">Rating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Root</x:t>
        </x:is>
      </x:c>
      <x:c r="D50" s="84" t="inlineStr">
        <x:is>
          <x:t xml:space="preserve">[data-step]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</x:t>
        </x:is>
      </x:c>
      <x:c r="H50" s="86" t="inlineStr">
        <x:is>
          <x:t xml:space="preserve">covered</x:t>
        </x:is>
      </x:c>
      <x:c r="I50" s="84" t="inlineStr">
        <x:is>
          <x:t xml:space="preserve">Rating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State</x:t>
        </x:is>
      </x:c>
      <x:c r="C51" s="84" t="inlineStr">
        <x:is>
          <x:t xml:space="preserve">Root</x:t>
        </x:is>
      </x:c>
      <x:c r="D51" s="84" t="inlineStr">
        <x:is>
          <x:t xml:space="preserve">[data-disabled]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</x:t>
        </x:is>
      </x:c>
      <x:c r="H51" s="86" t="inlineStr">
        <x:is>
          <x:t xml:space="preserve">covered</x:t>
        </x:is>
      </x:c>
      <x:c r="I51" s="84" t="inlineStr">
        <x:is>
          <x:t xml:space="preserve">Rating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State</x:t>
        </x:is>
      </x:c>
      <x:c r="C52" s="84" t="inlineStr">
        <x:is>
          <x:t xml:space="preserve">Root</x:t>
        </x:is>
      </x:c>
      <x:c r="D52" s="84" t="inlineStr">
        <x:is>
          <x:t xml:space="preserve">[data-readonly]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</x:t>
        </x:is>
      </x:c>
      <x:c r="H52" s="86" t="inlineStr">
        <x:is>
          <x:t xml:space="preserve">covered</x:t>
        </x:is>
      </x:c>
      <x:c r="I52" s="84" t="inlineStr">
        <x:is>
          <x:t xml:space="preserve">Rating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State</x:t>
        </x:is>
      </x:c>
      <x:c r="C53" s="84" t="inlineStr">
        <x:is>
          <x:t xml:space="preserve">Root</x:t>
        </x:is>
      </x:c>
      <x:c r="D53" s="84" t="inlineStr">
        <x:is>
          <x:t xml:space="preserve">[data-invalid]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</x:t>
        </x:is>
      </x:c>
      <x:c r="H53" s="86" t="inlineStr">
        <x:is>
          <x:t xml:space="preserve">covered</x:t>
        </x:is>
      </x:c>
      <x:c r="I53" s="84" t="inlineStr">
        <x:is>
          <x:t xml:space="preserve">Rating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State</x:t>
        </x:is>
      </x:c>
      <x:c r="C54" s="84" t="inlineStr">
        <x:is>
          <x:t xml:space="preserve">Root</x:t>
        </x:is>
      </x:c>
      <x:c r="D54" s="84" t="inlineStr">
        <x:is>
          <x:t xml:space="preserve">[data-required]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</x:t>
        </x:is>
      </x:c>
      <x:c r="H54" s="86" t="inlineStr">
        <x:is>
          <x:t xml:space="preserve">covered</x:t>
        </x:is>
      </x:c>
      <x:c r="I54" s="84" t="inlineStr">
        <x:is>
          <x:t xml:space="preserve">Rating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Anatomy</x:t>
        </x:is>
      </x:c>
      <x:c r="C55" s="84" t="inlineStr">
        <x:is>
          <x:t xml:space="preserve">Item</x:t>
        </x:is>
      </x:c>
      <x:c r="D55" s="84" t="inlineStr">
        <x:is>
          <x:t xml:space="preserve">renders correct part when expected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</x:t>
        </x:is>
      </x:c>
      <x:c r="H55" s="86" t="inlineStr">
        <x:is>
          <x:t xml:space="preserve">covered</x:t>
        </x:is>
      </x:c>
      <x:c r="I55" s="84" t="inlineStr">
        <x:is>
          <x:t xml:space="preserve">Rating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Anatomy</x:t>
        </x:is>
      </x:c>
      <x:c r="C56" s="84" t="inlineStr">
        <x:is>
          <x:t xml:space="preserve">Item</x:t>
        </x:is>
      </x:c>
      <x:c r="D56" s="84" t="inlineStr">
        <x:is>
          <x:t xml:space="preserve">appears in documented order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</x:t>
        </x:is>
      </x:c>
      <x:c r="H56" s="86" t="inlineStr">
        <x:is>
          <x:t xml:space="preserve">covered</x:t>
        </x:is>
      </x:c>
      <x:c r="I56" s="84" t="inlineStr">
        <x:is>
          <x:t xml:space="preserve">Rating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30" customHeight="1">
      <x:c r="A57" s="73" t="n">
        <x:v>49</x:v>
      </x:c>
      <x:c r="B57" s="84" t="inlineStr">
        <x:is>
          <x:t xml:space="preserve">Identity</x:t>
        </x:is>
      </x:c>
      <x:c r="C57" s="84" t="inlineStr">
        <x:is>
          <x:t xml:space="preserve">Item</x:t>
        </x:is>
      </x:c>
      <x:c r="D57" s="84" t="inlineStr">
        <x:is>
          <x:t xml:space="preserve">default tag is visible in Anatomy/Inspector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</x:t>
        </x:is>
      </x:c>
      <x:c r="H57" s="86" t="inlineStr">
        <x:is>
          <x:t xml:space="preserve">covered</x:t>
        </x:is>
      </x:c>
      <x:c r="I57" s="84" t="inlineStr">
        <x:is>
          <x:t xml:space="preserve">Rating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Identity</x:t>
        </x:is>
      </x:c>
      <x:c r="C58" s="84" t="inlineStr">
        <x:is>
          <x:t xml:space="preserve">Item</x:t>
        </x:is>
      </x:c>
      <x:c r="D58" s="84" t="inlineStr">
        <x:is>
          <x:t xml:space="preserve">data-slot is present and correct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</x:t>
        </x:is>
      </x:c>
      <x:c r="H58" s="86" t="inlineStr">
        <x:is>
          <x:t xml:space="preserve">covered</x:t>
        </x:is>
      </x:c>
      <x:c r="I58" s="84" t="inlineStr">
        <x:is>
          <x:t xml:space="preserve">Rating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Props</x:t>
        </x:is>
      </x:c>
      <x:c r="C59" s="84" t="inlineStr">
        <x:is>
          <x:t xml:space="preserve">Item</x:t>
        </x:is>
      </x:c>
      <x:c r="D59" s="84" t="inlineStr">
        <x:is>
          <x:t xml:space="preserve">non-Atom native props pass through with data-prop-check marker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</x:t>
        </x:is>
      </x:c>
      <x:c r="H59" s="86" t="inlineStr">
        <x:is>
          <x:t xml:space="preserve">covered</x:t>
        </x:is>
      </x:c>
      <x:c r="I59" s="84" t="inlineStr">
        <x:is>
          <x:t xml:space="preserve">Rating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Refs</x:t>
        </x:is>
      </x:c>
      <x:c r="C60" s="84" t="inlineStr">
        <x:is>
          <x:t xml:space="preserve">Item</x:t>
        </x:is>
      </x:c>
      <x:c r="D60" s="84" t="inlineStr">
        <x:is>
          <x:t xml:space="preserve">consumer ref receives the rendered element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</x:t>
        </x:is>
      </x:c>
      <x:c r="H60" s="86" t="inlineStr">
        <x:is>
          <x:t xml:space="preserve">covered</x:t>
        </x:is>
      </x:c>
      <x:c r="I60" s="84" t="inlineStr">
        <x:is>
          <x:t xml:space="preserve">Rating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State</x:t>
        </x:is>
      </x:c>
      <x:c r="C61" s="84" t="inlineStr">
        <x:is>
          <x:t xml:space="preserve">Item</x:t>
        </x:is>
      </x:c>
      <x:c r="D61" s="84" t="inlineStr">
        <x:is>
          <x:t xml:space="preserve">value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</x:t>
        </x:is>
      </x:c>
      <x:c r="H61" s="86" t="inlineStr">
        <x:is>
          <x:t xml:space="preserve">covered</x:t>
        </x:is>
      </x:c>
      <x:c r="I61" s="84" t="inlineStr">
        <x:is>
          <x:t xml:space="preserve">Rating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Composition</x:t>
        </x:is>
      </x:c>
      <x:c r="C62" s="84" t="inlineStr">
        <x:is>
          <x:t xml:space="preserve">Item</x:t>
        </x:is>
      </x:c>
      <x:c r="D62" s="84" t="inlineStr">
        <x:is>
          <x:t xml:space="preserve">asChild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</x:t>
        </x:is>
      </x:c>
      <x:c r="H62" s="86" t="inlineStr">
        <x:is>
          <x:t xml:space="preserve">covered</x:t>
        </x:is>
      </x:c>
      <x:c r="I62" s="84" t="inlineStr">
        <x:is>
          <x:t xml:space="preserve">Rating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Composition</x:t>
        </x:is>
      </x:c>
      <x:c r="C63" s="84" t="inlineStr">
        <x:is>
          <x:t xml:space="preserve">Item</x:t>
        </x:is>
      </x:c>
      <x:c r="D63" s="84" t="inlineStr">
        <x:is>
          <x:t xml:space="preserve">render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</x:t>
        </x:is>
      </x:c>
      <x:c r="H63" s="86" t="inlineStr">
        <x:is>
          <x:t xml:space="preserve">covered</x:t>
        </x:is>
      </x:c>
      <x:c r="I63" s="84" t="inlineStr">
        <x:is>
          <x:t xml:space="preserve">Rating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Item</x:t>
        </x:is>
      </x:c>
      <x:c r="D64" s="84" t="inlineStr">
        <x:is>
          <x:t xml:space="preserve">[data-slot]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</x:t>
        </x:is>
      </x:c>
      <x:c r="H64" s="86" t="inlineStr">
        <x:is>
          <x:t xml:space="preserve">covered</x:t>
        </x:is>
      </x:c>
      <x:c r="I64" s="84" t="inlineStr">
        <x:is>
          <x:t xml:space="preserve">Rating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State</x:t>
        </x:is>
      </x:c>
      <x:c r="C65" s="84" t="inlineStr">
        <x:is>
          <x:t xml:space="preserve">Item</x:t>
        </x:is>
      </x:c>
      <x:c r="D65" s="84" t="inlineStr">
        <x:is>
          <x:t xml:space="preserve">[data-value]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</x:t>
        </x:is>
      </x:c>
      <x:c r="H65" s="86" t="inlineStr">
        <x:is>
          <x:t xml:space="preserve">covered</x:t>
        </x:is>
      </x:c>
      <x:c r="I65" s="84" t="inlineStr">
        <x:is>
          <x:t xml:space="preserve">Rating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Public API</x:t>
        </x:is>
      </x:c>
      <x:c r="C66" s="84" t="inlineStr">
        <x:is>
          <x:t xml:space="preserve">Item</x:t>
        </x:is>
      </x:c>
      <x:c r="D66" s="84" t="inlineStr">
        <x:is>
          <x:t xml:space="preserve">[data-fill]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</x:t>
        </x:is>
      </x:c>
      <x:c r="H66" s="86" t="inlineStr">
        <x:is>
          <x:t xml:space="preserve">covered</x:t>
        </x:is>
      </x:c>
      <x:c r="I66" s="84" t="inlineStr">
        <x:is>
          <x:t xml:space="preserve">Rating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Item</x:t>
        </x:is>
      </x:c>
      <x:c r="D67" s="84" t="inlineStr">
        <x:is>
          <x:t xml:space="preserve">[data-state]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</x:t>
        </x:is>
      </x:c>
      <x:c r="H67" s="86" t="inlineStr">
        <x:is>
          <x:t xml:space="preserve">covered</x:t>
        </x:is>
      </x:c>
      <x:c r="I67" s="84" t="inlineStr">
        <x:is>
          <x:t xml:space="preserve">Rating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State</x:t>
        </x:is>
      </x:c>
      <x:c r="C68" s="84" t="inlineStr">
        <x:is>
          <x:t xml:space="preserve">Item</x:t>
        </x:is>
      </x:c>
      <x:c r="D68" s="84" t="inlineStr">
        <x:is>
          <x:t xml:space="preserve">[data-disabled]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</x:t>
        </x:is>
      </x:c>
      <x:c r="H68" s="86" t="inlineStr">
        <x:is>
          <x:t xml:space="preserve">covered</x:t>
        </x:is>
      </x:c>
      <x:c r="I68" s="84" t="inlineStr">
        <x:is>
          <x:t xml:space="preserve">Rating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State</x:t>
        </x:is>
      </x:c>
      <x:c r="C69" s="84" t="inlineStr">
        <x:is>
          <x:t xml:space="preserve">Item</x:t>
        </x:is>
      </x:c>
      <x:c r="D69" s="84" t="inlineStr">
        <x:is>
          <x:t xml:space="preserve">[data-readonly]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</x:t>
        </x:is>
      </x:c>
      <x:c r="H69" s="86" t="inlineStr">
        <x:is>
          <x:t xml:space="preserve">covered</x:t>
        </x:is>
      </x:c>
      <x:c r="I69" s="84" t="inlineStr">
        <x:is>
          <x:t xml:space="preserve">Rating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State</x:t>
        </x:is>
      </x:c>
      <x:c r="C70" s="84" t="inlineStr">
        <x:is>
          <x:t xml:space="preserve">Item</x:t>
        </x:is>
      </x:c>
      <x:c r="D70" s="84" t="inlineStr">
        <x:is>
          <x:t xml:space="preserve">[data-invalid] prop behavior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</x:t>
        </x:is>
      </x:c>
      <x:c r="H70" s="86" t="inlineStr">
        <x:is>
          <x:t xml:space="preserve">covered</x:t>
        </x:is>
      </x:c>
      <x:c r="I70" s="84" t="inlineStr">
        <x:is>
          <x:t xml:space="preserve">Rating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ARIA</x:t>
        </x:is>
      </x:c>
      <x:c r="C71" s="84" t="inlineStr">
        <x:is>
          <x:t xml:space="preserve">Live DOM</x:t>
        </x:is>
      </x:c>
      <x:c r="D71" s="84" t="inlineStr">
        <x:is>
          <x:t xml:space="preserve">aria-disabled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</x:t>
        </x:is>
      </x:c>
      <x:c r="H71" s="86" t="inlineStr">
        <x:is>
          <x:t xml:space="preserve">covered</x:t>
        </x:is>
      </x:c>
      <x:c r="I71" s="84" t="inlineStr">
        <x:is>
          <x:t xml:space="preserve">Rating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ARIA</x:t>
        </x:is>
      </x:c>
      <x:c r="C72" s="84" t="inlineStr">
        <x:is>
          <x:t xml:space="preserve">Live DOM</x:t>
        </x:is>
      </x:c>
      <x:c r="D72" s="84" t="inlineStr">
        <x:is>
          <x:t xml:space="preserve">aria-hidden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</x:t>
        </x:is>
      </x:c>
      <x:c r="H72" s="86" t="inlineStr">
        <x:is>
          <x:t xml:space="preserve">covered</x:t>
        </x:is>
      </x:c>
      <x:c r="I72" s="84" t="inlineStr">
        <x:is>
          <x:t xml:space="preserve">Rating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ARIA</x:t>
        </x:is>
      </x:c>
      <x:c r="C73" s="84" t="inlineStr">
        <x:is>
          <x:t xml:space="preserve">Live DOM</x:t>
        </x:is>
      </x:c>
      <x:c r="D73" s="84" t="inlineStr">
        <x:is>
          <x:t xml:space="preserve">aria-invalid is present at the correct time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</x:t>
        </x:is>
      </x:c>
      <x:c r="H73" s="86" t="inlineStr">
        <x:is>
          <x:t xml:space="preserve">covered</x:t>
        </x:is>
      </x:c>
      <x:c r="I73" s="84" t="inlineStr">
        <x:is>
          <x:t xml:space="preserve">Rating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ARIA</x:t>
        </x:is>
      </x:c>
      <x:c r="C74" s="84" t="inlineStr">
        <x:is>
          <x:t xml:space="preserve">Live DOM</x:t>
        </x:is>
      </x:c>
      <x:c r="D74" s="84" t="inlineStr">
        <x:is>
          <x:t xml:space="preserve">aria-readonly is present at the correct time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</x:t>
        </x:is>
      </x:c>
      <x:c r="H74" s="86" t="inlineStr">
        <x:is>
          <x:t xml:space="preserve">covered</x:t>
        </x:is>
      </x:c>
      <x:c r="I74" s="84" t="inlineStr">
        <x:is>
          <x:t xml:space="preserve">Rating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ARIA</x:t>
        </x:is>
      </x:c>
      <x:c r="C75" s="84" t="inlineStr">
        <x:is>
          <x:t xml:space="preserve">Live DOM</x:t>
        </x:is>
      </x:c>
      <x:c r="D75" s="84" t="inlineStr">
        <x:is>
          <x:t xml:space="preserve">aria-required is present at the correct time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</x:t>
        </x:is>
      </x:c>
      <x:c r="H75" s="86" t="inlineStr">
        <x:is>
          <x:t xml:space="preserve">covered</x:t>
        </x:is>
      </x:c>
      <x:c r="I75" s="84" t="inlineStr">
        <x:is>
          <x:t xml:space="preserve">Rating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ARIA</x:t>
        </x:is>
      </x:c>
      <x:c r="C76" s="84" t="inlineStr">
        <x:is>
          <x:t xml:space="preserve">Live DOM</x:t>
        </x:is>
      </x:c>
      <x:c r="D76" s="84" t="inlineStr">
        <x:is>
          <x:t xml:space="preserve">aria-valuemax is present at the correct time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</x:t>
        </x:is>
      </x:c>
      <x:c r="H76" s="86" t="inlineStr">
        <x:is>
          <x:t xml:space="preserve">covered</x:t>
        </x:is>
      </x:c>
      <x:c r="I76" s="84" t="inlineStr">
        <x:is>
          <x:t xml:space="preserve">Rating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ARIA</x:t>
        </x:is>
      </x:c>
      <x:c r="C77" s="84" t="inlineStr">
        <x:is>
          <x:t xml:space="preserve">Live DOM</x:t>
        </x:is>
      </x:c>
      <x:c r="D77" s="84" t="inlineStr">
        <x:is>
          <x:t xml:space="preserve">aria-valuemin is present at the correct time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</x:t>
        </x:is>
      </x:c>
      <x:c r="H77" s="86" t="inlineStr">
        <x:is>
          <x:t xml:space="preserve">covered</x:t>
        </x:is>
      </x:c>
      <x:c r="I77" s="84" t="inlineStr">
        <x:is>
          <x:t xml:space="preserve">Rating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ARIA</x:t>
        </x:is>
      </x:c>
      <x:c r="C78" s="84" t="inlineStr">
        <x:is>
          <x:t xml:space="preserve">Live DOM</x:t>
        </x:is>
      </x:c>
      <x:c r="D78" s="84" t="inlineStr">
        <x:is>
          <x:t xml:space="preserve">aria-valuenow is present at the correct time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</x:t>
        </x:is>
      </x:c>
      <x:c r="H78" s="86" t="inlineStr">
        <x:is>
          <x:t xml:space="preserve">covered</x:t>
        </x:is>
      </x:c>
      <x:c r="I78" s="84" t="inlineStr">
        <x:is>
          <x:t xml:space="preserve">Rating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ARIA</x:t>
        </x:is>
      </x:c>
      <x:c r="C79" s="84" t="inlineStr">
        <x:is>
          <x:t xml:space="preserve">Live DOM</x:t>
        </x:is>
      </x:c>
      <x:c r="D79" s="84" t="inlineStr">
        <x:is>
          <x:t xml:space="preserve">aria-valuetext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</x:t>
        </x:is>
      </x:c>
      <x:c r="H79" s="86" t="inlineStr">
        <x:is>
          <x:t xml:space="preserve">covered</x:t>
        </x:is>
      </x:c>
      <x:c r="I79" s="84" t="inlineStr">
        <x:is>
          <x:t xml:space="preserve">Rating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Data</x:t>
        </x:is>
      </x:c>
      <x:c r="C80" s="84" t="inlineStr">
        <x:is>
          <x:t xml:space="preserve">Live DOM</x:t>
        </x:is>
      </x:c>
      <x:c r="D80" s="84" t="inlineStr">
        <x:is>
          <x:t xml:space="preserve">data-disabled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</x:t>
        </x:is>
      </x:c>
      <x:c r="H80" s="86" t="inlineStr">
        <x:is>
          <x:t xml:space="preserve">covered</x:t>
        </x:is>
      </x:c>
      <x:c r="I80" s="84" t="inlineStr">
        <x:is>
          <x:t xml:space="preserve">Rating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Data</x:t>
        </x:is>
      </x:c>
      <x:c r="C81" s="84" t="inlineStr">
        <x:is>
          <x:t xml:space="preserve">Live DOM</x:t>
        </x:is>
      </x:c>
      <x:c r="D81" s="84" t="inlineStr">
        <x:is>
          <x:t xml:space="preserve">data-fill is present at the correct time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</x:t>
        </x:is>
      </x:c>
      <x:c r="H81" s="86" t="inlineStr">
        <x:is>
          <x:t xml:space="preserve">covered</x:t>
        </x:is>
      </x:c>
      <x:c r="I81" s="84" t="inlineStr">
        <x:is>
          <x:t xml:space="preserve">Rating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Data</x:t>
        </x:is>
      </x:c>
      <x:c r="C82" s="84" t="inlineStr">
        <x:is>
          <x:t xml:space="preserve">Live DOM</x:t>
        </x:is>
      </x:c>
      <x:c r="D82" s="84" t="inlineStr">
        <x:is>
          <x:t xml:space="preserve">data-invalid is present at the correct time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</x:t>
        </x:is>
      </x:c>
      <x:c r="H82" s="86" t="inlineStr">
        <x:is>
          <x:t xml:space="preserve">covered</x:t>
        </x:is>
      </x:c>
      <x:c r="I82" s="84" t="inlineStr">
        <x:is>
          <x:t xml:space="preserve">Rating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Data</x:t>
        </x:is>
      </x:c>
      <x:c r="C83" s="84" t="inlineStr">
        <x:is>
          <x:t xml:space="preserve">Live DOM</x:t>
        </x:is>
      </x:c>
      <x:c r="D83" s="84" t="inlineStr">
        <x:is>
          <x:t xml:space="preserve">data-max is present at the correct time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</x:t>
        </x:is>
      </x:c>
      <x:c r="H83" s="86" t="inlineStr">
        <x:is>
          <x:t xml:space="preserve">covered</x:t>
        </x:is>
      </x:c>
      <x:c r="I83" s="84" t="inlineStr">
        <x:is>
          <x:t xml:space="preserve">Rating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Data</x:t>
        </x:is>
      </x:c>
      <x:c r="C84" s="84" t="inlineStr">
        <x:is>
          <x:t xml:space="preserve">Live DOM</x:t>
        </x:is>
      </x:c>
      <x:c r="D84" s="84" t="inlineStr">
        <x:is>
          <x:t xml:space="preserve">data-min is present at the correct time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</x:t>
        </x:is>
      </x:c>
      <x:c r="H84" s="86" t="inlineStr">
        <x:is>
          <x:t xml:space="preserve">covered</x:t>
        </x:is>
      </x:c>
      <x:c r="I84" s="84" t="inlineStr">
        <x:is>
          <x:t xml:space="preserve">Rating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Data</x:t>
        </x:is>
      </x:c>
      <x:c r="C85" s="84" t="inlineStr">
        <x:is>
          <x:t xml:space="preserve">Live DOM</x:t>
        </x:is>
      </x:c>
      <x:c r="D85" s="84" t="inlineStr">
        <x:is>
          <x:t xml:space="preserve">data-readonly is present at the correct time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</x:t>
        </x:is>
      </x:c>
      <x:c r="H85" s="86" t="inlineStr">
        <x:is>
          <x:t xml:space="preserve">covered</x:t>
        </x:is>
      </x:c>
      <x:c r="I85" s="84" t="inlineStr">
        <x:is>
          <x:t xml:space="preserve">Rating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Data</x:t>
        </x:is>
      </x:c>
      <x:c r="C86" s="84" t="inlineStr">
        <x:is>
          <x:t xml:space="preserve">Live DOM</x:t>
        </x:is>
      </x:c>
      <x:c r="D86" s="84" t="inlineStr">
        <x:is>
          <x:t xml:space="preserve">data-required is present at the correct time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</x:t>
        </x:is>
      </x:c>
      <x:c r="H86" s="86" t="inlineStr">
        <x:is>
          <x:t xml:space="preserve">covered</x:t>
        </x:is>
      </x:c>
      <x:c r="I86" s="84" t="inlineStr">
        <x:is>
          <x:t xml:space="preserve">Rating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Data</x:t>
        </x:is>
      </x:c>
      <x:c r="C87" s="84" t="inlineStr">
        <x:is>
          <x:t xml:space="preserve">Live DOM</x:t>
        </x:is>
      </x:c>
      <x:c r="D87" s="84" t="inlineStr">
        <x:is>
          <x:t xml:space="preserve">data-slot is present at the correct time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</x:t>
        </x:is>
      </x:c>
      <x:c r="H87" s="86" t="inlineStr">
        <x:is>
          <x:t xml:space="preserve">covered</x:t>
        </x:is>
      </x:c>
      <x:c r="I87" s="84" t="inlineStr">
        <x:is>
          <x:t xml:space="preserve">Rating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Data</x:t>
        </x:is>
      </x:c>
      <x:c r="C88" s="84" t="inlineStr">
        <x:is>
          <x:t xml:space="preserve">Live DOM</x:t>
        </x:is>
      </x:c>
      <x:c r="D88" s="84" t="inlineStr">
        <x:is>
          <x:t xml:space="preserve">data-state is present at the correct time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</x:t>
        </x:is>
      </x:c>
      <x:c r="H88" s="86" t="inlineStr">
        <x:is>
          <x:t xml:space="preserve">covered</x:t>
        </x:is>
      </x:c>
      <x:c r="I88" s="84" t="inlineStr">
        <x:is>
          <x:t xml:space="preserve">Rating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Data</x:t>
        </x:is>
      </x:c>
      <x:c r="C89" s="84" t="inlineStr">
        <x:is>
          <x:t xml:space="preserve">Live DOM</x:t>
        </x:is>
      </x:c>
      <x:c r="D89" s="84" t="inlineStr">
        <x:is>
          <x:t xml:space="preserve">data-step is present at the correct time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</x:t>
        </x:is>
      </x:c>
      <x:c r="H89" s="86" t="inlineStr">
        <x:is>
          <x:t xml:space="preserve">covered</x:t>
        </x:is>
      </x:c>
      <x:c r="I89" s="84" t="inlineStr">
        <x:is>
          <x:t xml:space="preserve">Rating playground scenario.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Data</x:t>
        </x:is>
      </x:c>
      <x:c r="C90" s="84" t="inlineStr">
        <x:is>
          <x:t xml:space="preserve">Live DOM</x:t>
        </x:is>
      </x:c>
      <x:c r="D90" s="84" t="inlineStr">
        <x:is>
          <x:t xml:space="preserve">data-value is present at the correct time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</x:t>
        </x:is>
      </x:c>
      <x:c r="H90" s="86" t="inlineStr">
        <x:is>
          <x:t xml:space="preserve">covered</x:t>
        </x:is>
      </x:c>
      <x:c r="I90" s="84" t="inlineStr">
        <x:is>
          <x:t xml:space="preserve">Rating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30" customHeight="1">
      <x:c r="A91" s="73" t="n">
        <x:v>83</x:v>
      </x:c>
      <x:c r="B91" s="84" t="inlineStr">
        <x:is>
          <x:t xml:space="preserve">Composition</x:t>
        </x:is>
      </x:c>
      <x:c r="C91" s="84" t="inlineStr">
        <x:is>
          <x:t xml:space="preserve">Rating</x:t>
        </x:is>
      </x:c>
      <x:c r="D91" s="84" t="inlineStr">
        <x:is>
          <x:t xml:space="preserve">asChild preserves child content without double nesting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</x:t>
        </x:is>
      </x:c>
      <x:c r="H91" s="86" t="inlineStr">
        <x:is>
          <x:t xml:space="preserve">covered</x:t>
        </x:is>
      </x:c>
      <x:c r="I91" s="84" t="inlineStr">
        <x:is>
          <x:t xml:space="preserve">Rating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Composition</x:t>
        </x:is>
      </x:c>
      <x:c r="C92" s="84" t="inlineStr">
        <x:is>
          <x:t xml:space="preserve">Rating</x:t>
        </x:is>
      </x:c>
      <x:c r="D92" s="84" t="inlineStr">
        <x:is>
          <x:t xml:space="preserve">asChild merges Atom props and consumer props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</x:t>
        </x:is>
      </x:c>
      <x:c r="H92" s="86" t="inlineStr">
        <x:is>
          <x:t xml:space="preserve">covered</x:t>
        </x:is>
      </x:c>
      <x:c r="I92" s="84" t="inlineStr">
        <x:is>
          <x:t xml:space="preserve">Rating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Composition</x:t>
        </x:is>
      </x:c>
      <x:c r="C93" s="84" t="inlineStr">
        <x:is>
          <x:t xml:space="preserve">Rating</x:t>
        </x:is>
      </x:c>
      <x:c r="D93" s="84" t="inlineStr">
        <x:is>
          <x:t xml:space="preserve">asChild lets preventDefault block Atom behavior where supported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</x:t>
        </x:is>
      </x:c>
      <x:c r="H93" s="86" t="inlineStr">
        <x:is>
          <x:t xml:space="preserve">covered</x:t>
        </x:is>
      </x:c>
      <x:c r="I93" s="84" t="inlineStr">
        <x:is>
          <x:t xml:space="preserve">Rating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Composition</x:t>
        </x:is>
      </x:c>
      <x:c r="C94" s="84" t="inlineStr">
        <x:is>
          <x:t xml:space="preserve">Rating</x:t>
        </x:is>
      </x:c>
      <x:c r="D94" s="84" t="inlineStr">
        <x:is>
          <x:t xml:space="preserve">render prop renders custom element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</x:t>
        </x:is>
      </x:c>
      <x:c r="H94" s="86" t="inlineStr">
        <x:is>
          <x:t xml:space="preserve">covered</x:t>
        </x:is>
      </x:c>
      <x:c r="I94" s="84" t="inlineStr">
        <x:is>
          <x:t xml:space="preserve">Rating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Composition</x:t>
        </x:is>
      </x:c>
      <x:c r="C95" s="84" t="inlineStr">
        <x:is>
          <x:t xml:space="preserve">Rating</x:t>
        </x:is>
      </x:c>
      <x:c r="D95" s="84" t="inlineStr">
        <x:is>
          <x:t xml:space="preserve">render prop preserves refs and behavior props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</x:t>
        </x:is>
      </x:c>
      <x:c r="H95" s="86" t="inlineStr">
        <x:is>
          <x:t xml:space="preserve">covered</x:t>
        </x:is>
      </x:c>
      <x:c r="I95" s="84" t="inlineStr">
        <x:is>
          <x:t xml:space="preserve">Rating playground scenario.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State</x:t>
        </x:is>
      </x:c>
      <x:c r="C96" s="84" t="inlineStr">
        <x:is>
          <x:t xml:space="preserve">Root</x:t>
        </x:is>
      </x:c>
      <x:c r="D96" s="84" t="inlineStr">
        <x:is>
          <x:t xml:space="preserve">controlled state path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</x:t>
        </x:is>
      </x:c>
      <x:c r="H96" s="86" t="inlineStr">
        <x:is>
          <x:t xml:space="preserve">covered</x:t>
        </x:is>
      </x:c>
      <x:c r="I96" s="84" t="inlineStr">
        <x:is>
          <x:t xml:space="preserve">Rating playground scenario.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30" customHeight="1">
      <x:c r="A97" s="73" t="n">
        <x:v>89</x:v>
      </x:c>
      <x:c r="B97" s="84" t="inlineStr">
        <x:is>
          <x:t xml:space="preserve">State</x:t>
        </x:is>
      </x:c>
      <x:c r="C97" s="84" t="inlineStr">
        <x:is>
          <x:t xml:space="preserve">Root</x:t>
        </x:is>
      </x:c>
      <x:c r="D97" s="84" t="inlineStr">
        <x:is>
          <x:t xml:space="preserve">uncontrolled default state path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</x:t>
        </x:is>
      </x:c>
      <x:c r="H97" s="86" t="inlineStr">
        <x:is>
          <x:t xml:space="preserve">covered</x:t>
        </x:is>
      </x:c>
      <x:c r="I97" s="84" t="inlineStr">
        <x:is>
          <x:t xml:space="preserve">Rating playground scenario.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30" customHeight="1">
      <x:c r="A98" s="73" t="n">
        <x:v>90</x:v>
      </x:c>
      <x:c r="B98" s="84" t="inlineStr">
        <x:is>
          <x:t xml:space="preserve">State</x:t>
        </x:is>
      </x:c>
      <x:c r="C98" s="84" t="inlineStr">
        <x:is>
          <x:t xml:space="preserve">Root</x:t>
        </x:is>
      </x:c>
      <x:c r="D98" s="84" t="inlineStr">
        <x:is>
          <x:t xml:space="preserve">state change callback fires once with correct value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</x:t>
        </x:is>
      </x:c>
      <x:c r="H98" s="86" t="inlineStr">
        <x:is>
          <x:t xml:space="preserve">covered</x:t>
        </x:is>
      </x:c>
      <x:c r="I98" s="84" t="inlineStr">
        <x:is>
          <x:t xml:space="preserve">Rating playground scenario.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30" customHeight="1">
      <x:c r="A99" s="73" t="n">
        <x:v>91</x:v>
      </x:c>
      <x:c r="B99" s="84" t="inlineStr">
        <x:is>
          <x:t xml:space="preserve">State</x:t>
        </x:is>
      </x:c>
      <x:c r="C99" s="84" t="inlineStr">
        <x:is>
          <x:t xml:space="preserve">Rating</x:t>
        </x:is>
      </x:c>
      <x:c r="D99" s="84" t="inlineStr">
        <x:is>
          <x:t xml:space="preserve">disabled state blocks or exposes behavior correctly where supported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</x:t>
        </x:is>
      </x:c>
      <x:c r="H99" s="86" t="inlineStr">
        <x:is>
          <x:t xml:space="preserve">covered</x:t>
        </x:is>
      </x:c>
      <x:c r="I99" s="84" t="inlineStr">
        <x:is>
          <x:t xml:space="preserve">Rating playground scenario.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30" customHeight="1">
      <x:c r="A100" s="73" t="n">
        <x:v>92</x:v>
      </x:c>
      <x:c r="B100" s="84" t="inlineStr">
        <x:is>
          <x:t xml:space="preserve">State</x:t>
        </x:is>
      </x:c>
      <x:c r="C100" s="84" t="inlineStr">
        <x:is>
          <x:t xml:space="preserve">Rating</x:t>
        </x:is>
      </x:c>
      <x:c r="D100" s="84" t="inlineStr">
        <x:is>
          <x:t xml:space="preserve">readonly/readOnly state blocks or exposes behavior correctly where supported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</x:t>
        </x:is>
      </x:c>
      <x:c r="H100" s="86" t="inlineStr">
        <x:is>
          <x:t xml:space="preserve">covered</x:t>
        </x:is>
      </x:c>
      <x:c r="I100" s="84" t="inlineStr">
        <x:is>
          <x:t xml:space="preserve">Rating playground scenario.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State</x:t>
        </x:is>
      </x:c>
      <x:c r="C101" s="84" t="inlineStr">
        <x:is>
          <x:t xml:space="preserve">Rating</x:t>
        </x:is>
      </x:c>
      <x:c r="D101" s="84" t="inlineStr">
        <x:is>
          <x:t xml:space="preserve">required state blocks or exposes behavior correctly where supported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</x:t>
        </x:is>
      </x:c>
      <x:c r="H101" s="86" t="inlineStr">
        <x:is>
          <x:t xml:space="preserve">covered</x:t>
        </x:is>
      </x:c>
      <x:c r="I101" s="84" t="inlineStr">
        <x:is>
          <x:t xml:space="preserve">Rating playground scenario.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30" customHeight="1">
      <x:c r="A102" s="73" t="n">
        <x:v>94</x:v>
      </x:c>
      <x:c r="B102" s="84" t="inlineStr">
        <x:is>
          <x:t xml:space="preserve">State</x:t>
        </x:is>
      </x:c>
      <x:c r="C102" s="84" t="inlineStr">
        <x:is>
          <x:t xml:space="preserve">Rating</x:t>
        </x:is>
      </x:c>
      <x:c r="D102" s="84" t="inlineStr">
        <x:is>
          <x:t xml:space="preserve">invalid state blocks or exposes behavior correctly where supported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</x:t>
        </x:is>
      </x:c>
      <x:c r="H102" s="86" t="inlineStr">
        <x:is>
          <x:t xml:space="preserve">covered</x:t>
        </x:is>
      </x:c>
      <x:c r="I102" s="84" t="inlineStr">
        <x:is>
          <x:t xml:space="preserve">Rating playground scenario.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30" customHeight="1">
      <x:c r="A103" s="73" t="n">
        <x:v>95</x:v>
      </x:c>
      <x:c r="B103" s="84" t="inlineStr">
        <x:is>
          <x:t xml:space="preserve">Forms</x:t>
        </x:is>
      </x:c>
      <x:c r="C103" s="84" t="inlineStr">
        <x:is>
          <x:t xml:space="preserve">Rating</x:t>
        </x:is>
      </x:c>
      <x:c r="D103" s="84" t="inlineStr">
        <x:is>
          <x:t xml:space="preserve">form value participates correctly where supported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</x:t>
        </x:is>
      </x:c>
      <x:c r="H103" s="86" t="inlineStr">
        <x:is>
          <x:t xml:space="preserve">covered</x:t>
        </x:is>
      </x:c>
      <x:c r="I103" s="84" t="inlineStr">
        <x:is>
          <x:t xml:space="preserve">Rating playground scenario.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Forms</x:t>
        </x:is>
      </x:c>
      <x:c r="C104" s="84" t="inlineStr">
        <x:is>
          <x:t xml:space="preserve">Rating</x:t>
        </x:is>
      </x:c>
      <x:c r="D104" s="84" t="inlineStr">
        <x:is>
          <x:t xml:space="preserve">hidden input mirrors value/checked/disabled where supported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</x:t>
        </x:is>
      </x:c>
      <x:c r="H104" s="86" t="inlineStr">
        <x:is>
          <x:t xml:space="preserve">covered</x:t>
        </x:is>
      </x:c>
      <x:c r="I104" s="84" t="inlineStr">
        <x:is>
          <x:t xml:space="preserve">Rating playground scenario.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30" customHeight="1">
      <x:c r="A105" s="73" t="n">
        <x:v>97</x:v>
      </x:c>
      <x:c r="B105" s="84" t="inlineStr">
        <x:is>
          <x:t xml:space="preserve">Direction</x:t>
        </x:is>
      </x:c>
      <x:c r="C105" s="84" t="inlineStr">
        <x:is>
          <x:t xml:space="preserve">Root</x:t>
        </x:is>
      </x:c>
      <x:c r="D105" s="84" t="inlineStr">
        <x:is>
          <x:t xml:space="preserve">reads Direction.Provider context for horizontal rating movement</x:t>
        </x:is>
      </x:c>
      <x:c r="E105" s="88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</x:t>
        </x:is>
      </x:c>
      <x:c r="H105" s="88" t="inlineStr">
        <x:is>
          <x:t xml:space="preserve">covered</x:t>
        </x:is>
      </x:c>
      <x:c r="I105" s="84" t="inlineStr">
        <x:is>
          <x:t xml:space="preserve">Rating playground scenario.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Direction</x:t>
        </x:is>
      </x:c>
      <x:c r="C106" s="84" t="inlineStr">
        <x:is>
          <x:t xml:space="preserve">Root</x:t>
        </x:is>
      </x:c>
      <x:c r="D106" s="84" t="inlineStr">
        <x:is>
          <x:t xml:space="preserve">RTL mirrors ArrowLeft and ArrowRight rating changes</x:t>
        </x:is>
      </x:c>
      <x:c r="E106" s="88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</x:t>
        </x:is>
      </x:c>
      <x:c r="H106" s="88" t="inlineStr">
        <x:is>
          <x:t xml:space="preserve">covered</x:t>
        </x:is>
      </x:c>
      <x:c r="I106" s="84" t="inlineStr">
        <x:is>
          <x:t xml:space="preserve">Rating playground scenario.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30" customHeight="1">
      <x:c r="A107" s="73" t="n">
        <x:v>99</x:v>
      </x:c>
      <x:c r="B107" s="84" t="inlineStr">
        <x:is>
          <x:t xml:space="preserve">Playground</x:t>
        </x:is>
      </x:c>
      <x:c r="C107" s="84" t="inlineStr">
        <x:is>
          <x:t xml:space="preserve">Direction controls</x:t>
        </x:is>
      </x:c>
      <x:c r="D107" s="84" t="inlineStr">
        <x:is>
          <x:t xml:space="preserve">scenario exposes provider direction controls</x:t>
        </x:is>
      </x:c>
      <x:c r="E107" s="88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</x:t>
        </x:is>
      </x:c>
      <x:c r="H107" s="88" t="inlineStr">
        <x:is>
          <x:t xml:space="preserve">covered</x:t>
        </x:is>
      </x:c>
      <x:c r="I107" s="84" t="inlineStr">
        <x:is>
          <x:t xml:space="preserve">Rating playground scenario.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30" customHeight="1">
      <x:c r="A108" s="73" t="n">
        <x:v>100</x:v>
      </x:c>
      <x:c r="B108" s="84" t="inlineStr">
        <x:is>
          <x:t xml:space="preserve">Forms</x:t>
        </x:is>
      </x:c>
      <x:c r="C108" s="84" t="inlineStr">
        <x:is>
          <x:t xml:space="preserve">Root</x:t>
        </x:is>
      </x:c>
      <x:c r="D108" s="84" t="inlineStr">
        <x:is>
          <x:t xml:space="preserve">Field inheritance, required non-empty value, submission, and uncontrolled reset</x:t>
        </x:is>
      </x:c>
      <x:c r="E108" s="88" t="inlineStr">
        <x:is>
          <x:t xml:space="preserve">yes</x:t>
        </x:is>
      </x:c>
      <x:c r="F108" s="85" t="inlineStr">
        <x:is>
          <x:t xml:space="preserve">no</x:t>
        </x:is>
      </x:c>
      <x:c r="G108" s="73" t="inlineStr">
        <x:is>
          <x:t xml:space="preserve">automated tests pass; manual pending</x:t>
        </x:is>
      </x:c>
      <x:c r="H108" s="88" t="inlineStr">
        <x:is>
          <x:t xml:space="preserve">untested</x:t>
        </x:is>
      </x:c>
      <x:c r="I108" s="84" t="inlineStr">
        <x:is>
          <x:t xml:space="preserve">Form &gt; Control: Foundation plus the component scenario and automated package tests.</x:t>
        </x:is>
      </x:c>
      <x:c r="J108" s="84" t="inlineStr">
        <x:is>
          <x:t xml:space="preserve">Run and review the form-foundation manual protocol.</x:t>
        </x:is>
      </x:c>
      <x:c r="K108" s="87" t="n">
        <x:f>IF(AND(E108="yes",F108="yes",H108="covered"),1,IF(H108="partial",0.5,0))</x:f>
        <x:v>0</x:v>
      </x:c>
    </x:row>
    <x:row r="109" s="51" customFormat="1" ht="30" customHeight="1">
      <x:c r="A109" s="73" t="n">
        <x:v>101</x:v>
      </x:c>
      <x:c r="B109" s="84" t="inlineStr">
        <x:is>
          <x:t xml:space="preserve">Validation</x:t>
        </x:is>
      </x:c>
      <x:c r="C109" s="84" t="inlineStr">
        <x:is>
          <x:t xml:space="preserve">Root</x:t>
        </x:is>
      </x:c>
      <x:c r="D109" s="84" t="inlineStr">
        <x:is>
          <x:t xml:space="preserve">required-proxy invalidity mirrors to Rating, Field, Error, and Form</x:t>
        </x:is>
      </x:c>
      <x:c r="E109" s="88" t="inlineStr">
        <x:is>
          <x:t xml:space="preserve">yes</x:t>
        </x:is>
      </x:c>
      <x:c r="F109" s="85" t="inlineStr">
        <x:is>
          <x:t xml:space="preserve">no</x:t>
        </x:is>
      </x:c>
      <x:c r="G109" s="73" t="inlineStr">
        <x:is>
          <x:t xml:space="preserve">automated tests pass; manual pending</x:t>
        </x:is>
      </x:c>
      <x:c r="H109" s="88" t="inlineStr">
        <x:is>
          <x:t xml:space="preserve">untested</x:t>
        </x:is>
      </x:c>
      <x:c r="I109" s="84" t="inlineStr">
        <x:is>
          <x:t xml:space="preserve">Form &gt; Control: Foundation and automated Atom validation tests.</x:t>
        </x:is>
      </x:c>
      <x:c r="J109" s="84" t="inlineStr">
        <x:is>
          <x:t xml:space="preserve">Run and review the updated form-foundation validation steps.</x:t>
        </x:is>
      </x:c>
      <x:c r="K109" s="87" t="n">
        <x:f>IF(AND(E109="yes",F109="yes",H109="covered"),1,IF(H109="partial",0.5,0))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ScrollArea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IFERROR(SUM(K9:K60)/COUNTA(A9:A60),0)</x:f>
        <x:v>0.9423076923076923</x:v>
      </x:c>
      <x:c r="C4" s="70" t="inlineStr">
        <x:is>
          <x:t xml:space="preserve">Covered</x:t>
        </x:is>
      </x:c>
      <x:c r="D4" s="82" t="n">
        <x:f>COUNTIF(H9:H60,"covered")</x:f>
        <x:v>46</x:v>
      </x:c>
      <x:c r="E4" s="70" t="inlineStr">
        <x:is>
          <x:t xml:space="preserve">Partial</x:t>
        </x:is>
      </x:c>
      <x:c r="F4" s="82" t="n">
        <x:f>COUNTIF(H9:H60,"partial")</x:f>
        <x:v>6</x:v>
      </x:c>
      <x:c r="G4" s="70" t="inlineStr">
        <x:is>
          <x:t xml:space="preserve">Missing</x:t>
        </x:is>
      </x:c>
      <x:c r="H4" s="82" t="n">
        <x:f>COUNTIF(H9:H60,"missing")</x:f>
        <x:v>0</x:v>
      </x:c>
      <x:c r="I4" s="70" t="inlineStr">
        <x:is>
          <x:t xml:space="preserve">Untested</x:t>
        </x:is>
      </x:c>
      <x:c r="J4" s="82" t="n">
        <x:f>COUNTIF(F9:F60,"no")</x:f>
        <x:v>6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Shared playground prop rule.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Shared playground prop rule.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89" t="n">
        <x:v>3</x:v>
      </x:c>
      <x:c r="B11" s="90" t="inlineStr">
        <x:is>
          <x:t xml:space="preserve">Playground</x:t>
        </x:is>
      </x:c>
      <x:c r="C11" s="90" t="inlineStr">
        <x:is>
          <x:t xml:space="preserve">ScrollArea</x:t>
        </x:is>
      </x:c>
      <x:c r="D11" s="90" t="inlineStr">
        <x:is>
          <x:t xml:space="preserve">scenario is reachable from top menu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ScrollArea playground scenario.</x:t>
        </x:is>
      </x:c>
      <x:c r="J11" s="90" t="n"/>
      <x:c r="K11" s="91" t="n">
        <x:f>IF(H11="covered",1,IF(H11="partial",0.5,0))</x:f>
        <x:v>1</x:v>
      </x:c>
    </x:row>
    <x:row r="12" s="51" customFormat="1" ht="15" customHeight="1">
      <x:c r="A12" s="89" t="n">
        <x:v>4</x:v>
      </x:c>
      <x:c r="B12" s="90" t="inlineStr">
        <x:is>
          <x:t xml:space="preserve">Playground</x:t>
        </x:is>
      </x:c>
      <x:c r="C12" s="90" t="inlineStr">
        <x:is>
          <x:t xml:space="preserve">ScrollArea</x:t>
        </x:is>
      </x:c>
      <x:c r="D12" s="90" t="inlineStr">
        <x:is>
          <x:t xml:space="preserve">canvas source reflects current toggles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ScrollArea playground scenario.</x:t>
        </x:is>
      </x:c>
      <x:c r="J12" s="90" t="n"/>
      <x:c r="K12" s="91" t="n">
        <x:f>IF(H12="covered",1,IF(H12="partial",0.5,0))</x:f>
        <x:v>1</x:v>
      </x:c>
    </x:row>
    <x:row r="13" s="51" customFormat="1" ht="15" customHeight="1">
      <x:c r="A13" s="89" t="n">
        <x:v>5</x:v>
      </x:c>
      <x:c r="B13" s="90" t="inlineStr">
        <x:is>
          <x:t xml:space="preserve">Playground</x:t>
        </x:is>
      </x:c>
      <x:c r="C13" s="90" t="inlineStr">
        <x:is>
          <x:t xml:space="preserve">ScrollArea</x:t>
        </x:is>
      </x:c>
      <x:c r="D13" s="90" t="inlineStr">
        <x:is>
          <x:t xml:space="preserve">anatomy uses live DOM attributes, ARIA, and data groups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ScrollArea playground scenario.</x:t>
        </x:is>
      </x:c>
      <x:c r="J13" s="90" t="n"/>
      <x:c r="K13" s="91" t="n">
        <x:f>IF(H13="covered",1,IF(H13="partial",0.5,0))</x:f>
        <x:v>1</x:v>
      </x:c>
    </x:row>
    <x:row r="14" s="51" customFormat="1" ht="30" customHeight="1">
      <x:c r="A14" s="89" t="n">
        <x:v>6</x:v>
      </x:c>
      <x:c r="B14" s="90" t="inlineStr">
        <x:is>
          <x:t xml:space="preserve">Playground</x:t>
        </x:is>
      </x:c>
      <x:c r="C14" s="90" t="inlineStr">
        <x:is>
          <x:t xml:space="preserve">ScrollArea</x:t>
        </x:is>
      </x:c>
      <x:c r="D14" s="90" t="inlineStr">
        <x:is>
          <x:t xml:space="preserve">inspector selected/focused/logs work for this scenario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ScrollArea playground scenario.</x:t>
        </x:is>
      </x:c>
      <x:c r="J14" s="90" t="n"/>
      <x:c r="K14" s="91" t="n">
        <x:f>IF(H14="covered",1,IF(H14="partial",0.5,0))</x:f>
        <x:v>1</x:v>
      </x:c>
    </x:row>
    <x:row r="15" s="51" customFormat="1" ht="15" customHeight="1">
      <x:c r="A15" s="89" t="n">
        <x:v>7</x:v>
      </x:c>
      <x:c r="B15" s="90" t="inlineStr">
        <x:is>
          <x:t xml:space="preserve">Feature</x:t>
        </x:is>
      </x:c>
      <x:c r="C15" s="90" t="inlineStr">
        <x:is>
          <x:t xml:space="preserve">ScrollArea</x:t>
        </x:is>
      </x:c>
      <x:c r="D15" s="90" t="inlineStr">
        <x:is>
          <x:t xml:space="preserve">Provides root and viewport parts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ScrollArea playground scenario.</x:t>
        </x:is>
      </x:c>
      <x:c r="J15" s="90" t="n"/>
      <x:c r="K15" s="91" t="n">
        <x:f>IF(H15="covered",1,IF(H15="partial",0.5,0))</x:f>
        <x:v>1</x:v>
      </x:c>
    </x:row>
    <x:row r="16" s="51" customFormat="1" ht="30" customHeight="1">
      <x:c r="A16" s="89" t="n">
        <x:v>8</x:v>
      </x:c>
      <x:c r="B16" s="90" t="inlineStr">
        <x:is>
          <x:t xml:space="preserve">Feature</x:t>
        </x:is>
      </x:c>
      <x:c r="C16" s="90" t="inlineStr">
        <x:is>
          <x:t xml:space="preserve">ScrollArea</x:t>
        </x:is>
      </x:c>
      <x:c r="D16" s="90" t="inlineStr">
        <x:is>
          <x:t xml:space="preserve">Supports vertical, horizontal, and both-axis orientation metadata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ScrollArea playground scenario.</x:t>
        </x:is>
      </x:c>
      <x:c r="J16" s="90" t="n"/>
      <x:c r="K16" s="91" t="n">
        <x:f>IF(H16="covered",1,IF(H16="partial",0.5,0))</x:f>
        <x:v>1</x:v>
      </x:c>
    </x:row>
    <x:row r="17" s="51" customFormat="1" ht="15" customHeight="1">
      <x:c r="A17" s="89" t="n">
        <x:v>9</x:v>
      </x:c>
      <x:c r="B17" s="90" t="inlineStr">
        <x:is>
          <x:t xml:space="preserve">Feature</x:t>
        </x:is>
      </x:c>
      <x:c r="C17" s="90" t="inlineStr">
        <x:is>
          <x:t xml:space="preserve">ScrollArea</x:t>
        </x:is>
      </x:c>
      <x:c r="D17" s="90" t="inlineStr">
        <x:is>
          <x:t xml:space="preserve">Keeps the viewport out of the Tab order by default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ScrollArea playground scenario.</x:t>
        </x:is>
      </x:c>
      <x:c r="J17" s="90" t="n"/>
      <x:c r="K17" s="91" t="n">
        <x:f>IF(H17="covered",1,IF(H17="partial",0.5,0))</x:f>
        <x:v>1</x:v>
      </x:c>
    </x:row>
    <x:row r="18" s="51" customFormat="1" ht="15" customHeight="1">
      <x:c r="A18" s="89" t="n">
        <x:v>10</x:v>
      </x:c>
      <x:c r="B18" s="90" t="inlineStr">
        <x:is>
          <x:t xml:space="preserve">Feature</x:t>
        </x:is>
      </x:c>
      <x:c r="C18" s="90" t="inlineStr">
        <x:is>
          <x:t xml:space="preserve">ScrollArea</x:t>
        </x:is>
      </x:c>
      <x:c r="D18" s="90" t="inlineStr">
        <x:is>
          <x:t xml:space="preserve">Adds `role="region"` only when the viewport has an accessible name</x:t>
        </x:is>
      </x:c>
      <x:c r="E18" s="89" t="inlineStr">
        <x:is>
          <x:t xml:space="preserve">yes</x:t>
        </x:is>
      </x:c>
      <x:c r="F18" s="89" t="inlineStr">
        <x:is>
          <x:t xml:space="preserve">yes</x:t>
        </x:is>
      </x:c>
      <x:c r="G18" s="89" t="inlineStr">
        <x:is>
          <x:t xml:space="preserve">passed</x:t>
        </x:is>
      </x:c>
      <x:c r="H18" s="89" t="inlineStr">
        <x:is>
          <x:t xml:space="preserve">covered</x:t>
        </x:is>
      </x:c>
      <x:c r="I18" s="90" t="inlineStr">
        <x:is>
          <x:t xml:space="preserve">ScrollArea playground scenario.</x:t>
        </x:is>
      </x:c>
      <x:c r="J18" s="90" t="n"/>
      <x:c r="K18" s="91" t="n">
        <x:f>IF(H18="covered",1,IF(H18="partial",0.5,0))</x:f>
        <x:v>1</x:v>
      </x:c>
    </x:row>
    <x:row r="19" s="51" customFormat="1" ht="15" customHeight="1">
      <x:c r="A19" s="89" t="n">
        <x:v>11</x:v>
      </x:c>
      <x:c r="B19" s="90" t="inlineStr">
        <x:is>
          <x:t xml:space="preserve">Feature</x:t>
        </x:is>
      </x:c>
      <x:c r="C19" s="90" t="inlineStr">
        <x:is>
          <x:t xml:space="preserve">ScrollArea</x:t>
        </x:is>
      </x:c>
      <x:c r="D19" s="90" t="inlineStr">
        <x:is>
          <x:t xml:space="preserve">Supports `asChild` and `render` on every part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ScrollArea playground scenario.</x:t>
        </x:is>
      </x:c>
      <x:c r="J19" s="90" t="n"/>
      <x:c r="K19" s="91" t="n">
        <x:f>IF(H19="covered",1,IF(H19="partial",0.5,0))</x:f>
        <x:v>1</x:v>
      </x:c>
    </x:row>
    <x:row r="20" s="51" customFormat="1" ht="15" customHeight="1">
      <x:c r="A20" s="89" t="n">
        <x:v>12</x:v>
      </x:c>
      <x:c r="B20" s="90" t="inlineStr">
        <x:is>
          <x:t xml:space="preserve">Anatomy</x:t>
        </x:is>
      </x:c>
      <x:c r="C20" s="90" t="inlineStr">
        <x:is>
          <x:t xml:space="preserve">Root</x:t>
        </x:is>
      </x:c>
      <x:c r="D20" s="90" t="inlineStr">
        <x:is>
          <x:t xml:space="preserve">renders correct part when expected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ScrollArea playground scenario.</x:t>
        </x:is>
      </x:c>
      <x:c r="J20" s="90" t="n"/>
      <x:c r="K20" s="91" t="n">
        <x:f>IF(H20="covered",1,IF(H20="partial",0.5,0))</x:f>
        <x:v>1</x:v>
      </x:c>
    </x:row>
    <x:row r="21" s="51" customFormat="1" ht="15" customHeight="1">
      <x:c r="A21" s="89" t="n">
        <x:v>13</x:v>
      </x:c>
      <x:c r="B21" s="90" t="inlineStr">
        <x:is>
          <x:t xml:space="preserve">Anatomy</x:t>
        </x:is>
      </x:c>
      <x:c r="C21" s="90" t="inlineStr">
        <x:is>
          <x:t xml:space="preserve">Root</x:t>
        </x:is>
      </x:c>
      <x:c r="D21" s="90" t="inlineStr">
        <x:is>
          <x:t xml:space="preserve">appears in documented order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ScrollArea playground scenario.</x:t>
        </x:is>
      </x:c>
      <x:c r="J21" s="90" t="n"/>
      <x:c r="K21" s="91" t="n">
        <x:f>IF(H21="covered",1,IF(H21="partial",0.5,0))</x:f>
        <x:v>1</x:v>
      </x:c>
    </x:row>
    <x:row r="22" s="51" customFormat="1" ht="30" customHeight="1">
      <x:c r="A22" s="89" t="n">
        <x:v>14</x:v>
      </x:c>
      <x:c r="B22" s="90" t="inlineStr">
        <x:is>
          <x:t xml:space="preserve">Identity</x:t>
        </x:is>
      </x:c>
      <x:c r="C22" s="90" t="inlineStr">
        <x:is>
          <x:t xml:space="preserve">Root</x:t>
        </x:is>
      </x:c>
      <x:c r="D22" s="90" t="inlineStr">
        <x:is>
          <x:t xml:space="preserve">default tag is visible in Anatomy/Inspector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ScrollArea playground scenario.</x:t>
        </x:is>
      </x:c>
      <x:c r="J22" s="90" t="n"/>
      <x:c r="K22" s="91" t="n">
        <x:f>IF(H22="covered",1,IF(H22="partial",0.5,0))</x:f>
        <x:v>1</x:v>
      </x:c>
    </x:row>
    <x:row r="23" s="51" customFormat="1" ht="15" customHeight="1">
      <x:c r="A23" s="89" t="n">
        <x:v>15</x:v>
      </x:c>
      <x:c r="B23" s="90" t="inlineStr">
        <x:is>
          <x:t xml:space="preserve">Identity</x:t>
        </x:is>
      </x:c>
      <x:c r="C23" s="90" t="inlineStr">
        <x:is>
          <x:t xml:space="preserve">Root</x:t>
        </x:is>
      </x:c>
      <x:c r="D23" s="90" t="inlineStr">
        <x:is>
          <x:t xml:space="preserve">data-slot is present and correct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ScrollArea playground scenario.</x:t>
        </x:is>
      </x:c>
      <x:c r="J23" s="90" t="n"/>
      <x:c r="K23" s="91" t="n">
        <x:f>IF(H23="covered",1,IF(H23="partial",0.5,0))</x:f>
        <x:v>1</x:v>
      </x:c>
    </x:row>
    <x:row r="24" s="51" customFormat="1" ht="15" customHeight="1">
      <x:c r="A24" s="89" t="n">
        <x:v>16</x:v>
      </x:c>
      <x:c r="B24" s="90" t="inlineStr">
        <x:is>
          <x:t xml:space="preserve">Props</x:t>
        </x:is>
      </x:c>
      <x:c r="C24" s="90" t="inlineStr">
        <x:is>
          <x:t xml:space="preserve">Root</x:t>
        </x:is>
      </x:c>
      <x:c r="D24" s="90" t="inlineStr">
        <x:is>
          <x:t xml:space="preserve">non-Atom native props pass through with data-prop-check marker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ScrollArea playground scenario.</x:t>
        </x:is>
      </x:c>
      <x:c r="J24" s="90" t="n"/>
      <x:c r="K24" s="91" t="n">
        <x:f>IF(H24="covered",1,IF(H24="partial",0.5,0))</x:f>
        <x:v>1</x:v>
      </x:c>
    </x:row>
    <x:row r="25" s="51" customFormat="1" ht="15" customHeight="1">
      <x:c r="A25" s="89" t="n">
        <x:v>17</x:v>
      </x:c>
      <x:c r="B25" s="90" t="inlineStr">
        <x:is>
          <x:t xml:space="preserve">Refs</x:t>
        </x:is>
      </x:c>
      <x:c r="C25" s="90" t="inlineStr">
        <x:is>
          <x:t xml:space="preserve">Root</x:t>
        </x:is>
      </x:c>
      <x:c r="D25" s="90" t="inlineStr">
        <x:is>
          <x:t xml:space="preserve">consumer ref receives the rendered element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ScrollArea playground scenario.</x:t>
        </x:is>
      </x:c>
      <x:c r="J25" s="90" t="n"/>
      <x:c r="K25" s="91" t="n">
        <x:f>IF(H25="covered",1,IF(H25="partial",0.5,0))</x:f>
        <x:v>1</x:v>
      </x:c>
    </x:row>
    <x:row r="26" s="51" customFormat="1" ht="15" customHeight="1">
      <x:c r="A26" s="89" t="n">
        <x:v>18</x:v>
      </x:c>
      <x:c r="B26" s="90" t="inlineStr">
        <x:is>
          <x:t xml:space="preserve">Composition</x:t>
        </x:is>
      </x:c>
      <x:c r="C26" s="90" t="inlineStr">
        <x:is>
          <x:t xml:space="preserve">Root</x:t>
        </x:is>
      </x:c>
      <x:c r="D26" s="90" t="inlineStr">
        <x:is>
          <x:t xml:space="preserve">asChild prop behavior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ScrollArea playground scenario.</x:t>
        </x:is>
      </x:c>
      <x:c r="J26" s="90" t="n"/>
      <x:c r="K26" s="91" t="n">
        <x:f>IF(H26="covered",1,IF(H26="partial",0.5,0))</x:f>
        <x:v>1</x:v>
      </x:c>
    </x:row>
    <x:row r="27" s="51" customFormat="1" ht="15" customHeight="1">
      <x:c r="A27" s="89" t="n">
        <x:v>19</x:v>
      </x:c>
      <x:c r="B27" s="90" t="inlineStr">
        <x:is>
          <x:t xml:space="preserve">Composition</x:t>
        </x:is>
      </x:c>
      <x:c r="C27" s="90" t="inlineStr">
        <x:is>
          <x:t xml:space="preserve">Root</x:t>
        </x:is>
      </x:c>
      <x:c r="D27" s="90" t="inlineStr">
        <x:is>
          <x:t xml:space="preserve">render prop behavior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ScrollArea playground scenario.</x:t>
        </x:is>
      </x:c>
      <x:c r="J27" s="90" t="n"/>
      <x:c r="K27" s="91" t="n">
        <x:f>IF(H27="covered",1,IF(H27="partial",0.5,0))</x:f>
        <x:v>1</x:v>
      </x:c>
    </x:row>
    <x:row r="28" s="51" customFormat="1" ht="15" customHeight="1">
      <x:c r="A28" s="89" t="n">
        <x:v>20</x:v>
      </x:c>
      <x:c r="B28" s="90" t="inlineStr">
        <x:is>
          <x:t xml:space="preserve">Public API</x:t>
        </x:is>
      </x:c>
      <x:c r="C28" s="90" t="inlineStr">
        <x:is>
          <x:t xml:space="preserve">Root</x:t>
        </x:is>
      </x:c>
      <x:c r="D28" s="90" t="inlineStr">
        <x:is>
          <x:t xml:space="preserve">orientation prop behavior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ScrollArea playground scenario.</x:t>
        </x:is>
      </x:c>
      <x:c r="J28" s="90" t="n"/>
      <x:c r="K28" s="91" t="n">
        <x:f>IF(H28="covered",1,IF(H28="partial",0.5,0))</x:f>
        <x:v>1</x:v>
      </x:c>
    </x:row>
    <x:row r="29" s="51" customFormat="1" ht="15" customHeight="1">
      <x:c r="A29" s="89" t="n">
        <x:v>21</x:v>
      </x:c>
      <x:c r="B29" s="90" t="inlineStr">
        <x:is>
          <x:t xml:space="preserve">Public API</x:t>
        </x:is>
      </x:c>
      <x:c r="C29" s="90" t="inlineStr">
        <x:is>
          <x:t xml:space="preserve">Root</x:t>
        </x:is>
      </x:c>
      <x:c r="D29" s="90" t="inlineStr">
        <x:is>
          <x:t xml:space="preserve">[data-slot] prop behavior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ScrollArea playground scenario.</x:t>
        </x:is>
      </x:c>
      <x:c r="J29" s="90" t="n"/>
      <x:c r="K29" s="91" t="n">
        <x:f>IF(H29="covered",1,IF(H29="partial",0.5,0))</x:f>
        <x:v>1</x:v>
      </x:c>
    </x:row>
    <x:row r="30" s="51" customFormat="1" ht="15" customHeight="1">
      <x:c r="A30" s="89" t="n">
        <x:v>22</x:v>
      </x:c>
      <x:c r="B30" s="90" t="inlineStr">
        <x:is>
          <x:t xml:space="preserve">Public API</x:t>
        </x:is>
      </x:c>
      <x:c r="C30" s="90" t="inlineStr">
        <x:is>
          <x:t xml:space="preserve">Root</x:t>
        </x:is>
      </x:c>
      <x:c r="D30" s="90" t="inlineStr">
        <x:is>
          <x:t xml:space="preserve">[data-orientation] prop behavior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ScrollArea playground scenario.</x:t>
        </x:is>
      </x:c>
      <x:c r="J30" s="90" t="n"/>
      <x:c r="K30" s="91" t="n">
        <x:f>IF(H30="covered",1,IF(H30="partial",0.5,0))</x:f>
        <x:v>1</x:v>
      </x:c>
    </x:row>
    <x:row r="31" s="51" customFormat="1" ht="15" customHeight="1">
      <x:c r="A31" s="89" t="n">
        <x:v>23</x:v>
      </x:c>
      <x:c r="B31" s="90" t="inlineStr">
        <x:is>
          <x:t xml:space="preserve">Anatomy</x:t>
        </x:is>
      </x:c>
      <x:c r="C31" s="90" t="inlineStr">
        <x:is>
          <x:t xml:space="preserve">Viewport</x:t>
        </x:is>
      </x:c>
      <x:c r="D31" s="90" t="inlineStr">
        <x:is>
          <x:t xml:space="preserve">renders correct part when expected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ScrollArea playground scenario.</x:t>
        </x:is>
      </x:c>
      <x:c r="J31" s="90" t="n"/>
      <x:c r="K31" s="91" t="n">
        <x:f>IF(H31="covered",1,IF(H31="partial",0.5,0))</x:f>
        <x:v>1</x:v>
      </x:c>
    </x:row>
    <x:row r="32" s="51" customFormat="1" ht="15" customHeight="1">
      <x:c r="A32" s="89" t="n">
        <x:v>24</x:v>
      </x:c>
      <x:c r="B32" s="90" t="inlineStr">
        <x:is>
          <x:t xml:space="preserve">Anatomy</x:t>
        </x:is>
      </x:c>
      <x:c r="C32" s="90" t="inlineStr">
        <x:is>
          <x:t xml:space="preserve">Viewport</x:t>
        </x:is>
      </x:c>
      <x:c r="D32" s="90" t="inlineStr">
        <x:is>
          <x:t xml:space="preserve">appears in documented order</x:t>
        </x:is>
      </x:c>
      <x:c r="E32" s="89" t="inlineStr">
        <x:is>
          <x:t xml:space="preserve">yes</x:t>
        </x:is>
      </x:c>
      <x:c r="F32" s="89" t="inlineStr">
        <x:is>
          <x:t xml:space="preserve">yes</x:t>
        </x:is>
      </x:c>
      <x:c r="G32" s="89" t="inlineStr">
        <x:is>
          <x:t xml:space="preserve">passed</x:t>
        </x:is>
      </x:c>
      <x:c r="H32" s="89" t="inlineStr">
        <x:is>
          <x:t xml:space="preserve">covered</x:t>
        </x:is>
      </x:c>
      <x:c r="I32" s="90" t="inlineStr">
        <x:is>
          <x:t xml:space="preserve">ScrollArea playground scenario.</x:t>
        </x:is>
      </x:c>
      <x:c r="J32" s="90" t="n"/>
      <x:c r="K32" s="91" t="n">
        <x:f>IF(H32="covered",1,IF(H32="partial",0.5,0))</x:f>
        <x:v>1</x:v>
      </x:c>
    </x:row>
    <x:row r="33" s="51" customFormat="1" ht="30" customHeight="1">
      <x:c r="A33" s="89" t="n">
        <x:v>25</x:v>
      </x:c>
      <x:c r="B33" s="90" t="inlineStr">
        <x:is>
          <x:t xml:space="preserve">Identity</x:t>
        </x:is>
      </x:c>
      <x:c r="C33" s="90" t="inlineStr">
        <x:is>
          <x:t xml:space="preserve">Viewport</x:t>
        </x:is>
      </x:c>
      <x:c r="D33" s="90" t="inlineStr">
        <x:is>
          <x:t xml:space="preserve">default tag is visible in Anatomy/Inspector</x:t>
        </x:is>
      </x:c>
      <x:c r="E33" s="89" t="inlineStr">
        <x:is>
          <x:t xml:space="preserve">yes</x:t>
        </x:is>
      </x:c>
      <x:c r="F33" s="89" t="inlineStr">
        <x:is>
          <x:t xml:space="preserve">yes</x:t>
        </x:is>
      </x:c>
      <x:c r="G33" s="89" t="inlineStr">
        <x:is>
          <x:t xml:space="preserve">passed</x:t>
        </x:is>
      </x:c>
      <x:c r="H33" s="89" t="inlineStr">
        <x:is>
          <x:t xml:space="preserve">covered</x:t>
        </x:is>
      </x:c>
      <x:c r="I33" s="90" t="inlineStr">
        <x:is>
          <x:t xml:space="preserve">ScrollArea playground scenario.</x:t>
        </x:is>
      </x:c>
      <x:c r="J33" s="90" t="n"/>
      <x:c r="K33" s="91" t="n">
        <x:f>IF(H33="covered",1,IF(H33="partial",0.5,0))</x:f>
        <x:v>1</x:v>
      </x:c>
    </x:row>
    <x:row r="34" s="51" customFormat="1" ht="15" customHeight="1">
      <x:c r="A34" s="89" t="n">
        <x:v>26</x:v>
      </x:c>
      <x:c r="B34" s="90" t="inlineStr">
        <x:is>
          <x:t xml:space="preserve">Identity</x:t>
        </x:is>
      </x:c>
      <x:c r="C34" s="90" t="inlineStr">
        <x:is>
          <x:t xml:space="preserve">Viewport</x:t>
        </x:is>
      </x:c>
      <x:c r="D34" s="90" t="inlineStr">
        <x:is>
          <x:t xml:space="preserve">data-slot is present and correct</x:t>
        </x:is>
      </x:c>
      <x:c r="E34" s="89" t="inlineStr">
        <x:is>
          <x:t xml:space="preserve">yes</x:t>
        </x:is>
      </x:c>
      <x:c r="F34" s="89" t="inlineStr">
        <x:is>
          <x:t xml:space="preserve">yes</x:t>
        </x:is>
      </x:c>
      <x:c r="G34" s="89" t="inlineStr">
        <x:is>
          <x:t xml:space="preserve">passed</x:t>
        </x:is>
      </x:c>
      <x:c r="H34" s="89" t="inlineStr">
        <x:is>
          <x:t xml:space="preserve">covered</x:t>
        </x:is>
      </x:c>
      <x:c r="I34" s="90" t="inlineStr">
        <x:is>
          <x:t xml:space="preserve">ScrollArea playground scenario.</x:t>
        </x:is>
      </x:c>
      <x:c r="J34" s="90" t="n"/>
      <x:c r="K34" s="91" t="n">
        <x:f>IF(H34="covered",1,IF(H34="partial",0.5,0))</x:f>
        <x:v>1</x:v>
      </x:c>
    </x:row>
    <x:row r="35" s="51" customFormat="1" ht="15" customHeight="1">
      <x:c r="A35" s="89" t="n">
        <x:v>27</x:v>
      </x:c>
      <x:c r="B35" s="90" t="inlineStr">
        <x:is>
          <x:t xml:space="preserve">Props</x:t>
        </x:is>
      </x:c>
      <x:c r="C35" s="90" t="inlineStr">
        <x:is>
          <x:t xml:space="preserve">Viewport</x:t>
        </x:is>
      </x:c>
      <x:c r="D35" s="90" t="inlineStr">
        <x:is>
          <x:t xml:space="preserve">non-Atom native props pass through with data-prop-check marker</x:t>
        </x:is>
      </x:c>
      <x:c r="E35" s="89" t="inlineStr">
        <x:is>
          <x:t xml:space="preserve">yes</x:t>
        </x:is>
      </x:c>
      <x:c r="F35" s="89" t="inlineStr">
        <x:is>
          <x:t xml:space="preserve">yes</x:t>
        </x:is>
      </x:c>
      <x:c r="G35" s="89" t="inlineStr">
        <x:is>
          <x:t xml:space="preserve">passed</x:t>
        </x:is>
      </x:c>
      <x:c r="H35" s="89" t="inlineStr">
        <x:is>
          <x:t xml:space="preserve">covered</x:t>
        </x:is>
      </x:c>
      <x:c r="I35" s="90" t="inlineStr">
        <x:is>
          <x:t xml:space="preserve">ScrollArea playground scenario.</x:t>
        </x:is>
      </x:c>
      <x:c r="J35" s="90" t="n"/>
      <x:c r="K35" s="91" t="n">
        <x:f>IF(H35="covered",1,IF(H35="partial",0.5,0))</x:f>
        <x:v>1</x:v>
      </x:c>
    </x:row>
    <x:row r="36" s="51" customFormat="1" ht="15" customHeight="1">
      <x:c r="A36" s="89" t="n">
        <x:v>28</x:v>
      </x:c>
      <x:c r="B36" s="90" t="inlineStr">
        <x:is>
          <x:t xml:space="preserve">Refs</x:t>
        </x:is>
      </x:c>
      <x:c r="C36" s="90" t="inlineStr">
        <x:is>
          <x:t xml:space="preserve">Viewport</x:t>
        </x:is>
      </x:c>
      <x:c r="D36" s="90" t="inlineStr">
        <x:is>
          <x:t xml:space="preserve">consumer ref receives the rendered element</x:t>
        </x:is>
      </x:c>
      <x:c r="E36" s="89" t="inlineStr">
        <x:is>
          <x:t xml:space="preserve">yes</x:t>
        </x:is>
      </x:c>
      <x:c r="F36" s="89" t="inlineStr">
        <x:is>
          <x:t xml:space="preserve">yes</x:t>
        </x:is>
      </x:c>
      <x:c r="G36" s="89" t="inlineStr">
        <x:is>
          <x:t xml:space="preserve">passed</x:t>
        </x:is>
      </x:c>
      <x:c r="H36" s="89" t="inlineStr">
        <x:is>
          <x:t xml:space="preserve">covered</x:t>
        </x:is>
      </x:c>
      <x:c r="I36" s="90" t="inlineStr">
        <x:is>
          <x:t xml:space="preserve">ScrollArea playground scenario.</x:t>
        </x:is>
      </x:c>
      <x:c r="J36" s="90" t="n"/>
      <x:c r="K36" s="91" t="n">
        <x:f>IF(H36="covered",1,IF(H36="partial",0.5,0))</x:f>
        <x:v>1</x:v>
      </x:c>
    </x:row>
    <x:row r="37" s="51" customFormat="1" ht="15" customHeight="1">
      <x:c r="A37" s="89" t="n">
        <x:v>29</x:v>
      </x:c>
      <x:c r="B37" s="90" t="inlineStr">
        <x:is>
          <x:t xml:space="preserve">Composition</x:t>
        </x:is>
      </x:c>
      <x:c r="C37" s="90" t="inlineStr">
        <x:is>
          <x:t xml:space="preserve">Viewport</x:t>
        </x:is>
      </x:c>
      <x:c r="D37" s="90" t="inlineStr">
        <x:is>
          <x:t xml:space="preserve">asChild prop behavior</x:t>
        </x:is>
      </x:c>
      <x:c r="E37" s="89" t="inlineStr">
        <x:is>
          <x:t xml:space="preserve">yes</x:t>
        </x:is>
      </x:c>
      <x:c r="F37" s="89" t="inlineStr">
        <x:is>
          <x:t xml:space="preserve">yes</x:t>
        </x:is>
      </x:c>
      <x:c r="G37" s="89" t="inlineStr">
        <x:is>
          <x:t xml:space="preserve">passed</x:t>
        </x:is>
      </x:c>
      <x:c r="H37" s="89" t="inlineStr">
        <x:is>
          <x:t xml:space="preserve">covered</x:t>
        </x:is>
      </x:c>
      <x:c r="I37" s="90" t="inlineStr">
        <x:is>
          <x:t xml:space="preserve">ScrollArea playground scenario.</x:t>
        </x:is>
      </x:c>
      <x:c r="J37" s="90" t="n"/>
      <x:c r="K37" s="91" t="n">
        <x:f>IF(H37="covered",1,IF(H37="partial",0.5,0))</x:f>
        <x:v>1</x:v>
      </x:c>
    </x:row>
    <x:row r="38" s="51" customFormat="1" ht="15" customHeight="1">
      <x:c r="A38" s="89" t="n">
        <x:v>30</x:v>
      </x:c>
      <x:c r="B38" s="90" t="inlineStr">
        <x:is>
          <x:t xml:space="preserve">Composition</x:t>
        </x:is>
      </x:c>
      <x:c r="C38" s="90" t="inlineStr">
        <x:is>
          <x:t xml:space="preserve">Viewport</x:t>
        </x:is>
      </x:c>
      <x:c r="D38" s="90" t="inlineStr">
        <x:is>
          <x:t xml:space="preserve">render prop behavior</x:t>
        </x:is>
      </x:c>
      <x:c r="E38" s="89" t="inlineStr">
        <x:is>
          <x:t xml:space="preserve">yes</x:t>
        </x:is>
      </x:c>
      <x:c r="F38" s="89" t="inlineStr">
        <x:is>
          <x:t xml:space="preserve">yes</x:t>
        </x:is>
      </x:c>
      <x:c r="G38" s="89" t="inlineStr">
        <x:is>
          <x:t xml:space="preserve">passed</x:t>
        </x:is>
      </x:c>
      <x:c r="H38" s="89" t="inlineStr">
        <x:is>
          <x:t xml:space="preserve">covered</x:t>
        </x:is>
      </x:c>
      <x:c r="I38" s="90" t="inlineStr">
        <x:is>
          <x:t xml:space="preserve">ScrollArea playground scenario.</x:t>
        </x:is>
      </x:c>
      <x:c r="J38" s="90" t="n"/>
      <x:c r="K38" s="91" t="n">
        <x:f>IF(H38="covered",1,IF(H38="partial",0.5,0))</x:f>
        <x:v>1</x:v>
      </x:c>
    </x:row>
    <x:row r="39" s="51" customFormat="1" ht="15" customHeight="1">
      <x:c r="A39" s="89" t="n">
        <x:v>31</x:v>
      </x:c>
      <x:c r="B39" s="90" t="inlineStr">
        <x:is>
          <x:t xml:space="preserve">Public API</x:t>
        </x:is>
      </x:c>
      <x:c r="C39" s="90" t="inlineStr">
        <x:is>
          <x:t xml:space="preserve">Viewport</x:t>
        </x:is>
      </x:c>
      <x:c r="D39" s="90" t="inlineStr">
        <x:is>
          <x:t xml:space="preserve">focusable prop behavior</x:t>
        </x:is>
      </x:c>
      <x:c r="E39" s="89" t="inlineStr">
        <x:is>
          <x:t xml:space="preserve">yes</x:t>
        </x:is>
      </x:c>
      <x:c r="F39" s="89" t="inlineStr">
        <x:is>
          <x:t xml:space="preserve">yes</x:t>
        </x:is>
      </x:c>
      <x:c r="G39" s="89" t="inlineStr">
        <x:is>
          <x:t xml:space="preserve">passed</x:t>
        </x:is>
      </x:c>
      <x:c r="H39" s="89" t="inlineStr">
        <x:is>
          <x:t xml:space="preserve">covered</x:t>
        </x:is>
      </x:c>
      <x:c r="I39" s="90" t="inlineStr">
        <x:is>
          <x:t xml:space="preserve">ScrollArea playground scenario.</x:t>
        </x:is>
      </x:c>
      <x:c r="J39" s="90" t="n"/>
      <x:c r="K39" s="91" t="n">
        <x:f>IF(H39="covered",1,IF(H39="partial",0.5,0))</x:f>
        <x:v>1</x:v>
      </x:c>
    </x:row>
    <x:row r="40" s="51" customFormat="1" ht="15" customHeight="1">
      <x:c r="A40" s="89" t="n">
        <x:v>32</x:v>
      </x:c>
      <x:c r="B40" s="90" t="inlineStr">
        <x:is>
          <x:t xml:space="preserve">Public API</x:t>
        </x:is>
      </x:c>
      <x:c r="C40" s="90" t="inlineStr">
        <x:is>
          <x:t xml:space="preserve">Viewport</x:t>
        </x:is>
      </x:c>
      <x:c r="D40" s="90" t="inlineStr">
        <x:is>
          <x:t xml:space="preserve">role prop behavior</x:t>
        </x:is>
      </x:c>
      <x:c r="E40" s="89" t="inlineStr">
        <x:is>
          <x:t xml:space="preserve">yes</x:t>
        </x:is>
      </x:c>
      <x:c r="F40" s="89" t="inlineStr">
        <x:is>
          <x:t xml:space="preserve">yes</x:t>
        </x:is>
      </x:c>
      <x:c r="G40" s="89" t="inlineStr">
        <x:is>
          <x:t xml:space="preserve">passed</x:t>
        </x:is>
      </x:c>
      <x:c r="H40" s="89" t="inlineStr">
        <x:is>
          <x:t xml:space="preserve">covered</x:t>
        </x:is>
      </x:c>
      <x:c r="I40" s="90" t="inlineStr">
        <x:is>
          <x:t xml:space="preserve">ScrollArea playground scenario.</x:t>
        </x:is>
      </x:c>
      <x:c r="J40" s="90" t="n"/>
      <x:c r="K40" s="91" t="n">
        <x:f>IF(H40="covered",1,IF(H40="partial",0.5,0))</x:f>
        <x:v>1</x:v>
      </x:c>
    </x:row>
    <x:row r="41" s="51" customFormat="1" ht="15" customHeight="1">
      <x:c r="A41" s="89" t="n">
        <x:v>33</x:v>
      </x:c>
      <x:c r="B41" s="90" t="inlineStr">
        <x:is>
          <x:t xml:space="preserve">Accessibility</x:t>
        </x:is>
      </x:c>
      <x:c r="C41" s="90" t="inlineStr">
        <x:is>
          <x:t xml:space="preserve">Viewport</x:t>
        </x:is>
      </x:c>
      <x:c r="D41" s="90" t="inlineStr">
        <x:is>
          <x:t xml:space="preserve">aria-label prop behavior</x:t>
        </x:is>
      </x:c>
      <x:c r="E41" s="89" t="inlineStr">
        <x:is>
          <x:t xml:space="preserve">yes</x:t>
        </x:is>
      </x:c>
      <x:c r="F41" s="89" t="inlineStr">
        <x:is>
          <x:t xml:space="preserve">yes</x:t>
        </x:is>
      </x:c>
      <x:c r="G41" s="89" t="inlineStr">
        <x:is>
          <x:t xml:space="preserve">passed</x:t>
        </x:is>
      </x:c>
      <x:c r="H41" s="89" t="inlineStr">
        <x:is>
          <x:t xml:space="preserve">covered</x:t>
        </x:is>
      </x:c>
      <x:c r="I41" s="90" t="inlineStr">
        <x:is>
          <x:t xml:space="preserve">ScrollArea playground scenario.</x:t>
        </x:is>
      </x:c>
      <x:c r="J41" s="90" t="n"/>
      <x:c r="K41" s="91" t="n">
        <x:f>IF(H41="covered",1,IF(H41="partial",0.5,0))</x:f>
        <x:v>1</x:v>
      </x:c>
    </x:row>
    <x:row r="42" s="51" customFormat="1" ht="15" customHeight="1">
      <x:c r="A42" s="89" t="n">
        <x:v>34</x:v>
      </x:c>
      <x:c r="B42" s="90" t="inlineStr">
        <x:is>
          <x:t xml:space="preserve">Accessibility</x:t>
        </x:is>
      </x:c>
      <x:c r="C42" s="90" t="inlineStr">
        <x:is>
          <x:t xml:space="preserve">Viewport</x:t>
        </x:is>
      </x:c>
      <x:c r="D42" s="90" t="inlineStr">
        <x:is>
          <x:t xml:space="preserve">aria-labelledby prop behavior</x:t>
        </x:is>
      </x:c>
      <x:c r="E42" s="89" t="inlineStr">
        <x:is>
          <x:t xml:space="preserve">yes</x:t>
        </x:is>
      </x:c>
      <x:c r="F42" s="89" t="inlineStr">
        <x:is>
          <x:t xml:space="preserve">yes</x:t>
        </x:is>
      </x:c>
      <x:c r="G42" s="89" t="inlineStr">
        <x:is>
          <x:t xml:space="preserve">passed</x:t>
        </x:is>
      </x:c>
      <x:c r="H42" s="89" t="inlineStr">
        <x:is>
          <x:t xml:space="preserve">covered</x:t>
        </x:is>
      </x:c>
      <x:c r="I42" s="90" t="inlineStr">
        <x:is>
          <x:t xml:space="preserve">ScrollArea playground scenario.</x:t>
        </x:is>
      </x:c>
      <x:c r="J42" s="90" t="n"/>
      <x:c r="K42" s="91" t="n">
        <x:f>IF(H42="covered",1,IF(H42="partial",0.5,0))</x:f>
        <x:v>1</x:v>
      </x:c>
    </x:row>
    <x:row r="43" s="51" customFormat="1" ht="15" customHeight="1">
      <x:c r="A43" s="89" t="n">
        <x:v>35</x:v>
      </x:c>
      <x:c r="B43" s="90" t="inlineStr">
        <x:is>
          <x:t xml:space="preserve">Public API</x:t>
        </x:is>
      </x:c>
      <x:c r="C43" s="90" t="inlineStr">
        <x:is>
          <x:t xml:space="preserve">Viewport</x:t>
        </x:is>
      </x:c>
      <x:c r="D43" s="90" t="inlineStr">
        <x:is>
          <x:t xml:space="preserve">[data-slot] prop behavior</x:t>
        </x:is>
      </x:c>
      <x:c r="E43" s="89" t="inlineStr">
        <x:is>
          <x:t xml:space="preserve">yes</x:t>
        </x:is>
      </x:c>
      <x:c r="F43" s="89" t="inlineStr">
        <x:is>
          <x:t xml:space="preserve">yes</x:t>
        </x:is>
      </x:c>
      <x:c r="G43" s="89" t="inlineStr">
        <x:is>
          <x:t xml:space="preserve">passed</x:t>
        </x:is>
      </x:c>
      <x:c r="H43" s="89" t="inlineStr">
        <x:is>
          <x:t xml:space="preserve">covered</x:t>
        </x:is>
      </x:c>
      <x:c r="I43" s="90" t="inlineStr">
        <x:is>
          <x:t xml:space="preserve">ScrollArea playground scenario.</x:t>
        </x:is>
      </x:c>
      <x:c r="J43" s="90" t="n"/>
      <x:c r="K43" s="91" t="n">
        <x:f>IF(H43="covered",1,IF(H43="partial",0.5,0))</x:f>
        <x:v>1</x:v>
      </x:c>
    </x:row>
    <x:row r="44" s="51" customFormat="1" ht="15" customHeight="1">
      <x:c r="A44" s="89" t="n">
        <x:v>36</x:v>
      </x:c>
      <x:c r="B44" s="90" t="inlineStr">
        <x:is>
          <x:t xml:space="preserve">Public API</x:t>
        </x:is>
      </x:c>
      <x:c r="C44" s="90" t="inlineStr">
        <x:is>
          <x:t xml:space="preserve">Viewport</x:t>
        </x:is>
      </x:c>
      <x:c r="D44" s="90" t="inlineStr">
        <x:is>
          <x:t xml:space="preserve">[data-orientation] prop behavior</x:t>
        </x:is>
      </x:c>
      <x:c r="E44" s="89" t="inlineStr">
        <x:is>
          <x:t xml:space="preserve">yes</x:t>
        </x:is>
      </x:c>
      <x:c r="F44" s="89" t="inlineStr">
        <x:is>
          <x:t xml:space="preserve">yes</x:t>
        </x:is>
      </x:c>
      <x:c r="G44" s="89" t="inlineStr">
        <x:is>
          <x:t xml:space="preserve">passed</x:t>
        </x:is>
      </x:c>
      <x:c r="H44" s="89" t="inlineStr">
        <x:is>
          <x:t xml:space="preserve">covered</x:t>
        </x:is>
      </x:c>
      <x:c r="I44" s="90" t="inlineStr">
        <x:is>
          <x:t xml:space="preserve">ScrollArea playground scenario.</x:t>
        </x:is>
      </x:c>
      <x:c r="J44" s="90" t="n"/>
      <x:c r="K44" s="91" t="n">
        <x:f>IF(H44="covered",1,IF(H44="partial",0.5,0))</x:f>
        <x:v>1</x:v>
      </x:c>
    </x:row>
    <x:row r="45" s="51" customFormat="1" ht="15" customHeight="1">
      <x:c r="A45" s="89" t="n">
        <x:v>37</x:v>
      </x:c>
      <x:c r="B45" s="90" t="inlineStr">
        <x:is>
          <x:t xml:space="preserve">ARIA</x:t>
        </x:is>
      </x:c>
      <x:c r="C45" s="90" t="inlineStr">
        <x:is>
          <x:t xml:space="preserve">Live DOM</x:t>
        </x:is>
      </x:c>
      <x:c r="D45" s="90" t="inlineStr">
        <x:is>
          <x:t xml:space="preserve">aria-label is present at the correct time</x:t>
        </x:is>
      </x:c>
      <x:c r="E45" s="89" t="inlineStr">
        <x:is>
          <x:t xml:space="preserve">yes</x:t>
        </x:is>
      </x:c>
      <x:c r="F45" s="89" t="inlineStr">
        <x:is>
          <x:t xml:space="preserve">yes</x:t>
        </x:is>
      </x:c>
      <x:c r="G45" s="89" t="inlineStr">
        <x:is>
          <x:t xml:space="preserve">passed</x:t>
        </x:is>
      </x:c>
      <x:c r="H45" s="89" t="inlineStr">
        <x:is>
          <x:t xml:space="preserve">covered</x:t>
        </x:is>
      </x:c>
      <x:c r="I45" s="90" t="inlineStr">
        <x:is>
          <x:t xml:space="preserve">ScrollArea playground scenario.</x:t>
        </x:is>
      </x:c>
      <x:c r="J45" s="90" t="n"/>
      <x:c r="K45" s="91" t="n">
        <x:f>IF(H45="covered",1,IF(H45="partial",0.5,0))</x:f>
        <x:v>1</x:v>
      </x:c>
    </x:row>
    <x:row r="46" s="51" customFormat="1" ht="15" customHeight="1">
      <x:c r="A46" s="89" t="n">
        <x:v>38</x:v>
      </x:c>
      <x:c r="B46" s="90" t="inlineStr">
        <x:is>
          <x:t xml:space="preserve">ARIA</x:t>
        </x:is>
      </x:c>
      <x:c r="C46" s="90" t="inlineStr">
        <x:is>
          <x:t xml:space="preserve">Live DOM</x:t>
        </x:is>
      </x:c>
      <x:c r="D46" s="90" t="inlineStr">
        <x:is>
          <x:t xml:space="preserve">aria-labelledby is present at the correct time</x:t>
        </x:is>
      </x:c>
      <x:c r="E46" s="89" t="inlineStr">
        <x:is>
          <x:t xml:space="preserve">yes</x:t>
        </x:is>
      </x:c>
      <x:c r="F46" s="89" t="inlineStr">
        <x:is>
          <x:t xml:space="preserve">yes</x:t>
        </x:is>
      </x:c>
      <x:c r="G46" s="89" t="inlineStr">
        <x:is>
          <x:t xml:space="preserve">passed</x:t>
        </x:is>
      </x:c>
      <x:c r="H46" s="89" t="inlineStr">
        <x:is>
          <x:t xml:space="preserve">covered</x:t>
        </x:is>
      </x:c>
      <x:c r="I46" s="90" t="inlineStr">
        <x:is>
          <x:t xml:space="preserve">ScrollArea playground scenario.</x:t>
        </x:is>
      </x:c>
      <x:c r="J46" s="90" t="n"/>
      <x:c r="K46" s="91" t="n">
        <x:f>IF(H46="covered",1,IF(H46="partial",0.5,0))</x:f>
        <x:v>1</x:v>
      </x:c>
    </x:row>
    <x:row r="47" s="51" customFormat="1" ht="15" customHeight="1">
      <x:c r="A47" s="89" t="n">
        <x:v>39</x:v>
      </x:c>
      <x:c r="B47" s="90" t="inlineStr">
        <x:is>
          <x:t xml:space="preserve">Data</x:t>
        </x:is>
      </x:c>
      <x:c r="C47" s="90" t="inlineStr">
        <x:is>
          <x:t xml:space="preserve">Live DOM</x:t>
        </x:is>
      </x:c>
      <x:c r="D47" s="90" t="inlineStr">
        <x:is>
          <x:t xml:space="preserve">data-orientation is present at the correct time</x:t>
        </x:is>
      </x:c>
      <x:c r="E47" s="89" t="inlineStr">
        <x:is>
          <x:t xml:space="preserve">yes</x:t>
        </x:is>
      </x:c>
      <x:c r="F47" s="89" t="inlineStr">
        <x:is>
          <x:t xml:space="preserve">yes</x:t>
        </x:is>
      </x:c>
      <x:c r="G47" s="89" t="inlineStr">
        <x:is>
          <x:t xml:space="preserve">passed</x:t>
        </x:is>
      </x:c>
      <x:c r="H47" s="89" t="inlineStr">
        <x:is>
          <x:t xml:space="preserve">covered</x:t>
        </x:is>
      </x:c>
      <x:c r="I47" s="90" t="inlineStr">
        <x:is>
          <x:t xml:space="preserve">ScrollArea playground scenario.</x:t>
        </x:is>
      </x:c>
      <x:c r="J47" s="90" t="n"/>
      <x:c r="K47" s="91" t="n">
        <x:f>IF(H47="covered",1,IF(H47="partial",0.5,0))</x:f>
        <x:v>1</x:v>
      </x:c>
    </x:row>
    <x:row r="48" s="51" customFormat="1" ht="15" customHeight="1">
      <x:c r="A48" s="89" t="n">
        <x:v>40</x:v>
      </x:c>
      <x:c r="B48" s="90" t="inlineStr">
        <x:is>
          <x:t xml:space="preserve">Data</x:t>
        </x:is>
      </x:c>
      <x:c r="C48" s="90" t="inlineStr">
        <x:is>
          <x:t xml:space="preserve">Live DOM</x:t>
        </x:is>
      </x:c>
      <x:c r="D48" s="90" t="inlineStr">
        <x:is>
          <x:t xml:space="preserve">data-slot is present at the correct time</x:t>
        </x:is>
      </x:c>
      <x:c r="E48" s="89" t="inlineStr">
        <x:is>
          <x:t xml:space="preserve">yes</x:t>
        </x:is>
      </x:c>
      <x:c r="F48" s="89" t="inlineStr">
        <x:is>
          <x:t xml:space="preserve">yes</x:t>
        </x:is>
      </x:c>
      <x:c r="G48" s="89" t="inlineStr">
        <x:is>
          <x:t xml:space="preserve">passed</x:t>
        </x:is>
      </x:c>
      <x:c r="H48" s="89" t="inlineStr">
        <x:is>
          <x:t xml:space="preserve">covered</x:t>
        </x:is>
      </x:c>
      <x:c r="I48" s="90" t="inlineStr">
        <x:is>
          <x:t xml:space="preserve">ScrollArea playground scenario.</x:t>
        </x:is>
      </x:c>
      <x:c r="J48" s="90" t="n"/>
      <x:c r="K48" s="91" t="n">
        <x:f>IF(H48="covered",1,IF(H48="partial",0.5,0))</x:f>
        <x:v>1</x:v>
      </x:c>
    </x:row>
    <x:row r="49" s="51" customFormat="1" ht="15" customHeight="1">
      <x:c r="A49" s="89" t="n">
        <x:v>41</x:v>
      </x:c>
      <x:c r="B49" s="90" t="inlineStr">
        <x:is>
          <x:t xml:space="preserve">Composition</x:t>
        </x:is>
      </x:c>
      <x:c r="C49" s="90" t="inlineStr">
        <x:is>
          <x:t xml:space="preserve">ScrollArea</x:t>
        </x:is>
      </x:c>
      <x:c r="D49" s="90" t="inlineStr">
        <x:is>
          <x:t xml:space="preserve">asChild preserves child content without double nesting</x:t>
        </x:is>
      </x:c>
      <x:c r="E49" s="89" t="inlineStr">
        <x:is>
          <x:t xml:space="preserve">yes</x:t>
        </x:is>
      </x:c>
      <x:c r="F49" s="89" t="inlineStr">
        <x:is>
          <x:t xml:space="preserve">yes</x:t>
        </x:is>
      </x:c>
      <x:c r="G49" s="89" t="inlineStr">
        <x:is>
          <x:t xml:space="preserve">passed</x:t>
        </x:is>
      </x:c>
      <x:c r="H49" s="89" t="inlineStr">
        <x:is>
          <x:t xml:space="preserve">covered</x:t>
        </x:is>
      </x:c>
      <x:c r="I49" s="90" t="inlineStr">
        <x:is>
          <x:t xml:space="preserve">ScrollArea playground scenario.</x:t>
        </x:is>
      </x:c>
      <x:c r="J49" s="90" t="n"/>
      <x:c r="K49" s="91" t="n">
        <x:f>IF(H49="covered",1,IF(H49="partial",0.5,0))</x:f>
        <x:v>1</x:v>
      </x:c>
    </x:row>
    <x:row r="50" s="51" customFormat="1" ht="15" customHeight="1">
      <x:c r="A50" s="89" t="n">
        <x:v>42</x:v>
      </x:c>
      <x:c r="B50" s="90" t="inlineStr">
        <x:is>
          <x:t xml:space="preserve">Composition</x:t>
        </x:is>
      </x:c>
      <x:c r="C50" s="90" t="inlineStr">
        <x:is>
          <x:t xml:space="preserve">ScrollArea</x:t>
        </x:is>
      </x:c>
      <x:c r="D50" s="90" t="inlineStr">
        <x:is>
          <x:t xml:space="preserve">asChild merges Atom props and consumer props</x:t>
        </x:is>
      </x:c>
      <x:c r="E50" s="89" t="inlineStr">
        <x:is>
          <x:t xml:space="preserve">yes</x:t>
        </x:is>
      </x:c>
      <x:c r="F50" s="89" t="inlineStr">
        <x:is>
          <x:t xml:space="preserve">yes</x:t>
        </x:is>
      </x:c>
      <x:c r="G50" s="89" t="inlineStr">
        <x:is>
          <x:t xml:space="preserve">passed</x:t>
        </x:is>
      </x:c>
      <x:c r="H50" s="89" t="inlineStr">
        <x:is>
          <x:t xml:space="preserve">covered</x:t>
        </x:is>
      </x:c>
      <x:c r="I50" s="90" t="inlineStr">
        <x:is>
          <x:t xml:space="preserve">ScrollArea playground scenario.</x:t>
        </x:is>
      </x:c>
      <x:c r="J50" s="90" t="n"/>
      <x:c r="K50" s="91" t="n">
        <x:f>IF(H50="covered",1,IF(H50="partial",0.5,0))</x:f>
        <x:v>1</x:v>
      </x:c>
    </x:row>
    <x:row r="51" s="51" customFormat="1" ht="15" customHeight="1">
      <x:c r="A51" s="89" t="n">
        <x:v>43</x:v>
      </x:c>
      <x:c r="B51" s="90" t="inlineStr">
        <x:is>
          <x:t xml:space="preserve">Composition</x:t>
        </x:is>
      </x:c>
      <x:c r="C51" s="90" t="inlineStr">
        <x:is>
          <x:t xml:space="preserve">ScrollArea</x:t>
        </x:is>
      </x:c>
      <x:c r="D51" s="90" t="inlineStr">
        <x:is>
          <x:t xml:space="preserve">render prop renders custom element</x:t>
        </x:is>
      </x:c>
      <x:c r="E51" s="89" t="inlineStr">
        <x:is>
          <x:t xml:space="preserve">yes</x:t>
        </x:is>
      </x:c>
      <x:c r="F51" s="89" t="inlineStr">
        <x:is>
          <x:t xml:space="preserve">yes</x:t>
        </x:is>
      </x:c>
      <x:c r="G51" s="89" t="inlineStr">
        <x:is>
          <x:t xml:space="preserve">passed</x:t>
        </x:is>
      </x:c>
      <x:c r="H51" s="89" t="inlineStr">
        <x:is>
          <x:t xml:space="preserve">covered</x:t>
        </x:is>
      </x:c>
      <x:c r="I51" s="90" t="inlineStr">
        <x:is>
          <x:t xml:space="preserve">ScrollArea playground scenario.</x:t>
        </x:is>
      </x:c>
      <x:c r="J51" s="90" t="n"/>
      <x:c r="K51" s="91" t="n">
        <x:f>IF(H51="covered",1,IF(H51="partial",0.5,0))</x:f>
        <x:v>1</x:v>
      </x:c>
    </x:row>
    <x:row r="52" s="51" customFormat="1" ht="15" customHeight="1">
      <x:c r="A52" s="89" t="n">
        <x:v>44</x:v>
      </x:c>
      <x:c r="B52" s="90" t="inlineStr">
        <x:is>
          <x:t xml:space="preserve">Composition</x:t>
        </x:is>
      </x:c>
      <x:c r="C52" s="90" t="inlineStr">
        <x:is>
          <x:t xml:space="preserve">ScrollArea</x:t>
        </x:is>
      </x:c>
      <x:c r="D52" s="90" t="inlineStr">
        <x:is>
          <x:t xml:space="preserve">render prop preserves refs and behavior props</x:t>
        </x:is>
      </x:c>
      <x:c r="E52" s="89" t="inlineStr">
        <x:is>
          <x:t xml:space="preserve">yes</x:t>
        </x:is>
      </x:c>
      <x:c r="F52" s="89" t="inlineStr">
        <x:is>
          <x:t xml:space="preserve">yes</x:t>
        </x:is>
      </x:c>
      <x:c r="G52" s="89" t="inlineStr">
        <x:is>
          <x:t xml:space="preserve">passed</x:t>
        </x:is>
      </x:c>
      <x:c r="H52" s="89" t="inlineStr">
        <x:is>
          <x:t xml:space="preserve">covered</x:t>
        </x:is>
      </x:c>
      <x:c r="I52" s="90" t="inlineStr">
        <x:is>
          <x:t xml:space="preserve">ScrollArea playground scenario.</x:t>
        </x:is>
      </x:c>
      <x:c r="J52" s="90" t="n"/>
      <x:c r="K52" s="91" t="n">
        <x:f>IF(H52="covered",1,IF(H52="partial",0.5,0))</x:f>
        <x:v>1</x:v>
      </x:c>
    </x:row>
    <x:row r="53" s="51" customFormat="1" ht="15" customHeight="1">
      <x:c r="A53" s="89" t="n">
        <x:v>45</x:v>
      </x:c>
      <x:c r="B53" s="90" t="inlineStr">
        <x:is>
          <x:t xml:space="preserve">Utility</x:t>
        </x:is>
      </x:c>
      <x:c r="C53" s="90" t="inlineStr">
        <x:is>
          <x:t xml:space="preserve">ScrollArea</x:t>
        </x:is>
      </x:c>
      <x:c r="D53" s="90" t="inlineStr">
        <x:is>
          <x:t xml:space="preserve">viewport keyboard accessibility is opt-in</x:t>
        </x:is>
      </x:c>
      <x:c r="E53" s="89" t="inlineStr">
        <x:is>
          <x:t xml:space="preserve">yes</x:t>
        </x:is>
      </x:c>
      <x:c r="F53" s="89" t="inlineStr">
        <x:is>
          <x:t xml:space="preserve">yes</x:t>
        </x:is>
      </x:c>
      <x:c r="G53" s="89" t="inlineStr">
        <x:is>
          <x:t xml:space="preserve">passed</x:t>
        </x:is>
      </x:c>
      <x:c r="H53" s="89" t="inlineStr">
        <x:is>
          <x:t xml:space="preserve">covered</x:t>
        </x:is>
      </x:c>
      <x:c r="I53" s="90" t="inlineStr">
        <x:is>
          <x:t xml:space="preserve">ScrollArea playground scenario.</x:t>
        </x:is>
      </x:c>
      <x:c r="J53" s="90" t="n"/>
      <x:c r="K53" s="91" t="n">
        <x:f>IF(H53="covered",1,IF(H53="partial",0.5,0))</x:f>
        <x:v>1</x:v>
      </x:c>
    </x:row>
    <x:row r="54" s="51" customFormat="1" ht="15" customHeight="1">
      <x:c r="A54" s="89" t="n">
        <x:v>46</x:v>
      </x:c>
      <x:c r="B54" s="90" t="inlineStr">
        <x:is>
          <x:t xml:space="preserve">Utility</x:t>
        </x:is>
      </x:c>
      <x:c r="C54" s="90" t="inlineStr">
        <x:is>
          <x:t xml:space="preserve">ScrollArea</x:t>
        </x:is>
      </x:c>
      <x:c r="D54" s="90" t="inlineStr">
        <x:is>
          <x:t xml:space="preserve">named region semantics only appear when labelled</x:t>
        </x:is>
      </x:c>
      <x:c r="E54" s="89" t="inlineStr">
        <x:is>
          <x:t xml:space="preserve">yes</x:t>
        </x:is>
      </x:c>
      <x:c r="F54" s="89" t="inlineStr">
        <x:is>
          <x:t xml:space="preserve">yes</x:t>
        </x:is>
      </x:c>
      <x:c r="G54" s="89" t="inlineStr">
        <x:is>
          <x:t xml:space="preserve">passed</x:t>
        </x:is>
      </x:c>
      <x:c r="H54" s="89" t="inlineStr">
        <x:is>
          <x:t xml:space="preserve">covered</x:t>
        </x:is>
      </x:c>
      <x:c r="I54" s="90" t="inlineStr">
        <x:is>
          <x:t xml:space="preserve">ScrollArea playground scenario.</x:t>
        </x:is>
      </x:c>
      <x:c r="J54" s="90" t="n"/>
      <x:c r="K54" s="91" t="n">
        <x:f>IF(H54="covered",1,IF(H54="partial",0.5,0))</x:f>
        <x:v>1</x:v>
      </x:c>
    </x:row>
    <x:row r="55" s="51" customFormat="1" ht="72" customHeight="1">
      <x:c r="A55" s="131" t="n">
        <x:v>47</x:v>
      </x:c>
      <x:c r="B55" s="131" t="inlineStr">
        <x:is>
          <x:t xml:space="preserve">Controller</x:t>
        </x:is>
      </x:c>
      <x:c r="C55" s="131" t="inlineStr">
        <x:is>
          <x:t xml:space="preserve">RootProvider / Context</x:t>
        </x:is>
      </x:c>
      <x:c r="D55" s="131" t="inlineStr">
        <x:is>
          <x:t xml:space="preserve">Custom anatomy, stable IDs and controller exports</x:t>
        </x:is>
      </x:c>
      <x:c r="E55" s="131" t="inlineStr">
        <x:is>
          <x:t xml:space="preserve">yes</x:t>
        </x:is>
      </x:c>
      <x:c r="F55" s="131" t="inlineStr">
        <x:is>
          <x:t xml:space="preserve">no</x:t>
        </x:is>
      </x:c>
      <x:c r="G55" s="131" t="inlineStr">
        <x:is>
          <x:t xml:space="preserve">not run</x:t>
        </x:is>
      </x:c>
      <x:c r="H55" s="131" t="inlineStr">
        <x:is>
          <x:t xml:space="preserve">partial</x:t>
        </x:is>
      </x:c>
      <x:c r="I55" s="131" t="inlineStr">
        <x:is>
          <x:t xml:space="preserve">test/primitives/scroll-area.test.mjs</x:t>
        </x:is>
      </x:c>
      <x:c r="J55" s="131" t="inlineStr">
        <x:is>
          <x:t xml:space="preserve">Automated evidence only; manual protocol not run (owner-deferred).</x:t>
        </x:is>
      </x:c>
      <x:c r="K55" s="131" t="n">
        <x:f>IF(H55="covered",1,IF(H55="partial",0.5,0))</x:f>
        <x:v>0.5</x:v>
      </x:c>
    </x:row>
    <x:row r="56" s="51" customFormat="1" ht="72" customHeight="1">
      <x:c r="A56" s="131" t="n">
        <x:v>48</x:v>
      </x:c>
      <x:c r="B56" s="131" t="inlineStr">
        <x:is>
          <x:t xml:space="preserve">Geometry</x:t>
        </x:is>
      </x:c>
      <x:c r="C56" s="131" t="inlineStr">
        <x:is>
          <x:t xml:space="preserve">Scrollbar / Thumb</x:t>
        </x:is>
      </x:c>
      <x:c r="D56" s="131" t="inlineStr">
        <x:is>
          <x:t xml:space="preserve">Proportional geometry, bounds, minimum length and RTL</x:t>
        </x:is>
      </x:c>
      <x:c r="E56" s="131" t="inlineStr">
        <x:is>
          <x:t xml:space="preserve">yes</x:t>
        </x:is>
      </x:c>
      <x:c r="F56" s="131" t="inlineStr">
        <x:is>
          <x:t xml:space="preserve">no</x:t>
        </x:is>
      </x:c>
      <x:c r="G56" s="131" t="inlineStr">
        <x:is>
          <x:t xml:space="preserve">not run</x:t>
        </x:is>
      </x:c>
      <x:c r="H56" s="131" t="inlineStr">
        <x:is>
          <x:t xml:space="preserve">partial</x:t>
        </x:is>
      </x:c>
      <x:c r="I56" s="131" t="inlineStr">
        <x:is>
          <x:t xml:space="preserve">test/primitives/scroll-area-geometry.test.mjs; test/browser/scroll-area.spec.ts</x:t>
        </x:is>
      </x:c>
      <x:c r="J56" s="131" t="inlineStr">
        <x:is>
          <x:t xml:space="preserve">Automated evidence only; manual protocol not run (owner-deferred).</x:t>
        </x:is>
      </x:c>
      <x:c r="K56" s="131" t="n">
        <x:f>IF(H56="covered",1,IF(H56="partial",0.5,0))</x:f>
        <x:v>0.5</x:v>
      </x:c>
    </x:row>
    <x:row r="57" s="51" customFormat="1" ht="72" customHeight="1">
      <x:c r="A57" s="131" t="n">
        <x:v>49</x:v>
      </x:c>
      <x:c r="B57" s="131" t="inlineStr">
        <x:is>
          <x:t xml:space="preserve">Lifecycle</x:t>
        </x:is>
      </x:c>
      <x:c r="C57" s="131" t="inlineStr">
        <x:is>
          <x:t xml:space="preserve">Controller</x:t>
        </x:is>
      </x:c>
      <x:c r="D57" s="131" t="inlineStr">
        <x:is>
          <x:t xml:space="preserve">Frame coalescing, observer cleanup, mount replay and ref replacement</x:t>
        </x:is>
      </x:c>
      <x:c r="E57" s="131" t="inlineStr">
        <x:is>
          <x:t xml:space="preserve">yes</x:t>
        </x:is>
      </x:c>
      <x:c r="F57" s="131" t="inlineStr">
        <x:is>
          <x:t xml:space="preserve">no</x:t>
        </x:is>
      </x:c>
      <x:c r="G57" s="131" t="inlineStr">
        <x:is>
          <x:t xml:space="preserve">not run</x:t>
        </x:is>
      </x:c>
      <x:c r="H57" s="131" t="inlineStr">
        <x:is>
          <x:t xml:space="preserve">partial</x:t>
        </x:is>
      </x:c>
      <x:c r="I57" s="131" t="inlineStr">
        <x:is>
          <x:t xml:space="preserve">test/primitives/scroll-area-controller.test.mjs</x:t>
        </x:is>
      </x:c>
      <x:c r="J57" s="131" t="inlineStr">
        <x:is>
          <x:t xml:space="preserve">Automated evidence only; manual protocol not run (owner-deferred).</x:t>
        </x:is>
      </x:c>
      <x:c r="K57" s="131" t="n">
        <x:f>IF(H57="covered",1,IF(H57="partial",0.5,0))</x:f>
        <x:v>0.5</x:v>
      </x:c>
    </x:row>
    <x:row r="58" s="51" customFormat="1" ht="72" customHeight="1">
      <x:c r="A58" s="131" t="n">
        <x:v>50</x:v>
      </x:c>
      <x:c r="B58" s="131" t="inlineStr">
        <x:is>
          <x:t xml:space="preserve">Motion</x:t>
        </x:is>
      </x:c>
      <x:c r="C58" s="131" t="inlineStr">
        <x:is>
          <x:t xml:space="preserve">Controller</x:t>
        </x:is>
      </x:c>
      <x:c r="D58" s="131" t="inlineStr">
        <x:is>
          <x:t xml:space="preserve">Bounded easing, interruption, invalid duration and reduced motion</x:t>
        </x:is>
      </x:c>
      <x:c r="E58" s="131" t="inlineStr">
        <x:is>
          <x:t xml:space="preserve">yes</x:t>
        </x:is>
      </x:c>
      <x:c r="F58" s="131" t="inlineStr">
        <x:is>
          <x:t xml:space="preserve">no</x:t>
        </x:is>
      </x:c>
      <x:c r="G58" s="131" t="inlineStr">
        <x:is>
          <x:t xml:space="preserve">not run</x:t>
        </x:is>
      </x:c>
      <x:c r="H58" s="131" t="inlineStr">
        <x:is>
          <x:t xml:space="preserve">partial</x:t>
        </x:is>
      </x:c>
      <x:c r="I58" s="131" t="inlineStr">
        <x:is>
          <x:t xml:space="preserve">test/primitives/scroll-area-controller.test.mjs; test/browser/scroll-area.spec.ts</x:t>
        </x:is>
      </x:c>
      <x:c r="J58" s="131" t="inlineStr">
        <x:is>
          <x:t xml:space="preserve">Automated evidence only; manual protocol not run (owner-deferred).</x:t>
        </x:is>
      </x:c>
      <x:c r="K58" s="131" t="n">
        <x:f>IF(H58="covered",1,IF(H58="partial",0.5,0))</x:f>
        <x:v>0.5</x:v>
      </x:c>
    </x:row>
    <x:row r="59" s="51" customFormat="1" ht="72" customHeight="1">
      <x:c r="A59" s="131" t="n">
        <x:v>51</x:v>
      </x:c>
      <x:c r="B59" s="131" t="inlineStr">
        <x:is>
          <x:t xml:space="preserve">Integration</x:t>
        </x:is>
      </x:c>
      <x:c r="C59" s="131" t="inlineStr">
        <x:is>
          <x:t xml:space="preserve">Viewport</x:t>
        </x:is>
      </x:c>
      <x:c r="D59" s="131" t="inlineStr">
        <x:is>
          <x:t xml:space="preserve">Hide/reveal, native keyboard, pointer cancellation and unmount recovery</x:t>
        </x:is>
      </x:c>
      <x:c r="E59" s="131" t="inlineStr">
        <x:is>
          <x:t xml:space="preserve">yes</x:t>
        </x:is>
      </x:c>
      <x:c r="F59" s="131" t="inlineStr">
        <x:is>
          <x:t xml:space="preserve">no</x:t>
        </x:is>
      </x:c>
      <x:c r="G59" s="131" t="inlineStr">
        <x:is>
          <x:t xml:space="preserve">not run</x:t>
        </x:is>
      </x:c>
      <x:c r="H59" s="131" t="inlineStr">
        <x:is>
          <x:t xml:space="preserve">partial</x:t>
        </x:is>
      </x:c>
      <x:c r="I59" s="131" t="inlineStr">
        <x:is>
          <x:t xml:space="preserve">test/browser/scroll-area.spec.ts</x:t>
        </x:is>
      </x:c>
      <x:c r="J59" s="131" t="inlineStr">
        <x:is>
          <x:t xml:space="preserve">Automated evidence only; manual protocol not run (owner-deferred).</x:t>
        </x:is>
      </x:c>
      <x:c r="K59" s="131" t="n">
        <x:f>IF(H59="covered",1,IF(H59="partial",0.5,0))</x:f>
        <x:v>0.5</x:v>
      </x:c>
    </x:row>
    <x:row r="60" s="51" customFormat="1" ht="72" customHeight="1">
      <x:c r="A60" s="131" t="n">
        <x:v>52</x:v>
      </x:c>
      <x:c r="B60" s="131" t="inlineStr">
        <x:is>
          <x:t xml:space="preserve">Manual</x:t>
        </x:is>
      </x:c>
      <x:c r="C60" s="131" t="inlineStr">
        <x:is>
          <x:t xml:space="preserve">ScrollArea</x:t>
        </x:is>
      </x:c>
      <x:c r="D60" s="131" t="inlineStr">
        <x:is>
          <x:t xml:space="preserve">Physical touch, real zoom and screen-reader review of custom anatomy</x:t>
        </x:is>
      </x:c>
      <x:c r="E60" s="131" t="inlineStr">
        <x:is>
          <x:t xml:space="preserve">yes</x:t>
        </x:is>
      </x:c>
      <x:c r="F60" s="131" t="inlineStr">
        <x:is>
          <x:t xml:space="preserve">no</x:t>
        </x:is>
      </x:c>
      <x:c r="G60" s="131" t="inlineStr">
        <x:is>
          <x:t xml:space="preserve">not run</x:t>
        </x:is>
      </x:c>
      <x:c r="H60" s="131" t="inlineStr">
        <x:is>
          <x:t xml:space="preserve">partial</x:t>
        </x:is>
      </x:c>
      <x:c r="I60" s="131" t="inlineStr">
        <x:is>
          <x:t xml:space="preserve">manual-tests/scroll-area.md</x:t>
        </x:is>
      </x:c>
      <x:c r="J60" s="131" t="inlineStr">
        <x:is>
          <x:t xml:space="preserve">Physical device, real zoom and screen-reader run pending.</x:t>
        </x:is>
      </x:c>
      <x:c r="K60" s="131" t="n">
        <x:f>IF(H60="covered",1,IF(H60="partial",0.5,0))</x:f>
        <x:v>0.5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Select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0.9476744186046512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163</x:v>
      </x:c>
      <x:c r="E4" s="70" t="inlineStr">
        <x:is>
          <x:t xml:space="preserve">Partial</x:t>
        </x:is>
      </x:c>
      <x:c r="F4" s="82" t="n">
        <x:f>COUNTIFS(A9:A1000,"&lt;&gt;",H9:H1000,"partial")</x:f>
        <x:v>3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9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93" t="n">
        <x:v>1</x:v>
      </x:c>
      <x:c r="B9" s="94" t="inlineStr">
        <x:is>
          <x:t xml:space="preserve">Playground</x:t>
        </x:is>
      </x:c>
      <x:c r="C9" s="94" t="inlineStr">
        <x:is>
          <x:t xml:space="preserve">Props</x:t>
        </x:is>
      </x:c>
      <x:c r="D9" s="94" t="inlineStr">
        <x:is>
          <x:t xml:space="preserve">Props toolbar exposes Prop Check and keeps data-prop-check off by default</x:t>
        </x:is>
      </x:c>
      <x:c r="E9" s="93" t="inlineStr">
        <x:is>
          <x:t xml:space="preserve">yes</x:t>
        </x:is>
      </x:c>
      <x:c r="F9" s="93" t="inlineStr">
        <x:is>
          <x:t xml:space="preserve">yes</x:t>
        </x:is>
      </x:c>
      <x:c r="G9" s="93" t="inlineStr">
        <x:is>
          <x:t xml:space="preserve">pass</x:t>
        </x:is>
      </x:c>
      <x:c r="H9" s="93" t="inlineStr">
        <x:is>
          <x:t xml:space="preserve">covered</x:t>
        </x:is>
      </x:c>
      <x:c r="I9" s="94" t="inlineStr">
        <x:is>
          <x:t xml:space="preserve">Select playground manual verification.</x:t>
        </x:is>
      </x:c>
      <x:c r="J9" s="94" t="n"/>
      <x:c r="K9" s="95" t="n">
        <x:f>IF(AND(E9="yes",F9="yes",H9="covered"),1,IF(H9="partial",0.5,0))</x:f>
        <x:v>1</x:v>
      </x:c>
    </x:row>
    <x:row r="10" s="51" customFormat="1" ht="15" customHeight="1">
      <x:c r="A10" s="93" t="n">
        <x:v>2</x:v>
      </x:c>
      <x:c r="B10" s="94" t="inlineStr">
        <x:is>
          <x:t xml:space="preserve">Playground</x:t>
        </x:is>
      </x:c>
      <x:c r="C10" s="94" t="inlineStr">
        <x:is>
          <x:t xml:space="preserve">Props</x:t>
        </x:is>
      </x:c>
      <x:c r="D10" s="94" t="inlineStr">
        <x:is>
          <x:t xml:space="preserve">custom data-slot override is available for every slot-owning anatomy part</x:t>
        </x:is>
      </x:c>
      <x:c r="E10" s="93" t="inlineStr">
        <x:is>
          <x:t xml:space="preserve">yes</x:t>
        </x:is>
      </x:c>
      <x:c r="F10" s="93" t="inlineStr">
        <x:is>
          <x:t xml:space="preserve">yes</x:t>
        </x:is>
      </x:c>
      <x:c r="G10" s="93" t="inlineStr">
        <x:is>
          <x:t xml:space="preserve">pass</x:t>
        </x:is>
      </x:c>
      <x:c r="H10" s="93" t="inlineStr">
        <x:is>
          <x:t xml:space="preserve">covered</x:t>
        </x:is>
      </x:c>
      <x:c r="I10" s="94" t="inlineStr">
        <x:is>
          <x:t xml:space="preserve">Select playground manual verification.</x:t>
        </x:is>
      </x:c>
      <x:c r="J10" s="94" t="n"/>
      <x:c r="K10" s="95" t="n">
        <x:f>IF(AND(E10="yes",F10="yes",H10="covered"),1,IF(H10="partial",0.5,0))</x:f>
        <x:v>1</x:v>
      </x:c>
    </x:row>
    <x:row r="11" s="51" customFormat="1" ht="15" customHeight="1">
      <x:c r="A11" s="93" t="n">
        <x:v>3</x:v>
      </x:c>
      <x:c r="B11" s="94" t="inlineStr">
        <x:is>
          <x:t xml:space="preserve">Public API</x:t>
        </x:is>
      </x:c>
      <x:c r="C11" s="94" t="inlineStr">
        <x:is>
          <x:t xml:space="preserve">Root</x:t>
        </x:is>
      </x:c>
      <x:c r="D11" s="94" t="inlineStr">
        <x:is>
          <x:t xml:space="preserve">controlled value prop</x:t>
        </x:is>
      </x:c>
      <x:c r="E11" s="93" t="inlineStr">
        <x:is>
          <x:t xml:space="preserve">yes</x:t>
        </x:is>
      </x:c>
      <x:c r="F11" s="93" t="inlineStr">
        <x:is>
          <x:t xml:space="preserve">yes</x:t>
        </x:is>
      </x:c>
      <x:c r="G11" s="93" t="inlineStr">
        <x:is>
          <x:t xml:space="preserve">pass</x:t>
        </x:is>
      </x:c>
      <x:c r="H11" s="93" t="inlineStr">
        <x:is>
          <x:t xml:space="preserve">covered</x:t>
        </x:is>
      </x:c>
      <x:c r="I11" s="94" t="inlineStr">
        <x:is>
          <x:t xml:space="preserve">Select playground manual verification.</x:t>
        </x:is>
      </x:c>
      <x:c r="J11" s="94" t="n"/>
      <x:c r="K11" s="95" t="n">
        <x:f>IF(AND(E11="yes",F11="yes",H11="covered"),1,IF(H11="partial",0.5,0))</x:f>
        <x:v>1</x:v>
      </x:c>
    </x:row>
    <x:row r="12" s="51" customFormat="1" ht="15" customHeight="1">
      <x:c r="A12" s="93" t="n">
        <x:v>4</x:v>
      </x:c>
      <x:c r="B12" s="94" t="inlineStr">
        <x:is>
          <x:t xml:space="preserve">Public API</x:t>
        </x:is>
      </x:c>
      <x:c r="C12" s="94" t="inlineStr">
        <x:is>
          <x:t xml:space="preserve">Root</x:t>
        </x:is>
      </x:c>
      <x:c r="D12" s="94" t="inlineStr">
        <x:is>
          <x:t xml:space="preserve">defaultValue / uncontrolled value</x:t>
        </x:is>
      </x:c>
      <x:c r="E12" s="93" t="inlineStr">
        <x:is>
          <x:t xml:space="preserve">yes</x:t>
        </x:is>
      </x:c>
      <x:c r="F12" s="93" t="inlineStr">
        <x:is>
          <x:t xml:space="preserve">yes</x:t>
        </x:is>
      </x:c>
      <x:c r="G12" s="93" t="inlineStr">
        <x:is>
          <x:t xml:space="preserve">pass</x:t>
        </x:is>
      </x:c>
      <x:c r="H12" s="93" t="inlineStr">
        <x:is>
          <x:t xml:space="preserve">covered</x:t>
        </x:is>
      </x:c>
      <x:c r="I12" s="94" t="inlineStr">
        <x:is>
          <x:t xml:space="preserve">Select playground manual verification.</x:t>
        </x:is>
      </x:c>
      <x:c r="J12" s="94" t="n"/>
      <x:c r="K12" s="95" t="n">
        <x:f>IF(AND(E12="yes",F12="yes",H12="covered"),1,IF(H12="partial",0.5,0))</x:f>
        <x:v>1</x:v>
      </x:c>
    </x:row>
    <x:row r="13" s="51" customFormat="1" ht="15" customHeight="1">
      <x:c r="A13" s="93" t="n">
        <x:v>5</x:v>
      </x:c>
      <x:c r="B13" s="94" t="inlineStr">
        <x:is>
          <x:t xml:space="preserve">Public API</x:t>
        </x:is>
      </x:c>
      <x:c r="C13" s="94" t="inlineStr">
        <x:is>
          <x:t xml:space="preserve">Root</x:t>
        </x:is>
      </x:c>
      <x:c r="D13" s="94" t="inlineStr">
        <x:is>
          <x:t xml:space="preserve">onValueChange callback</x:t>
        </x:is>
      </x:c>
      <x:c r="E13" s="93" t="inlineStr">
        <x:is>
          <x:t xml:space="preserve">yes</x:t>
        </x:is>
      </x:c>
      <x:c r="F13" s="93" t="inlineStr">
        <x:is>
          <x:t xml:space="preserve">yes</x:t>
        </x:is>
      </x:c>
      <x:c r="G13" s="93" t="inlineStr">
        <x:is>
          <x:t xml:space="preserve">pass</x:t>
        </x:is>
      </x:c>
      <x:c r="H13" s="93" t="inlineStr">
        <x:is>
          <x:t xml:space="preserve">covered</x:t>
        </x:is>
      </x:c>
      <x:c r="I13" s="94" t="inlineStr">
        <x:is>
          <x:t xml:space="preserve">Select playground manual verification.</x:t>
        </x:is>
      </x:c>
      <x:c r="J13" s="94" t="n"/>
      <x:c r="K13" s="95" t="n">
        <x:f>IF(AND(E13="yes",F13="yes",H13="covered"),1,IF(H13="partial",0.5,0))</x:f>
        <x:v>1</x:v>
      </x:c>
    </x:row>
    <x:row r="14" s="51" customFormat="1" ht="15" customHeight="1">
      <x:c r="A14" s="93" t="n">
        <x:v>6</x:v>
      </x:c>
      <x:c r="B14" s="94" t="inlineStr">
        <x:is>
          <x:t xml:space="preserve">Public API</x:t>
        </x:is>
      </x:c>
      <x:c r="C14" s="94" t="inlineStr">
        <x:is>
          <x:t xml:space="preserve">Root</x:t>
        </x:is>
      </x:c>
      <x:c r="D14" s="94" t="inlineStr">
        <x:is>
          <x:t xml:space="preserve">controlled open prop</x:t>
        </x:is>
      </x:c>
      <x:c r="E14" s="93" t="inlineStr">
        <x:is>
          <x:t xml:space="preserve">yes</x:t>
        </x:is>
      </x:c>
      <x:c r="F14" s="93" t="inlineStr">
        <x:is>
          <x:t xml:space="preserve">yes</x:t>
        </x:is>
      </x:c>
      <x:c r="G14" s="93" t="inlineStr">
        <x:is>
          <x:t xml:space="preserve">pass</x:t>
        </x:is>
      </x:c>
      <x:c r="H14" s="93" t="inlineStr">
        <x:is>
          <x:t xml:space="preserve">covered</x:t>
        </x:is>
      </x:c>
      <x:c r="I14" s="94" t="inlineStr">
        <x:is>
          <x:t xml:space="preserve">Select playground manual verification.</x:t>
        </x:is>
      </x:c>
      <x:c r="J14" s="94" t="n"/>
      <x:c r="K14" s="95" t="n">
        <x:f>IF(AND(E14="yes",F14="yes",H14="covered"),1,IF(H14="partial",0.5,0))</x:f>
        <x:v>1</x:v>
      </x:c>
    </x:row>
    <x:row r="15" s="51" customFormat="1" ht="15" customHeight="1">
      <x:c r="A15" s="93" t="n">
        <x:v>7</x:v>
      </x:c>
      <x:c r="B15" s="94" t="inlineStr">
        <x:is>
          <x:t xml:space="preserve">Public API</x:t>
        </x:is>
      </x:c>
      <x:c r="C15" s="94" t="inlineStr">
        <x:is>
          <x:t xml:space="preserve">Root</x:t>
        </x:is>
      </x:c>
      <x:c r="D15" s="94" t="inlineStr">
        <x:is>
          <x:t xml:space="preserve">defaultOpen / uncontrolled open</x:t>
        </x:is>
      </x:c>
      <x:c r="E15" s="93" t="inlineStr">
        <x:is>
          <x:t xml:space="preserve">yes</x:t>
        </x:is>
      </x:c>
      <x:c r="F15" s="93" t="inlineStr">
        <x:is>
          <x:t xml:space="preserve">yes</x:t>
        </x:is>
      </x:c>
      <x:c r="G15" s="93" t="inlineStr">
        <x:is>
          <x:t xml:space="preserve">pass</x:t>
        </x:is>
      </x:c>
      <x:c r="H15" s="93" t="inlineStr">
        <x:is>
          <x:t xml:space="preserve">covered</x:t>
        </x:is>
      </x:c>
      <x:c r="I15" s="94" t="inlineStr">
        <x:is>
          <x:t xml:space="preserve">Select playground manual verification.</x:t>
        </x:is>
      </x:c>
      <x:c r="J15" s="94" t="n"/>
      <x:c r="K15" s="95" t="n">
        <x:f>IF(AND(E15="yes",F15="yes",H15="covered"),1,IF(H15="partial",0.5,0))</x:f>
        <x:v>1</x:v>
      </x:c>
    </x:row>
    <x:row r="16" s="51" customFormat="1" ht="15" customHeight="1">
      <x:c r="A16" s="93" t="n">
        <x:v>8</x:v>
      </x:c>
      <x:c r="B16" s="94" t="inlineStr">
        <x:is>
          <x:t xml:space="preserve">Public API</x:t>
        </x:is>
      </x:c>
      <x:c r="C16" s="94" t="inlineStr">
        <x:is>
          <x:t xml:space="preserve">Root</x:t>
        </x:is>
      </x:c>
      <x:c r="D16" s="94" t="inlineStr">
        <x:is>
          <x:t xml:space="preserve">onOpenChange callback</x:t>
        </x:is>
      </x:c>
      <x:c r="E16" s="93" t="inlineStr">
        <x:is>
          <x:t xml:space="preserve">yes</x:t>
        </x:is>
      </x:c>
      <x:c r="F16" s="93" t="inlineStr">
        <x:is>
          <x:t xml:space="preserve">yes</x:t>
        </x:is>
      </x:c>
      <x:c r="G16" s="93" t="inlineStr">
        <x:is>
          <x:t xml:space="preserve">pass</x:t>
        </x:is>
      </x:c>
      <x:c r="H16" s="93" t="inlineStr">
        <x:is>
          <x:t xml:space="preserve">covered</x:t>
        </x:is>
      </x:c>
      <x:c r="I16" s="94" t="inlineStr">
        <x:is>
          <x:t xml:space="preserve">Select playground manual verification.</x:t>
        </x:is>
      </x:c>
      <x:c r="J16" s="94" t="n"/>
      <x:c r="K16" s="95" t="n">
        <x:f>IF(AND(E16="yes",F16="yes",H16="covered"),1,IF(H16="partial",0.5,0))</x:f>
        <x:v>1</x:v>
      </x:c>
    </x:row>
    <x:row r="17" s="51" customFormat="1" ht="15" customHeight="1">
      <x:c r="A17" s="93" t="n">
        <x:v>9</x:v>
      </x:c>
      <x:c r="B17" s="94" t="inlineStr">
        <x:is>
          <x:t xml:space="preserve">Public API</x:t>
        </x:is>
      </x:c>
      <x:c r="C17" s="94" t="inlineStr">
        <x:is>
          <x:t xml:space="preserve">Root</x:t>
        </x:is>
      </x:c>
      <x:c r="D17" s="94" t="inlineStr">
        <x:is>
          <x:t xml:space="preserve">disabled</x:t>
        </x:is>
      </x:c>
      <x:c r="E17" s="93" t="inlineStr">
        <x:is>
          <x:t xml:space="preserve">yes</x:t>
        </x:is>
      </x:c>
      <x:c r="F17" s="93" t="inlineStr">
        <x:is>
          <x:t xml:space="preserve">yes</x:t>
        </x:is>
      </x:c>
      <x:c r="G17" s="93" t="inlineStr">
        <x:is>
          <x:t xml:space="preserve">pass</x:t>
        </x:is>
      </x:c>
      <x:c r="H17" s="93" t="inlineStr">
        <x:is>
          <x:t xml:space="preserve">covered</x:t>
        </x:is>
      </x:c>
      <x:c r="I17" s="94" t="inlineStr">
        <x:is>
          <x:t xml:space="preserve">Select playground manual verification.</x:t>
        </x:is>
      </x:c>
      <x:c r="J17" s="94" t="n"/>
      <x:c r="K17" s="95" t="n">
        <x:f>IF(AND(E17="yes",F17="yes",H17="covered"),1,IF(H17="partial",0.5,0))</x:f>
        <x:v>1</x:v>
      </x:c>
    </x:row>
    <x:row r="18" s="51" customFormat="1" ht="15" customHeight="1">
      <x:c r="A18" s="93" t="n">
        <x:v>10</x:v>
      </x:c>
      <x:c r="B18" s="94" t="inlineStr">
        <x:is>
          <x:t xml:space="preserve">Public API</x:t>
        </x:is>
      </x:c>
      <x:c r="C18" s="94" t="inlineStr">
        <x:is>
          <x:t xml:space="preserve">Root</x:t>
        </x:is>
      </x:c>
      <x:c r="D18" s="94" t="inlineStr">
        <x:is>
          <x:t xml:space="preserve">required</x:t>
        </x:is>
      </x:c>
      <x:c r="E18" s="93" t="inlineStr">
        <x:is>
          <x:t xml:space="preserve">yes</x:t>
        </x:is>
      </x:c>
      <x:c r="F18" s="93" t="inlineStr">
        <x:is>
          <x:t xml:space="preserve">yes</x:t>
        </x:is>
      </x:c>
      <x:c r="G18" s="93" t="inlineStr">
        <x:is>
          <x:t xml:space="preserve">pass</x:t>
        </x:is>
      </x:c>
      <x:c r="H18" s="93" t="inlineStr">
        <x:is>
          <x:t xml:space="preserve">covered</x:t>
        </x:is>
      </x:c>
      <x:c r="I18" s="94" t="inlineStr">
        <x:is>
          <x:t xml:space="preserve">Select playground manual verification.</x:t>
        </x:is>
      </x:c>
      <x:c r="J18" s="94" t="n"/>
      <x:c r="K18" s="95" t="n">
        <x:f>IF(AND(E18="yes",F18="yes",H18="covered"),1,IF(H18="partial",0.5,0))</x:f>
        <x:v>1</x:v>
      </x:c>
    </x:row>
    <x:row r="19" s="51" customFormat="1" ht="15" customHeight="1">
      <x:c r="A19" s="93" t="n">
        <x:v>11</x:v>
      </x:c>
      <x:c r="B19" s="94" t="inlineStr">
        <x:is>
          <x:t xml:space="preserve">Public API</x:t>
        </x:is>
      </x:c>
      <x:c r="C19" s="94" t="inlineStr">
        <x:is>
          <x:t xml:space="preserve">Root</x:t>
        </x:is>
      </x:c>
      <x:c r="D19" s="94" t="inlineStr">
        <x:is>
          <x:t xml:space="preserve">name hidden input</x:t>
        </x:is>
      </x:c>
      <x:c r="E19" s="93" t="inlineStr">
        <x:is>
          <x:t xml:space="preserve">yes</x:t>
        </x:is>
      </x:c>
      <x:c r="F19" s="93" t="inlineStr">
        <x:is>
          <x:t xml:space="preserve">yes</x:t>
        </x:is>
      </x:c>
      <x:c r="G19" s="93" t="inlineStr">
        <x:is>
          <x:t xml:space="preserve">pass</x:t>
        </x:is>
      </x:c>
      <x:c r="H19" s="93" t="inlineStr">
        <x:is>
          <x:t xml:space="preserve">covered</x:t>
        </x:is>
      </x:c>
      <x:c r="I19" s="94" t="inlineStr">
        <x:is>
          <x:t xml:space="preserve">Select playground manual verification.</x:t>
        </x:is>
      </x:c>
      <x:c r="J19" s="94" t="n"/>
      <x:c r="K19" s="95" t="n">
        <x:f>IF(AND(E19="yes",F19="yes",H19="covered"),1,IF(H19="partial",0.5,0))</x:f>
        <x:v>1</x:v>
      </x:c>
    </x:row>
    <x:row r="20" s="51" customFormat="1" ht="15" customHeight="1">
      <x:c r="A20" s="93" t="n">
        <x:v>12</x:v>
      </x:c>
      <x:c r="B20" s="94" t="inlineStr">
        <x:is>
          <x:t xml:space="preserve">Public API</x:t>
        </x:is>
      </x:c>
      <x:c r="C20" s="94" t="inlineStr">
        <x:is>
          <x:t xml:space="preserve">Root</x:t>
        </x:is>
      </x:c>
      <x:c r="D20" s="94" t="inlineStr">
        <x:is>
          <x:t xml:space="preserve">form hidden input association</x:t>
        </x:is>
      </x:c>
      <x:c r="E20" s="93" t="inlineStr">
        <x:is>
          <x:t xml:space="preserve">yes</x:t>
        </x:is>
      </x:c>
      <x:c r="F20" s="93" t="inlineStr">
        <x:is>
          <x:t xml:space="preserve">yes</x:t>
        </x:is>
      </x:c>
      <x:c r="G20" s="93" t="inlineStr">
        <x:is>
          <x:t xml:space="preserve">pass</x:t>
        </x:is>
      </x:c>
      <x:c r="H20" s="93" t="inlineStr">
        <x:is>
          <x:t xml:space="preserve">covered</x:t>
        </x:is>
      </x:c>
      <x:c r="I20" s="94" t="inlineStr">
        <x:is>
          <x:t xml:space="preserve">Select playground manual verification.</x:t>
        </x:is>
      </x:c>
      <x:c r="J20" s="94" t="n"/>
      <x:c r="K20" s="95" t="n">
        <x:f>IF(AND(E20="yes",F20="yes",H20="covered"),1,IF(H20="partial",0.5,0))</x:f>
        <x:v>1</x:v>
      </x:c>
    </x:row>
    <x:row r="21" s="51" customFormat="1" ht="15" customHeight="1">
      <x:c r="A21" s="93" t="n">
        <x:v>13</x:v>
      </x:c>
      <x:c r="B21" s="94" t="inlineStr">
        <x:is>
          <x:t xml:space="preserve">Field integration</x:t>
        </x:is>
      </x:c>
      <x:c r="C21" s="94" t="inlineStr">
        <x:is>
          <x:t xml:space="preserve">Root</x:t>
        </x:is>
      </x:c>
      <x:c r="D21" s="94" t="inlineStr">
        <x:is>
          <x:t xml:space="preserve">inherits Field disabled</x:t>
        </x:is>
      </x:c>
      <x:c r="E21" s="93" t="inlineStr">
        <x:is>
          <x:t xml:space="preserve">yes</x:t>
        </x:is>
      </x:c>
      <x:c r="F21" s="93" t="inlineStr">
        <x:is>
          <x:t xml:space="preserve">yes</x:t>
        </x:is>
      </x:c>
      <x:c r="G21" s="93" t="inlineStr">
        <x:is>
          <x:t xml:space="preserve">pass</x:t>
        </x:is>
      </x:c>
      <x:c r="H21" s="93" t="inlineStr">
        <x:is>
          <x:t xml:space="preserve">covered</x:t>
        </x:is>
      </x:c>
      <x:c r="I21" s="94" t="inlineStr">
        <x:is>
          <x:t xml:space="preserve">Select playground manual verification.</x:t>
        </x:is>
      </x:c>
      <x:c r="J21" s="94" t="n"/>
      <x:c r="K21" s="95" t="n">
        <x:f>IF(AND(E21="yes",F21="yes",H21="covered"),1,IF(H21="partial",0.5,0))</x:f>
        <x:v>1</x:v>
      </x:c>
    </x:row>
    <x:row r="22" s="51" customFormat="1" ht="15" customHeight="1">
      <x:c r="A22" s="93" t="n">
        <x:v>14</x:v>
      </x:c>
      <x:c r="B22" s="94" t="inlineStr">
        <x:is>
          <x:t xml:space="preserve">Field integration</x:t>
        </x:is>
      </x:c>
      <x:c r="C22" s="94" t="inlineStr">
        <x:is>
          <x:t xml:space="preserve">Root</x:t>
        </x:is>
      </x:c>
      <x:c r="D22" s="94" t="inlineStr">
        <x:is>
          <x:t xml:space="preserve">inherits Field required</x:t>
        </x:is>
      </x:c>
      <x:c r="E22" s="93" t="inlineStr">
        <x:is>
          <x:t xml:space="preserve">yes</x:t>
        </x:is>
      </x:c>
      <x:c r="F22" s="93" t="inlineStr">
        <x:is>
          <x:t xml:space="preserve">yes</x:t>
        </x:is>
      </x:c>
      <x:c r="G22" s="93" t="inlineStr">
        <x:is>
          <x:t xml:space="preserve">pass</x:t>
        </x:is>
      </x:c>
      <x:c r="H22" s="93" t="inlineStr">
        <x:is>
          <x:t xml:space="preserve">covered</x:t>
        </x:is>
      </x:c>
      <x:c r="I22" s="94" t="inlineStr">
        <x:is>
          <x:t xml:space="preserve">Select playground manual verification.</x:t>
        </x:is>
      </x:c>
      <x:c r="J22" s="94" t="n"/>
      <x:c r="K22" s="95" t="n">
        <x:f>IF(AND(E22="yes",F22="yes",H22="covered"),1,IF(H22="partial",0.5,0))</x:f>
        <x:v>1</x:v>
      </x:c>
    </x:row>
    <x:row r="23" s="51" customFormat="1" ht="15" customHeight="1">
      <x:c r="A23" s="93" t="n">
        <x:v>15</x:v>
      </x:c>
      <x:c r="B23" s="94" t="inlineStr">
        <x:is>
          <x:t xml:space="preserve">Field integration</x:t>
        </x:is>
      </x:c>
      <x:c r="C23" s="94" t="inlineStr">
        <x:is>
          <x:t xml:space="preserve">Trigger</x:t>
        </x:is>
      </x:c>
      <x:c r="D23" s="94" t="inlineStr">
        <x:is>
          <x:t xml:space="preserve">inherits Field control id</x:t>
        </x:is>
      </x:c>
      <x:c r="E23" s="93" t="inlineStr">
        <x:is>
          <x:t xml:space="preserve">yes</x:t>
        </x:is>
      </x:c>
      <x:c r="F23" s="93" t="inlineStr">
        <x:is>
          <x:t xml:space="preserve">yes</x:t>
        </x:is>
      </x:c>
      <x:c r="G23" s="93" t="inlineStr">
        <x:is>
          <x:t xml:space="preserve">pass</x:t>
        </x:is>
      </x:c>
      <x:c r="H23" s="93" t="inlineStr">
        <x:is>
          <x:t xml:space="preserve">covered</x:t>
        </x:is>
      </x:c>
      <x:c r="I23" s="94" t="inlineStr">
        <x:is>
          <x:t xml:space="preserve">Select playground manual verification.</x:t>
        </x:is>
      </x:c>
      <x:c r="J23" s="94" t="n"/>
      <x:c r="K23" s="95" t="n">
        <x:f>IF(AND(E23="yes",F23="yes",H23="covered"),1,IF(H23="partial",0.5,0))</x:f>
        <x:v>1</x:v>
      </x:c>
    </x:row>
    <x:row r="24" s="51" customFormat="1" ht="15" customHeight="1">
      <x:c r="A24" s="93" t="n">
        <x:v>16</x:v>
      </x:c>
      <x:c r="B24" s="94" t="inlineStr">
        <x:is>
          <x:t xml:space="preserve">Field integration</x:t>
        </x:is>
      </x:c>
      <x:c r="C24" s="94" t="inlineStr">
        <x:is>
          <x:t xml:space="preserve">Trigger</x:t>
        </x:is>
      </x:c>
      <x:c r="D24" s="94" t="inlineStr">
        <x:is>
          <x:t xml:space="preserve">inherits Field label</x:t>
        </x:is>
      </x:c>
      <x:c r="E24" s="93" t="inlineStr">
        <x:is>
          <x:t xml:space="preserve">yes</x:t>
        </x:is>
      </x:c>
      <x:c r="F24" s="93" t="inlineStr">
        <x:is>
          <x:t xml:space="preserve">yes</x:t>
        </x:is>
      </x:c>
      <x:c r="G24" s="93" t="inlineStr">
        <x:is>
          <x:t xml:space="preserve">pass</x:t>
        </x:is>
      </x:c>
      <x:c r="H24" s="93" t="inlineStr">
        <x:is>
          <x:t xml:space="preserve">covered</x:t>
        </x:is>
      </x:c>
      <x:c r="I24" s="94" t="inlineStr">
        <x:is>
          <x:t xml:space="preserve">Select playground manual verification.</x:t>
        </x:is>
      </x:c>
      <x:c r="J24" s="94" t="n"/>
      <x:c r="K24" s="95" t="n">
        <x:f>IF(AND(E24="yes",F24="yes",H24="covered"),1,IF(H24="partial",0.5,0))</x:f>
        <x:v>1</x:v>
      </x:c>
    </x:row>
    <x:row r="25" s="51" customFormat="1" ht="15" customHeight="1">
      <x:c r="A25" s="93" t="n">
        <x:v>17</x:v>
      </x:c>
      <x:c r="B25" s="94" t="inlineStr">
        <x:is>
          <x:t xml:space="preserve">Field integration</x:t>
        </x:is>
      </x:c>
      <x:c r="C25" s="94" t="inlineStr">
        <x:is>
          <x:t xml:space="preserve">Trigger</x:t>
        </x:is>
      </x:c>
      <x:c r="D25" s="94" t="inlineStr">
        <x:is>
          <x:t xml:space="preserve">inherits Field description/error</x:t>
        </x:is>
      </x:c>
      <x:c r="E25" s="93" t="inlineStr">
        <x:is>
          <x:t xml:space="preserve">yes</x:t>
        </x:is>
      </x:c>
      <x:c r="F25" s="93" t="inlineStr">
        <x:is>
          <x:t xml:space="preserve">yes</x:t>
        </x:is>
      </x:c>
      <x:c r="G25" s="93" t="inlineStr">
        <x:is>
          <x:t xml:space="preserve">pass</x:t>
        </x:is>
      </x:c>
      <x:c r="H25" s="93" t="inlineStr">
        <x:is>
          <x:t xml:space="preserve">covered</x:t>
        </x:is>
      </x:c>
      <x:c r="I25" s="94" t="inlineStr">
        <x:is>
          <x:t xml:space="preserve">Select playground manual verification.</x:t>
        </x:is>
      </x:c>
      <x:c r="J25" s="94" t="n"/>
      <x:c r="K25" s="95" t="n">
        <x:f>IF(AND(E25="yes",F25="yes",H25="covered"),1,IF(H25="partial",0.5,0))</x:f>
        <x:v>1</x:v>
      </x:c>
    </x:row>
    <x:row r="26" s="51" customFormat="1" ht="15" customHeight="1">
      <x:c r="A26" s="93" t="n">
        <x:v>18</x:v>
      </x:c>
      <x:c r="B26" s="94" t="inlineStr">
        <x:is>
          <x:t xml:space="preserve">Field integration</x:t>
        </x:is>
      </x:c>
      <x:c r="C26" s="94" t="inlineStr">
        <x:is>
          <x:t xml:space="preserve">Trigger</x:t>
        </x:is>
      </x:c>
      <x:c r="D26" s="94" t="inlineStr">
        <x:is>
          <x:t xml:space="preserve">explicit aria-label overrides Field label</x:t>
        </x:is>
      </x:c>
      <x:c r="E26" s="93" t="inlineStr">
        <x:is>
          <x:t xml:space="preserve">yes</x:t>
        </x:is>
      </x:c>
      <x:c r="F26" s="93" t="inlineStr">
        <x:is>
          <x:t xml:space="preserve">yes</x:t>
        </x:is>
      </x:c>
      <x:c r="G26" s="93" t="inlineStr">
        <x:is>
          <x:t xml:space="preserve">pass</x:t>
        </x:is>
      </x:c>
      <x:c r="H26" s="93" t="inlineStr">
        <x:is>
          <x:t xml:space="preserve">covered</x:t>
        </x:is>
      </x:c>
      <x:c r="I26" s="94" t="inlineStr">
        <x:is>
          <x:t xml:space="preserve">Select playground manual verification.</x:t>
        </x:is>
      </x:c>
      <x:c r="J26" s="94" t="n"/>
      <x:c r="K26" s="95" t="n">
        <x:f>IF(AND(E26="yes",F26="yes",H26="covered"),1,IF(H26="partial",0.5,0))</x:f>
        <x:v>1</x:v>
      </x:c>
    </x:row>
    <x:row r="27" s="51" customFormat="1" ht="15" customHeight="1">
      <x:c r="A27" s="93" t="n">
        <x:v>19</x:v>
      </x:c>
      <x:c r="B27" s="94" t="inlineStr">
        <x:is>
          <x:t xml:space="preserve">Public API</x:t>
        </x:is>
      </x:c>
      <x:c r="C27" s="94" t="inlineStr">
        <x:is>
          <x:t xml:space="preserve">Trigger</x:t>
        </x:is>
      </x:c>
      <x:c r="D27" s="94" t="inlineStr">
        <x:is>
          <x:t xml:space="preserve">click opens</x:t>
        </x:is>
      </x:c>
      <x:c r="E27" s="93" t="inlineStr">
        <x:is>
          <x:t xml:space="preserve">yes</x:t>
        </x:is>
      </x:c>
      <x:c r="F27" s="93" t="inlineStr">
        <x:is>
          <x:t xml:space="preserve">yes</x:t>
        </x:is>
      </x:c>
      <x:c r="G27" s="93" t="inlineStr">
        <x:is>
          <x:t xml:space="preserve">pass</x:t>
        </x:is>
      </x:c>
      <x:c r="H27" s="93" t="inlineStr">
        <x:is>
          <x:t xml:space="preserve">covered</x:t>
        </x:is>
      </x:c>
      <x:c r="I27" s="94" t="inlineStr">
        <x:is>
          <x:t xml:space="preserve">Select playground manual verification.</x:t>
        </x:is>
      </x:c>
      <x:c r="J27" s="94" t="n"/>
      <x:c r="K27" s="95" t="n">
        <x:f>IF(AND(E27="yes",F27="yes",H27="covered"),1,IF(H27="partial",0.5,0))</x:f>
        <x:v>1</x:v>
      </x:c>
    </x:row>
    <x:row r="28" s="51" customFormat="1" ht="15" customHeight="1">
      <x:c r="A28" s="93" t="n">
        <x:v>20</x:v>
      </x:c>
      <x:c r="B28" s="94" t="inlineStr">
        <x:is>
          <x:t xml:space="preserve">Public API</x:t>
        </x:is>
      </x:c>
      <x:c r="C28" s="94" t="inlineStr">
        <x:is>
          <x:t xml:space="preserve">Trigger</x:t>
        </x:is>
      </x:c>
      <x:c r="D28" s="94" t="inlineStr">
        <x:is>
          <x:t xml:space="preserve">click closes when open</x:t>
        </x:is>
      </x:c>
      <x:c r="E28" s="93" t="inlineStr">
        <x:is>
          <x:t xml:space="preserve">yes</x:t>
        </x:is>
      </x:c>
      <x:c r="F28" s="93" t="inlineStr">
        <x:is>
          <x:t xml:space="preserve">yes</x:t>
        </x:is>
      </x:c>
      <x:c r="G28" s="93" t="inlineStr">
        <x:is>
          <x:t xml:space="preserve">pass</x:t>
        </x:is>
      </x:c>
      <x:c r="H28" s="93" t="inlineStr">
        <x:is>
          <x:t xml:space="preserve">covered</x:t>
        </x:is>
      </x:c>
      <x:c r="I28" s="94" t="inlineStr">
        <x:is>
          <x:t xml:space="preserve">Select playground manual verification.</x:t>
        </x:is>
      </x:c>
      <x:c r="J28" s="94" t="n"/>
      <x:c r="K28" s="95" t="n">
        <x:f>IF(AND(E28="yes",F28="yes",H28="covered"),1,IF(H28="partial",0.5,0))</x:f>
        <x:v>1</x:v>
      </x:c>
    </x:row>
    <x:row r="29" s="51" customFormat="1" ht="15" customHeight="1">
      <x:c r="A29" s="93" t="n">
        <x:v>21</x:v>
      </x:c>
      <x:c r="B29" s="94" t="inlineStr">
        <x:is>
          <x:t xml:space="preserve">Public API</x:t>
        </x:is>
      </x:c>
      <x:c r="C29" s="94" t="inlineStr">
        <x:is>
          <x:t xml:space="preserve">Trigger</x:t>
        </x:is>
      </x:c>
      <x:c r="D29" s="94" t="inlineStr">
        <x:is>
          <x:t xml:space="preserve">disabled blocks click</x:t>
        </x:is>
      </x:c>
      <x:c r="E29" s="93" t="inlineStr">
        <x:is>
          <x:t xml:space="preserve">yes</x:t>
        </x:is>
      </x:c>
      <x:c r="F29" s="93" t="inlineStr">
        <x:is>
          <x:t xml:space="preserve">yes</x:t>
        </x:is>
      </x:c>
      <x:c r="G29" s="93" t="inlineStr">
        <x:is>
          <x:t xml:space="preserve">pass</x:t>
        </x:is>
      </x:c>
      <x:c r="H29" s="93" t="inlineStr">
        <x:is>
          <x:t xml:space="preserve">covered</x:t>
        </x:is>
      </x:c>
      <x:c r="I29" s="94" t="inlineStr">
        <x:is>
          <x:t xml:space="preserve">Select playground manual verification.</x:t>
        </x:is>
      </x:c>
      <x:c r="J29" s="94" t="n"/>
      <x:c r="K29" s="95" t="n">
        <x:f>IF(AND(E29="yes",F29="yes",H29="covered"),1,IF(H29="partial",0.5,0))</x:f>
        <x:v>1</x:v>
      </x:c>
    </x:row>
    <x:row r="30" s="51" customFormat="1" ht="15" customHeight="1">
      <x:c r="A30" s="93" t="n">
        <x:v>22</x:v>
      </x:c>
      <x:c r="B30" s="94" t="inlineStr">
        <x:is>
          <x:t xml:space="preserve">Public API</x:t>
        </x:is>
      </x:c>
      <x:c r="C30" s="94" t="inlineStr">
        <x:is>
          <x:t xml:space="preserve">Trigger</x:t>
        </x:is>
      </x:c>
      <x:c r="D30" s="94" t="inlineStr">
        <x:is>
          <x:t xml:space="preserve">role combobox</x:t>
        </x:is>
      </x:c>
      <x:c r="E30" s="93" t="inlineStr">
        <x:is>
          <x:t xml:space="preserve">yes</x:t>
        </x:is>
      </x:c>
      <x:c r="F30" s="93" t="inlineStr">
        <x:is>
          <x:t xml:space="preserve">yes</x:t>
        </x:is>
      </x:c>
      <x:c r="G30" s="93" t="inlineStr">
        <x:is>
          <x:t xml:space="preserve">pass</x:t>
        </x:is>
      </x:c>
      <x:c r="H30" s="93" t="inlineStr">
        <x:is>
          <x:t xml:space="preserve">covered</x:t>
        </x:is>
      </x:c>
      <x:c r="I30" s="94" t="inlineStr">
        <x:is>
          <x:t xml:space="preserve">Select playground manual verification.</x:t>
        </x:is>
      </x:c>
      <x:c r="J30" s="94" t="n"/>
      <x:c r="K30" s="95" t="n">
        <x:f>IF(AND(E30="yes",F30="yes",H30="covered"),1,IF(H30="partial",0.5,0))</x:f>
        <x:v>1</x:v>
      </x:c>
    </x:row>
    <x:row r="31" s="51" customFormat="1" ht="15" customHeight="1">
      <x:c r="A31" s="93" t="n">
        <x:v>23</x:v>
      </x:c>
      <x:c r="B31" s="94" t="inlineStr">
        <x:is>
          <x:t xml:space="preserve">Public API</x:t>
        </x:is>
      </x:c>
      <x:c r="C31" s="94" t="inlineStr">
        <x:is>
          <x:t xml:space="preserve">Trigger</x:t>
        </x:is>
      </x:c>
      <x:c r="D31" s="94" t="inlineStr">
        <x:is>
          <x:t xml:space="preserve">type button on default render</x:t>
        </x:is>
      </x:c>
      <x:c r="E31" s="93" t="inlineStr">
        <x:is>
          <x:t xml:space="preserve">yes</x:t>
        </x:is>
      </x:c>
      <x:c r="F31" s="93" t="inlineStr">
        <x:is>
          <x:t xml:space="preserve">yes</x:t>
        </x:is>
      </x:c>
      <x:c r="G31" s="93" t="inlineStr">
        <x:is>
          <x:t xml:space="preserve">pass</x:t>
        </x:is>
      </x:c>
      <x:c r="H31" s="93" t="inlineStr">
        <x:is>
          <x:t xml:space="preserve">covered</x:t>
        </x:is>
      </x:c>
      <x:c r="I31" s="94" t="inlineStr">
        <x:is>
          <x:t xml:space="preserve">Select playground manual verification.</x:t>
        </x:is>
      </x:c>
      <x:c r="J31" s="94" t="n"/>
      <x:c r="K31" s="95" t="n">
        <x:f>IF(AND(E31="yes",F31="yes",H31="covered"),1,IF(H31="partial",0.5,0))</x:f>
        <x:v>1</x:v>
      </x:c>
    </x:row>
    <x:row r="32" s="51" customFormat="1" ht="15" customHeight="1">
      <x:c r="A32" s="93" t="n">
        <x:v>24</x:v>
      </x:c>
      <x:c r="B32" s="94" t="inlineStr">
        <x:is>
          <x:t xml:space="preserve">Public API</x:t>
        </x:is>
      </x:c>
      <x:c r="C32" s="94" t="inlineStr">
        <x:is>
          <x:t xml:space="preserve">Trigger</x:t>
        </x:is>
      </x:c>
      <x:c r="D32" s="94" t="inlineStr">
        <x:is>
          <x:t xml:space="preserve">aria-expanded</x:t>
        </x:is>
      </x:c>
      <x:c r="E32" s="93" t="inlineStr">
        <x:is>
          <x:t xml:space="preserve">yes</x:t>
        </x:is>
      </x:c>
      <x:c r="F32" s="93" t="inlineStr">
        <x:is>
          <x:t xml:space="preserve">yes</x:t>
        </x:is>
      </x:c>
      <x:c r="G32" s="93" t="inlineStr">
        <x:is>
          <x:t xml:space="preserve">pass</x:t>
        </x:is>
      </x:c>
      <x:c r="H32" s="93" t="inlineStr">
        <x:is>
          <x:t xml:space="preserve">covered</x:t>
        </x:is>
      </x:c>
      <x:c r="I32" s="94" t="inlineStr">
        <x:is>
          <x:t xml:space="preserve">Select playground manual verification.</x:t>
        </x:is>
      </x:c>
      <x:c r="J32" s="94" t="n"/>
      <x:c r="K32" s="95" t="n">
        <x:f>IF(AND(E32="yes",F32="yes",H32="covered"),1,IF(H32="partial",0.5,0))</x:f>
        <x:v>1</x:v>
      </x:c>
    </x:row>
    <x:row r="33" s="51" customFormat="1" ht="15" customHeight="1">
      <x:c r="A33" s="93" t="n">
        <x:v>25</x:v>
      </x:c>
      <x:c r="B33" s="94" t="inlineStr">
        <x:is>
          <x:t xml:space="preserve">Public API</x:t>
        </x:is>
      </x:c>
      <x:c r="C33" s="94" t="inlineStr">
        <x:is>
          <x:t xml:space="preserve">Trigger</x:t>
        </x:is>
      </x:c>
      <x:c r="D33" s="94" t="inlineStr">
        <x:is>
          <x:t xml:space="preserve">aria-haspopup listbox</x:t>
        </x:is>
      </x:c>
      <x:c r="E33" s="93" t="inlineStr">
        <x:is>
          <x:t xml:space="preserve">yes</x:t>
        </x:is>
      </x:c>
      <x:c r="F33" s="93" t="inlineStr">
        <x:is>
          <x:t xml:space="preserve">yes</x:t>
        </x:is>
      </x:c>
      <x:c r="G33" s="93" t="inlineStr">
        <x:is>
          <x:t xml:space="preserve">pass</x:t>
        </x:is>
      </x:c>
      <x:c r="H33" s="93" t="inlineStr">
        <x:is>
          <x:t xml:space="preserve">covered</x:t>
        </x:is>
      </x:c>
      <x:c r="I33" s="94" t="inlineStr">
        <x:is>
          <x:t xml:space="preserve">Select playground manual verification.</x:t>
        </x:is>
      </x:c>
      <x:c r="J33" s="94" t="n"/>
      <x:c r="K33" s="95" t="n">
        <x:f>IF(AND(E33="yes",F33="yes",H33="covered"),1,IF(H33="partial",0.5,0))</x:f>
        <x:v>1</x:v>
      </x:c>
    </x:row>
    <x:row r="34" s="51" customFormat="1" ht="15" customHeight="1">
      <x:c r="A34" s="93" t="n">
        <x:v>26</x:v>
      </x:c>
      <x:c r="B34" s="94" t="inlineStr">
        <x:is>
          <x:t xml:space="preserve">Public API</x:t>
        </x:is>
      </x:c>
      <x:c r="C34" s="94" t="inlineStr">
        <x:is>
          <x:t xml:space="preserve">Trigger</x:t>
        </x:is>
      </x:c>
      <x:c r="D34" s="94" t="inlineStr">
        <x:is>
          <x:t xml:space="preserve">aria-controls matches listbox id</x:t>
        </x:is>
      </x:c>
      <x:c r="E34" s="93" t="inlineStr">
        <x:is>
          <x:t xml:space="preserve">yes</x:t>
        </x:is>
      </x:c>
      <x:c r="F34" s="93" t="inlineStr">
        <x:is>
          <x:t xml:space="preserve">yes</x:t>
        </x:is>
      </x:c>
      <x:c r="G34" s="93" t="inlineStr">
        <x:is>
          <x:t xml:space="preserve">pass</x:t>
        </x:is>
      </x:c>
      <x:c r="H34" s="93" t="inlineStr">
        <x:is>
          <x:t xml:space="preserve">covered</x:t>
        </x:is>
      </x:c>
      <x:c r="I34" s="94" t="inlineStr">
        <x:is>
          <x:t xml:space="preserve">Select playground manual verification.</x:t>
        </x:is>
      </x:c>
      <x:c r="J34" s="94" t="n"/>
      <x:c r="K34" s="95" t="n">
        <x:f>IF(AND(E34="yes",F34="yes",H34="covered"),1,IF(H34="partial",0.5,0))</x:f>
        <x:v>1</x:v>
      </x:c>
    </x:row>
    <x:row r="35" s="51" customFormat="1" ht="15" customHeight="1">
      <x:c r="A35" s="93" t="n">
        <x:v>27</x:v>
      </x:c>
      <x:c r="B35" s="94" t="inlineStr">
        <x:is>
          <x:t xml:space="preserve">Public API</x:t>
        </x:is>
      </x:c>
      <x:c r="C35" s="94" t="inlineStr">
        <x:is>
          <x:t xml:space="preserve">Trigger</x:t>
        </x:is>
      </x:c>
      <x:c r="D35" s="94" t="inlineStr">
        <x:is>
          <x:t xml:space="preserve">aria-activedescendant tracks highlight</x:t>
        </x:is>
      </x:c>
      <x:c r="E35" s="93" t="inlineStr">
        <x:is>
          <x:t xml:space="preserve">yes</x:t>
        </x:is>
      </x:c>
      <x:c r="F35" s="93" t="inlineStr">
        <x:is>
          <x:t xml:space="preserve">yes</x:t>
        </x:is>
      </x:c>
      <x:c r="G35" s="93" t="inlineStr">
        <x:is>
          <x:t xml:space="preserve">pass</x:t>
        </x:is>
      </x:c>
      <x:c r="H35" s="93" t="inlineStr">
        <x:is>
          <x:t xml:space="preserve">covered</x:t>
        </x:is>
      </x:c>
      <x:c r="I35" s="94" t="inlineStr">
        <x:is>
          <x:t xml:space="preserve">Select playground manual verification.</x:t>
        </x:is>
      </x:c>
      <x:c r="J35" s="94" t="n"/>
      <x:c r="K35" s="95" t="n">
        <x:f>IF(AND(E35="yes",F35="yes",H35="covered"),1,IF(H35="partial",0.5,0))</x:f>
        <x:v>1</x:v>
      </x:c>
    </x:row>
    <x:row r="36" s="51" customFormat="1" ht="15" customHeight="1">
      <x:c r="A36" s="93" t="n">
        <x:v>28</x:v>
      </x:c>
      <x:c r="B36" s="94" t="inlineStr">
        <x:is>
          <x:t xml:space="preserve">Public API</x:t>
        </x:is>
      </x:c>
      <x:c r="C36" s="94" t="inlineStr">
        <x:is>
          <x:t xml:space="preserve">Trigger</x:t>
        </x:is>
      </x:c>
      <x:c r="D36" s="94" t="inlineStr">
        <x:is>
          <x:t xml:space="preserve">aria-disabled / disabled attribute</x:t>
        </x:is>
      </x:c>
      <x:c r="E36" s="93" t="inlineStr">
        <x:is>
          <x:t xml:space="preserve">yes</x:t>
        </x:is>
      </x:c>
      <x:c r="F36" s="93" t="inlineStr">
        <x:is>
          <x:t xml:space="preserve">yes</x:t>
        </x:is>
      </x:c>
      <x:c r="G36" s="93" t="inlineStr">
        <x:is>
          <x:t xml:space="preserve">pass</x:t>
        </x:is>
      </x:c>
      <x:c r="H36" s="93" t="inlineStr">
        <x:is>
          <x:t xml:space="preserve">covered</x:t>
        </x:is>
      </x:c>
      <x:c r="I36" s="94" t="inlineStr">
        <x:is>
          <x:t xml:space="preserve">Select playground manual verification.</x:t>
        </x:is>
      </x:c>
      <x:c r="J36" s="94" t="n"/>
      <x:c r="K36" s="95" t="n">
        <x:f>IF(AND(E36="yes",F36="yes",H36="covered"),1,IF(H36="partial",0.5,0))</x:f>
        <x:v>1</x:v>
      </x:c>
    </x:row>
    <x:row r="37" s="51" customFormat="1" ht="15" customHeight="1">
      <x:c r="A37" s="93" t="n">
        <x:v>29</x:v>
      </x:c>
      <x:c r="B37" s="94" t="inlineStr">
        <x:is>
          <x:t xml:space="preserve">Public API</x:t>
        </x:is>
      </x:c>
      <x:c r="C37" s="94" t="inlineStr">
        <x:is>
          <x:t xml:space="preserve">Trigger</x:t>
        </x:is>
      </x:c>
      <x:c r="D37" s="94" t="inlineStr">
        <x:is>
          <x:t xml:space="preserve">data-state</x:t>
        </x:is>
      </x:c>
      <x:c r="E37" s="93" t="inlineStr">
        <x:is>
          <x:t xml:space="preserve">yes</x:t>
        </x:is>
      </x:c>
      <x:c r="F37" s="93" t="inlineStr">
        <x:is>
          <x:t xml:space="preserve">yes</x:t>
        </x:is>
      </x:c>
      <x:c r="G37" s="93" t="inlineStr">
        <x:is>
          <x:t xml:space="preserve">pass</x:t>
        </x:is>
      </x:c>
      <x:c r="H37" s="93" t="inlineStr">
        <x:is>
          <x:t xml:space="preserve">covered</x:t>
        </x:is>
      </x:c>
      <x:c r="I37" s="94" t="inlineStr">
        <x:is>
          <x:t xml:space="preserve">Select playground manual verification.</x:t>
        </x:is>
      </x:c>
      <x:c r="J37" s="94" t="n"/>
      <x:c r="K37" s="95" t="n">
        <x:f>IF(AND(E37="yes",F37="yes",H37="covered"),1,IF(H37="partial",0.5,0))</x:f>
        <x:v>1</x:v>
      </x:c>
    </x:row>
    <x:row r="38" s="51" customFormat="1" ht="15" customHeight="1">
      <x:c r="A38" s="93" t="n">
        <x:v>30</x:v>
      </x:c>
      <x:c r="B38" s="94" t="inlineStr">
        <x:is>
          <x:t xml:space="preserve">Public API</x:t>
        </x:is>
      </x:c>
      <x:c r="C38" s="94" t="inlineStr">
        <x:is>
          <x:t xml:space="preserve">Trigger</x:t>
        </x:is>
      </x:c>
      <x:c r="D38" s="94" t="inlineStr">
        <x:is>
          <x:t xml:space="preserve">data-disabled</x:t>
        </x:is>
      </x:c>
      <x:c r="E38" s="93" t="inlineStr">
        <x:is>
          <x:t xml:space="preserve">yes</x:t>
        </x:is>
      </x:c>
      <x:c r="F38" s="93" t="inlineStr">
        <x:is>
          <x:t xml:space="preserve">yes</x:t>
        </x:is>
      </x:c>
      <x:c r="G38" s="93" t="inlineStr">
        <x:is>
          <x:t xml:space="preserve">pass</x:t>
        </x:is>
      </x:c>
      <x:c r="H38" s="93" t="inlineStr">
        <x:is>
          <x:t xml:space="preserve">covered</x:t>
        </x:is>
      </x:c>
      <x:c r="I38" s="94" t="inlineStr">
        <x:is>
          <x:t xml:space="preserve">Select playground manual verification.</x:t>
        </x:is>
      </x:c>
      <x:c r="J38" s="94" t="n"/>
      <x:c r="K38" s="95" t="n">
        <x:f>IF(AND(E38="yes",F38="yes",H38="covered"),1,IF(H38="partial",0.5,0))</x:f>
        <x:v>1</x:v>
      </x:c>
    </x:row>
    <x:row r="39" s="51" customFormat="1" ht="15" customHeight="1">
      <x:c r="A39" s="93" t="n">
        <x:v>31</x:v>
      </x:c>
      <x:c r="B39" s="94" t="inlineStr">
        <x:is>
          <x:t xml:space="preserve">Composition</x:t>
        </x:is>
      </x:c>
      <x:c r="C39" s="94" t="inlineStr">
        <x:is>
          <x:t xml:space="preserve">Trigger</x:t>
        </x:is>
      </x:c>
      <x:c r="D39" s="94" t="inlineStr">
        <x:is>
          <x:t xml:space="preserve">asChild</x:t>
        </x:is>
      </x:c>
      <x:c r="E39" s="93" t="inlineStr">
        <x:is>
          <x:t xml:space="preserve">yes</x:t>
        </x:is>
      </x:c>
      <x:c r="F39" s="93" t="inlineStr">
        <x:is>
          <x:t xml:space="preserve">yes</x:t>
        </x:is>
      </x:c>
      <x:c r="G39" s="93" t="inlineStr">
        <x:is>
          <x:t xml:space="preserve">pass</x:t>
        </x:is>
      </x:c>
      <x:c r="H39" s="93" t="inlineStr">
        <x:is>
          <x:t xml:space="preserve">covered</x:t>
        </x:is>
      </x:c>
      <x:c r="I39" s="94" t="inlineStr">
        <x:is>
          <x:t xml:space="preserve">Select playground manual verification.</x:t>
        </x:is>
      </x:c>
      <x:c r="J39" s="94" t="n"/>
      <x:c r="K39" s="95" t="n">
        <x:f>IF(AND(E39="yes",F39="yes",H39="covered"),1,IF(H39="partial",0.5,0))</x:f>
        <x:v>1</x:v>
      </x:c>
    </x:row>
    <x:row r="40" s="51" customFormat="1" ht="15" customHeight="1">
      <x:c r="A40" s="93" t="n">
        <x:v>32</x:v>
      </x:c>
      <x:c r="B40" s="94" t="inlineStr">
        <x:is>
          <x:t xml:space="preserve">Composition</x:t>
        </x:is>
      </x:c>
      <x:c r="C40" s="94" t="inlineStr">
        <x:is>
          <x:t xml:space="preserve">Trigger</x:t>
        </x:is>
      </x:c>
      <x:c r="D40" s="94" t="inlineStr">
        <x:is>
          <x:t xml:space="preserve">render prop</x:t>
        </x:is>
      </x:c>
      <x:c r="E40" s="93" t="inlineStr">
        <x:is>
          <x:t xml:space="preserve">yes</x:t>
        </x:is>
      </x:c>
      <x:c r="F40" s="93" t="inlineStr">
        <x:is>
          <x:t xml:space="preserve">yes</x:t>
        </x:is>
      </x:c>
      <x:c r="G40" s="93" t="inlineStr">
        <x:is>
          <x:t xml:space="preserve">pass</x:t>
        </x:is>
      </x:c>
      <x:c r="H40" s="93" t="inlineStr">
        <x:is>
          <x:t xml:space="preserve">covered</x:t>
        </x:is>
      </x:c>
      <x:c r="I40" s="94" t="inlineStr">
        <x:is>
          <x:t xml:space="preserve">Select playground manual verification.</x:t>
        </x:is>
      </x:c>
      <x:c r="J40" s="94" t="n"/>
      <x:c r="K40" s="95" t="n">
        <x:f>IF(AND(E40="yes",F40="yes",H40="covered"),1,IF(H40="partial",0.5,0))</x:f>
        <x:v>1</x:v>
      </x:c>
    </x:row>
    <x:row r="41" s="51" customFormat="1" ht="15" customHeight="1">
      <x:c r="A41" s="93" t="n">
        <x:v>33</x:v>
      </x:c>
      <x:c r="B41" s="94" t="inlineStr">
        <x:is>
          <x:t xml:space="preserve">Composition</x:t>
        </x:is>
      </x:c>
      <x:c r="C41" s="94" t="inlineStr">
        <x:is>
          <x:t xml:space="preserve">Trigger</x:t>
        </x:is>
      </x:c>
      <x:c r="D41" s="94" t="inlineStr">
        <x:is>
          <x:t xml:space="preserve">merged onClick</x:t>
        </x:is>
      </x:c>
      <x:c r="E41" s="93" t="inlineStr">
        <x:is>
          <x:t xml:space="preserve">yes</x:t>
        </x:is>
      </x:c>
      <x:c r="F41" s="93" t="inlineStr">
        <x:is>
          <x:t xml:space="preserve">yes</x:t>
        </x:is>
      </x:c>
      <x:c r="G41" s="93" t="inlineStr">
        <x:is>
          <x:t xml:space="preserve">pass</x:t>
        </x:is>
      </x:c>
      <x:c r="H41" s="93" t="inlineStr">
        <x:is>
          <x:t xml:space="preserve">covered</x:t>
        </x:is>
      </x:c>
      <x:c r="I41" s="94" t="inlineStr">
        <x:is>
          <x:t xml:space="preserve">Select playground manual verification.</x:t>
        </x:is>
      </x:c>
      <x:c r="J41" s="94" t="n"/>
      <x:c r="K41" s="95" t="n">
        <x:f>IF(AND(E41="yes",F41="yes",H41="covered"),1,IF(H41="partial",0.5,0))</x:f>
        <x:v>1</x:v>
      </x:c>
    </x:row>
    <x:row r="42" s="51" customFormat="1" ht="45" customHeight="1">
      <x:c r="A42" s="93" t="n">
        <x:v>34</x:v>
      </x:c>
      <x:c r="B42" s="94" t="inlineStr">
        <x:is>
          <x:t xml:space="preserve">Composition</x:t>
        </x:is>
      </x:c>
      <x:c r="C42" s="94" t="inlineStr">
        <x:is>
          <x:t xml:space="preserve">Trigger</x:t>
        </x:is>
      </x:c>
      <x:c r="D42" s="94" t="inlineStr">
        <x:is>
          <x:t xml:space="preserve">merged onKeyDown</x:t>
        </x:is>
      </x:c>
      <x:c r="E42" s="93" t="inlineStr">
        <x:is>
          <x:t xml:space="preserve">yes</x:t>
        </x:is>
      </x:c>
      <x:c r="F42" s="93" t="inlineStr">
        <x:is>
          <x:t xml:space="preserve">yes</x:t>
        </x:is>
      </x:c>
      <x:c r="G42" s="93" t="inlineStr">
        <x:is>
          <x:t xml:space="preserve">pass</x:t>
        </x:is>
      </x:c>
      <x:c r="H42" s="93" t="inlineStr">
        <x:is>
          <x:t xml:space="preserve">covered</x:t>
        </x:is>
      </x:c>
      <x:c r="I42" s="94" t="inlineStr">
        <x:is>
          <x:t xml:space="preserve">Select playground manual verification.</x:t>
        </x:is>
      </x:c>
      <x:c r="J42" s="94" t="n"/>
      <x:c r="K42" s="95" t="n">
        <x:f>IF(AND(E42="yes",F42="yes",H42="covered"),1,IF(H42="partial",0.5,0))</x:f>
        <x:v>1</x:v>
      </x:c>
    </x:row>
    <x:row r="43" s="51" customFormat="1" ht="15" customHeight="1">
      <x:c r="A43" s="93" t="n">
        <x:v>35</x:v>
      </x:c>
      <x:c r="B43" s="94" t="inlineStr">
        <x:is>
          <x:t xml:space="preserve">Refs</x:t>
        </x:is>
      </x:c>
      <x:c r="C43" s="94" t="inlineStr">
        <x:is>
          <x:t xml:space="preserve">Trigger</x:t>
        </x:is>
      </x:c>
      <x:c r="D43" s="94" t="inlineStr">
        <x:is>
          <x:t xml:space="preserve">ref receives element</x:t>
        </x:is>
      </x:c>
      <x:c r="E43" s="93" t="inlineStr">
        <x:is>
          <x:t xml:space="preserve">yes</x:t>
        </x:is>
      </x:c>
      <x:c r="F43" s="93" t="inlineStr">
        <x:is>
          <x:t xml:space="preserve">yes</x:t>
        </x:is>
      </x:c>
      <x:c r="G43" s="93" t="inlineStr">
        <x:is>
          <x:t xml:space="preserve">pass</x:t>
        </x:is>
      </x:c>
      <x:c r="H43" s="93" t="inlineStr">
        <x:is>
          <x:t xml:space="preserve">covered</x:t>
        </x:is>
      </x:c>
      <x:c r="I43" s="94" t="inlineStr">
        <x:is>
          <x:t xml:space="preserve">Select playground manual verification.</x:t>
        </x:is>
      </x:c>
      <x:c r="J43" s="94" t="n"/>
      <x:c r="K43" s="95" t="n">
        <x:f>IF(AND(E43="yes",F43="yes",H43="covered"),1,IF(H43="partial",0.5,0))</x:f>
        <x:v>1</x:v>
      </x:c>
    </x:row>
    <x:row r="44" s="51" customFormat="1" ht="15" customHeight="1">
      <x:c r="A44" s="93" t="n">
        <x:v>36</x:v>
      </x:c>
      <x:c r="B44" s="94" t="inlineStr">
        <x:is>
          <x:t xml:space="preserve">Props</x:t>
        </x:is>
      </x:c>
      <x:c r="C44" s="94" t="inlineStr">
        <x:is>
          <x:t xml:space="preserve">Trigger</x:t>
        </x:is>
      </x:c>
      <x:c r="D44" s="94" t="inlineStr">
        <x:is>
          <x:t xml:space="preserve">native button props passthrough</x:t>
        </x:is>
      </x:c>
      <x:c r="E44" s="93" t="inlineStr">
        <x:is>
          <x:t xml:space="preserve">yes</x:t>
        </x:is>
      </x:c>
      <x:c r="F44" s="93" t="inlineStr">
        <x:is>
          <x:t xml:space="preserve">yes</x:t>
        </x:is>
      </x:c>
      <x:c r="G44" s="93" t="inlineStr">
        <x:is>
          <x:t xml:space="preserve">pass</x:t>
        </x:is>
      </x:c>
      <x:c r="H44" s="93" t="inlineStr">
        <x:is>
          <x:t xml:space="preserve">covered</x:t>
        </x:is>
      </x:c>
      <x:c r="I44" s="94" t="inlineStr">
        <x:is>
          <x:t xml:space="preserve">Select playground manual verification.</x:t>
        </x:is>
      </x:c>
      <x:c r="J44" s="94" t="n"/>
      <x:c r="K44" s="95" t="n">
        <x:f>IF(AND(E44="yes",F44="yes",H44="covered"),1,IF(H44="partial",0.5,0))</x:f>
        <x:v>1</x:v>
      </x:c>
    </x:row>
    <x:row r="45" s="51" customFormat="1" ht="15" customHeight="1">
      <x:c r="A45" s="93" t="n">
        <x:v>37</x:v>
      </x:c>
      <x:c r="B45" s="94" t="inlineStr">
        <x:is>
          <x:t xml:space="preserve">Styling hooks</x:t>
        </x:is>
      </x:c>
      <x:c r="C45" s="94" t="inlineStr">
        <x:is>
          <x:t xml:space="preserve">Trigger</x:t>
        </x:is>
      </x:c>
      <x:c r="D45" s="94" t="inlineStr">
        <x:is>
          <x:t xml:space="preserve">className passthrough</x:t>
        </x:is>
      </x:c>
      <x:c r="E45" s="93" t="inlineStr">
        <x:is>
          <x:t xml:space="preserve">yes</x:t>
        </x:is>
      </x:c>
      <x:c r="F45" s="93" t="inlineStr">
        <x:is>
          <x:t xml:space="preserve">yes</x:t>
        </x:is>
      </x:c>
      <x:c r="G45" s="93" t="inlineStr">
        <x:is>
          <x:t xml:space="preserve">pass</x:t>
        </x:is>
      </x:c>
      <x:c r="H45" s="93" t="inlineStr">
        <x:is>
          <x:t xml:space="preserve">covered</x:t>
        </x:is>
      </x:c>
      <x:c r="I45" s="94" t="inlineStr">
        <x:is>
          <x:t xml:space="preserve">Select playground manual verification.</x:t>
        </x:is>
      </x:c>
      <x:c r="J45" s="94" t="n"/>
      <x:c r="K45" s="95" t="n">
        <x:f>IF(AND(E45="yes",F45="yes",H45="covered"),1,IF(H45="partial",0.5,0))</x:f>
        <x:v>1</x:v>
      </x:c>
    </x:row>
    <x:row r="46" s="51" customFormat="1" ht="15" customHeight="1">
      <x:c r="A46" s="93" t="n">
        <x:v>38</x:v>
      </x:c>
      <x:c r="B46" s="94" t="inlineStr">
        <x:is>
          <x:t xml:space="preserve">Styling hooks</x:t>
        </x:is>
      </x:c>
      <x:c r="C46" s="94" t="inlineStr">
        <x:is>
          <x:t xml:space="preserve">Trigger</x:t>
        </x:is>
      </x:c>
      <x:c r="D46" s="94" t="inlineStr">
        <x:is>
          <x:t xml:space="preserve">data-slot override</x:t>
        </x:is>
      </x:c>
      <x:c r="E46" s="93" t="inlineStr">
        <x:is>
          <x:t xml:space="preserve">yes</x:t>
        </x:is>
      </x:c>
      <x:c r="F46" s="93" t="inlineStr">
        <x:is>
          <x:t xml:space="preserve">yes</x:t>
        </x:is>
      </x:c>
      <x:c r="G46" s="93" t="inlineStr">
        <x:is>
          <x:t xml:space="preserve">pass</x:t>
        </x:is>
      </x:c>
      <x:c r="H46" s="93" t="inlineStr">
        <x:is>
          <x:t xml:space="preserve">covered</x:t>
        </x:is>
      </x:c>
      <x:c r="I46" s="94" t="inlineStr">
        <x:is>
          <x:t xml:space="preserve">Select playground manual verification.</x:t>
        </x:is>
      </x:c>
      <x:c r="J46" s="94" t="n"/>
      <x:c r="K46" s="95" t="n">
        <x:f>IF(AND(E46="yes",F46="yes",H46="covered"),1,IF(H46="partial",0.5,0))</x:f>
        <x:v>1</x:v>
      </x:c>
    </x:row>
    <x:row r="47" s="51" customFormat="1" ht="15" customHeight="1">
      <x:c r="A47" s="93" t="n">
        <x:v>39</x:v>
      </x:c>
      <x:c r="B47" s="94" t="inlineStr">
        <x:is>
          <x:t xml:space="preserve">Keyboard</x:t>
        </x:is>
      </x:c>
      <x:c r="C47" s="94" t="inlineStr">
        <x:is>
          <x:t xml:space="preserve">Trigger</x:t>
        </x:is>
      </x:c>
      <x:c r="D47" s="94" t="inlineStr">
        <x:is>
          <x:t xml:space="preserve">ArrowDown opens and highlights first enabled item</x:t>
        </x:is>
      </x:c>
      <x:c r="E47" s="93" t="inlineStr">
        <x:is>
          <x:t xml:space="preserve">yes</x:t>
        </x:is>
      </x:c>
      <x:c r="F47" s="93" t="inlineStr">
        <x:is>
          <x:t xml:space="preserve">yes</x:t>
        </x:is>
      </x:c>
      <x:c r="G47" s="93" t="inlineStr">
        <x:is>
          <x:t xml:space="preserve">pass</x:t>
        </x:is>
      </x:c>
      <x:c r="H47" s="93" t="inlineStr">
        <x:is>
          <x:t xml:space="preserve">covered</x:t>
        </x:is>
      </x:c>
      <x:c r="I47" s="94" t="inlineStr">
        <x:is>
          <x:t xml:space="preserve">Select playground manual verification.</x:t>
        </x:is>
      </x:c>
      <x:c r="J47" s="94" t="n"/>
      <x:c r="K47" s="95" t="n">
        <x:f>IF(AND(E47="yes",F47="yes",H47="covered"),1,IF(H47="partial",0.5,0))</x:f>
        <x:v>1</x:v>
      </x:c>
    </x:row>
    <x:row r="48" s="51" customFormat="1" ht="15" customHeight="1">
      <x:c r="A48" s="93" t="n">
        <x:v>40</x:v>
      </x:c>
      <x:c r="B48" s="94" t="inlineStr">
        <x:is>
          <x:t xml:space="preserve">Keyboard</x:t>
        </x:is>
      </x:c>
      <x:c r="C48" s="94" t="inlineStr">
        <x:is>
          <x:t xml:space="preserve">Trigger</x:t>
        </x:is>
      </x:c>
      <x:c r="D48" s="94" t="inlineStr">
        <x:is>
          <x:t xml:space="preserve">ArrowUp opens and highlights last enabled item</x:t>
        </x:is>
      </x:c>
      <x:c r="E48" s="93" t="inlineStr">
        <x:is>
          <x:t xml:space="preserve">yes</x:t>
        </x:is>
      </x:c>
      <x:c r="F48" s="93" t="inlineStr">
        <x:is>
          <x:t xml:space="preserve">yes</x:t>
        </x:is>
      </x:c>
      <x:c r="G48" s="93" t="inlineStr">
        <x:is>
          <x:t xml:space="preserve">pass</x:t>
        </x:is>
      </x:c>
      <x:c r="H48" s="93" t="inlineStr">
        <x:is>
          <x:t xml:space="preserve">covered</x:t>
        </x:is>
      </x:c>
      <x:c r="I48" s="94" t="inlineStr">
        <x:is>
          <x:t xml:space="preserve">Select playground manual verification.</x:t>
        </x:is>
      </x:c>
      <x:c r="J48" s="94" t="n"/>
      <x:c r="K48" s="95" t="n">
        <x:f>IF(AND(E48="yes",F48="yes",H48="covered"),1,IF(H48="partial",0.5,0))</x:f>
        <x:v>1</x:v>
      </x:c>
    </x:row>
    <x:row r="49" s="51" customFormat="1" ht="15" customHeight="1">
      <x:c r="A49" s="93" t="n">
        <x:v>41</x:v>
      </x:c>
      <x:c r="B49" s="94" t="inlineStr">
        <x:is>
          <x:t xml:space="preserve">Keyboard</x:t>
        </x:is>
      </x:c>
      <x:c r="C49" s="94" t="inlineStr">
        <x:is>
          <x:t xml:space="preserve">Trigger</x:t>
        </x:is>
      </x:c>
      <x:c r="D49" s="94" t="inlineStr">
        <x:is>
          <x:t xml:space="preserve">ArrowDown moves to next enabled item</x:t>
        </x:is>
      </x:c>
      <x:c r="E49" s="93" t="inlineStr">
        <x:is>
          <x:t xml:space="preserve">yes</x:t>
        </x:is>
      </x:c>
      <x:c r="F49" s="93" t="inlineStr">
        <x:is>
          <x:t xml:space="preserve">yes</x:t>
        </x:is>
      </x:c>
      <x:c r="G49" s="93" t="inlineStr">
        <x:is>
          <x:t xml:space="preserve">pass</x:t>
        </x:is>
      </x:c>
      <x:c r="H49" s="93" t="inlineStr">
        <x:is>
          <x:t xml:space="preserve">covered</x:t>
        </x:is>
      </x:c>
      <x:c r="I49" s="94" t="inlineStr">
        <x:is>
          <x:t xml:space="preserve">Select playground manual verification.</x:t>
        </x:is>
      </x:c>
      <x:c r="J49" s="94" t="n"/>
      <x:c r="K49" s="95" t="n">
        <x:f>IF(AND(E49="yes",F49="yes",H49="covered"),1,IF(H49="partial",0.5,0))</x:f>
        <x:v>1</x:v>
      </x:c>
    </x:row>
    <x:row r="50" s="51" customFormat="1" ht="15" customHeight="1">
      <x:c r="A50" s="93" t="n">
        <x:v>42</x:v>
      </x:c>
      <x:c r="B50" s="94" t="inlineStr">
        <x:is>
          <x:t xml:space="preserve">Keyboard</x:t>
        </x:is>
      </x:c>
      <x:c r="C50" s="94" t="inlineStr">
        <x:is>
          <x:t xml:space="preserve">Trigger</x:t>
        </x:is>
      </x:c>
      <x:c r="D50" s="94" t="inlineStr">
        <x:is>
          <x:t xml:space="preserve">ArrowUp moves to previous enabled item</x:t>
        </x:is>
      </x:c>
      <x:c r="E50" s="93" t="inlineStr">
        <x:is>
          <x:t xml:space="preserve">yes</x:t>
        </x:is>
      </x:c>
      <x:c r="F50" s="93" t="inlineStr">
        <x:is>
          <x:t xml:space="preserve">yes</x:t>
        </x:is>
      </x:c>
      <x:c r="G50" s="93" t="inlineStr">
        <x:is>
          <x:t xml:space="preserve">pass</x:t>
        </x:is>
      </x:c>
      <x:c r="H50" s="93" t="inlineStr">
        <x:is>
          <x:t xml:space="preserve">covered</x:t>
        </x:is>
      </x:c>
      <x:c r="I50" s="94" t="inlineStr">
        <x:is>
          <x:t xml:space="preserve">Select playground manual verification.</x:t>
        </x:is>
      </x:c>
      <x:c r="J50" s="94" t="n"/>
      <x:c r="K50" s="95" t="n">
        <x:f>IF(AND(E50="yes",F50="yes",H50="covered"),1,IF(H50="partial",0.5,0))</x:f>
        <x:v>1</x:v>
      </x:c>
    </x:row>
    <x:row r="51" s="51" customFormat="1" ht="15" customHeight="1">
      <x:c r="A51" s="93" t="n">
        <x:v>43</x:v>
      </x:c>
      <x:c r="B51" s="94" t="inlineStr">
        <x:is>
          <x:t xml:space="preserve">Keyboard</x:t>
        </x:is>
      </x:c>
      <x:c r="C51" s="94" t="inlineStr">
        <x:is>
          <x:t xml:space="preserve">Trigger</x:t>
        </x:is>
      </x:c>
      <x:c r="D51" s="94" t="inlineStr">
        <x:is>
          <x:t xml:space="preserve">arrow navigation wraps</x:t>
        </x:is>
      </x:c>
      <x:c r="E51" s="93" t="inlineStr">
        <x:is>
          <x:t xml:space="preserve">yes</x:t>
        </x:is>
      </x:c>
      <x:c r="F51" s="93" t="inlineStr">
        <x:is>
          <x:t xml:space="preserve">yes</x:t>
        </x:is>
      </x:c>
      <x:c r="G51" s="93" t="inlineStr">
        <x:is>
          <x:t xml:space="preserve">pass</x:t>
        </x:is>
      </x:c>
      <x:c r="H51" s="93" t="inlineStr">
        <x:is>
          <x:t xml:space="preserve">covered</x:t>
        </x:is>
      </x:c>
      <x:c r="I51" s="94" t="inlineStr">
        <x:is>
          <x:t xml:space="preserve">Select playground manual verification.</x:t>
        </x:is>
      </x:c>
      <x:c r="J51" s="94" t="n"/>
      <x:c r="K51" s="95" t="n">
        <x:f>IF(AND(E51="yes",F51="yes",H51="covered"),1,IF(H51="partial",0.5,0))</x:f>
        <x:v>1</x:v>
      </x:c>
    </x:row>
    <x:row r="52" s="51" customFormat="1" ht="15" customHeight="1">
      <x:c r="A52" s="93" t="n">
        <x:v>44</x:v>
      </x:c>
      <x:c r="B52" s="94" t="inlineStr">
        <x:is>
          <x:t xml:space="preserve">Keyboard</x:t>
        </x:is>
      </x:c>
      <x:c r="C52" s="94" t="inlineStr">
        <x:is>
          <x:t xml:space="preserve">Trigger</x:t>
        </x:is>
      </x:c>
      <x:c r="D52" s="94" t="inlineStr">
        <x:is>
          <x:t xml:space="preserve">disabled items are skipped</x:t>
        </x:is>
      </x:c>
      <x:c r="E52" s="93" t="inlineStr">
        <x:is>
          <x:t xml:space="preserve">yes</x:t>
        </x:is>
      </x:c>
      <x:c r="F52" s="93" t="inlineStr">
        <x:is>
          <x:t xml:space="preserve">yes</x:t>
        </x:is>
      </x:c>
      <x:c r="G52" s="93" t="inlineStr">
        <x:is>
          <x:t xml:space="preserve">pass</x:t>
        </x:is>
      </x:c>
      <x:c r="H52" s="93" t="inlineStr">
        <x:is>
          <x:t xml:space="preserve">covered</x:t>
        </x:is>
      </x:c>
      <x:c r="I52" s="94" t="inlineStr">
        <x:is>
          <x:t xml:space="preserve">Select playground manual verification.</x:t>
        </x:is>
      </x:c>
      <x:c r="J52" s="94" t="n"/>
      <x:c r="K52" s="95" t="n">
        <x:f>IF(AND(E52="yes",F52="yes",H52="covered"),1,IF(H52="partial",0.5,0))</x:f>
        <x:v>1</x:v>
      </x:c>
    </x:row>
    <x:row r="53" s="51" customFormat="1" ht="15" customHeight="1">
      <x:c r="A53" s="93" t="n">
        <x:v>45</x:v>
      </x:c>
      <x:c r="B53" s="94" t="inlineStr">
        <x:is>
          <x:t xml:space="preserve">Keyboard</x:t>
        </x:is>
      </x:c>
      <x:c r="C53" s="94" t="inlineStr">
        <x:is>
          <x:t xml:space="preserve">Trigger</x:t>
        </x:is>
      </x:c>
      <x:c r="D53" s="94" t="inlineStr">
        <x:is>
          <x:t xml:space="preserve">Enter opens when closed</x:t>
        </x:is>
      </x:c>
      <x:c r="E53" s="93" t="inlineStr">
        <x:is>
          <x:t xml:space="preserve">yes</x:t>
        </x:is>
      </x:c>
      <x:c r="F53" s="93" t="inlineStr">
        <x:is>
          <x:t xml:space="preserve">yes</x:t>
        </x:is>
      </x:c>
      <x:c r="G53" s="93" t="inlineStr">
        <x:is>
          <x:t xml:space="preserve">pass</x:t>
        </x:is>
      </x:c>
      <x:c r="H53" s="93" t="inlineStr">
        <x:is>
          <x:t xml:space="preserve">covered</x:t>
        </x:is>
      </x:c>
      <x:c r="I53" s="94" t="inlineStr">
        <x:is>
          <x:t xml:space="preserve">Select playground manual verification.</x:t>
        </x:is>
      </x:c>
      <x:c r="J53" s="94" t="n"/>
      <x:c r="K53" s="95" t="n">
        <x:f>IF(AND(E53="yes",F53="yes",H53="covered"),1,IF(H53="partial",0.5,0))</x:f>
        <x:v>1</x:v>
      </x:c>
    </x:row>
    <x:row r="54" s="51" customFormat="1" ht="15" customHeight="1">
      <x:c r="A54" s="93" t="n">
        <x:v>46</x:v>
      </x:c>
      <x:c r="B54" s="94" t="inlineStr">
        <x:is>
          <x:t xml:space="preserve">Keyboard</x:t>
        </x:is>
      </x:c>
      <x:c r="C54" s="94" t="inlineStr">
        <x:is>
          <x:t xml:space="preserve">Trigger</x:t>
        </x:is>
      </x:c>
      <x:c r="D54" s="94" t="inlineStr">
        <x:is>
          <x:t xml:space="preserve">Enter selects highlighted item when open</x:t>
        </x:is>
      </x:c>
      <x:c r="E54" s="93" t="inlineStr">
        <x:is>
          <x:t xml:space="preserve">yes</x:t>
        </x:is>
      </x:c>
      <x:c r="F54" s="93" t="inlineStr">
        <x:is>
          <x:t xml:space="preserve">yes</x:t>
        </x:is>
      </x:c>
      <x:c r="G54" s="93" t="inlineStr">
        <x:is>
          <x:t xml:space="preserve">pass</x:t>
        </x:is>
      </x:c>
      <x:c r="H54" s="93" t="inlineStr">
        <x:is>
          <x:t xml:space="preserve">covered</x:t>
        </x:is>
      </x:c>
      <x:c r="I54" s="94" t="inlineStr">
        <x:is>
          <x:t xml:space="preserve">Select playground manual verification.</x:t>
        </x:is>
      </x:c>
      <x:c r="J54" s="94" t="n"/>
      <x:c r="K54" s="95" t="n">
        <x:f>IF(AND(E54="yes",F54="yes",H54="covered"),1,IF(H54="partial",0.5,0))</x:f>
        <x:v>1</x:v>
      </x:c>
    </x:row>
    <x:row r="55" s="51" customFormat="1" ht="15" customHeight="1">
      <x:c r="A55" s="93" t="n">
        <x:v>47</x:v>
      </x:c>
      <x:c r="B55" s="94" t="inlineStr">
        <x:is>
          <x:t xml:space="preserve">Keyboard</x:t>
        </x:is>
      </x:c>
      <x:c r="C55" s="94" t="inlineStr">
        <x:is>
          <x:t xml:space="preserve">Trigger</x:t>
        </x:is>
      </x:c>
      <x:c r="D55" s="94" t="inlineStr">
        <x:is>
          <x:t xml:space="preserve">Space opens when closed</x:t>
        </x:is>
      </x:c>
      <x:c r="E55" s="93" t="inlineStr">
        <x:is>
          <x:t xml:space="preserve">yes</x:t>
        </x:is>
      </x:c>
      <x:c r="F55" s="93" t="inlineStr">
        <x:is>
          <x:t xml:space="preserve">yes</x:t>
        </x:is>
      </x:c>
      <x:c r="G55" s="93" t="inlineStr">
        <x:is>
          <x:t xml:space="preserve">pass</x:t>
        </x:is>
      </x:c>
      <x:c r="H55" s="93" t="inlineStr">
        <x:is>
          <x:t xml:space="preserve">covered</x:t>
        </x:is>
      </x:c>
      <x:c r="I55" s="94" t="inlineStr">
        <x:is>
          <x:t xml:space="preserve">Select playground manual verification.</x:t>
        </x:is>
      </x:c>
      <x:c r="J55" s="94" t="n"/>
      <x:c r="K55" s="95" t="n">
        <x:f>IF(AND(E55="yes",F55="yes",H55="covered"),1,IF(H55="partial",0.5,0))</x:f>
        <x:v>1</x:v>
      </x:c>
    </x:row>
    <x:row r="56" s="51" customFormat="1" ht="15" customHeight="1">
      <x:c r="A56" s="93" t="n">
        <x:v>48</x:v>
      </x:c>
      <x:c r="B56" s="94" t="inlineStr">
        <x:is>
          <x:t xml:space="preserve">Keyboard</x:t>
        </x:is>
      </x:c>
      <x:c r="C56" s="94" t="inlineStr">
        <x:is>
          <x:t xml:space="preserve">Trigger</x:t>
        </x:is>
      </x:c>
      <x:c r="D56" s="94" t="inlineStr">
        <x:is>
          <x:t xml:space="preserve">Space selects highlighted item when open</x:t>
        </x:is>
      </x:c>
      <x:c r="E56" s="93" t="inlineStr">
        <x:is>
          <x:t xml:space="preserve">yes</x:t>
        </x:is>
      </x:c>
      <x:c r="F56" s="93" t="inlineStr">
        <x:is>
          <x:t xml:space="preserve">yes</x:t>
        </x:is>
      </x:c>
      <x:c r="G56" s="93" t="inlineStr">
        <x:is>
          <x:t xml:space="preserve">pass</x:t>
        </x:is>
      </x:c>
      <x:c r="H56" s="93" t="inlineStr">
        <x:is>
          <x:t xml:space="preserve">covered</x:t>
        </x:is>
      </x:c>
      <x:c r="I56" s="94" t="inlineStr">
        <x:is>
          <x:t xml:space="preserve">Select playground manual verification.</x:t>
        </x:is>
      </x:c>
      <x:c r="J56" s="94" t="n"/>
      <x:c r="K56" s="95" t="n">
        <x:f>IF(AND(E56="yes",F56="yes",H56="covered"),1,IF(H56="partial",0.5,0))</x:f>
        <x:v>1</x:v>
      </x:c>
    </x:row>
    <x:row r="57" s="51" customFormat="1" ht="15" customHeight="1">
      <x:c r="A57" s="93" t="n">
        <x:v>49</x:v>
      </x:c>
      <x:c r="B57" s="94" t="inlineStr">
        <x:is>
          <x:t xml:space="preserve">Keyboard</x:t>
        </x:is>
      </x:c>
      <x:c r="C57" s="94" t="inlineStr">
        <x:is>
          <x:t xml:space="preserve">Trigger</x:t>
        </x:is>
      </x:c>
      <x:c r="D57" s="94" t="inlineStr">
        <x:is>
          <x:t xml:space="preserve">Home highlights first enabled item</x:t>
        </x:is>
      </x:c>
      <x:c r="E57" s="93" t="inlineStr">
        <x:is>
          <x:t xml:space="preserve">yes</x:t>
        </x:is>
      </x:c>
      <x:c r="F57" s="93" t="inlineStr">
        <x:is>
          <x:t xml:space="preserve">yes</x:t>
        </x:is>
      </x:c>
      <x:c r="G57" s="93" t="inlineStr">
        <x:is>
          <x:t xml:space="preserve">pass</x:t>
        </x:is>
      </x:c>
      <x:c r="H57" s="93" t="inlineStr">
        <x:is>
          <x:t xml:space="preserve">covered</x:t>
        </x:is>
      </x:c>
      <x:c r="I57" s="94" t="inlineStr">
        <x:is>
          <x:t xml:space="preserve">Select playground manual verification.</x:t>
        </x:is>
      </x:c>
      <x:c r="J57" s="94" t="n"/>
      <x:c r="K57" s="95" t="n">
        <x:f>IF(AND(E57="yes",F57="yes",H57="covered"),1,IF(H57="partial",0.5,0))</x:f>
        <x:v>1</x:v>
      </x:c>
    </x:row>
    <x:row r="58" s="51" customFormat="1" ht="15" customHeight="1">
      <x:c r="A58" s="93" t="n">
        <x:v>50</x:v>
      </x:c>
      <x:c r="B58" s="94" t="inlineStr">
        <x:is>
          <x:t xml:space="preserve">Keyboard</x:t>
        </x:is>
      </x:c>
      <x:c r="C58" s="94" t="inlineStr">
        <x:is>
          <x:t xml:space="preserve">Trigger</x:t>
        </x:is>
      </x:c>
      <x:c r="D58" s="94" t="inlineStr">
        <x:is>
          <x:t xml:space="preserve">End highlights last enabled item</x:t>
        </x:is>
      </x:c>
      <x:c r="E58" s="93" t="inlineStr">
        <x:is>
          <x:t xml:space="preserve">yes</x:t>
        </x:is>
      </x:c>
      <x:c r="F58" s="93" t="inlineStr">
        <x:is>
          <x:t xml:space="preserve">yes</x:t>
        </x:is>
      </x:c>
      <x:c r="G58" s="93" t="inlineStr">
        <x:is>
          <x:t xml:space="preserve">pass</x:t>
        </x:is>
      </x:c>
      <x:c r="H58" s="93" t="inlineStr">
        <x:is>
          <x:t xml:space="preserve">covered</x:t>
        </x:is>
      </x:c>
      <x:c r="I58" s="94" t="inlineStr">
        <x:is>
          <x:t xml:space="preserve">Select playground manual verification.</x:t>
        </x:is>
      </x:c>
      <x:c r="J58" s="94" t="n"/>
      <x:c r="K58" s="95" t="n">
        <x:f>IF(AND(E58="yes",F58="yes",H58="covered"),1,IF(H58="partial",0.5,0))</x:f>
        <x:v>1</x:v>
      </x:c>
    </x:row>
    <x:row r="59" s="51" customFormat="1" ht="15" customHeight="1">
      <x:c r="A59" s="93" t="n">
        <x:v>51</x:v>
      </x:c>
      <x:c r="B59" s="94" t="inlineStr">
        <x:is>
          <x:t xml:space="preserve">Keyboard</x:t>
        </x:is>
      </x:c>
      <x:c r="C59" s="94" t="inlineStr">
        <x:is>
          <x:t xml:space="preserve">Trigger</x:t>
        </x:is>
      </x:c>
      <x:c r="D59" s="94" t="inlineStr">
        <x:is>
          <x:t xml:space="preserve">Escape closes and keeps focus on trigger</x:t>
        </x:is>
      </x:c>
      <x:c r="E59" s="93" t="inlineStr">
        <x:is>
          <x:t xml:space="preserve">yes</x:t>
        </x:is>
      </x:c>
      <x:c r="F59" s="93" t="inlineStr">
        <x:is>
          <x:t xml:space="preserve">yes</x:t>
        </x:is>
      </x:c>
      <x:c r="G59" s="93" t="inlineStr">
        <x:is>
          <x:t xml:space="preserve">pass</x:t>
        </x:is>
      </x:c>
      <x:c r="H59" s="93" t="inlineStr">
        <x:is>
          <x:t xml:space="preserve">covered</x:t>
        </x:is>
      </x:c>
      <x:c r="I59" s="94" t="inlineStr">
        <x:is>
          <x:t xml:space="preserve">Select playground manual verification.</x:t>
        </x:is>
      </x:c>
      <x:c r="J59" s="94" t="n"/>
      <x:c r="K59" s="95" t="n">
        <x:f>IF(AND(E59="yes",F59="yes",H59="covered"),1,IF(H59="partial",0.5,0))</x:f>
        <x:v>1</x:v>
      </x:c>
    </x:row>
    <x:row r="60" s="51" customFormat="1" ht="15" customHeight="1">
      <x:c r="A60" s="93" t="n">
        <x:v>52</x:v>
      </x:c>
      <x:c r="B60" s="94" t="inlineStr">
        <x:is>
          <x:t xml:space="preserve">Keyboard</x:t>
        </x:is>
      </x:c>
      <x:c r="C60" s="94" t="inlineStr">
        <x:is>
          <x:t xml:space="preserve">Trigger</x:t>
        </x:is>
      </x:c>
      <x:c r="D60" s="94" t="inlineStr">
        <x:is>
          <x:t xml:space="preserve">Tab closes and moves focus normally</x:t>
        </x:is>
      </x:c>
      <x:c r="E60" s="93" t="inlineStr">
        <x:is>
          <x:t xml:space="preserve">yes</x:t>
        </x:is>
      </x:c>
      <x:c r="F60" s="93" t="inlineStr">
        <x:is>
          <x:t xml:space="preserve">yes</x:t>
        </x:is>
      </x:c>
      <x:c r="G60" s="93" t="inlineStr">
        <x:is>
          <x:t xml:space="preserve">pass</x:t>
        </x:is>
      </x:c>
      <x:c r="H60" s="93" t="inlineStr">
        <x:is>
          <x:t xml:space="preserve">covered</x:t>
        </x:is>
      </x:c>
      <x:c r="I60" s="94" t="inlineStr">
        <x:is>
          <x:t xml:space="preserve">Select playground manual verification.</x:t>
        </x:is>
      </x:c>
      <x:c r="J60" s="94" t="n"/>
      <x:c r="K60" s="95" t="n">
        <x:f>IF(AND(E60="yes",F60="yes",H60="covered"),1,IF(H60="partial",0.5,0))</x:f>
        <x:v>1</x:v>
      </x:c>
    </x:row>
    <x:row r="61" s="51" customFormat="1" ht="15" customHeight="1">
      <x:c r="A61" s="93" t="n">
        <x:v>53</x:v>
      </x:c>
      <x:c r="B61" s="94" t="inlineStr">
        <x:is>
          <x:t xml:space="preserve">Keyboard</x:t>
        </x:is>
      </x:c>
      <x:c r="C61" s="94" t="inlineStr">
        <x:is>
          <x:t xml:space="preserve">Trigger</x:t>
        </x:is>
      </x:c>
      <x:c r="D61" s="94" t="inlineStr">
        <x:is>
          <x:t xml:space="preserve">typeahead opens and highlights match</x:t>
        </x:is>
      </x:c>
      <x:c r="E61" s="93" t="inlineStr">
        <x:is>
          <x:t xml:space="preserve">yes</x:t>
        </x:is>
      </x:c>
      <x:c r="F61" s="93" t="inlineStr">
        <x:is>
          <x:t xml:space="preserve">yes</x:t>
        </x:is>
      </x:c>
      <x:c r="G61" s="93" t="inlineStr">
        <x:is>
          <x:t xml:space="preserve">pass</x:t>
        </x:is>
      </x:c>
      <x:c r="H61" s="93" t="inlineStr">
        <x:is>
          <x:t xml:space="preserve">covered</x:t>
        </x:is>
      </x:c>
      <x:c r="I61" s="94" t="inlineStr">
        <x:is>
          <x:t xml:space="preserve">Select playground manual verification.</x:t>
        </x:is>
      </x:c>
      <x:c r="J61" s="94" t="n"/>
      <x:c r="K61" s="95" t="n">
        <x:f>IF(AND(E61="yes",F61="yes",H61="covered"),1,IF(H61="partial",0.5,0))</x:f>
        <x:v>1</x:v>
      </x:c>
    </x:row>
    <x:row r="62" s="51" customFormat="1" ht="15" customHeight="1">
      <x:c r="A62" s="93" t="n">
        <x:v>54</x:v>
      </x:c>
      <x:c r="B62" s="94" t="inlineStr">
        <x:is>
          <x:t xml:space="preserve">Keyboard</x:t>
        </x:is>
      </x:c>
      <x:c r="C62" s="94" t="inlineStr">
        <x:is>
          <x:t xml:space="preserve">Trigger</x:t>
        </x:is>
      </x:c>
      <x:c r="D62" s="94" t="inlineStr">
        <x:is>
          <x:t xml:space="preserve">typeahead buffer resets</x:t>
        </x:is>
      </x:c>
      <x:c r="E62" s="93" t="inlineStr">
        <x:is>
          <x:t xml:space="preserve">yes</x:t>
        </x:is>
      </x:c>
      <x:c r="F62" s="93" t="inlineStr">
        <x:is>
          <x:t xml:space="preserve">yes</x:t>
        </x:is>
      </x:c>
      <x:c r="G62" s="93" t="inlineStr">
        <x:is>
          <x:t xml:space="preserve">pass</x:t>
        </x:is>
      </x:c>
      <x:c r="H62" s="93" t="inlineStr">
        <x:is>
          <x:t xml:space="preserve">covered</x:t>
        </x:is>
      </x:c>
      <x:c r="I62" s="94" t="inlineStr">
        <x:is>
          <x:t xml:space="preserve">Select playground manual verification.</x:t>
        </x:is>
      </x:c>
      <x:c r="J62" s="94" t="n"/>
      <x:c r="K62" s="95" t="n">
        <x:f>IF(AND(E62="yes",F62="yes",H62="covered"),1,IF(H62="partial",0.5,0))</x:f>
        <x:v>1</x:v>
      </x:c>
    </x:row>
    <x:row r="63" s="51" customFormat="1" ht="15" customHeight="1">
      <x:c r="A63" s="93" t="n">
        <x:v>55</x:v>
      </x:c>
      <x:c r="B63" s="94" t="inlineStr">
        <x:is>
          <x:t xml:space="preserve">Public API</x:t>
        </x:is>
      </x:c>
      <x:c r="C63" s="94" t="inlineStr">
        <x:is>
          <x:t xml:space="preserve">Value</x:t>
        </x:is>
      </x:c>
      <x:c r="D63" s="94" t="inlineStr">
        <x:is>
          <x:t xml:space="preserve">renders selected item label</x:t>
        </x:is>
      </x:c>
      <x:c r="E63" s="93" t="inlineStr">
        <x:is>
          <x:t xml:space="preserve">yes</x:t>
        </x:is>
      </x:c>
      <x:c r="F63" s="93" t="inlineStr">
        <x:is>
          <x:t xml:space="preserve">yes</x:t>
        </x:is>
      </x:c>
      <x:c r="G63" s="93" t="inlineStr">
        <x:is>
          <x:t xml:space="preserve">pass</x:t>
        </x:is>
      </x:c>
      <x:c r="H63" s="93" t="inlineStr">
        <x:is>
          <x:t xml:space="preserve">covered</x:t>
        </x:is>
      </x:c>
      <x:c r="I63" s="94" t="inlineStr">
        <x:is>
          <x:t xml:space="preserve">Select playground manual verification.</x:t>
        </x:is>
      </x:c>
      <x:c r="J63" s="94" t="n"/>
      <x:c r="K63" s="95" t="n">
        <x:f>IF(AND(E63="yes",F63="yes",H63="covered"),1,IF(H63="partial",0.5,0))</x:f>
        <x:v>1</x:v>
      </x:c>
    </x:row>
    <x:row r="64" s="51" customFormat="1" ht="15" customHeight="1">
      <x:c r="A64" s="93" t="n">
        <x:v>56</x:v>
      </x:c>
      <x:c r="B64" s="94" t="inlineStr">
        <x:is>
          <x:t xml:space="preserve">Public API</x:t>
        </x:is>
      </x:c>
      <x:c r="C64" s="94" t="inlineStr">
        <x:is>
          <x:t xml:space="preserve">Value</x:t>
        </x:is>
      </x:c>
      <x:c r="D64" s="94" t="inlineStr">
        <x:is>
          <x:t xml:space="preserve">renders placeholder with no value</x:t>
        </x:is>
      </x:c>
      <x:c r="E64" s="93" t="inlineStr">
        <x:is>
          <x:t xml:space="preserve">yes</x:t>
        </x:is>
      </x:c>
      <x:c r="F64" s="93" t="inlineStr">
        <x:is>
          <x:t xml:space="preserve">yes</x:t>
        </x:is>
      </x:c>
      <x:c r="G64" s="93" t="inlineStr">
        <x:is>
          <x:t xml:space="preserve">pass</x:t>
        </x:is>
      </x:c>
      <x:c r="H64" s="93" t="inlineStr">
        <x:is>
          <x:t xml:space="preserve">covered</x:t>
        </x:is>
      </x:c>
      <x:c r="I64" s="94" t="inlineStr">
        <x:is>
          <x:t xml:space="preserve">Select playground manual verification.</x:t>
        </x:is>
      </x:c>
      <x:c r="J64" s="94" t="n"/>
      <x:c r="K64" s="95" t="n">
        <x:f>IF(AND(E64="yes",F64="yes",H64="covered"),1,IF(H64="partial",0.5,0))</x:f>
        <x:v>1</x:v>
      </x:c>
    </x:row>
    <x:row r="65" s="51" customFormat="1" ht="15" customHeight="1">
      <x:c r="A65" s="93" t="n">
        <x:v>57</x:v>
      </x:c>
      <x:c r="B65" s="94" t="inlineStr">
        <x:is>
          <x:t xml:space="preserve">Public API</x:t>
        </x:is>
      </x:c>
      <x:c r="C65" s="94" t="inlineStr">
        <x:is>
          <x:t xml:space="preserve">Value</x:t>
        </x:is>
      </x:c>
      <x:c r="D65" s="94" t="inlineStr">
        <x:is>
          <x:t xml:space="preserve">children override displayed text</x:t>
        </x:is>
      </x:c>
      <x:c r="E65" s="93" t="inlineStr">
        <x:is>
          <x:t xml:space="preserve">yes</x:t>
        </x:is>
      </x:c>
      <x:c r="F65" s="93" t="inlineStr">
        <x:is>
          <x:t xml:space="preserve">yes</x:t>
        </x:is>
      </x:c>
      <x:c r="G65" s="93" t="inlineStr">
        <x:is>
          <x:t xml:space="preserve">pass</x:t>
        </x:is>
      </x:c>
      <x:c r="H65" s="93" t="inlineStr">
        <x:is>
          <x:t xml:space="preserve">covered</x:t>
        </x:is>
      </x:c>
      <x:c r="I65" s="94" t="inlineStr">
        <x:is>
          <x:t xml:space="preserve">Select playground manual verification.</x:t>
        </x:is>
      </x:c>
      <x:c r="J65" s="94" t="n"/>
      <x:c r="K65" s="95" t="n">
        <x:f>IF(AND(E65="yes",F65="yes",H65="covered"),1,IF(H65="partial",0.5,0))</x:f>
        <x:v>1</x:v>
      </x:c>
    </x:row>
    <x:row r="66" s="51" customFormat="1" ht="45" customHeight="1">
      <x:c r="A66" s="93" t="n">
        <x:v>58</x:v>
      </x:c>
      <x:c r="B66" s="94" t="inlineStr">
        <x:is>
          <x:t xml:space="preserve">Public API</x:t>
        </x:is>
      </x:c>
      <x:c r="C66" s="94" t="inlineStr">
        <x:is>
          <x:t xml:space="preserve">Value</x:t>
        </x:is>
      </x:c>
      <x:c r="D66" s="94" t="inlineStr">
        <x:is>
          <x:t xml:space="preserve">data-placeholder</x:t>
        </x:is>
      </x:c>
      <x:c r="E66" s="93" t="inlineStr">
        <x:is>
          <x:t xml:space="preserve">yes</x:t>
        </x:is>
      </x:c>
      <x:c r="F66" s="93" t="inlineStr">
        <x:is>
          <x:t xml:space="preserve">yes</x:t>
        </x:is>
      </x:c>
      <x:c r="G66" s="93" t="inlineStr">
        <x:is>
          <x:t xml:space="preserve">pass</x:t>
        </x:is>
      </x:c>
      <x:c r="H66" s="93" t="inlineStr">
        <x:is>
          <x:t xml:space="preserve">covered</x:t>
        </x:is>
      </x:c>
      <x:c r="I66" s="94" t="inlineStr">
        <x:is>
          <x:t xml:space="preserve">Select playground manual verification.</x:t>
        </x:is>
      </x:c>
      <x:c r="J66" s="94" t="n"/>
      <x:c r="K66" s="95" t="n">
        <x:f>IF(AND(E66="yes",F66="yes",H66="covered"),1,IF(H66="partial",0.5,0))</x:f>
        <x:v>1</x:v>
      </x:c>
    </x:row>
    <x:row r="67" s="51" customFormat="1" ht="15" customHeight="1">
      <x:c r="A67" s="93" t="n">
        <x:v>59</x:v>
      </x:c>
      <x:c r="B67" s="94" t="inlineStr">
        <x:is>
          <x:t xml:space="preserve">Refs</x:t>
        </x:is>
      </x:c>
      <x:c r="C67" s="94" t="inlineStr">
        <x:is>
          <x:t xml:space="preserve">Value</x:t>
        </x:is>
      </x:c>
      <x:c r="D67" s="94" t="inlineStr">
        <x:is>
          <x:t xml:space="preserve">ref receives span</x:t>
        </x:is>
      </x:c>
      <x:c r="E67" s="93" t="inlineStr">
        <x:is>
          <x:t xml:space="preserve">yes</x:t>
        </x:is>
      </x:c>
      <x:c r="F67" s="93" t="inlineStr">
        <x:is>
          <x:t xml:space="preserve">yes</x:t>
        </x:is>
      </x:c>
      <x:c r="G67" s="93" t="inlineStr">
        <x:is>
          <x:t xml:space="preserve">pass</x:t>
        </x:is>
      </x:c>
      <x:c r="H67" s="93" t="inlineStr">
        <x:is>
          <x:t xml:space="preserve">covered</x:t>
        </x:is>
      </x:c>
      <x:c r="I67" s="94" t="inlineStr">
        <x:is>
          <x:t xml:space="preserve">Select playground manual verification.</x:t>
        </x:is>
      </x:c>
      <x:c r="J67" s="94" t="n"/>
      <x:c r="K67" s="95" t="n">
        <x:f>IF(AND(E67="yes",F67="yes",H67="covered"),1,IF(H67="partial",0.5,0))</x:f>
        <x:v>1</x:v>
      </x:c>
    </x:row>
    <x:row r="68" s="51" customFormat="1" ht="15" customHeight="1">
      <x:c r="A68" s="93" t="n">
        <x:v>60</x:v>
      </x:c>
      <x:c r="B68" s="94" t="inlineStr">
        <x:is>
          <x:t xml:space="preserve">Props</x:t>
        </x:is>
      </x:c>
      <x:c r="C68" s="94" t="inlineStr">
        <x:is>
          <x:t xml:space="preserve">Value</x:t>
        </x:is>
      </x:c>
      <x:c r="D68" s="94" t="inlineStr">
        <x:is>
          <x:t xml:space="preserve">native span props passthrough</x:t>
        </x:is>
      </x:c>
      <x:c r="E68" s="93" t="inlineStr">
        <x:is>
          <x:t xml:space="preserve">yes</x:t>
        </x:is>
      </x:c>
      <x:c r="F68" s="93" t="inlineStr">
        <x:is>
          <x:t xml:space="preserve">yes</x:t>
        </x:is>
      </x:c>
      <x:c r="G68" s="93" t="inlineStr">
        <x:is>
          <x:t xml:space="preserve">pass</x:t>
        </x:is>
      </x:c>
      <x:c r="H68" s="93" t="inlineStr">
        <x:is>
          <x:t xml:space="preserve">covered</x:t>
        </x:is>
      </x:c>
      <x:c r="I68" s="94" t="inlineStr">
        <x:is>
          <x:t xml:space="preserve">Select playground manual verification.</x:t>
        </x:is>
      </x:c>
      <x:c r="J68" s="94" t="n"/>
      <x:c r="K68" s="95" t="n">
        <x:f>IF(AND(E68="yes",F68="yes",H68="covered"),1,IF(H68="partial",0.5,0))</x:f>
        <x:v>1</x:v>
      </x:c>
    </x:row>
    <x:row r="69" s="51" customFormat="1" ht="15" customHeight="1">
      <x:c r="A69" s="93" t="n">
        <x:v>61</x:v>
      </x:c>
      <x:c r="B69" s="94" t="inlineStr">
        <x:is>
          <x:t xml:space="preserve">Styling hooks</x:t>
        </x:is>
      </x:c>
      <x:c r="C69" s="94" t="inlineStr">
        <x:is>
          <x:t xml:space="preserve">Value</x:t>
        </x:is>
      </x:c>
      <x:c r="D69" s="94" t="inlineStr">
        <x:is>
          <x:t xml:space="preserve">data-slot</x:t>
        </x:is>
      </x:c>
      <x:c r="E69" s="93" t="inlineStr">
        <x:is>
          <x:t xml:space="preserve">yes</x:t>
        </x:is>
      </x:c>
      <x:c r="F69" s="93" t="inlineStr">
        <x:is>
          <x:t xml:space="preserve">yes</x:t>
        </x:is>
      </x:c>
      <x:c r="G69" s="93" t="inlineStr">
        <x:is>
          <x:t xml:space="preserve">pass</x:t>
        </x:is>
      </x:c>
      <x:c r="H69" s="93" t="inlineStr">
        <x:is>
          <x:t xml:space="preserve">covered</x:t>
        </x:is>
      </x:c>
      <x:c r="I69" s="94" t="inlineStr">
        <x:is>
          <x:t xml:space="preserve">Select playground manual verification.</x:t>
        </x:is>
      </x:c>
      <x:c r="J69" s="94" t="n"/>
      <x:c r="K69" s="95" t="n">
        <x:f>IF(AND(E69="yes",F69="yes",H69="covered"),1,IF(H69="partial",0.5,0))</x:f>
        <x:v>1</x:v>
      </x:c>
    </x:row>
    <x:row r="70" s="51" customFormat="1" ht="15" customHeight="1">
      <x:c r="A70" s="93" t="n">
        <x:v>62</x:v>
      </x:c>
      <x:c r="B70" s="94" t="inlineStr">
        <x:is>
          <x:t xml:space="preserve">Public API</x:t>
        </x:is>
      </x:c>
      <x:c r="C70" s="94" t="inlineStr">
        <x:is>
          <x:t xml:space="preserve">Icon</x:t>
        </x:is>
      </x:c>
      <x:c r="D70" s="94" t="inlineStr">
        <x:is>
          <x:t xml:space="preserve">renders decorative icon</x:t>
        </x:is>
      </x:c>
      <x:c r="E70" s="93" t="inlineStr">
        <x:is>
          <x:t xml:space="preserve">yes</x:t>
        </x:is>
      </x:c>
      <x:c r="F70" s="93" t="inlineStr">
        <x:is>
          <x:t xml:space="preserve">yes</x:t>
        </x:is>
      </x:c>
      <x:c r="G70" s="93" t="inlineStr">
        <x:is>
          <x:t xml:space="preserve">pass</x:t>
        </x:is>
      </x:c>
      <x:c r="H70" s="93" t="inlineStr">
        <x:is>
          <x:t xml:space="preserve">covered</x:t>
        </x:is>
      </x:c>
      <x:c r="I70" s="94" t="inlineStr">
        <x:is>
          <x:t xml:space="preserve">Select playground manual verification.</x:t>
        </x:is>
      </x:c>
      <x:c r="J70" s="94" t="n"/>
      <x:c r="K70" s="95" t="n">
        <x:f>IF(AND(E70="yes",F70="yes",H70="covered"),1,IF(H70="partial",0.5,0))</x:f>
        <x:v>1</x:v>
      </x:c>
    </x:row>
    <x:row r="71" s="51" customFormat="1" ht="45" customHeight="1">
      <x:c r="A71" s="93" t="n">
        <x:v>63</x:v>
      </x:c>
      <x:c r="B71" s="94" t="inlineStr">
        <x:is>
          <x:t xml:space="preserve">Accessibility</x:t>
        </x:is>
      </x:c>
      <x:c r="C71" s="94" t="inlineStr">
        <x:is>
          <x:t xml:space="preserve">Icon</x:t>
        </x:is>
      </x:c>
      <x:c r="D71" s="94" t="inlineStr">
        <x:is>
          <x:t xml:space="preserve">aria-hidden</x:t>
        </x:is>
      </x:c>
      <x:c r="E71" s="93" t="inlineStr">
        <x:is>
          <x:t xml:space="preserve">yes</x:t>
        </x:is>
      </x:c>
      <x:c r="F71" s="93" t="inlineStr">
        <x:is>
          <x:t xml:space="preserve">yes</x:t>
        </x:is>
      </x:c>
      <x:c r="G71" s="93" t="inlineStr">
        <x:is>
          <x:t xml:space="preserve">pass</x:t>
        </x:is>
      </x:c>
      <x:c r="H71" s="93" t="inlineStr">
        <x:is>
          <x:t xml:space="preserve">covered</x:t>
        </x:is>
      </x:c>
      <x:c r="I71" s="94" t="inlineStr">
        <x:is>
          <x:t xml:space="preserve">Select playground manual verification.</x:t>
        </x:is>
      </x:c>
      <x:c r="J71" s="94" t="n"/>
      <x:c r="K71" s="95" t="n">
        <x:f>IF(AND(E71="yes",F71="yes",H71="covered"),1,IF(H71="partial",0.5,0))</x:f>
        <x:v>1</x:v>
      </x:c>
    </x:row>
    <x:row r="72" s="51" customFormat="1" ht="15" customHeight="1">
      <x:c r="A72" s="93" t="n">
        <x:v>64</x:v>
      </x:c>
      <x:c r="B72" s="94" t="inlineStr">
        <x:is>
          <x:t xml:space="preserve">Refs</x:t>
        </x:is>
      </x:c>
      <x:c r="C72" s="94" t="inlineStr">
        <x:is>
          <x:t xml:space="preserve">Icon</x:t>
        </x:is>
      </x:c>
      <x:c r="D72" s="94" t="inlineStr">
        <x:is>
          <x:t xml:space="preserve">ref receives span</x:t>
        </x:is>
      </x:c>
      <x:c r="E72" s="93" t="inlineStr">
        <x:is>
          <x:t xml:space="preserve">yes</x:t>
        </x:is>
      </x:c>
      <x:c r="F72" s="93" t="inlineStr">
        <x:is>
          <x:t xml:space="preserve">yes</x:t>
        </x:is>
      </x:c>
      <x:c r="G72" s="93" t="inlineStr">
        <x:is>
          <x:t xml:space="preserve">pass</x:t>
        </x:is>
      </x:c>
      <x:c r="H72" s="93" t="inlineStr">
        <x:is>
          <x:t xml:space="preserve">covered</x:t>
        </x:is>
      </x:c>
      <x:c r="I72" s="94" t="inlineStr">
        <x:is>
          <x:t xml:space="preserve">Select playground manual verification.</x:t>
        </x:is>
      </x:c>
      <x:c r="J72" s="94" t="n"/>
      <x:c r="K72" s="95" t="n">
        <x:f>IF(AND(E72="yes",F72="yes",H72="covered"),1,IF(H72="partial",0.5,0))</x:f>
        <x:v>1</x:v>
      </x:c>
    </x:row>
    <x:row r="73" s="51" customFormat="1" ht="15" customHeight="1">
      <x:c r="A73" s="93" t="n">
        <x:v>65</x:v>
      </x:c>
      <x:c r="B73" s="94" t="inlineStr">
        <x:is>
          <x:t xml:space="preserve">Props</x:t>
        </x:is>
      </x:c>
      <x:c r="C73" s="94" t="inlineStr">
        <x:is>
          <x:t xml:space="preserve">Icon</x:t>
        </x:is>
      </x:c>
      <x:c r="D73" s="94" t="inlineStr">
        <x:is>
          <x:t xml:space="preserve">native span props passthrough</x:t>
        </x:is>
      </x:c>
      <x:c r="E73" s="93" t="inlineStr">
        <x:is>
          <x:t xml:space="preserve">yes</x:t>
        </x:is>
      </x:c>
      <x:c r="F73" s="93" t="inlineStr">
        <x:is>
          <x:t xml:space="preserve">yes</x:t>
        </x:is>
      </x:c>
      <x:c r="G73" s="93" t="inlineStr">
        <x:is>
          <x:t xml:space="preserve">pass</x:t>
        </x:is>
      </x:c>
      <x:c r="H73" s="93" t="inlineStr">
        <x:is>
          <x:t xml:space="preserve">covered</x:t>
        </x:is>
      </x:c>
      <x:c r="I73" s="94" t="inlineStr">
        <x:is>
          <x:t xml:space="preserve">Select playground manual verification.</x:t>
        </x:is>
      </x:c>
      <x:c r="J73" s="94" t="n"/>
      <x:c r="K73" s="95" t="n">
        <x:f>IF(AND(E73="yes",F73="yes",H73="covered"),1,IF(H73="partial",0.5,0))</x:f>
        <x:v>1</x:v>
      </x:c>
    </x:row>
    <x:row r="74" s="51" customFormat="1" ht="15" customHeight="1">
      <x:c r="A74" s="93" t="n">
        <x:v>66</x:v>
      </x:c>
      <x:c r="B74" s="94" t="inlineStr">
        <x:is>
          <x:t xml:space="preserve">Styling hooks</x:t>
        </x:is>
      </x:c>
      <x:c r="C74" s="94" t="inlineStr">
        <x:is>
          <x:t xml:space="preserve">Icon</x:t>
        </x:is>
      </x:c>
      <x:c r="D74" s="94" t="inlineStr">
        <x:is>
          <x:t xml:space="preserve">data-slot</x:t>
        </x:is>
      </x:c>
      <x:c r="E74" s="93" t="inlineStr">
        <x:is>
          <x:t xml:space="preserve">yes</x:t>
        </x:is>
      </x:c>
      <x:c r="F74" s="93" t="inlineStr">
        <x:is>
          <x:t xml:space="preserve">yes</x:t>
        </x:is>
      </x:c>
      <x:c r="G74" s="93" t="inlineStr">
        <x:is>
          <x:t xml:space="preserve">pass</x:t>
        </x:is>
      </x:c>
      <x:c r="H74" s="93" t="inlineStr">
        <x:is>
          <x:t xml:space="preserve">covered</x:t>
        </x:is>
      </x:c>
      <x:c r="I74" s="94" t="inlineStr">
        <x:is>
          <x:t xml:space="preserve">Select playground manual verification.</x:t>
        </x:is>
      </x:c>
      <x:c r="J74" s="94" t="n"/>
      <x:c r="K74" s="95" t="n">
        <x:f>IF(AND(E74="yes",F74="yes",H74="covered"),1,IF(H74="partial",0.5,0))</x:f>
        <x:v>1</x:v>
      </x:c>
    </x:row>
    <x:row r="75" s="51" customFormat="1" ht="15" customHeight="1">
      <x:c r="A75" s="93" t="n">
        <x:v>67</x:v>
      </x:c>
      <x:c r="B75" s="94" t="inlineStr">
        <x:is>
          <x:t xml:space="preserve">Public API</x:t>
        </x:is>
      </x:c>
      <x:c r="C75" s="94" t="inlineStr">
        <x:is>
          <x:t xml:space="preserve">Portal</x:t>
        </x:is>
      </x:c>
      <x:c r="D75" s="94" t="inlineStr">
        <x:is>
          <x:t xml:space="preserve">content mounts in body by default</x:t>
        </x:is>
      </x:c>
      <x:c r="E75" s="93" t="inlineStr">
        <x:is>
          <x:t xml:space="preserve">yes</x:t>
        </x:is>
      </x:c>
      <x:c r="F75" s="93" t="inlineStr">
        <x:is>
          <x:t xml:space="preserve">yes</x:t>
        </x:is>
      </x:c>
      <x:c r="G75" s="93" t="inlineStr">
        <x:is>
          <x:t xml:space="preserve">pass</x:t>
        </x:is>
      </x:c>
      <x:c r="H75" s="93" t="inlineStr">
        <x:is>
          <x:t xml:space="preserve">covered</x:t>
        </x:is>
      </x:c>
      <x:c r="I75" s="94" t="inlineStr">
        <x:is>
          <x:t xml:space="preserve">Select playground manual verification.</x:t>
        </x:is>
      </x:c>
      <x:c r="J75" s="94" t="n"/>
      <x:c r="K75" s="95" t="n">
        <x:f>IF(AND(E75="yes",F75="yes",H75="covered"),1,IF(H75="partial",0.5,0))</x:f>
        <x:v>1</x:v>
      </x:c>
    </x:row>
    <x:row r="76" s="51" customFormat="1" ht="15" customHeight="1">
      <x:c r="A76" s="93" t="n">
        <x:v>68</x:v>
      </x:c>
      <x:c r="B76" s="94" t="inlineStr">
        <x:is>
          <x:t xml:space="preserve">Public API</x:t>
        </x:is>
      </x:c>
      <x:c r="C76" s="94" t="inlineStr">
        <x:is>
          <x:t xml:space="preserve">Portal</x:t>
        </x:is>
      </x:c>
      <x:c r="D76" s="94" t="inlineStr">
        <x:is>
          <x:t xml:space="preserve">disabled keeps content inline</x:t>
        </x:is>
      </x:c>
      <x:c r="E76" s="93" t="inlineStr">
        <x:is>
          <x:t xml:space="preserve">yes</x:t>
        </x:is>
      </x:c>
      <x:c r="F76" s="93" t="inlineStr">
        <x:is>
          <x:t xml:space="preserve">yes</x:t>
        </x:is>
      </x:c>
      <x:c r="G76" s="93" t="inlineStr">
        <x:is>
          <x:t xml:space="preserve">pass</x:t>
        </x:is>
      </x:c>
      <x:c r="H76" s="93" t="inlineStr">
        <x:is>
          <x:t xml:space="preserve">covered</x:t>
        </x:is>
      </x:c>
      <x:c r="I76" s="94" t="inlineStr">
        <x:is>
          <x:t xml:space="preserve">Select playground manual verification.</x:t>
        </x:is>
      </x:c>
      <x:c r="J76" s="94" t="n"/>
      <x:c r="K76" s="95" t="n">
        <x:f>IF(AND(E76="yes",F76="yes",H76="covered"),1,IF(H76="partial",0.5,0))</x:f>
        <x:v>1</x:v>
      </x:c>
    </x:row>
    <x:row r="77" s="51" customFormat="1" ht="15" customHeight="1">
      <x:c r="A77" s="93" t="n">
        <x:v>69</x:v>
      </x:c>
      <x:c r="B77" s="94" t="inlineStr">
        <x:is>
          <x:t xml:space="preserve">Public API</x:t>
        </x:is>
      </x:c>
      <x:c r="C77" s="94" t="inlineStr">
        <x:is>
          <x:t xml:space="preserve">Portal</x:t>
        </x:is>
      </x:c>
      <x:c r="D77" s="94" t="inlineStr">
        <x:is>
          <x:t xml:space="preserve">container prop</x:t>
        </x:is>
      </x:c>
      <x:c r="E77" s="93" t="inlineStr">
        <x:is>
          <x:t xml:space="preserve">yes</x:t>
        </x:is>
      </x:c>
      <x:c r="F77" s="93" t="inlineStr">
        <x:is>
          <x:t xml:space="preserve">yes</x:t>
        </x:is>
      </x:c>
      <x:c r="G77" s="93" t="inlineStr">
        <x:is>
          <x:t xml:space="preserve">pass</x:t>
        </x:is>
      </x:c>
      <x:c r="H77" s="93" t="inlineStr">
        <x:is>
          <x:t xml:space="preserve">covered</x:t>
        </x:is>
      </x:c>
      <x:c r="I77" s="94" t="inlineStr">
        <x:is>
          <x:t xml:space="preserve">Select playground manual verification.</x:t>
        </x:is>
      </x:c>
      <x:c r="J77" s="94" t="n"/>
      <x:c r="K77" s="95" t="n">
        <x:f>IF(AND(E77="yes",F77="yes",H77="covered"),1,IF(H77="partial",0.5,0))</x:f>
        <x:v>1</x:v>
      </x:c>
    </x:row>
    <x:row r="78" s="51" customFormat="1" ht="15" customHeight="1">
      <x:c r="A78" s="93" t="n">
        <x:v>70</x:v>
      </x:c>
      <x:c r="B78" s="94" t="inlineStr">
        <x:is>
          <x:t xml:space="preserve">Focus scope</x:t>
        </x:is>
      </x:c>
      <x:c r="C78" s="94" t="inlineStr">
        <x:is>
          <x:t xml:space="preserve">Portal</x:t>
        </x:is>
      </x:c>
      <x:c r="D78" s="94" t="inlineStr">
        <x:is>
          <x:t xml:space="preserve">registers with parent modal focus scope</x:t>
        </x:is>
      </x:c>
      <x:c r="E78" s="93" t="inlineStr">
        <x:is>
          <x:t xml:space="preserve">yes</x:t>
        </x:is>
      </x:c>
      <x:c r="F78" s="93" t="inlineStr">
        <x:is>
          <x:t xml:space="preserve">yes</x:t>
        </x:is>
      </x:c>
      <x:c r="G78" s="93" t="inlineStr">
        <x:is>
          <x:t xml:space="preserve">pass</x:t>
        </x:is>
      </x:c>
      <x:c r="H78" s="93" t="inlineStr">
        <x:is>
          <x:t xml:space="preserve">covered</x:t>
        </x:is>
      </x:c>
      <x:c r="I78" s="94" t="inlineStr">
        <x:is>
          <x:t xml:space="preserve">Select playground manual verification.</x:t>
        </x:is>
      </x:c>
      <x:c r="J78" s="94" t="n"/>
      <x:c r="K78" s="95" t="n">
        <x:f>IF(AND(E78="yes",F78="yes",H78="covered"),1,IF(H78="partial",0.5,0))</x:f>
        <x:v>1</x:v>
      </x:c>
    </x:row>
    <x:row r="79" s="51" customFormat="1" ht="15" customHeight="1">
      <x:c r="A79" s="93" t="n">
        <x:v>71</x:v>
      </x:c>
      <x:c r="B79" s="94" t="inlineStr">
        <x:is>
          <x:t xml:space="preserve">Public API</x:t>
        </x:is>
      </x:c>
      <x:c r="C79" s="94" t="inlineStr">
        <x:is>
          <x:t xml:space="preserve">Content/Listbox</x:t>
        </x:is>
      </x:c>
      <x:c r="D79" s="94" t="inlineStr">
        <x:is>
          <x:t xml:space="preserve">Content alias renders listbox</x:t>
        </x:is>
      </x:c>
      <x:c r="E79" s="93" t="inlineStr">
        <x:is>
          <x:t xml:space="preserve">yes</x:t>
        </x:is>
      </x:c>
      <x:c r="F79" s="93" t="inlineStr">
        <x:is>
          <x:t xml:space="preserve">yes</x:t>
        </x:is>
      </x:c>
      <x:c r="G79" s="93" t="inlineStr">
        <x:is>
          <x:t xml:space="preserve">pass</x:t>
        </x:is>
      </x:c>
      <x:c r="H79" s="93" t="inlineStr">
        <x:is>
          <x:t xml:space="preserve">covered</x:t>
        </x:is>
      </x:c>
      <x:c r="I79" s="94" t="inlineStr">
        <x:is>
          <x:t xml:space="preserve">Select playground manual verification.</x:t>
        </x:is>
      </x:c>
      <x:c r="J79" s="94" t="n"/>
      <x:c r="K79" s="95" t="n">
        <x:f>IF(AND(E79="yes",F79="yes",H79="covered"),1,IF(H79="partial",0.5,0))</x:f>
        <x:v>1</x:v>
      </x:c>
    </x:row>
    <x:row r="80" s="51" customFormat="1" ht="15" customHeight="1">
      <x:c r="A80" s="93" t="n">
        <x:v>72</x:v>
      </x:c>
      <x:c r="B80" s="94" t="inlineStr">
        <x:is>
          <x:t xml:space="preserve">Public API</x:t>
        </x:is>
      </x:c>
      <x:c r="C80" s="94" t="inlineStr">
        <x:is>
          <x:t xml:space="preserve">Content/Listbox</x:t>
        </x:is>
      </x:c>
      <x:c r="D80" s="94" t="inlineStr">
        <x:is>
          <x:t xml:space="preserve">Listbox part renders directly</x:t>
        </x:is>
      </x:c>
      <x:c r="E80" s="93" t="inlineStr">
        <x:is>
          <x:t xml:space="preserve">yes</x:t>
        </x:is>
      </x:c>
      <x:c r="F80" s="93" t="inlineStr">
        <x:is>
          <x:t xml:space="preserve">yes</x:t>
        </x:is>
      </x:c>
      <x:c r="G80" s="93" t="inlineStr">
        <x:is>
          <x:t xml:space="preserve">pass</x:t>
        </x:is>
      </x:c>
      <x:c r="H80" s="93" t="inlineStr">
        <x:is>
          <x:t xml:space="preserve">covered</x:t>
        </x:is>
      </x:c>
      <x:c r="I80" s="94" t="inlineStr">
        <x:is>
          <x:t xml:space="preserve">Select playground manual verification.</x:t>
        </x:is>
      </x:c>
      <x:c r="J80" s="94" t="n"/>
      <x:c r="K80" s="95" t="n">
        <x:f>IF(AND(E80="yes",F80="yes",H80="covered"),1,IF(H80="partial",0.5,0))</x:f>
        <x:v>1</x:v>
      </x:c>
    </x:row>
    <x:row r="81" s="51" customFormat="1" ht="15" customHeight="1">
      <x:c r="A81" s="93" t="n">
        <x:v>73</x:v>
      </x:c>
      <x:c r="B81" s="94" t="inlineStr">
        <x:is>
          <x:t xml:space="preserve">Public API</x:t>
        </x:is>
      </x:c>
      <x:c r="C81" s="94" t="inlineStr">
        <x:is>
          <x:t xml:space="preserve">Content/Listbox</x:t>
        </x:is>
      </x:c>
      <x:c r="D81" s="94" t="inlineStr">
        <x:is>
          <x:t xml:space="preserve">renders only when open</x:t>
        </x:is>
      </x:c>
      <x:c r="E81" s="93" t="inlineStr">
        <x:is>
          <x:t xml:space="preserve">yes</x:t>
        </x:is>
      </x:c>
      <x:c r="F81" s="93" t="inlineStr">
        <x:is>
          <x:t xml:space="preserve">yes</x:t>
        </x:is>
      </x:c>
      <x:c r="G81" s="93" t="inlineStr">
        <x:is>
          <x:t xml:space="preserve">pass</x:t>
        </x:is>
      </x:c>
      <x:c r="H81" s="93" t="inlineStr">
        <x:is>
          <x:t xml:space="preserve">covered</x:t>
        </x:is>
      </x:c>
      <x:c r="I81" s="94" t="inlineStr">
        <x:is>
          <x:t xml:space="preserve">Select playground manual verification.</x:t>
        </x:is>
      </x:c>
      <x:c r="J81" s="94" t="n"/>
      <x:c r="K81" s="95" t="n">
        <x:f>IF(AND(E81="yes",F81="yes",H81="covered"),1,IF(H81="partial",0.5,0))</x:f>
        <x:v>1</x:v>
      </x:c>
    </x:row>
    <x:row r="82" s="51" customFormat="1" ht="15" customHeight="1">
      <x:c r="A82" s="93" t="n">
        <x:v>74</x:v>
      </x:c>
      <x:c r="B82" s="94" t="inlineStr">
        <x:is>
          <x:t xml:space="preserve">Public API</x:t>
        </x:is>
      </x:c>
      <x:c r="C82" s="94" t="inlineStr">
        <x:is>
          <x:t xml:space="preserve">Content/Listbox</x:t>
        </x:is>
      </x:c>
      <x:c r="D82" s="94" t="inlineStr">
        <x:is>
          <x:t xml:space="preserve">disablePortal</x:t>
        </x:is>
      </x:c>
      <x:c r="E82" s="93" t="inlineStr">
        <x:is>
          <x:t xml:space="preserve">yes</x:t>
        </x:is>
      </x:c>
      <x:c r="F82" s="93" t="inlineStr">
        <x:is>
          <x:t xml:space="preserve">yes</x:t>
        </x:is>
      </x:c>
      <x:c r="G82" s="93" t="inlineStr">
        <x:is>
          <x:t xml:space="preserve">pass</x:t>
        </x:is>
      </x:c>
      <x:c r="H82" s="93" t="inlineStr">
        <x:is>
          <x:t xml:space="preserve">covered</x:t>
        </x:is>
      </x:c>
      <x:c r="I82" s="94" t="inlineStr">
        <x:is>
          <x:t xml:space="preserve">Select playground manual verification.</x:t>
        </x:is>
      </x:c>
      <x:c r="J82" s="94" t="n"/>
      <x:c r="K82" s="95" t="n">
        <x:f>IF(AND(E82="yes",F82="yes",H82="covered"),1,IF(H82="partial",0.5,0))</x:f>
        <x:v>1</x:v>
      </x:c>
    </x:row>
    <x:row r="83" s="51" customFormat="1" ht="15" customHeight="1">
      <x:c r="A83" s="93" t="n">
        <x:v>75</x:v>
      </x:c>
      <x:c r="B83" s="94" t="inlineStr">
        <x:is>
          <x:t xml:space="preserve">Public API</x:t>
        </x:is>
      </x:c>
      <x:c r="C83" s="94" t="inlineStr">
        <x:is>
          <x:t xml:space="preserve">Content/Listbox</x:t>
        </x:is>
      </x:c>
      <x:c r="D83" s="94" t="inlineStr">
        <x:is>
          <x:t xml:space="preserve">container prop</x:t>
        </x:is>
      </x:c>
      <x:c r="E83" s="93" t="inlineStr">
        <x:is>
          <x:t xml:space="preserve">yes</x:t>
        </x:is>
      </x:c>
      <x:c r="F83" s="93" t="inlineStr">
        <x:is>
          <x:t xml:space="preserve">yes</x:t>
        </x:is>
      </x:c>
      <x:c r="G83" s="93" t="inlineStr">
        <x:is>
          <x:t xml:space="preserve">pass</x:t>
        </x:is>
      </x:c>
      <x:c r="H83" s="93" t="inlineStr">
        <x:is>
          <x:t xml:space="preserve">covered</x:t>
        </x:is>
      </x:c>
      <x:c r="I83" s="94" t="inlineStr">
        <x:is>
          <x:t xml:space="preserve">Select playground manual verification.</x:t>
        </x:is>
      </x:c>
      <x:c r="J83" s="94" t="n"/>
      <x:c r="K83" s="95" t="n">
        <x:f>IF(AND(E83="yes",F83="yes",H83="covered"),1,IF(H83="partial",0.5,0))</x:f>
        <x:v>1</x:v>
      </x:c>
    </x:row>
    <x:row r="84" s="51" customFormat="1" ht="15" customHeight="1">
      <x:c r="A84" s="93" t="n">
        <x:v>76</x:v>
      </x:c>
      <x:c r="B84" s="94" t="inlineStr">
        <x:is>
          <x:t xml:space="preserve">Public API</x:t>
        </x:is>
      </x:c>
      <x:c r="C84" s="94" t="inlineStr">
        <x:is>
          <x:t xml:space="preserve">Content/Listbox</x:t>
        </x:is>
      </x:c>
      <x:c r="D84" s="94" t="inlineStr">
        <x:is>
          <x:t xml:space="preserve">role listbox</x:t>
        </x:is>
      </x:c>
      <x:c r="E84" s="93" t="inlineStr">
        <x:is>
          <x:t xml:space="preserve">yes</x:t>
        </x:is>
      </x:c>
      <x:c r="F84" s="93" t="inlineStr">
        <x:is>
          <x:t xml:space="preserve">yes</x:t>
        </x:is>
      </x:c>
      <x:c r="G84" s="93" t="inlineStr">
        <x:is>
          <x:t xml:space="preserve">pass</x:t>
        </x:is>
      </x:c>
      <x:c r="H84" s="93" t="inlineStr">
        <x:is>
          <x:t xml:space="preserve">covered</x:t>
        </x:is>
      </x:c>
      <x:c r="I84" s="94" t="inlineStr">
        <x:is>
          <x:t xml:space="preserve">Select playground manual verification.</x:t>
        </x:is>
      </x:c>
      <x:c r="J84" s="94" t="n"/>
      <x:c r="K84" s="95" t="n">
        <x:f>IF(AND(E84="yes",F84="yes",H84="covered"),1,IF(H84="partial",0.5,0))</x:f>
        <x:v>1</x:v>
      </x:c>
    </x:row>
    <x:row r="85" s="51" customFormat="1" ht="15" customHeight="1">
      <x:c r="A85" s="93" t="n">
        <x:v>77</x:v>
      </x:c>
      <x:c r="B85" s="94" t="inlineStr">
        <x:is>
          <x:t xml:space="preserve">Public API</x:t>
        </x:is>
      </x:c>
      <x:c r="C85" s="94" t="inlineStr">
        <x:is>
          <x:t xml:space="preserve">Content/Listbox</x:t>
        </x:is>
      </x:c>
      <x:c r="D85" s="94" t="inlineStr">
        <x:is>
          <x:t xml:space="preserve">aria-label</x:t>
        </x:is>
      </x:c>
      <x:c r="E85" s="93" t="inlineStr">
        <x:is>
          <x:t xml:space="preserve">yes</x:t>
        </x:is>
      </x:c>
      <x:c r="F85" s="93" t="inlineStr">
        <x:is>
          <x:t xml:space="preserve">yes</x:t>
        </x:is>
      </x:c>
      <x:c r="G85" s="93" t="inlineStr">
        <x:is>
          <x:t xml:space="preserve">pass</x:t>
        </x:is>
      </x:c>
      <x:c r="H85" s="93" t="inlineStr">
        <x:is>
          <x:t xml:space="preserve">covered</x:t>
        </x:is>
      </x:c>
      <x:c r="I85" s="94" t="inlineStr">
        <x:is>
          <x:t xml:space="preserve">Select playground manual verification.</x:t>
        </x:is>
      </x:c>
      <x:c r="J85" s="94" t="n"/>
      <x:c r="K85" s="95" t="n">
        <x:f>IF(AND(E85="yes",F85="yes",H85="covered"),1,IF(H85="partial",0.5,0))</x:f>
        <x:v>1</x:v>
      </x:c>
    </x:row>
    <x:row r="86" s="51" customFormat="1" ht="15" customHeight="1">
      <x:c r="A86" s="93" t="n">
        <x:v>78</x:v>
      </x:c>
      <x:c r="B86" s="94" t="inlineStr">
        <x:is>
          <x:t xml:space="preserve">Public API</x:t>
        </x:is>
      </x:c>
      <x:c r="C86" s="94" t="inlineStr">
        <x:is>
          <x:t xml:space="preserve">Content/Listbox</x:t>
        </x:is>
      </x:c>
      <x:c r="D86" s="94" t="inlineStr">
        <x:is>
          <x:t xml:space="preserve">tabIndex -1</x:t>
        </x:is>
      </x:c>
      <x:c r="E86" s="93" t="inlineStr">
        <x:is>
          <x:t xml:space="preserve">yes</x:t>
        </x:is>
      </x:c>
      <x:c r="F86" s="93" t="inlineStr">
        <x:is>
          <x:t xml:space="preserve">yes</x:t>
        </x:is>
      </x:c>
      <x:c r="G86" s="93" t="inlineStr">
        <x:is>
          <x:t xml:space="preserve">pass</x:t>
        </x:is>
      </x:c>
      <x:c r="H86" s="93" t="inlineStr">
        <x:is>
          <x:t xml:space="preserve">covered</x:t>
        </x:is>
      </x:c>
      <x:c r="I86" s="94" t="inlineStr">
        <x:is>
          <x:t xml:space="preserve">Select playground manual verification.</x:t>
        </x:is>
      </x:c>
      <x:c r="J86" s="94" t="n"/>
      <x:c r="K86" s="95" t="n">
        <x:f>IF(AND(E86="yes",F86="yes",H86="covered"),1,IF(H86="partial",0.5,0))</x:f>
        <x:v>1</x:v>
      </x:c>
    </x:row>
    <x:row r="87" s="51" customFormat="1" ht="15" customHeight="1">
      <x:c r="A87" s="93" t="n">
        <x:v>79</x:v>
      </x:c>
      <x:c r="B87" s="94" t="inlineStr">
        <x:is>
          <x:t xml:space="preserve">Public API</x:t>
        </x:is>
      </x:c>
      <x:c r="C87" s="94" t="inlineStr">
        <x:is>
          <x:t xml:space="preserve">Content/Listbox</x:t>
        </x:is>
      </x:c>
      <x:c r="D87" s="94" t="inlineStr">
        <x:is>
          <x:t xml:space="preserve">data-state open</x:t>
        </x:is>
      </x:c>
      <x:c r="E87" s="93" t="inlineStr">
        <x:is>
          <x:t xml:space="preserve">yes</x:t>
        </x:is>
      </x:c>
      <x:c r="F87" s="93" t="inlineStr">
        <x:is>
          <x:t xml:space="preserve">yes</x:t>
        </x:is>
      </x:c>
      <x:c r="G87" s="93" t="inlineStr">
        <x:is>
          <x:t xml:space="preserve">pass</x:t>
        </x:is>
      </x:c>
      <x:c r="H87" s="93" t="inlineStr">
        <x:is>
          <x:t xml:space="preserve">covered</x:t>
        </x:is>
      </x:c>
      <x:c r="I87" s="94" t="inlineStr">
        <x:is>
          <x:t xml:space="preserve">Select playground manual verification.</x:t>
        </x:is>
      </x:c>
      <x:c r="J87" s="94" t="n"/>
      <x:c r="K87" s="95" t="n">
        <x:f>IF(AND(E87="yes",F87="yes",H87="covered"),1,IF(H87="partial",0.5,0))</x:f>
        <x:v>1</x:v>
      </x:c>
    </x:row>
    <x:row r="88" s="51" customFormat="1" ht="15" customHeight="1">
      <x:c r="A88" s="93" t="n">
        <x:v>80</x:v>
      </x:c>
      <x:c r="B88" s="94" t="inlineStr">
        <x:is>
          <x:t xml:space="preserve">Public API</x:t>
        </x:is>
      </x:c>
      <x:c r="C88" s="94" t="inlineStr">
        <x:is>
          <x:t xml:space="preserve">Content/Listbox</x:t>
        </x:is>
      </x:c>
      <x:c r="D88" s="94" t="inlineStr">
        <x:is>
          <x:t xml:space="preserve">data-positioned</x:t>
        </x:is>
      </x:c>
      <x:c r="E88" s="93" t="inlineStr">
        <x:is>
          <x:t xml:space="preserve">yes</x:t>
        </x:is>
      </x:c>
      <x:c r="F88" s="93" t="inlineStr">
        <x:is>
          <x:t xml:space="preserve">yes</x:t>
        </x:is>
      </x:c>
      <x:c r="G88" s="93" t="inlineStr">
        <x:is>
          <x:t xml:space="preserve">pass</x:t>
        </x:is>
      </x:c>
      <x:c r="H88" s="93" t="inlineStr">
        <x:is>
          <x:t xml:space="preserve">covered</x:t>
        </x:is>
      </x:c>
      <x:c r="I88" s="94" t="inlineStr">
        <x:is>
          <x:t xml:space="preserve">Select playground manual verification.</x:t>
        </x:is>
      </x:c>
      <x:c r="J88" s="94" t="n"/>
      <x:c r="K88" s="95" t="n">
        <x:f>IF(AND(E88="yes",F88="yes",H88="covered"),1,IF(H88="partial",0.5,0))</x:f>
        <x:v>1</x:v>
      </x:c>
    </x:row>
    <x:row r="89" s="51" customFormat="1" ht="15" customHeight="1">
      <x:c r="A89" s="93" t="n">
        <x:v>81</x:v>
      </x:c>
      <x:c r="B89" s="94" t="inlineStr">
        <x:is>
          <x:t xml:space="preserve">Positioning</x:t>
        </x:is>
      </x:c>
      <x:c r="C89" s="94" t="inlineStr">
        <x:is>
          <x:t xml:space="preserve">Content/Listbox</x:t>
        </x:is>
      </x:c>
      <x:c r="D89" s="94" t="inlineStr">
        <x:is>
          <x:t xml:space="preserve">min width matches trigger</x:t>
        </x:is>
      </x:c>
      <x:c r="E89" s="93" t="inlineStr">
        <x:is>
          <x:t xml:space="preserve">yes</x:t>
        </x:is>
      </x:c>
      <x:c r="F89" s="93" t="inlineStr">
        <x:is>
          <x:t xml:space="preserve">yes</x:t>
        </x:is>
      </x:c>
      <x:c r="G89" s="93" t="inlineStr">
        <x:is>
          <x:t xml:space="preserve">pass</x:t>
        </x:is>
      </x:c>
      <x:c r="H89" s="93" t="inlineStr">
        <x:is>
          <x:t xml:space="preserve">covered</x:t>
        </x:is>
      </x:c>
      <x:c r="I89" s="94" t="inlineStr">
        <x:is>
          <x:t xml:space="preserve">Select playground manual verification.</x:t>
        </x:is>
      </x:c>
      <x:c r="J89" s="94" t="n"/>
      <x:c r="K89" s="95" t="n">
        <x:f>IF(AND(E89="yes",F89="yes",H89="covered"),1,IF(H89="partial",0.5,0))</x:f>
        <x:v>1</x:v>
      </x:c>
    </x:row>
    <x:row r="90" s="51" customFormat="1" ht="15" customHeight="1">
      <x:c r="A90" s="93" t="n">
        <x:v>82</x:v>
      </x:c>
      <x:c r="B90" s="94" t="inlineStr">
        <x:is>
          <x:t xml:space="preserve">Positioning</x:t>
        </x:is>
      </x:c>
      <x:c r="C90" s="94" t="inlineStr">
        <x:is>
          <x:t xml:space="preserve">Content/Listbox</x:t>
        </x:is>
      </x:c>
      <x:c r="D90" s="94" t="inlineStr">
        <x:is>
          <x:t xml:space="preserve">flips and shifts near the edge of the manually tested desktop layout viewport</x:t>
        </x:is>
      </x:c>
      <x:c r="E90" s="93" t="inlineStr">
        <x:is>
          <x:t xml:space="preserve">yes</x:t>
        </x:is>
      </x:c>
      <x:c r="F90" s="93" t="inlineStr">
        <x:is>
          <x:t xml:space="preserve">yes</x:t>
        </x:is>
      </x:c>
      <x:c r="G90" s="93" t="inlineStr">
        <x:is>
          <x:t xml:space="preserve">passed existing desktop browser/manual baseline; mobile device qualification not run</x:t>
        </x:is>
      </x:c>
      <x:c r="H90" s="93" t="inlineStr">
        <x:is>
          <x:t xml:space="preserve">covered</x:t>
        </x:is>
      </x:c>
      <x:c r="I90" s="94" t="inlineStr">
        <x:is>
          <x:t xml:space="preserve">Existing desktop browser/manual baseline; not real iOS Safari or Android Chrome evidence.</x:t>
        </x:is>
      </x:c>
      <x:c r="J90" s="94" t="n"/>
      <x:c r="K90" s="95" t="n">
        <x:f>IF(AND(E90="yes",F90="yes",H90="covered"),1,IF(H90="partial",0.5,0))</x:f>
        <x:v>1</x:v>
      </x:c>
    </x:row>
    <x:row r="91" s="51" customFormat="1" ht="15" customHeight="1">
      <x:c r="A91" s="93" t="n">
        <x:v>83</x:v>
      </x:c>
      <x:c r="B91" s="94" t="inlineStr">
        <x:is>
          <x:t xml:space="preserve">Interaction</x:t>
        </x:is>
      </x:c>
      <x:c r="C91" s="94" t="inlineStr">
        <x:is>
          <x:t xml:space="preserve">Content/Listbox</x:t>
        </x:is>
      </x:c>
      <x:c r="D91" s="94" t="inlineStr">
        <x:is>
          <x:t xml:space="preserve">outside pointer closes</x:t>
        </x:is>
      </x:c>
      <x:c r="E91" s="93" t="inlineStr">
        <x:is>
          <x:t xml:space="preserve">yes</x:t>
        </x:is>
      </x:c>
      <x:c r="F91" s="93" t="inlineStr">
        <x:is>
          <x:t xml:space="preserve">yes</x:t>
        </x:is>
      </x:c>
      <x:c r="G91" s="93" t="inlineStr">
        <x:is>
          <x:t xml:space="preserve">pass</x:t>
        </x:is>
      </x:c>
      <x:c r="H91" s="93" t="inlineStr">
        <x:is>
          <x:t xml:space="preserve">covered</x:t>
        </x:is>
      </x:c>
      <x:c r="I91" s="94" t="inlineStr">
        <x:is>
          <x:t xml:space="preserve">Select playground manual verification.</x:t>
        </x:is>
      </x:c>
      <x:c r="J91" s="94" t="n"/>
      <x:c r="K91" s="95" t="n">
        <x:f>IF(AND(E91="yes",F91="yes",H91="covered"),1,IF(H91="partial",0.5,0))</x:f>
        <x:v>1</x:v>
      </x:c>
    </x:row>
    <x:row r="92" s="51" customFormat="1" ht="15" customHeight="1">
      <x:c r="A92" s="93" t="n">
        <x:v>84</x:v>
      </x:c>
      <x:c r="B92" s="94" t="inlineStr">
        <x:is>
          <x:t xml:space="preserve">Interaction</x:t>
        </x:is>
      </x:c>
      <x:c r="C92" s="94" t="inlineStr">
        <x:is>
          <x:t xml:space="preserve">Content/Listbox</x:t>
        </x:is>
      </x:c>
      <x:c r="D92" s="94" t="inlineStr">
        <x:is>
          <x:t xml:space="preserve">inside click does not close unless selecting item</x:t>
        </x:is>
      </x:c>
      <x:c r="E92" s="93" t="inlineStr">
        <x:is>
          <x:t xml:space="preserve">yes</x:t>
        </x:is>
      </x:c>
      <x:c r="F92" s="93" t="inlineStr">
        <x:is>
          <x:t xml:space="preserve">yes</x:t>
        </x:is>
      </x:c>
      <x:c r="G92" s="93" t="inlineStr">
        <x:is>
          <x:t xml:space="preserve">pass</x:t>
        </x:is>
      </x:c>
      <x:c r="H92" s="93" t="inlineStr">
        <x:is>
          <x:t xml:space="preserve">covered</x:t>
        </x:is>
      </x:c>
      <x:c r="I92" s="94" t="inlineStr">
        <x:is>
          <x:t xml:space="preserve">Select playground manual verification.</x:t>
        </x:is>
      </x:c>
      <x:c r="J92" s="94" t="n"/>
      <x:c r="K92" s="95" t="n">
        <x:f>IF(AND(E92="yes",F92="yes",H92="covered"),1,IF(H92="partial",0.5,0))</x:f>
        <x:v>1</x:v>
      </x:c>
    </x:row>
    <x:row r="93" s="51" customFormat="1" ht="15" customHeight="1">
      <x:c r="A93" s="93" t="n">
        <x:v>85</x:v>
      </x:c>
      <x:c r="B93" s="94" t="inlineStr">
        <x:is>
          <x:t xml:space="preserve">Interaction</x:t>
        </x:is>
      </x:c>
      <x:c r="C93" s="94" t="inlineStr">
        <x:is>
          <x:t xml:space="preserve">Content/Listbox</x:t>
        </x:is>
      </x:c>
      <x:c r="D93" s="94" t="inlineStr">
        <x:is>
          <x:t xml:space="preserve">Escape closes from open listbox</x:t>
        </x:is>
      </x:c>
      <x:c r="E93" s="93" t="inlineStr">
        <x:is>
          <x:t xml:space="preserve">yes</x:t>
        </x:is>
      </x:c>
      <x:c r="F93" s="93" t="inlineStr">
        <x:is>
          <x:t xml:space="preserve">yes</x:t>
        </x:is>
      </x:c>
      <x:c r="G93" s="93" t="inlineStr">
        <x:is>
          <x:t xml:space="preserve">pass</x:t>
        </x:is>
      </x:c>
      <x:c r="H93" s="93" t="inlineStr">
        <x:is>
          <x:t xml:space="preserve">covered</x:t>
        </x:is>
      </x:c>
      <x:c r="I93" s="94" t="inlineStr">
        <x:is>
          <x:t xml:space="preserve">Select playground manual verification.</x:t>
        </x:is>
      </x:c>
      <x:c r="J93" s="94" t="n"/>
      <x:c r="K93" s="95" t="n">
        <x:f>IF(AND(E93="yes",F93="yes",H93="covered"),1,IF(H93="partial",0.5,0))</x:f>
        <x:v>1</x:v>
      </x:c>
    </x:row>
    <x:row r="94" s="51" customFormat="1" ht="45" customHeight="1">
      <x:c r="A94" s="93" t="n">
        <x:v>86</x:v>
      </x:c>
      <x:c r="B94" s="94" t="inlineStr">
        <x:is>
          <x:t xml:space="preserve">Interaction</x:t>
        </x:is>
      </x:c>
      <x:c r="C94" s="94" t="inlineStr">
        <x:is>
          <x:t xml:space="preserve">Content/Listbox</x:t>
        </x:is>
      </x:c>
      <x:c r="D94" s="94" t="inlineStr">
        <x:is>
          <x:t xml:space="preserve">highlighted item scrolls into view</x:t>
        </x:is>
      </x:c>
      <x:c r="E94" s="93" t="inlineStr">
        <x:is>
          <x:t xml:space="preserve">yes</x:t>
        </x:is>
      </x:c>
      <x:c r="F94" s="93" t="inlineStr">
        <x:is>
          <x:t xml:space="preserve">yes</x:t>
        </x:is>
      </x:c>
      <x:c r="G94" s="93" t="inlineStr">
        <x:is>
          <x:t xml:space="preserve">pass</x:t>
        </x:is>
      </x:c>
      <x:c r="H94" s="93" t="inlineStr">
        <x:is>
          <x:t xml:space="preserve">covered</x:t>
        </x:is>
      </x:c>
      <x:c r="I94" s="94" t="inlineStr">
        <x:is>
          <x:t xml:space="preserve">Select playground manual verification.</x:t>
        </x:is>
      </x:c>
      <x:c r="J94" s="94" t="n"/>
      <x:c r="K94" s="95" t="n">
        <x:f>IF(AND(E94="yes",F94="yes",H94="covered"),1,IF(H94="partial",0.5,0))</x:f>
        <x:v>1</x:v>
      </x:c>
    </x:row>
    <x:row r="95" s="51" customFormat="1" ht="15" customHeight="1">
      <x:c r="A95" s="93" t="n">
        <x:v>87</x:v>
      </x:c>
      <x:c r="B95" s="94" t="inlineStr">
        <x:is>
          <x:t xml:space="preserve">Refs</x:t>
        </x:is>
      </x:c>
      <x:c r="C95" s="94" t="inlineStr">
        <x:is>
          <x:t xml:space="preserve">Content/Listbox</x:t>
        </x:is>
      </x:c>
      <x:c r="D95" s="94" t="inlineStr">
        <x:is>
          <x:t xml:space="preserve">ref receives div</x:t>
        </x:is>
      </x:c>
      <x:c r="E95" s="93" t="inlineStr">
        <x:is>
          <x:t xml:space="preserve">yes</x:t>
        </x:is>
      </x:c>
      <x:c r="F95" s="93" t="inlineStr">
        <x:is>
          <x:t xml:space="preserve">yes</x:t>
        </x:is>
      </x:c>
      <x:c r="G95" s="93" t="inlineStr">
        <x:is>
          <x:t xml:space="preserve">pass</x:t>
        </x:is>
      </x:c>
      <x:c r="H95" s="93" t="inlineStr">
        <x:is>
          <x:t xml:space="preserve">covered</x:t>
        </x:is>
      </x:c>
      <x:c r="I95" s="94" t="inlineStr">
        <x:is>
          <x:t xml:space="preserve">Select playground manual verification.</x:t>
        </x:is>
      </x:c>
      <x:c r="J95" s="94" t="n"/>
      <x:c r="K95" s="95" t="n">
        <x:f>IF(AND(E95="yes",F95="yes",H95="covered"),1,IF(H95="partial",0.5,0))</x:f>
        <x:v>1</x:v>
      </x:c>
    </x:row>
    <x:row r="96" s="51" customFormat="1" ht="15" customHeight="1">
      <x:c r="A96" s="93" t="n">
        <x:v>88</x:v>
      </x:c>
      <x:c r="B96" s="94" t="inlineStr">
        <x:is>
          <x:t xml:space="preserve">Props</x:t>
        </x:is>
      </x:c>
      <x:c r="C96" s="94" t="inlineStr">
        <x:is>
          <x:t xml:space="preserve">Content/Listbox</x:t>
        </x:is>
      </x:c>
      <x:c r="D96" s="94" t="inlineStr">
        <x:is>
          <x:t xml:space="preserve">native div props passthrough</x:t>
        </x:is>
      </x:c>
      <x:c r="E96" s="93" t="inlineStr">
        <x:is>
          <x:t xml:space="preserve">yes</x:t>
        </x:is>
      </x:c>
      <x:c r="F96" s="93" t="inlineStr">
        <x:is>
          <x:t xml:space="preserve">yes</x:t>
        </x:is>
      </x:c>
      <x:c r="G96" s="93" t="inlineStr">
        <x:is>
          <x:t xml:space="preserve">pass</x:t>
        </x:is>
      </x:c>
      <x:c r="H96" s="93" t="inlineStr">
        <x:is>
          <x:t xml:space="preserve">covered</x:t>
        </x:is>
      </x:c>
      <x:c r="I96" s="94" t="inlineStr">
        <x:is>
          <x:t xml:space="preserve">Select playground manual verification.</x:t>
        </x:is>
      </x:c>
      <x:c r="J96" s="94" t="n"/>
      <x:c r="K96" s="95" t="n">
        <x:f>IF(AND(E96="yes",F96="yes",H96="covered"),1,IF(H96="partial",0.5,0))</x:f>
        <x:v>1</x:v>
      </x:c>
    </x:row>
    <x:row r="97" s="51" customFormat="1" ht="15" customHeight="1">
      <x:c r="A97" s="93" t="n">
        <x:v>89</x:v>
      </x:c>
      <x:c r="B97" s="94" t="inlineStr">
        <x:is>
          <x:t xml:space="preserve">Styling hooks</x:t>
        </x:is>
      </x:c>
      <x:c r="C97" s="94" t="inlineStr">
        <x:is>
          <x:t xml:space="preserve">Content/Listbox</x:t>
        </x:is>
      </x:c>
      <x:c r="D97" s="94" t="inlineStr">
        <x:is>
          <x:t xml:space="preserve">className passthrough</x:t>
        </x:is>
      </x:c>
      <x:c r="E97" s="93" t="inlineStr">
        <x:is>
          <x:t xml:space="preserve">yes</x:t>
        </x:is>
      </x:c>
      <x:c r="F97" s="93" t="inlineStr">
        <x:is>
          <x:t xml:space="preserve">yes</x:t>
        </x:is>
      </x:c>
      <x:c r="G97" s="93" t="inlineStr">
        <x:is>
          <x:t xml:space="preserve">pass</x:t>
        </x:is>
      </x:c>
      <x:c r="H97" s="93" t="inlineStr">
        <x:is>
          <x:t xml:space="preserve">covered</x:t>
        </x:is>
      </x:c>
      <x:c r="I97" s="94" t="inlineStr">
        <x:is>
          <x:t xml:space="preserve">Select playground manual verification.</x:t>
        </x:is>
      </x:c>
      <x:c r="J97" s="94" t="n"/>
      <x:c r="K97" s="95" t="n">
        <x:f>IF(AND(E97="yes",F97="yes",H97="covered"),1,IF(H97="partial",0.5,0))</x:f>
        <x:v>1</x:v>
      </x:c>
    </x:row>
    <x:row r="98" s="51" customFormat="1" ht="15" customHeight="1">
      <x:c r="A98" s="93" t="n">
        <x:v>90</x:v>
      </x:c>
      <x:c r="B98" s="94" t="inlineStr">
        <x:is>
          <x:t xml:space="preserve">Styling hooks</x:t>
        </x:is>
      </x:c>
      <x:c r="C98" s="94" t="inlineStr">
        <x:is>
          <x:t xml:space="preserve">Content/Listbox</x:t>
        </x:is>
      </x:c>
      <x:c r="D98" s="94" t="inlineStr">
        <x:is>
          <x:t xml:space="preserve">data-slot</x:t>
        </x:is>
      </x:c>
      <x:c r="E98" s="93" t="inlineStr">
        <x:is>
          <x:t xml:space="preserve">yes</x:t>
        </x:is>
      </x:c>
      <x:c r="F98" s="93" t="inlineStr">
        <x:is>
          <x:t xml:space="preserve">yes</x:t>
        </x:is>
      </x:c>
      <x:c r="G98" s="93" t="inlineStr">
        <x:is>
          <x:t xml:space="preserve">pass</x:t>
        </x:is>
      </x:c>
      <x:c r="H98" s="93" t="inlineStr">
        <x:is>
          <x:t xml:space="preserve">covered</x:t>
        </x:is>
      </x:c>
      <x:c r="I98" s="94" t="inlineStr">
        <x:is>
          <x:t xml:space="preserve">Select playground manual verification.</x:t>
        </x:is>
      </x:c>
      <x:c r="J98" s="94" t="n"/>
      <x:c r="K98" s="95" t="n">
        <x:f>IF(AND(E98="yes",F98="yes",H98="covered"),1,IF(H98="partial",0.5,0))</x:f>
        <x:v>1</x:v>
      </x:c>
    </x:row>
    <x:row r="99" s="51" customFormat="1" ht="45" customHeight="1">
      <x:c r="A99" s="93" t="n">
        <x:v>91</x:v>
      </x:c>
      <x:c r="B99" s="94" t="inlineStr">
        <x:is>
          <x:t xml:space="preserve">Public API</x:t>
        </x:is>
      </x:c>
      <x:c r="C99" s="94" t="inlineStr">
        <x:is>
          <x:t xml:space="preserve">Viewport</x:t>
        </x:is>
      </x:c>
      <x:c r="D99" s="94" t="inlineStr">
        <x:is>
          <x:t xml:space="preserve">renders item viewport</x:t>
        </x:is>
      </x:c>
      <x:c r="E99" s="93" t="inlineStr">
        <x:is>
          <x:t xml:space="preserve">yes</x:t>
        </x:is>
      </x:c>
      <x:c r="F99" s="93" t="inlineStr">
        <x:is>
          <x:t xml:space="preserve">yes</x:t>
        </x:is>
      </x:c>
      <x:c r="G99" s="93" t="inlineStr">
        <x:is>
          <x:t xml:space="preserve">pass</x:t>
        </x:is>
      </x:c>
      <x:c r="H99" s="93" t="inlineStr">
        <x:is>
          <x:t xml:space="preserve">covered</x:t>
        </x:is>
      </x:c>
      <x:c r="I99" s="94" t="inlineStr">
        <x:is>
          <x:t xml:space="preserve">Select playground manual verification.</x:t>
        </x:is>
      </x:c>
      <x:c r="J99" s="94" t="n"/>
      <x:c r="K99" s="95" t="n">
        <x:f>IF(AND(E99="yes",F99="yes",H99="covered"),1,IF(H99="partial",0.5,0))</x:f>
        <x:v>1</x:v>
      </x:c>
    </x:row>
    <x:row r="100" s="51" customFormat="1" ht="15" customHeight="1">
      <x:c r="A100" s="93" t="n">
        <x:v>92</x:v>
      </x:c>
      <x:c r="B100" s="94" t="inlineStr">
        <x:is>
          <x:t xml:space="preserve">Refs</x:t>
        </x:is>
      </x:c>
      <x:c r="C100" s="94" t="inlineStr">
        <x:is>
          <x:t xml:space="preserve">Viewport</x:t>
        </x:is>
      </x:c>
      <x:c r="D100" s="94" t="inlineStr">
        <x:is>
          <x:t xml:space="preserve">ref receives div</x:t>
        </x:is>
      </x:c>
      <x:c r="E100" s="93" t="inlineStr">
        <x:is>
          <x:t xml:space="preserve">yes</x:t>
        </x:is>
      </x:c>
      <x:c r="F100" s="93" t="inlineStr">
        <x:is>
          <x:t xml:space="preserve">yes</x:t>
        </x:is>
      </x:c>
      <x:c r="G100" s="93" t="inlineStr">
        <x:is>
          <x:t xml:space="preserve">pass</x:t>
        </x:is>
      </x:c>
      <x:c r="H100" s="93" t="inlineStr">
        <x:is>
          <x:t xml:space="preserve">covered</x:t>
        </x:is>
      </x:c>
      <x:c r="I100" s="94" t="inlineStr">
        <x:is>
          <x:t xml:space="preserve">Select playground manual verification.</x:t>
        </x:is>
      </x:c>
      <x:c r="J100" s="94" t="n"/>
      <x:c r="K100" s="95" t="n">
        <x:f>IF(AND(E100="yes",F100="yes",H100="covered"),1,IF(H100="partial",0.5,0))</x:f>
        <x:v>1</x:v>
      </x:c>
    </x:row>
    <x:row r="101" s="51" customFormat="1" ht="15" customHeight="1">
      <x:c r="A101" s="93" t="n">
        <x:v>93</x:v>
      </x:c>
      <x:c r="B101" s="94" t="inlineStr">
        <x:is>
          <x:t xml:space="preserve">Props</x:t>
        </x:is>
      </x:c>
      <x:c r="C101" s="94" t="inlineStr">
        <x:is>
          <x:t xml:space="preserve">Viewport</x:t>
        </x:is>
      </x:c>
      <x:c r="D101" s="94" t="inlineStr">
        <x:is>
          <x:t xml:space="preserve">native div props passthrough</x:t>
        </x:is>
      </x:c>
      <x:c r="E101" s="93" t="inlineStr">
        <x:is>
          <x:t xml:space="preserve">yes</x:t>
        </x:is>
      </x:c>
      <x:c r="F101" s="93" t="inlineStr">
        <x:is>
          <x:t xml:space="preserve">yes</x:t>
        </x:is>
      </x:c>
      <x:c r="G101" s="93" t="inlineStr">
        <x:is>
          <x:t xml:space="preserve">pass</x:t>
        </x:is>
      </x:c>
      <x:c r="H101" s="93" t="inlineStr">
        <x:is>
          <x:t xml:space="preserve">covered</x:t>
        </x:is>
      </x:c>
      <x:c r="I101" s="94" t="inlineStr">
        <x:is>
          <x:t xml:space="preserve">Select playground manual verification.</x:t>
        </x:is>
      </x:c>
      <x:c r="J101" s="94" t="n"/>
      <x:c r="K101" s="95" t="n">
        <x:f>IF(AND(E101="yes",F101="yes",H101="covered"),1,IF(H101="partial",0.5,0))</x:f>
        <x:v>1</x:v>
      </x:c>
    </x:row>
    <x:row r="102" s="51" customFormat="1" ht="15" customHeight="1">
      <x:c r="A102" s="93" t="n">
        <x:v>94</x:v>
      </x:c>
      <x:c r="B102" s="94" t="inlineStr">
        <x:is>
          <x:t xml:space="preserve">Styling hooks</x:t>
        </x:is>
      </x:c>
      <x:c r="C102" s="94" t="inlineStr">
        <x:is>
          <x:t xml:space="preserve">Viewport</x:t>
        </x:is>
      </x:c>
      <x:c r="D102" s="94" t="inlineStr">
        <x:is>
          <x:t xml:space="preserve">data-slot</x:t>
        </x:is>
      </x:c>
      <x:c r="E102" s="93" t="inlineStr">
        <x:is>
          <x:t xml:space="preserve">yes</x:t>
        </x:is>
      </x:c>
      <x:c r="F102" s="93" t="inlineStr">
        <x:is>
          <x:t xml:space="preserve">yes</x:t>
        </x:is>
      </x:c>
      <x:c r="G102" s="93" t="inlineStr">
        <x:is>
          <x:t xml:space="preserve">pass</x:t>
        </x:is>
      </x:c>
      <x:c r="H102" s="93" t="inlineStr">
        <x:is>
          <x:t xml:space="preserve">covered</x:t>
        </x:is>
      </x:c>
      <x:c r="I102" s="94" t="inlineStr">
        <x:is>
          <x:t xml:space="preserve">Select playground manual verification.</x:t>
        </x:is>
      </x:c>
      <x:c r="J102" s="94" t="n"/>
      <x:c r="K102" s="95" t="n">
        <x:f>IF(AND(E102="yes",F102="yes",H102="covered"),1,IF(H102="partial",0.5,0))</x:f>
        <x:v>1</x:v>
      </x:c>
    </x:row>
    <x:row r="103" s="51" customFormat="1" ht="15" customHeight="1">
      <x:c r="A103" s="93" t="n">
        <x:v>95</x:v>
      </x:c>
      <x:c r="B103" s="94" t="inlineStr">
        <x:is>
          <x:t xml:space="preserve">Public API</x:t>
        </x:is>
      </x:c>
      <x:c r="C103" s="94" t="inlineStr">
        <x:is>
          <x:t xml:space="preserve">Group</x:t>
        </x:is>
      </x:c>
      <x:c r="D103" s="94" t="inlineStr">
        <x:is>
          <x:t xml:space="preserve">renders group role</x:t>
        </x:is>
      </x:c>
      <x:c r="E103" s="93" t="inlineStr">
        <x:is>
          <x:t xml:space="preserve">yes</x:t>
        </x:is>
      </x:c>
      <x:c r="F103" s="93" t="inlineStr">
        <x:is>
          <x:t xml:space="preserve">yes</x:t>
        </x:is>
      </x:c>
      <x:c r="G103" s="93" t="inlineStr">
        <x:is>
          <x:t xml:space="preserve">pass</x:t>
        </x:is>
      </x:c>
      <x:c r="H103" s="93" t="inlineStr">
        <x:is>
          <x:t xml:space="preserve">covered</x:t>
        </x:is>
      </x:c>
      <x:c r="I103" s="94" t="inlineStr">
        <x:is>
          <x:t xml:space="preserve">Select playground manual verification.</x:t>
        </x:is>
      </x:c>
      <x:c r="J103" s="94" t="n"/>
      <x:c r="K103" s="95" t="n">
        <x:f>IF(AND(E103="yes",F103="yes",H103="covered"),1,IF(H103="partial",0.5,0))</x:f>
        <x:v>1</x:v>
      </x:c>
    </x:row>
    <x:row r="104" s="51" customFormat="1" ht="45" customHeight="1">
      <x:c r="A104" s="93" t="n">
        <x:v>96</x:v>
      </x:c>
      <x:c r="B104" s="94" t="inlineStr">
        <x:is>
          <x:t xml:space="preserve">Public API</x:t>
        </x:is>
      </x:c>
      <x:c r="C104" s="94" t="inlineStr">
        <x:is>
          <x:t xml:space="preserve">Group</x:t>
        </x:is>
      </x:c>
      <x:c r="D104" s="94" t="inlineStr">
        <x:is>
          <x:t xml:space="preserve">aria-labelledby matches Label</x:t>
        </x:is>
      </x:c>
      <x:c r="E104" s="93" t="inlineStr">
        <x:is>
          <x:t xml:space="preserve">yes</x:t>
        </x:is>
      </x:c>
      <x:c r="F104" s="93" t="inlineStr">
        <x:is>
          <x:t xml:space="preserve">yes</x:t>
        </x:is>
      </x:c>
      <x:c r="G104" s="93" t="inlineStr">
        <x:is>
          <x:t xml:space="preserve">pass</x:t>
        </x:is>
      </x:c>
      <x:c r="H104" s="93" t="inlineStr">
        <x:is>
          <x:t xml:space="preserve">covered</x:t>
        </x:is>
      </x:c>
      <x:c r="I104" s="94" t="inlineStr">
        <x:is>
          <x:t xml:space="preserve">Select playground manual verification.</x:t>
        </x:is>
      </x:c>
      <x:c r="J104" s="94" t="n"/>
      <x:c r="K104" s="95" t="n">
        <x:f>IF(AND(E104="yes",F104="yes",H104="covered"),1,IF(H104="partial",0.5,0))</x:f>
        <x:v>1</x:v>
      </x:c>
    </x:row>
    <x:row r="105" s="51" customFormat="1" ht="15" customHeight="1">
      <x:c r="A105" s="93" t="n">
        <x:v>97</x:v>
      </x:c>
      <x:c r="B105" s="94" t="inlineStr">
        <x:is>
          <x:t xml:space="preserve">Refs</x:t>
        </x:is>
      </x:c>
      <x:c r="C105" s="94" t="inlineStr">
        <x:is>
          <x:t xml:space="preserve">Group</x:t>
        </x:is>
      </x:c>
      <x:c r="D105" s="94" t="inlineStr">
        <x:is>
          <x:t xml:space="preserve">ref receives div</x:t>
        </x:is>
      </x:c>
      <x:c r="E105" s="93" t="inlineStr">
        <x:is>
          <x:t xml:space="preserve">yes</x:t>
        </x:is>
      </x:c>
      <x:c r="F105" s="93" t="inlineStr">
        <x:is>
          <x:t xml:space="preserve">yes</x:t>
        </x:is>
      </x:c>
      <x:c r="G105" s="93" t="inlineStr">
        <x:is>
          <x:t xml:space="preserve">pass</x:t>
        </x:is>
      </x:c>
      <x:c r="H105" s="93" t="inlineStr">
        <x:is>
          <x:t xml:space="preserve">covered</x:t>
        </x:is>
      </x:c>
      <x:c r="I105" s="94" t="inlineStr">
        <x:is>
          <x:t xml:space="preserve">Select playground manual verification.</x:t>
        </x:is>
      </x:c>
      <x:c r="J105" s="94" t="n"/>
      <x:c r="K105" s="95" t="n">
        <x:f>IF(AND(E105="yes",F105="yes",H105="covered"),1,IF(H105="partial",0.5,0))</x:f>
        <x:v>1</x:v>
      </x:c>
    </x:row>
    <x:row r="106" s="51" customFormat="1" ht="15" customHeight="1">
      <x:c r="A106" s="93" t="n">
        <x:v>98</x:v>
      </x:c>
      <x:c r="B106" s="94" t="inlineStr">
        <x:is>
          <x:t xml:space="preserve">Props</x:t>
        </x:is>
      </x:c>
      <x:c r="C106" s="94" t="inlineStr">
        <x:is>
          <x:t xml:space="preserve">Group</x:t>
        </x:is>
      </x:c>
      <x:c r="D106" s="94" t="inlineStr">
        <x:is>
          <x:t xml:space="preserve">native div props passthrough</x:t>
        </x:is>
      </x:c>
      <x:c r="E106" s="93" t="inlineStr">
        <x:is>
          <x:t xml:space="preserve">yes</x:t>
        </x:is>
      </x:c>
      <x:c r="F106" s="93" t="inlineStr">
        <x:is>
          <x:t xml:space="preserve">yes</x:t>
        </x:is>
      </x:c>
      <x:c r="G106" s="93" t="inlineStr">
        <x:is>
          <x:t xml:space="preserve">pass</x:t>
        </x:is>
      </x:c>
      <x:c r="H106" s="93" t="inlineStr">
        <x:is>
          <x:t xml:space="preserve">covered</x:t>
        </x:is>
      </x:c>
      <x:c r="I106" s="94" t="inlineStr">
        <x:is>
          <x:t xml:space="preserve">Select playground manual verification.</x:t>
        </x:is>
      </x:c>
      <x:c r="J106" s="94" t="n"/>
      <x:c r="K106" s="95" t="n">
        <x:f>IF(AND(E106="yes",F106="yes",H106="covered"),1,IF(H106="partial",0.5,0))</x:f>
        <x:v>1</x:v>
      </x:c>
    </x:row>
    <x:row r="107" s="51" customFormat="1" ht="15" customHeight="1">
      <x:c r="A107" s="93" t="n">
        <x:v>99</x:v>
      </x:c>
      <x:c r="B107" s="94" t="inlineStr">
        <x:is>
          <x:t xml:space="preserve">Styling hooks</x:t>
        </x:is>
      </x:c>
      <x:c r="C107" s="94" t="inlineStr">
        <x:is>
          <x:t xml:space="preserve">Group</x:t>
        </x:is>
      </x:c>
      <x:c r="D107" s="94" t="inlineStr">
        <x:is>
          <x:t xml:space="preserve">data-slot</x:t>
        </x:is>
      </x:c>
      <x:c r="E107" s="93" t="inlineStr">
        <x:is>
          <x:t xml:space="preserve">yes</x:t>
        </x:is>
      </x:c>
      <x:c r="F107" s="93" t="inlineStr">
        <x:is>
          <x:t xml:space="preserve">yes</x:t>
        </x:is>
      </x:c>
      <x:c r="G107" s="93" t="inlineStr">
        <x:is>
          <x:t xml:space="preserve">pass</x:t>
        </x:is>
      </x:c>
      <x:c r="H107" s="93" t="inlineStr">
        <x:is>
          <x:t xml:space="preserve">covered</x:t>
        </x:is>
      </x:c>
      <x:c r="I107" s="94" t="inlineStr">
        <x:is>
          <x:t xml:space="preserve">Select playground manual verification.</x:t>
        </x:is>
      </x:c>
      <x:c r="J107" s="94" t="n"/>
      <x:c r="K107" s="95" t="n">
        <x:f>IF(AND(E107="yes",F107="yes",H107="covered"),1,IF(H107="partial",0.5,0))</x:f>
        <x:v>1</x:v>
      </x:c>
    </x:row>
    <x:row r="108" s="51" customFormat="1" ht="15" customHeight="1">
      <x:c r="A108" s="93" t="n">
        <x:v>100</x:v>
      </x:c>
      <x:c r="B108" s="94" t="inlineStr">
        <x:is>
          <x:t xml:space="preserve">Public API</x:t>
        </x:is>
      </x:c>
      <x:c r="C108" s="94" t="inlineStr">
        <x:is>
          <x:t xml:space="preserve">Label</x:t>
        </x:is>
      </x:c>
      <x:c r="D108" s="94" t="inlineStr">
        <x:is>
          <x:t xml:space="preserve">renders group label</x:t>
        </x:is>
      </x:c>
      <x:c r="E108" s="93" t="inlineStr">
        <x:is>
          <x:t xml:space="preserve">yes</x:t>
        </x:is>
      </x:c>
      <x:c r="F108" s="93" t="inlineStr">
        <x:is>
          <x:t xml:space="preserve">yes</x:t>
        </x:is>
      </x:c>
      <x:c r="G108" s="93" t="inlineStr">
        <x:is>
          <x:t xml:space="preserve">pass</x:t>
        </x:is>
      </x:c>
      <x:c r="H108" s="93" t="inlineStr">
        <x:is>
          <x:t xml:space="preserve">covered</x:t>
        </x:is>
      </x:c>
      <x:c r="I108" s="94" t="inlineStr">
        <x:is>
          <x:t xml:space="preserve">Select playground manual verification.</x:t>
        </x:is>
      </x:c>
      <x:c r="J108" s="94" t="n"/>
      <x:c r="K108" s="95" t="n">
        <x:f>IF(AND(E108="yes",F108="yes",H108="covered"),1,IF(H108="partial",0.5,0))</x:f>
        <x:v>1</x:v>
      </x:c>
    </x:row>
    <x:row r="109" s="51" customFormat="1" ht="45" customHeight="1">
      <x:c r="A109" s="93" t="n">
        <x:v>101</x:v>
      </x:c>
      <x:c r="B109" s="94" t="inlineStr">
        <x:is>
          <x:t xml:space="preserve">Public API</x:t>
        </x:is>
      </x:c>
      <x:c r="C109" s="94" t="inlineStr">
        <x:is>
          <x:t xml:space="preserve">Label</x:t>
        </x:is>
      </x:c>
      <x:c r="D109" s="94" t="inlineStr">
        <x:is>
          <x:t xml:space="preserve">id registration</x:t>
        </x:is>
      </x:c>
      <x:c r="E109" s="93" t="inlineStr">
        <x:is>
          <x:t xml:space="preserve">yes</x:t>
        </x:is>
      </x:c>
      <x:c r="F109" s="93" t="inlineStr">
        <x:is>
          <x:t xml:space="preserve">yes</x:t>
        </x:is>
      </x:c>
      <x:c r="G109" s="93" t="inlineStr">
        <x:is>
          <x:t xml:space="preserve">pass</x:t>
        </x:is>
      </x:c>
      <x:c r="H109" s="93" t="inlineStr">
        <x:is>
          <x:t xml:space="preserve">covered</x:t>
        </x:is>
      </x:c>
      <x:c r="I109" s="94" t="inlineStr">
        <x:is>
          <x:t xml:space="preserve">Select playground manual verification.</x:t>
        </x:is>
      </x:c>
      <x:c r="J109" s="94" t="n"/>
      <x:c r="K109" s="95" t="n">
        <x:f>IF(AND(E109="yes",F109="yes",H109="covered"),1,IF(H109="partial",0.5,0))</x:f>
        <x:v>1</x:v>
      </x:c>
    </x:row>
    <x:row r="110" s="51" customFormat="1" ht="15" customHeight="1">
      <x:c r="A110" s="93" t="n">
        <x:v>102</x:v>
      </x:c>
      <x:c r="B110" s="94" t="inlineStr">
        <x:is>
          <x:t xml:space="preserve">Refs</x:t>
        </x:is>
      </x:c>
      <x:c r="C110" s="94" t="inlineStr">
        <x:is>
          <x:t xml:space="preserve">Label</x:t>
        </x:is>
      </x:c>
      <x:c r="D110" s="94" t="inlineStr">
        <x:is>
          <x:t xml:space="preserve">ref receives div</x:t>
        </x:is>
      </x:c>
      <x:c r="E110" s="93" t="inlineStr">
        <x:is>
          <x:t xml:space="preserve">yes</x:t>
        </x:is>
      </x:c>
      <x:c r="F110" s="93" t="inlineStr">
        <x:is>
          <x:t xml:space="preserve">yes</x:t>
        </x:is>
      </x:c>
      <x:c r="G110" s="93" t="inlineStr">
        <x:is>
          <x:t xml:space="preserve">pass</x:t>
        </x:is>
      </x:c>
      <x:c r="H110" s="93" t="inlineStr">
        <x:is>
          <x:t xml:space="preserve">covered</x:t>
        </x:is>
      </x:c>
      <x:c r="I110" s="94" t="inlineStr">
        <x:is>
          <x:t xml:space="preserve">Select playground manual verification.</x:t>
        </x:is>
      </x:c>
      <x:c r="J110" s="94" t="n"/>
      <x:c r="K110" s="95" t="n">
        <x:f>IF(AND(E110="yes",F110="yes",H110="covered"),1,IF(H110="partial",0.5,0))</x:f>
        <x:v>1</x:v>
      </x:c>
    </x:row>
    <x:row r="111" s="51" customFormat="1" ht="15" customHeight="1">
      <x:c r="A111" s="93" t="n">
        <x:v>103</x:v>
      </x:c>
      <x:c r="B111" s="94" t="inlineStr">
        <x:is>
          <x:t xml:space="preserve">Props</x:t>
        </x:is>
      </x:c>
      <x:c r="C111" s="94" t="inlineStr">
        <x:is>
          <x:t xml:space="preserve">Label</x:t>
        </x:is>
      </x:c>
      <x:c r="D111" s="94" t="inlineStr">
        <x:is>
          <x:t xml:space="preserve">native div props passthrough</x:t>
        </x:is>
      </x:c>
      <x:c r="E111" s="93" t="inlineStr">
        <x:is>
          <x:t xml:space="preserve">yes</x:t>
        </x:is>
      </x:c>
      <x:c r="F111" s="93" t="inlineStr">
        <x:is>
          <x:t xml:space="preserve">yes</x:t>
        </x:is>
      </x:c>
      <x:c r="G111" s="93" t="inlineStr">
        <x:is>
          <x:t xml:space="preserve">pass</x:t>
        </x:is>
      </x:c>
      <x:c r="H111" s="93" t="inlineStr">
        <x:is>
          <x:t xml:space="preserve">covered</x:t>
        </x:is>
      </x:c>
      <x:c r="I111" s="94" t="inlineStr">
        <x:is>
          <x:t xml:space="preserve">Select playground manual verification.</x:t>
        </x:is>
      </x:c>
      <x:c r="J111" s="94" t="n"/>
      <x:c r="K111" s="95" t="n">
        <x:f>IF(AND(E111="yes",F111="yes",H111="covered"),1,IF(H111="partial",0.5,0))</x:f>
        <x:v>1</x:v>
      </x:c>
    </x:row>
    <x:row r="112" s="51" customFormat="1" ht="15" customHeight="1">
      <x:c r="A112" s="93" t="n">
        <x:v>104</x:v>
      </x:c>
      <x:c r="B112" s="94" t="inlineStr">
        <x:is>
          <x:t xml:space="preserve">Styling hooks</x:t>
        </x:is>
      </x:c>
      <x:c r="C112" s="94" t="inlineStr">
        <x:is>
          <x:t xml:space="preserve">Label</x:t>
        </x:is>
      </x:c>
      <x:c r="D112" s="94" t="inlineStr">
        <x:is>
          <x:t xml:space="preserve">data-slot</x:t>
        </x:is>
      </x:c>
      <x:c r="E112" s="93" t="inlineStr">
        <x:is>
          <x:t xml:space="preserve">yes</x:t>
        </x:is>
      </x:c>
      <x:c r="F112" s="93" t="inlineStr">
        <x:is>
          <x:t xml:space="preserve">yes</x:t>
        </x:is>
      </x:c>
      <x:c r="G112" s="93" t="inlineStr">
        <x:is>
          <x:t xml:space="preserve">pass</x:t>
        </x:is>
      </x:c>
      <x:c r="H112" s="93" t="inlineStr">
        <x:is>
          <x:t xml:space="preserve">covered</x:t>
        </x:is>
      </x:c>
      <x:c r="I112" s="94" t="inlineStr">
        <x:is>
          <x:t xml:space="preserve">Select playground manual verification.</x:t>
        </x:is>
      </x:c>
      <x:c r="J112" s="94" t="n"/>
      <x:c r="K112" s="95" t="n">
        <x:f>IF(AND(E112="yes",F112="yes",H112="covered"),1,IF(H112="partial",0.5,0))</x:f>
        <x:v>1</x:v>
      </x:c>
    </x:row>
    <x:row r="113" s="51" customFormat="1" ht="15" customHeight="1">
      <x:c r="A113" s="93" t="n">
        <x:v>105</x:v>
      </x:c>
      <x:c r="B113" s="94" t="inlineStr">
        <x:is>
          <x:t xml:space="preserve">Public API</x:t>
        </x:is>
      </x:c>
      <x:c r="C113" s="94" t="inlineStr">
        <x:is>
          <x:t xml:space="preserve">Item</x:t>
        </x:is>
      </x:c>
      <x:c r="D113" s="94" t="inlineStr">
        <x:is>
          <x:t xml:space="preserve">renders option role</x:t>
        </x:is>
      </x:c>
      <x:c r="E113" s="93" t="inlineStr">
        <x:is>
          <x:t xml:space="preserve">yes</x:t>
        </x:is>
      </x:c>
      <x:c r="F113" s="93" t="inlineStr">
        <x:is>
          <x:t xml:space="preserve">yes</x:t>
        </x:is>
      </x:c>
      <x:c r="G113" s="93" t="inlineStr">
        <x:is>
          <x:t xml:space="preserve">pass</x:t>
        </x:is>
      </x:c>
      <x:c r="H113" s="93" t="inlineStr">
        <x:is>
          <x:t xml:space="preserve">covered</x:t>
        </x:is>
      </x:c>
      <x:c r="I113" s="94" t="inlineStr">
        <x:is>
          <x:t xml:space="preserve">Select playground manual verification.</x:t>
        </x:is>
      </x:c>
      <x:c r="J113" s="94" t="n"/>
      <x:c r="K113" s="95" t="n">
        <x:f>IF(AND(E113="yes",F113="yes",H113="covered"),1,IF(H113="partial",0.5,0))</x:f>
        <x:v>1</x:v>
      </x:c>
    </x:row>
    <x:row r="114" s="51" customFormat="1" ht="15" customHeight="1">
      <x:c r="A114" s="93" t="n">
        <x:v>106</x:v>
      </x:c>
      <x:c r="B114" s="94" t="inlineStr">
        <x:is>
          <x:t xml:space="preserve">Public API</x:t>
        </x:is>
      </x:c>
      <x:c r="C114" s="94" t="inlineStr">
        <x:is>
          <x:t xml:space="preserve">Item</x:t>
        </x:is>
      </x:c>
      <x:c r="D114" s="94" t="inlineStr">
        <x:is>
          <x:t xml:space="preserve">value is required identity</x:t>
        </x:is>
      </x:c>
      <x:c r="E114" s="93" t="inlineStr">
        <x:is>
          <x:t xml:space="preserve">yes</x:t>
        </x:is>
      </x:c>
      <x:c r="F114" s="93" t="inlineStr">
        <x:is>
          <x:t xml:space="preserve">yes</x:t>
        </x:is>
      </x:c>
      <x:c r="G114" s="93" t="inlineStr">
        <x:is>
          <x:t xml:space="preserve">pass</x:t>
        </x:is>
      </x:c>
      <x:c r="H114" s="93" t="inlineStr">
        <x:is>
          <x:t xml:space="preserve">covered</x:t>
        </x:is>
      </x:c>
      <x:c r="I114" s="94" t="inlineStr">
        <x:is>
          <x:t xml:space="preserve">Select playground manual verification.</x:t>
        </x:is>
      </x:c>
      <x:c r="J114" s="94" t="n"/>
      <x:c r="K114" s="95" t="n">
        <x:f>IF(AND(E114="yes",F114="yes",H114="covered"),1,IF(H114="partial",0.5,0))</x:f>
        <x:v>1</x:v>
      </x:c>
    </x:row>
    <x:row r="115" s="51" customFormat="1" ht="15" customHeight="1">
      <x:c r="A115" s="93" t="n">
        <x:v>107</x:v>
      </x:c>
      <x:c r="B115" s="94" t="inlineStr">
        <x:is>
          <x:t xml:space="preserve">Public API</x:t>
        </x:is>
      </x:c>
      <x:c r="C115" s="94" t="inlineStr">
        <x:is>
          <x:t xml:space="preserve">Item</x:t>
        </x:is>
      </x:c>
      <x:c r="D115" s="94" t="inlineStr">
        <x:is>
          <x:t xml:space="preserve">label prop controls typeahead/value display</x:t>
        </x:is>
      </x:c>
      <x:c r="E115" s="93" t="inlineStr">
        <x:is>
          <x:t xml:space="preserve">yes</x:t>
        </x:is>
      </x:c>
      <x:c r="F115" s="93" t="inlineStr">
        <x:is>
          <x:t xml:space="preserve">yes</x:t>
        </x:is>
      </x:c>
      <x:c r="G115" s="93" t="inlineStr">
        <x:is>
          <x:t xml:space="preserve">pass</x:t>
        </x:is>
      </x:c>
      <x:c r="H115" s="93" t="inlineStr">
        <x:is>
          <x:t xml:space="preserve">covered</x:t>
        </x:is>
      </x:c>
      <x:c r="I115" s="94" t="inlineStr">
        <x:is>
          <x:t xml:space="preserve">Select playground manual verification.</x:t>
        </x:is>
      </x:c>
      <x:c r="J115" s="94" t="n"/>
      <x:c r="K115" s="95" t="n">
        <x:f>IF(AND(E115="yes",F115="yes",H115="covered"),1,IF(H115="partial",0.5,0))</x:f>
        <x:v>1</x:v>
      </x:c>
    </x:row>
    <x:row r="116" s="51" customFormat="1" ht="15" customHeight="1">
      <x:c r="A116" s="93" t="n">
        <x:v>108</x:v>
      </x:c>
      <x:c r="B116" s="94" t="inlineStr">
        <x:is>
          <x:t xml:space="preserve">Public API</x:t>
        </x:is>
      </x:c>
      <x:c r="C116" s="94" t="inlineStr">
        <x:is>
          <x:t xml:space="preserve">Item</x:t>
        </x:is>
      </x:c>
      <x:c r="D116" s="94" t="inlineStr">
        <x:is>
          <x:t xml:space="preserve">selected item aria-selected</x:t>
        </x:is>
      </x:c>
      <x:c r="E116" s="93" t="inlineStr">
        <x:is>
          <x:t xml:space="preserve">yes</x:t>
        </x:is>
      </x:c>
      <x:c r="F116" s="93" t="inlineStr">
        <x:is>
          <x:t xml:space="preserve">yes</x:t>
        </x:is>
      </x:c>
      <x:c r="G116" s="93" t="inlineStr">
        <x:is>
          <x:t xml:space="preserve">pass</x:t>
        </x:is>
      </x:c>
      <x:c r="H116" s="93" t="inlineStr">
        <x:is>
          <x:t xml:space="preserve">covered</x:t>
        </x:is>
      </x:c>
      <x:c r="I116" s="94" t="inlineStr">
        <x:is>
          <x:t xml:space="preserve">Select playground manual verification.</x:t>
        </x:is>
      </x:c>
      <x:c r="J116" s="94" t="n"/>
      <x:c r="K116" s="95" t="n">
        <x:f>IF(AND(E116="yes",F116="yes",H116="covered"),1,IF(H116="partial",0.5,0))</x:f>
        <x:v>1</x:v>
      </x:c>
    </x:row>
    <x:row r="117" s="51" customFormat="1" ht="15" customHeight="1">
      <x:c r="A117" s="93" t="n">
        <x:v>109</x:v>
      </x:c>
      <x:c r="B117" s="94" t="inlineStr">
        <x:is>
          <x:t xml:space="preserve">Public API</x:t>
        </x:is>
      </x:c>
      <x:c r="C117" s="94" t="inlineStr">
        <x:is>
          <x:t xml:space="preserve">Item</x:t>
        </x:is>
      </x:c>
      <x:c r="D117" s="94" t="inlineStr">
        <x:is>
          <x:t xml:space="preserve">data-state checked/unchecked</x:t>
        </x:is>
      </x:c>
      <x:c r="E117" s="93" t="inlineStr">
        <x:is>
          <x:t xml:space="preserve">yes</x:t>
        </x:is>
      </x:c>
      <x:c r="F117" s="93" t="inlineStr">
        <x:is>
          <x:t xml:space="preserve">yes</x:t>
        </x:is>
      </x:c>
      <x:c r="G117" s="93" t="inlineStr">
        <x:is>
          <x:t xml:space="preserve">pass</x:t>
        </x:is>
      </x:c>
      <x:c r="H117" s="93" t="inlineStr">
        <x:is>
          <x:t xml:space="preserve">covered</x:t>
        </x:is>
      </x:c>
      <x:c r="I117" s="94" t="inlineStr">
        <x:is>
          <x:t xml:space="preserve">Select playground manual verification.</x:t>
        </x:is>
      </x:c>
      <x:c r="J117" s="94" t="n"/>
      <x:c r="K117" s="95" t="n">
        <x:f>IF(AND(E117="yes",F117="yes",H117="covered"),1,IF(H117="partial",0.5,0))</x:f>
        <x:v>1</x:v>
      </x:c>
    </x:row>
    <x:row r="118" s="51" customFormat="1" ht="15" customHeight="1">
      <x:c r="A118" s="93" t="n">
        <x:v>110</x:v>
      </x:c>
      <x:c r="B118" s="94" t="inlineStr">
        <x:is>
          <x:t xml:space="preserve">Public API</x:t>
        </x:is>
      </x:c>
      <x:c r="C118" s="94" t="inlineStr">
        <x:is>
          <x:t xml:space="preserve">Item</x:t>
        </x:is>
      </x:c>
      <x:c r="D118" s="94" t="inlineStr">
        <x:is>
          <x:t xml:space="preserve">disabled item aria-disabled/data-disabled</x:t>
        </x:is>
      </x:c>
      <x:c r="E118" s="93" t="inlineStr">
        <x:is>
          <x:t xml:space="preserve">yes</x:t>
        </x:is>
      </x:c>
      <x:c r="F118" s="93" t="inlineStr">
        <x:is>
          <x:t xml:space="preserve">yes</x:t>
        </x:is>
      </x:c>
      <x:c r="G118" s="93" t="inlineStr">
        <x:is>
          <x:t xml:space="preserve">pass</x:t>
        </x:is>
      </x:c>
      <x:c r="H118" s="93" t="inlineStr">
        <x:is>
          <x:t xml:space="preserve">covered</x:t>
        </x:is>
      </x:c>
      <x:c r="I118" s="94" t="inlineStr">
        <x:is>
          <x:t xml:space="preserve">Select playground manual verification.</x:t>
        </x:is>
      </x:c>
      <x:c r="J118" s="94" t="n"/>
      <x:c r="K118" s="95" t="n">
        <x:f>IF(AND(E118="yes",F118="yes",H118="covered"),1,IF(H118="partial",0.5,0))</x:f>
        <x:v>1</x:v>
      </x:c>
    </x:row>
    <x:row r="119" s="51" customFormat="1" ht="15" customHeight="1">
      <x:c r="A119" s="93" t="n">
        <x:v>111</x:v>
      </x:c>
      <x:c r="B119" s="94" t="inlineStr">
        <x:is>
          <x:t xml:space="preserve">Accessibility</x:t>
        </x:is>
      </x:c>
      <x:c r="C119" s="94" t="inlineStr">
        <x:is>
          <x:t xml:space="preserve">Item</x:t>
        </x:is>
      </x:c>
      <x:c r="D119" s="94" t="inlineStr">
        <x:is>
          <x:t xml:space="preserve">aria-labelledby appears after ItemText</x:t>
        </x:is>
      </x:c>
      <x:c r="E119" s="93" t="inlineStr">
        <x:is>
          <x:t xml:space="preserve">yes</x:t>
        </x:is>
      </x:c>
      <x:c r="F119" s="93" t="inlineStr">
        <x:is>
          <x:t xml:space="preserve">yes</x:t>
        </x:is>
      </x:c>
      <x:c r="G119" s="93" t="inlineStr">
        <x:is>
          <x:t xml:space="preserve">pass</x:t>
        </x:is>
      </x:c>
      <x:c r="H119" s="93" t="inlineStr">
        <x:is>
          <x:t xml:space="preserve">covered</x:t>
        </x:is>
      </x:c>
      <x:c r="I119" s="94" t="inlineStr">
        <x:is>
          <x:t xml:space="preserve">Select playground manual verification.</x:t>
        </x:is>
      </x:c>
      <x:c r="J119" s="94" t="n"/>
      <x:c r="K119" s="95" t="n">
        <x:f>IF(AND(E119="yes",F119="yes",H119="covered"),1,IF(H119="partial",0.5,0))</x:f>
        <x:v>1</x:v>
      </x:c>
    </x:row>
    <x:row r="120" s="51" customFormat="1" ht="15" customHeight="1">
      <x:c r="A120" s="93" t="n">
        <x:v>112</x:v>
      </x:c>
      <x:c r="B120" s="94" t="inlineStr">
        <x:is>
          <x:t xml:space="preserve">Accessibility</x:t>
        </x:is>
      </x:c>
      <x:c r="C120" s="94" t="inlineStr">
        <x:is>
          <x:t xml:space="preserve">Item</x:t>
        </x:is>
      </x:c>
      <x:c r="D120" s="94" t="inlineStr">
        <x:is>
          <x:t xml:space="preserve">omits aria-labelledby without ItemText</x:t>
        </x:is>
      </x:c>
      <x:c r="E120" s="93" t="inlineStr">
        <x:is>
          <x:t xml:space="preserve">yes</x:t>
        </x:is>
      </x:c>
      <x:c r="F120" s="93" t="inlineStr">
        <x:is>
          <x:t xml:space="preserve">yes</x:t>
        </x:is>
      </x:c>
      <x:c r="G120" s="93" t="inlineStr">
        <x:is>
          <x:t xml:space="preserve">pass</x:t>
        </x:is>
      </x:c>
      <x:c r="H120" s="93" t="inlineStr">
        <x:is>
          <x:t xml:space="preserve">covered</x:t>
        </x:is>
      </x:c>
      <x:c r="I120" s="94" t="inlineStr">
        <x:is>
          <x:t xml:space="preserve">Select playground manual verification.</x:t>
        </x:is>
      </x:c>
      <x:c r="J120" s="94" t="n"/>
      <x:c r="K120" s="95" t="n">
        <x:f>IF(AND(E120="yes",F120="yes",H120="covered"),1,IF(H120="partial",0.5,0))</x:f>
        <x:v>1</x:v>
      </x:c>
    </x:row>
    <x:row r="121" s="51" customFormat="1" ht="15" customHeight="1">
      <x:c r="A121" s="93" t="n">
        <x:v>113</x:v>
      </x:c>
      <x:c r="B121" s="94" t="inlineStr">
        <x:is>
          <x:t xml:space="preserve">Interaction</x:t>
        </x:is>
      </x:c>
      <x:c r="C121" s="94" t="inlineStr">
        <x:is>
          <x:t xml:space="preserve">Item</x:t>
        </x:is>
      </x:c>
      <x:c r="D121" s="94" t="inlineStr">
        <x:is>
          <x:t xml:space="preserve">click selects item</x:t>
        </x:is>
      </x:c>
      <x:c r="E121" s="93" t="inlineStr">
        <x:is>
          <x:t xml:space="preserve">yes</x:t>
        </x:is>
      </x:c>
      <x:c r="F121" s="93" t="inlineStr">
        <x:is>
          <x:t xml:space="preserve">yes</x:t>
        </x:is>
      </x:c>
      <x:c r="G121" s="93" t="inlineStr">
        <x:is>
          <x:t xml:space="preserve">pass</x:t>
        </x:is>
      </x:c>
      <x:c r="H121" s="93" t="inlineStr">
        <x:is>
          <x:t xml:space="preserve">covered</x:t>
        </x:is>
      </x:c>
      <x:c r="I121" s="94" t="inlineStr">
        <x:is>
          <x:t xml:space="preserve">Select playground manual verification.</x:t>
        </x:is>
      </x:c>
      <x:c r="J121" s="94" t="n"/>
      <x:c r="K121" s="95" t="n">
        <x:f>IF(AND(E121="yes",F121="yes",H121="covered"),1,IF(H121="partial",0.5,0))</x:f>
        <x:v>1</x:v>
      </x:c>
    </x:row>
    <x:row r="122" s="51" customFormat="1" ht="15" customHeight="1">
      <x:c r="A122" s="93" t="n">
        <x:v>114</x:v>
      </x:c>
      <x:c r="B122" s="94" t="inlineStr">
        <x:is>
          <x:t xml:space="preserve">Interaction</x:t>
        </x:is>
      </x:c>
      <x:c r="C122" s="94" t="inlineStr">
        <x:is>
          <x:t xml:space="preserve">Item</x:t>
        </x:is>
      </x:c>
      <x:c r="D122" s="94" t="inlineStr">
        <x:is>
          <x:t xml:space="preserve">click closes listbox</x:t>
        </x:is>
      </x:c>
      <x:c r="E122" s="93" t="inlineStr">
        <x:is>
          <x:t xml:space="preserve">yes</x:t>
        </x:is>
      </x:c>
      <x:c r="F122" s="93" t="inlineStr">
        <x:is>
          <x:t xml:space="preserve">yes</x:t>
        </x:is>
      </x:c>
      <x:c r="G122" s="93" t="inlineStr">
        <x:is>
          <x:t xml:space="preserve">pass</x:t>
        </x:is>
      </x:c>
      <x:c r="H122" s="93" t="inlineStr">
        <x:is>
          <x:t xml:space="preserve">covered</x:t>
        </x:is>
      </x:c>
      <x:c r="I122" s="94" t="inlineStr">
        <x:is>
          <x:t xml:space="preserve">Select playground manual verification.</x:t>
        </x:is>
      </x:c>
      <x:c r="J122" s="94" t="n"/>
      <x:c r="K122" s="95" t="n">
        <x:f>IF(AND(E122="yes",F122="yes",H122="covered"),1,IF(H122="partial",0.5,0))</x:f>
        <x:v>1</x:v>
      </x:c>
    </x:row>
    <x:row r="123" s="51" customFormat="1" ht="15" customHeight="1">
      <x:c r="A123" s="93" t="n">
        <x:v>115</x:v>
      </x:c>
      <x:c r="B123" s="94" t="inlineStr">
        <x:is>
          <x:t xml:space="preserve">Interaction</x:t>
        </x:is>
      </x:c>
      <x:c r="C123" s="94" t="inlineStr">
        <x:is>
          <x:t xml:space="preserve">Item</x:t>
        </x:is>
      </x:c>
      <x:c r="D123" s="94" t="inlineStr">
        <x:is>
          <x:t xml:space="preserve">click restores focus to trigger</x:t>
        </x:is>
      </x:c>
      <x:c r="E123" s="93" t="inlineStr">
        <x:is>
          <x:t xml:space="preserve">yes</x:t>
        </x:is>
      </x:c>
      <x:c r="F123" s="93" t="inlineStr">
        <x:is>
          <x:t xml:space="preserve">yes</x:t>
        </x:is>
      </x:c>
      <x:c r="G123" s="93" t="inlineStr">
        <x:is>
          <x:t xml:space="preserve">pass</x:t>
        </x:is>
      </x:c>
      <x:c r="H123" s="93" t="inlineStr">
        <x:is>
          <x:t xml:space="preserve">covered</x:t>
        </x:is>
      </x:c>
      <x:c r="I123" s="94" t="inlineStr">
        <x:is>
          <x:t xml:space="preserve">Select playground manual verification.</x:t>
        </x:is>
      </x:c>
      <x:c r="J123" s="94" t="n"/>
      <x:c r="K123" s="95" t="n">
        <x:f>IF(AND(E123="yes",F123="yes",H123="covered"),1,IF(H123="partial",0.5,0))</x:f>
        <x:v>1</x:v>
      </x:c>
    </x:row>
    <x:row r="124" s="51" customFormat="1" ht="15" customHeight="1">
      <x:c r="A124" s="93" t="n">
        <x:v>116</x:v>
      </x:c>
      <x:c r="B124" s="94" t="inlineStr">
        <x:is>
          <x:t xml:space="preserve">Interaction</x:t>
        </x:is>
      </x:c>
      <x:c r="C124" s="94" t="inlineStr">
        <x:is>
          <x:t xml:space="preserve">Item</x:t>
        </x:is>
      </x:c>
      <x:c r="D124" s="94" t="inlineStr">
        <x:is>
          <x:t xml:space="preserve">disabled item click is ignored</x:t>
        </x:is>
      </x:c>
      <x:c r="E124" s="93" t="inlineStr">
        <x:is>
          <x:t xml:space="preserve">yes</x:t>
        </x:is>
      </x:c>
      <x:c r="F124" s="93" t="inlineStr">
        <x:is>
          <x:t xml:space="preserve">yes</x:t>
        </x:is>
      </x:c>
      <x:c r="G124" s="93" t="inlineStr">
        <x:is>
          <x:t xml:space="preserve">pass</x:t>
        </x:is>
      </x:c>
      <x:c r="H124" s="93" t="inlineStr">
        <x:is>
          <x:t xml:space="preserve">covered</x:t>
        </x:is>
      </x:c>
      <x:c r="I124" s="94" t="inlineStr">
        <x:is>
          <x:t xml:space="preserve">Select playground manual verification.</x:t>
        </x:is>
      </x:c>
      <x:c r="J124" s="94" t="n"/>
      <x:c r="K124" s="95" t="n">
        <x:f>IF(AND(E124="yes",F124="yes",H124="covered"),1,IF(H124="partial",0.5,0))</x:f>
        <x:v>1</x:v>
      </x:c>
    </x:row>
    <x:row r="125" s="51" customFormat="1" ht="15" customHeight="1">
      <x:c r="A125" s="93" t="n">
        <x:v>117</x:v>
      </x:c>
      <x:c r="B125" s="94" t="inlineStr">
        <x:is>
          <x:t xml:space="preserve">Interaction</x:t>
        </x:is>
      </x:c>
      <x:c r="C125" s="94" t="inlineStr">
        <x:is>
          <x:t xml:space="preserve">Item</x:t>
        </x:is>
      </x:c>
      <x:c r="D125" s="94" t="inlineStr">
        <x:is>
          <x:t xml:space="preserve">pointer move highlights enabled item</x:t>
        </x:is>
      </x:c>
      <x:c r="E125" s="93" t="inlineStr">
        <x:is>
          <x:t xml:space="preserve">yes</x:t>
        </x:is>
      </x:c>
      <x:c r="F125" s="93" t="inlineStr">
        <x:is>
          <x:t xml:space="preserve">yes</x:t>
        </x:is>
      </x:c>
      <x:c r="G125" s="93" t="inlineStr">
        <x:is>
          <x:t xml:space="preserve">pass</x:t>
        </x:is>
      </x:c>
      <x:c r="H125" s="93" t="inlineStr">
        <x:is>
          <x:t xml:space="preserve">covered</x:t>
        </x:is>
      </x:c>
      <x:c r="I125" s="94" t="inlineStr">
        <x:is>
          <x:t xml:space="preserve">Select playground manual verification.</x:t>
        </x:is>
      </x:c>
      <x:c r="J125" s="94" t="n"/>
      <x:c r="K125" s="95" t="n">
        <x:f>IF(AND(E125="yes",F125="yes",H125="covered"),1,IF(H125="partial",0.5,0))</x:f>
        <x:v>1</x:v>
      </x:c>
    </x:row>
    <x:row r="126" s="51" customFormat="1" ht="15" customHeight="1">
      <x:c r="A126" s="93" t="n">
        <x:v>118</x:v>
      </x:c>
      <x:c r="B126" s="94" t="inlineStr">
        <x:is>
          <x:t xml:space="preserve">Interaction</x:t>
        </x:is>
      </x:c>
      <x:c r="C126" s="94" t="inlineStr">
        <x:is>
          <x:t xml:space="preserve">Item</x:t>
        </x:is>
      </x:c>
      <x:c r="D126" s="94" t="inlineStr">
        <x:is>
          <x:t xml:space="preserve">pointer leave clears highlight</x:t>
        </x:is>
      </x:c>
      <x:c r="E126" s="93" t="inlineStr">
        <x:is>
          <x:t xml:space="preserve">yes</x:t>
        </x:is>
      </x:c>
      <x:c r="F126" s="93" t="inlineStr">
        <x:is>
          <x:t xml:space="preserve">yes</x:t>
        </x:is>
      </x:c>
      <x:c r="G126" s="93" t="inlineStr">
        <x:is>
          <x:t xml:space="preserve">pass</x:t>
        </x:is>
      </x:c>
      <x:c r="H126" s="93" t="inlineStr">
        <x:is>
          <x:t xml:space="preserve">covered</x:t>
        </x:is>
      </x:c>
      <x:c r="I126" s="94" t="inlineStr">
        <x:is>
          <x:t xml:space="preserve">Select playground manual verification.</x:t>
        </x:is>
      </x:c>
      <x:c r="J126" s="94" t="n"/>
      <x:c r="K126" s="95" t="n">
        <x:f>IF(AND(E126="yes",F126="yes",H126="covered"),1,IF(H126="partial",0.5,0))</x:f>
        <x:v>1</x:v>
      </x:c>
    </x:row>
    <x:row r="127" s="51" customFormat="1" ht="15" customHeight="1">
      <x:c r="A127" s="93" t="n">
        <x:v>119</x:v>
      </x:c>
      <x:c r="B127" s="94" t="inlineStr">
        <x:is>
          <x:t xml:space="preserve">Composition</x:t>
        </x:is>
      </x:c>
      <x:c r="C127" s="94" t="inlineStr">
        <x:is>
          <x:t xml:space="preserve">Item</x:t>
        </x:is>
      </x:c>
      <x:c r="D127" s="94" t="inlineStr">
        <x:is>
          <x:t xml:space="preserve">merged onClick</x:t>
        </x:is>
      </x:c>
      <x:c r="E127" s="93" t="inlineStr">
        <x:is>
          <x:t xml:space="preserve">yes</x:t>
        </x:is>
      </x:c>
      <x:c r="F127" s="93" t="inlineStr">
        <x:is>
          <x:t xml:space="preserve">yes</x:t>
        </x:is>
      </x:c>
      <x:c r="G127" s="93" t="inlineStr">
        <x:is>
          <x:t xml:space="preserve">pass</x:t>
        </x:is>
      </x:c>
      <x:c r="H127" s="93" t="inlineStr">
        <x:is>
          <x:t xml:space="preserve">covered</x:t>
        </x:is>
      </x:c>
      <x:c r="I127" s="94" t="inlineStr">
        <x:is>
          <x:t xml:space="preserve">Select playground manual verification.</x:t>
        </x:is>
      </x:c>
      <x:c r="J127" s="94" t="n"/>
      <x:c r="K127" s="95" t="n">
        <x:f>IF(AND(E127="yes",F127="yes",H127="covered"),1,IF(H127="partial",0.5,0))</x:f>
        <x:v>1</x:v>
      </x:c>
    </x:row>
    <x:row r="128" s="51" customFormat="1" ht="15" customHeight="1">
      <x:c r="A128" s="93" t="n">
        <x:v>120</x:v>
      </x:c>
      <x:c r="B128" s="94" t="inlineStr">
        <x:is>
          <x:t xml:space="preserve">Composition</x:t>
        </x:is>
      </x:c>
      <x:c r="C128" s="94" t="inlineStr">
        <x:is>
          <x:t xml:space="preserve">Item</x:t>
        </x:is>
      </x:c>
      <x:c r="D128" s="94" t="inlineStr">
        <x:is>
          <x:t xml:space="preserve">merged onPointerMove</x:t>
        </x:is>
      </x:c>
      <x:c r="E128" s="93" t="inlineStr">
        <x:is>
          <x:t xml:space="preserve">yes</x:t>
        </x:is>
      </x:c>
      <x:c r="F128" s="93" t="inlineStr">
        <x:is>
          <x:t xml:space="preserve">yes</x:t>
        </x:is>
      </x:c>
      <x:c r="G128" s="93" t="inlineStr">
        <x:is>
          <x:t xml:space="preserve">pass</x:t>
        </x:is>
      </x:c>
      <x:c r="H128" s="93" t="inlineStr">
        <x:is>
          <x:t xml:space="preserve">covered</x:t>
        </x:is>
      </x:c>
      <x:c r="I128" s="94" t="inlineStr">
        <x:is>
          <x:t xml:space="preserve">Select playground manual verification.</x:t>
        </x:is>
      </x:c>
      <x:c r="J128" s="94" t="n"/>
      <x:c r="K128" s="95" t="n">
        <x:f>IF(AND(E128="yes",F128="yes",H128="covered"),1,IF(H128="partial",0.5,0))</x:f>
        <x:v>1</x:v>
      </x:c>
    </x:row>
    <x:row r="129" s="51" customFormat="1" ht="45" customHeight="1">
      <x:c r="A129" s="93" t="n">
        <x:v>121</x:v>
      </x:c>
      <x:c r="B129" s="94" t="inlineStr">
        <x:is>
          <x:t xml:space="preserve">Composition</x:t>
        </x:is>
      </x:c>
      <x:c r="C129" s="94" t="inlineStr">
        <x:is>
          <x:t xml:space="preserve">Item</x:t>
        </x:is>
      </x:c>
      <x:c r="D129" s="94" t="inlineStr">
        <x:is>
          <x:t xml:space="preserve">merged onPointerLeave</x:t>
        </x:is>
      </x:c>
      <x:c r="E129" s="93" t="inlineStr">
        <x:is>
          <x:t xml:space="preserve">yes</x:t>
        </x:is>
      </x:c>
      <x:c r="F129" s="93" t="inlineStr">
        <x:is>
          <x:t xml:space="preserve">yes</x:t>
        </x:is>
      </x:c>
      <x:c r="G129" s="93" t="inlineStr">
        <x:is>
          <x:t xml:space="preserve">pass</x:t>
        </x:is>
      </x:c>
      <x:c r="H129" s="93" t="inlineStr">
        <x:is>
          <x:t xml:space="preserve">covered</x:t>
        </x:is>
      </x:c>
      <x:c r="I129" s="94" t="inlineStr">
        <x:is>
          <x:t xml:space="preserve">Select playground manual verification.</x:t>
        </x:is>
      </x:c>
      <x:c r="J129" s="94" t="n"/>
      <x:c r="K129" s="95" t="n">
        <x:f>IF(AND(E129="yes",F129="yes",H129="covered"),1,IF(H129="partial",0.5,0))</x:f>
        <x:v>1</x:v>
      </x:c>
    </x:row>
    <x:row r="130" s="51" customFormat="1" ht="15" customHeight="1">
      <x:c r="A130" s="93" t="n">
        <x:v>122</x:v>
      </x:c>
      <x:c r="B130" s="94" t="inlineStr">
        <x:is>
          <x:t xml:space="preserve">Refs</x:t>
        </x:is>
      </x:c>
      <x:c r="C130" s="94" t="inlineStr">
        <x:is>
          <x:t xml:space="preserve">Item</x:t>
        </x:is>
      </x:c>
      <x:c r="D130" s="94" t="inlineStr">
        <x:is>
          <x:t xml:space="preserve">ref receives div</x:t>
        </x:is>
      </x:c>
      <x:c r="E130" s="93" t="inlineStr">
        <x:is>
          <x:t xml:space="preserve">yes</x:t>
        </x:is>
      </x:c>
      <x:c r="F130" s="93" t="inlineStr">
        <x:is>
          <x:t xml:space="preserve">yes</x:t>
        </x:is>
      </x:c>
      <x:c r="G130" s="93" t="inlineStr">
        <x:is>
          <x:t xml:space="preserve">pass</x:t>
        </x:is>
      </x:c>
      <x:c r="H130" s="93" t="inlineStr">
        <x:is>
          <x:t xml:space="preserve">covered</x:t>
        </x:is>
      </x:c>
      <x:c r="I130" s="94" t="inlineStr">
        <x:is>
          <x:t xml:space="preserve">Select playground manual verification.</x:t>
        </x:is>
      </x:c>
      <x:c r="J130" s="94" t="n"/>
      <x:c r="K130" s="95" t="n">
        <x:f>IF(AND(E130="yes",F130="yes",H130="covered"),1,IF(H130="partial",0.5,0))</x:f>
        <x:v>1</x:v>
      </x:c>
    </x:row>
    <x:row r="131" s="51" customFormat="1" ht="15" customHeight="1">
      <x:c r="A131" s="93" t="n">
        <x:v>123</x:v>
      </x:c>
      <x:c r="B131" s="94" t="inlineStr">
        <x:is>
          <x:t xml:space="preserve">Props</x:t>
        </x:is>
      </x:c>
      <x:c r="C131" s="94" t="inlineStr">
        <x:is>
          <x:t xml:space="preserve">Item</x:t>
        </x:is>
      </x:c>
      <x:c r="D131" s="94" t="inlineStr">
        <x:is>
          <x:t xml:space="preserve">native div props passthrough</x:t>
        </x:is>
      </x:c>
      <x:c r="E131" s="93" t="inlineStr">
        <x:is>
          <x:t xml:space="preserve">yes</x:t>
        </x:is>
      </x:c>
      <x:c r="F131" s="93" t="inlineStr">
        <x:is>
          <x:t xml:space="preserve">yes</x:t>
        </x:is>
      </x:c>
      <x:c r="G131" s="93" t="inlineStr">
        <x:is>
          <x:t xml:space="preserve">pass</x:t>
        </x:is>
      </x:c>
      <x:c r="H131" s="93" t="inlineStr">
        <x:is>
          <x:t xml:space="preserve">covered</x:t>
        </x:is>
      </x:c>
      <x:c r="I131" s="94" t="inlineStr">
        <x:is>
          <x:t xml:space="preserve">Select playground manual verification.</x:t>
        </x:is>
      </x:c>
      <x:c r="J131" s="94" t="n"/>
      <x:c r="K131" s="95" t="n">
        <x:f>IF(AND(E131="yes",F131="yes",H131="covered"),1,IF(H131="partial",0.5,0))</x:f>
        <x:v>1</x:v>
      </x:c>
    </x:row>
    <x:row r="132" s="51" customFormat="1" ht="15" customHeight="1">
      <x:c r="A132" s="93" t="n">
        <x:v>124</x:v>
      </x:c>
      <x:c r="B132" s="94" t="inlineStr">
        <x:is>
          <x:t xml:space="preserve">Styling hooks</x:t>
        </x:is>
      </x:c>
      <x:c r="C132" s="94" t="inlineStr">
        <x:is>
          <x:t xml:space="preserve">Item</x:t>
        </x:is>
      </x:c>
      <x:c r="D132" s="94" t="inlineStr">
        <x:is>
          <x:t xml:space="preserve">className passthrough</x:t>
        </x:is>
      </x:c>
      <x:c r="E132" s="93" t="inlineStr">
        <x:is>
          <x:t xml:space="preserve">yes</x:t>
        </x:is>
      </x:c>
      <x:c r="F132" s="93" t="inlineStr">
        <x:is>
          <x:t xml:space="preserve">yes</x:t>
        </x:is>
      </x:c>
      <x:c r="G132" s="93" t="inlineStr">
        <x:is>
          <x:t xml:space="preserve">pass</x:t>
        </x:is>
      </x:c>
      <x:c r="H132" s="93" t="inlineStr">
        <x:is>
          <x:t xml:space="preserve">covered</x:t>
        </x:is>
      </x:c>
      <x:c r="I132" s="94" t="inlineStr">
        <x:is>
          <x:t xml:space="preserve">Select playground manual verification.</x:t>
        </x:is>
      </x:c>
      <x:c r="J132" s="94" t="n"/>
      <x:c r="K132" s="95" t="n">
        <x:f>IF(AND(E132="yes",F132="yes",H132="covered"),1,IF(H132="partial",0.5,0))</x:f>
        <x:v>1</x:v>
      </x:c>
    </x:row>
    <x:row r="133" s="51" customFormat="1" ht="15" customHeight="1">
      <x:c r="A133" s="93" t="n">
        <x:v>125</x:v>
      </x:c>
      <x:c r="B133" s="94" t="inlineStr">
        <x:is>
          <x:t xml:space="preserve">Styling hooks</x:t>
        </x:is>
      </x:c>
      <x:c r="C133" s="94" t="inlineStr">
        <x:is>
          <x:t xml:space="preserve">Item</x:t>
        </x:is>
      </x:c>
      <x:c r="D133" s="94" t="inlineStr">
        <x:is>
          <x:t xml:space="preserve">data-highlighted</x:t>
        </x:is>
      </x:c>
      <x:c r="E133" s="93" t="inlineStr">
        <x:is>
          <x:t xml:space="preserve">yes</x:t>
        </x:is>
      </x:c>
      <x:c r="F133" s="93" t="inlineStr">
        <x:is>
          <x:t xml:space="preserve">yes</x:t>
        </x:is>
      </x:c>
      <x:c r="G133" s="93" t="inlineStr">
        <x:is>
          <x:t xml:space="preserve">pass</x:t>
        </x:is>
      </x:c>
      <x:c r="H133" s="93" t="inlineStr">
        <x:is>
          <x:t xml:space="preserve">covered</x:t>
        </x:is>
      </x:c>
      <x:c r="I133" s="94" t="inlineStr">
        <x:is>
          <x:t xml:space="preserve">Select playground manual verification.</x:t>
        </x:is>
      </x:c>
      <x:c r="J133" s="94" t="n"/>
      <x:c r="K133" s="95" t="n">
        <x:f>IF(AND(E133="yes",F133="yes",H133="covered"),1,IF(H133="partial",0.5,0))</x:f>
        <x:v>1</x:v>
      </x:c>
    </x:row>
    <x:row r="134" s="51" customFormat="1" ht="15" customHeight="1">
      <x:c r="A134" s="93" t="n">
        <x:v>126</x:v>
      </x:c>
      <x:c r="B134" s="94" t="inlineStr">
        <x:is>
          <x:t xml:space="preserve">Styling hooks</x:t>
        </x:is>
      </x:c>
      <x:c r="C134" s="94" t="inlineStr">
        <x:is>
          <x:t xml:space="preserve">Item</x:t>
        </x:is>
      </x:c>
      <x:c r="D134" s="94" t="inlineStr">
        <x:is>
          <x:t xml:space="preserve">data-value</x:t>
        </x:is>
      </x:c>
      <x:c r="E134" s="93" t="inlineStr">
        <x:is>
          <x:t xml:space="preserve">yes</x:t>
        </x:is>
      </x:c>
      <x:c r="F134" s="93" t="inlineStr">
        <x:is>
          <x:t xml:space="preserve">yes</x:t>
        </x:is>
      </x:c>
      <x:c r="G134" s="93" t="inlineStr">
        <x:is>
          <x:t xml:space="preserve">pass</x:t>
        </x:is>
      </x:c>
      <x:c r="H134" s="93" t="inlineStr">
        <x:is>
          <x:t xml:space="preserve">covered</x:t>
        </x:is>
      </x:c>
      <x:c r="I134" s="94" t="inlineStr">
        <x:is>
          <x:t xml:space="preserve">Select playground manual verification.</x:t>
        </x:is>
      </x:c>
      <x:c r="J134" s="94" t="n"/>
      <x:c r="K134" s="95" t="n">
        <x:f>IF(AND(E134="yes",F134="yes",H134="covered"),1,IF(H134="partial",0.5,0))</x:f>
        <x:v>1</x:v>
      </x:c>
    </x:row>
    <x:row r="135" s="51" customFormat="1" ht="15" customHeight="1">
      <x:c r="A135" s="93" t="n">
        <x:v>127</x:v>
      </x:c>
      <x:c r="B135" s="94" t="inlineStr">
        <x:is>
          <x:t xml:space="preserve">Styling hooks</x:t>
        </x:is>
      </x:c>
      <x:c r="C135" s="94" t="inlineStr">
        <x:is>
          <x:t xml:space="preserve">Item</x:t>
        </x:is>
      </x:c>
      <x:c r="D135" s="94" t="inlineStr">
        <x:is>
          <x:t xml:space="preserve">data-slot</x:t>
        </x:is>
      </x:c>
      <x:c r="E135" s="93" t="inlineStr">
        <x:is>
          <x:t xml:space="preserve">yes</x:t>
        </x:is>
      </x:c>
      <x:c r="F135" s="93" t="inlineStr">
        <x:is>
          <x:t xml:space="preserve">yes</x:t>
        </x:is>
      </x:c>
      <x:c r="G135" s="93" t="inlineStr">
        <x:is>
          <x:t xml:space="preserve">pass</x:t>
        </x:is>
      </x:c>
      <x:c r="H135" s="93" t="inlineStr">
        <x:is>
          <x:t xml:space="preserve">covered</x:t>
        </x:is>
      </x:c>
      <x:c r="I135" s="94" t="inlineStr">
        <x:is>
          <x:t xml:space="preserve">Select playground manual verification.</x:t>
        </x:is>
      </x:c>
      <x:c r="J135" s="94" t="n"/>
      <x:c r="K135" s="95" t="n">
        <x:f>IF(AND(E135="yes",F135="yes",H135="covered"),1,IF(H135="partial",0.5,0))</x:f>
        <x:v>1</x:v>
      </x:c>
    </x:row>
    <x:row r="136" s="51" customFormat="1" ht="15" customHeight="1">
      <x:c r="A136" s="93" t="n">
        <x:v>128</x:v>
      </x:c>
      <x:c r="B136" s="94" t="inlineStr">
        <x:is>
          <x:t xml:space="preserve">Public API</x:t>
        </x:is>
      </x:c>
      <x:c r="C136" s="94" t="inlineStr">
        <x:is>
          <x:t xml:space="preserve">ItemText</x:t>
        </x:is>
      </x:c>
      <x:c r="D136" s="94" t="inlineStr">
        <x:is>
          <x:t xml:space="preserve">registers item text</x:t>
        </x:is>
      </x:c>
      <x:c r="E136" s="93" t="inlineStr">
        <x:is>
          <x:t xml:space="preserve">yes</x:t>
        </x:is>
      </x:c>
      <x:c r="F136" s="93" t="inlineStr">
        <x:is>
          <x:t xml:space="preserve">yes</x:t>
        </x:is>
      </x:c>
      <x:c r="G136" s="93" t="inlineStr">
        <x:is>
          <x:t xml:space="preserve">pass</x:t>
        </x:is>
      </x:c>
      <x:c r="H136" s="93" t="inlineStr">
        <x:is>
          <x:t xml:space="preserve">covered</x:t>
        </x:is>
      </x:c>
      <x:c r="I136" s="94" t="inlineStr">
        <x:is>
          <x:t xml:space="preserve">Select playground manual verification.</x:t>
        </x:is>
      </x:c>
      <x:c r="J136" s="94" t="n"/>
      <x:c r="K136" s="95" t="n">
        <x:f>IF(AND(E136="yes",F136="yes",H136="covered"),1,IF(H136="partial",0.5,0))</x:f>
        <x:v>1</x:v>
      </x:c>
    </x:row>
    <x:row r="137" s="51" customFormat="1" ht="45" customHeight="1">
      <x:c r="A137" s="93" t="n">
        <x:v>129</x:v>
      </x:c>
      <x:c r="B137" s="94" t="inlineStr">
        <x:is>
          <x:t xml:space="preserve">Public API</x:t>
        </x:is>
      </x:c>
      <x:c r="C137" s="94" t="inlineStr">
        <x:is>
          <x:t xml:space="preserve">ItemText</x:t>
        </x:is>
      </x:c>
      <x:c r="D137" s="94" t="inlineStr">
        <x:is>
          <x:t xml:space="preserve">id used by item aria-labelledby</x:t>
        </x:is>
      </x:c>
      <x:c r="E137" s="93" t="inlineStr">
        <x:is>
          <x:t xml:space="preserve">yes</x:t>
        </x:is>
      </x:c>
      <x:c r="F137" s="93" t="inlineStr">
        <x:is>
          <x:t xml:space="preserve">yes</x:t>
        </x:is>
      </x:c>
      <x:c r="G137" s="93" t="inlineStr">
        <x:is>
          <x:t xml:space="preserve">pass</x:t>
        </x:is>
      </x:c>
      <x:c r="H137" s="93" t="inlineStr">
        <x:is>
          <x:t xml:space="preserve">covered</x:t>
        </x:is>
      </x:c>
      <x:c r="I137" s="94" t="inlineStr">
        <x:is>
          <x:t xml:space="preserve">Select playground manual verification.</x:t>
        </x:is>
      </x:c>
      <x:c r="J137" s="94" t="n"/>
      <x:c r="K137" s="95" t="n">
        <x:f>IF(AND(E137="yes",F137="yes",H137="covered"),1,IF(H137="partial",0.5,0))</x:f>
        <x:v>1</x:v>
      </x:c>
    </x:row>
    <x:row r="138" s="51" customFormat="1" ht="15" customHeight="1">
      <x:c r="A138" s="93" t="n">
        <x:v>130</x:v>
      </x:c>
      <x:c r="B138" s="94" t="inlineStr">
        <x:is>
          <x:t xml:space="preserve">Refs</x:t>
        </x:is>
      </x:c>
      <x:c r="C138" s="94" t="inlineStr">
        <x:is>
          <x:t xml:space="preserve">ItemText</x:t>
        </x:is>
      </x:c>
      <x:c r="D138" s="94" t="inlineStr">
        <x:is>
          <x:t xml:space="preserve">ref receives span</x:t>
        </x:is>
      </x:c>
      <x:c r="E138" s="93" t="inlineStr">
        <x:is>
          <x:t xml:space="preserve">yes</x:t>
        </x:is>
      </x:c>
      <x:c r="F138" s="93" t="inlineStr">
        <x:is>
          <x:t xml:space="preserve">yes</x:t>
        </x:is>
      </x:c>
      <x:c r="G138" s="93" t="inlineStr">
        <x:is>
          <x:t xml:space="preserve">pass</x:t>
        </x:is>
      </x:c>
      <x:c r="H138" s="93" t="inlineStr">
        <x:is>
          <x:t xml:space="preserve">covered</x:t>
        </x:is>
      </x:c>
      <x:c r="I138" s="94" t="inlineStr">
        <x:is>
          <x:t xml:space="preserve">Select playground manual verification.</x:t>
        </x:is>
      </x:c>
      <x:c r="J138" s="94" t="n"/>
      <x:c r="K138" s="95" t="n">
        <x:f>IF(AND(E138="yes",F138="yes",H138="covered"),1,IF(H138="partial",0.5,0))</x:f>
        <x:v>1</x:v>
      </x:c>
    </x:row>
    <x:row r="139" s="51" customFormat="1" ht="15" customHeight="1">
      <x:c r="A139" s="93" t="n">
        <x:v>131</x:v>
      </x:c>
      <x:c r="B139" s="94" t="inlineStr">
        <x:is>
          <x:t xml:space="preserve">Props</x:t>
        </x:is>
      </x:c>
      <x:c r="C139" s="94" t="inlineStr">
        <x:is>
          <x:t xml:space="preserve">ItemText</x:t>
        </x:is>
      </x:c>
      <x:c r="D139" s="94" t="inlineStr">
        <x:is>
          <x:t xml:space="preserve">native span props passthrough</x:t>
        </x:is>
      </x:c>
      <x:c r="E139" s="93" t="inlineStr">
        <x:is>
          <x:t xml:space="preserve">yes</x:t>
        </x:is>
      </x:c>
      <x:c r="F139" s="93" t="inlineStr">
        <x:is>
          <x:t xml:space="preserve">yes</x:t>
        </x:is>
      </x:c>
      <x:c r="G139" s="93" t="inlineStr">
        <x:is>
          <x:t xml:space="preserve">pass</x:t>
        </x:is>
      </x:c>
      <x:c r="H139" s="93" t="inlineStr">
        <x:is>
          <x:t xml:space="preserve">covered</x:t>
        </x:is>
      </x:c>
      <x:c r="I139" s="94" t="inlineStr">
        <x:is>
          <x:t xml:space="preserve">Select playground manual verification.</x:t>
        </x:is>
      </x:c>
      <x:c r="J139" s="94" t="n"/>
      <x:c r="K139" s="95" t="n">
        <x:f>IF(AND(E139="yes",F139="yes",H139="covered"),1,IF(H139="partial",0.5,0))</x:f>
        <x:v>1</x:v>
      </x:c>
    </x:row>
    <x:row r="140" s="51" customFormat="1" ht="15" customHeight="1">
      <x:c r="A140" s="93" t="n">
        <x:v>132</x:v>
      </x:c>
      <x:c r="B140" s="94" t="inlineStr">
        <x:is>
          <x:t xml:space="preserve">Styling hooks</x:t>
        </x:is>
      </x:c>
      <x:c r="C140" s="94" t="inlineStr">
        <x:is>
          <x:t xml:space="preserve">ItemText</x:t>
        </x:is>
      </x:c>
      <x:c r="D140" s="94" t="inlineStr">
        <x:is>
          <x:t xml:space="preserve">data-slot</x:t>
        </x:is>
      </x:c>
      <x:c r="E140" s="93" t="inlineStr">
        <x:is>
          <x:t xml:space="preserve">yes</x:t>
        </x:is>
      </x:c>
      <x:c r="F140" s="93" t="inlineStr">
        <x:is>
          <x:t xml:space="preserve">yes</x:t>
        </x:is>
      </x:c>
      <x:c r="G140" s="93" t="inlineStr">
        <x:is>
          <x:t xml:space="preserve">pass</x:t>
        </x:is>
      </x:c>
      <x:c r="H140" s="93" t="inlineStr">
        <x:is>
          <x:t xml:space="preserve">covered</x:t>
        </x:is>
      </x:c>
      <x:c r="I140" s="94" t="inlineStr">
        <x:is>
          <x:t xml:space="preserve">Select playground manual verification.</x:t>
        </x:is>
      </x:c>
      <x:c r="J140" s="94" t="n"/>
      <x:c r="K140" s="95" t="n">
        <x:f>IF(AND(E140="yes",F140="yes",H140="covered"),1,IF(H140="partial",0.5,0))</x:f>
        <x:v>1</x:v>
      </x:c>
    </x:row>
    <x:row r="141" s="51" customFormat="1" ht="15" customHeight="1">
      <x:c r="A141" s="93" t="n">
        <x:v>133</x:v>
      </x:c>
      <x:c r="B141" s="94" t="inlineStr">
        <x:is>
          <x:t xml:space="preserve">Public API</x:t>
        </x:is>
      </x:c>
      <x:c r="C141" s="94" t="inlineStr">
        <x:is>
          <x:t xml:space="preserve">ItemIndicator</x:t>
        </x:is>
      </x:c>
      <x:c r="D141" s="94" t="inlineStr">
        <x:is>
          <x:t xml:space="preserve">renders only when selected by default</x:t>
        </x:is>
      </x:c>
      <x:c r="E141" s="93" t="inlineStr">
        <x:is>
          <x:t xml:space="preserve">yes</x:t>
        </x:is>
      </x:c>
      <x:c r="F141" s="93" t="inlineStr">
        <x:is>
          <x:t xml:space="preserve">yes</x:t>
        </x:is>
      </x:c>
      <x:c r="G141" s="93" t="inlineStr">
        <x:is>
          <x:t xml:space="preserve">pass</x:t>
        </x:is>
      </x:c>
      <x:c r="H141" s="93" t="inlineStr">
        <x:is>
          <x:t xml:space="preserve">covered</x:t>
        </x:is>
      </x:c>
      <x:c r="I141" s="94" t="inlineStr">
        <x:is>
          <x:t xml:space="preserve">Select playground manual verification.</x:t>
        </x:is>
      </x:c>
      <x:c r="J141" s="94" t="n"/>
      <x:c r="K141" s="95" t="n">
        <x:f>IF(AND(E141="yes",F141="yes",H141="covered"),1,IF(H141="partial",0.5,0))</x:f>
        <x:v>1</x:v>
      </x:c>
    </x:row>
    <x:row r="142" s="51" customFormat="1" ht="15" customHeight="1">
      <x:c r="A142" s="93" t="n">
        <x:v>134</x:v>
      </x:c>
      <x:c r="B142" s="94" t="inlineStr">
        <x:is>
          <x:t xml:space="preserve">Public API</x:t>
        </x:is>
      </x:c>
      <x:c r="C142" s="94" t="inlineStr">
        <x:is>
          <x:t xml:space="preserve">ItemIndicator</x:t>
        </x:is>
      </x:c>
      <x:c r="D142" s="94" t="inlineStr">
        <x:is>
          <x:t xml:space="preserve">forceMount renders unchecked indicator</x:t>
        </x:is>
      </x:c>
      <x:c r="E142" s="93" t="inlineStr">
        <x:is>
          <x:t xml:space="preserve">yes</x:t>
        </x:is>
      </x:c>
      <x:c r="F142" s="93" t="inlineStr">
        <x:is>
          <x:t xml:space="preserve">yes</x:t>
        </x:is>
      </x:c>
      <x:c r="G142" s="93" t="inlineStr">
        <x:is>
          <x:t xml:space="preserve">pass</x:t>
        </x:is>
      </x:c>
      <x:c r="H142" s="93" t="inlineStr">
        <x:is>
          <x:t xml:space="preserve">covered</x:t>
        </x:is>
      </x:c>
      <x:c r="I142" s="94" t="inlineStr">
        <x:is>
          <x:t xml:space="preserve">Select playground manual verification.</x:t>
        </x:is>
      </x:c>
      <x:c r="J142" s="94" t="n"/>
      <x:c r="K142" s="95" t="n">
        <x:f>IF(AND(E142="yes",F142="yes",H142="covered"),1,IF(H142="partial",0.5,0))</x:f>
        <x:v>1</x:v>
      </x:c>
    </x:row>
    <x:row r="143" s="51" customFormat="1" ht="15" customHeight="1">
      <x:c r="A143" s="93" t="n">
        <x:v>135</x:v>
      </x:c>
      <x:c r="B143" s="94" t="inlineStr">
        <x:is>
          <x:t xml:space="preserve">Public API</x:t>
        </x:is>
      </x:c>
      <x:c r="C143" s="94" t="inlineStr">
        <x:is>
          <x:t xml:space="preserve">ItemIndicator</x:t>
        </x:is>
      </x:c>
      <x:c r="D143" s="94" t="inlineStr">
        <x:is>
          <x:t xml:space="preserve">data-state checked/unchecked</x:t>
        </x:is>
      </x:c>
      <x:c r="E143" s="93" t="inlineStr">
        <x:is>
          <x:t xml:space="preserve">yes</x:t>
        </x:is>
      </x:c>
      <x:c r="F143" s="93" t="inlineStr">
        <x:is>
          <x:t xml:space="preserve">yes</x:t>
        </x:is>
      </x:c>
      <x:c r="G143" s="93" t="inlineStr">
        <x:is>
          <x:t xml:space="preserve">pass</x:t>
        </x:is>
      </x:c>
      <x:c r="H143" s="93" t="inlineStr">
        <x:is>
          <x:t xml:space="preserve">covered</x:t>
        </x:is>
      </x:c>
      <x:c r="I143" s="94" t="inlineStr">
        <x:is>
          <x:t xml:space="preserve">Select playground manual verification.</x:t>
        </x:is>
      </x:c>
      <x:c r="J143" s="94" t="n"/>
      <x:c r="K143" s="95" t="n">
        <x:f>IF(AND(E143="yes",F143="yes",H143="covered"),1,IF(H143="partial",0.5,0))</x:f>
        <x:v>1</x:v>
      </x:c>
    </x:row>
    <x:row r="144" s="51" customFormat="1" ht="45" customHeight="1">
      <x:c r="A144" s="93" t="n">
        <x:v>136</x:v>
      </x:c>
      <x:c r="B144" s="94" t="inlineStr">
        <x:is>
          <x:t xml:space="preserve">Accessibility</x:t>
        </x:is>
      </x:c>
      <x:c r="C144" s="94" t="inlineStr">
        <x:is>
          <x:t xml:space="preserve">ItemIndicator</x:t>
        </x:is>
      </x:c>
      <x:c r="D144" s="94" t="inlineStr">
        <x:is>
          <x:t xml:space="preserve">aria-hidden</x:t>
        </x:is>
      </x:c>
      <x:c r="E144" s="93" t="inlineStr">
        <x:is>
          <x:t xml:space="preserve">yes</x:t>
        </x:is>
      </x:c>
      <x:c r="F144" s="93" t="inlineStr">
        <x:is>
          <x:t xml:space="preserve">yes</x:t>
        </x:is>
      </x:c>
      <x:c r="G144" s="93" t="inlineStr">
        <x:is>
          <x:t xml:space="preserve">pass</x:t>
        </x:is>
      </x:c>
      <x:c r="H144" s="93" t="inlineStr">
        <x:is>
          <x:t xml:space="preserve">covered</x:t>
        </x:is>
      </x:c>
      <x:c r="I144" s="94" t="inlineStr">
        <x:is>
          <x:t xml:space="preserve">Select playground manual verification.</x:t>
        </x:is>
      </x:c>
      <x:c r="J144" s="94" t="n"/>
      <x:c r="K144" s="95" t="n">
        <x:f>IF(AND(E144="yes",F144="yes",H144="covered"),1,IF(H144="partial",0.5,0))</x:f>
        <x:v>1</x:v>
      </x:c>
    </x:row>
    <x:row r="145" s="51" customFormat="1" ht="15" customHeight="1">
      <x:c r="A145" s="93" t="n">
        <x:v>137</x:v>
      </x:c>
      <x:c r="B145" s="94" t="inlineStr">
        <x:is>
          <x:t xml:space="preserve">Refs</x:t>
        </x:is>
      </x:c>
      <x:c r="C145" s="94" t="inlineStr">
        <x:is>
          <x:t xml:space="preserve">ItemIndicator</x:t>
        </x:is>
      </x:c>
      <x:c r="D145" s="94" t="inlineStr">
        <x:is>
          <x:t xml:space="preserve">ref receives span</x:t>
        </x:is>
      </x:c>
      <x:c r="E145" s="93" t="inlineStr">
        <x:is>
          <x:t xml:space="preserve">yes</x:t>
        </x:is>
      </x:c>
      <x:c r="F145" s="93" t="inlineStr">
        <x:is>
          <x:t xml:space="preserve">yes</x:t>
        </x:is>
      </x:c>
      <x:c r="G145" s="93" t="inlineStr">
        <x:is>
          <x:t xml:space="preserve">pass</x:t>
        </x:is>
      </x:c>
      <x:c r="H145" s="93" t="inlineStr">
        <x:is>
          <x:t xml:space="preserve">covered</x:t>
        </x:is>
      </x:c>
      <x:c r="I145" s="94" t="inlineStr">
        <x:is>
          <x:t xml:space="preserve">Select playground manual verification.</x:t>
        </x:is>
      </x:c>
      <x:c r="J145" s="94" t="n"/>
      <x:c r="K145" s="95" t="n">
        <x:f>IF(AND(E145="yes",F145="yes",H145="covered"),1,IF(H145="partial",0.5,0))</x:f>
        <x:v>1</x:v>
      </x:c>
    </x:row>
    <x:row r="146" s="51" customFormat="1" ht="15" customHeight="1">
      <x:c r="A146" s="93" t="n">
        <x:v>138</x:v>
      </x:c>
      <x:c r="B146" s="94" t="inlineStr">
        <x:is>
          <x:t xml:space="preserve">Props</x:t>
        </x:is>
      </x:c>
      <x:c r="C146" s="94" t="inlineStr">
        <x:is>
          <x:t xml:space="preserve">ItemIndicator</x:t>
        </x:is>
      </x:c>
      <x:c r="D146" s="94" t="inlineStr">
        <x:is>
          <x:t xml:space="preserve">native span props passthrough</x:t>
        </x:is>
      </x:c>
      <x:c r="E146" s="93" t="inlineStr">
        <x:is>
          <x:t xml:space="preserve">yes</x:t>
        </x:is>
      </x:c>
      <x:c r="F146" s="93" t="inlineStr">
        <x:is>
          <x:t xml:space="preserve">yes</x:t>
        </x:is>
      </x:c>
      <x:c r="G146" s="93" t="inlineStr">
        <x:is>
          <x:t xml:space="preserve">pass</x:t>
        </x:is>
      </x:c>
      <x:c r="H146" s="93" t="inlineStr">
        <x:is>
          <x:t xml:space="preserve">covered</x:t>
        </x:is>
      </x:c>
      <x:c r="I146" s="94" t="inlineStr">
        <x:is>
          <x:t xml:space="preserve">Select playground manual verification.</x:t>
        </x:is>
      </x:c>
      <x:c r="J146" s="94" t="n"/>
      <x:c r="K146" s="95" t="n">
        <x:f>IF(AND(E146="yes",F146="yes",H146="covered"),1,IF(H146="partial",0.5,0))</x:f>
        <x:v>1</x:v>
      </x:c>
    </x:row>
    <x:row r="147" s="51" customFormat="1" ht="15" customHeight="1">
      <x:c r="A147" s="93" t="n">
        <x:v>139</x:v>
      </x:c>
      <x:c r="B147" s="94" t="inlineStr">
        <x:is>
          <x:t xml:space="preserve">Styling hooks</x:t>
        </x:is>
      </x:c>
      <x:c r="C147" s="94" t="inlineStr">
        <x:is>
          <x:t xml:space="preserve">ItemIndicator</x:t>
        </x:is>
      </x:c>
      <x:c r="D147" s="94" t="inlineStr">
        <x:is>
          <x:t xml:space="preserve">data-slot</x:t>
        </x:is>
      </x:c>
      <x:c r="E147" s="93" t="inlineStr">
        <x:is>
          <x:t xml:space="preserve">yes</x:t>
        </x:is>
      </x:c>
      <x:c r="F147" s="93" t="inlineStr">
        <x:is>
          <x:t xml:space="preserve">yes</x:t>
        </x:is>
      </x:c>
      <x:c r="G147" s="93" t="inlineStr">
        <x:is>
          <x:t xml:space="preserve">pass</x:t>
        </x:is>
      </x:c>
      <x:c r="H147" s="93" t="inlineStr">
        <x:is>
          <x:t xml:space="preserve">covered</x:t>
        </x:is>
      </x:c>
      <x:c r="I147" s="94" t="inlineStr">
        <x:is>
          <x:t xml:space="preserve">Select playground manual verification.</x:t>
        </x:is>
      </x:c>
      <x:c r="J147" s="94" t="n"/>
      <x:c r="K147" s="95" t="n">
        <x:f>IF(AND(E147="yes",F147="yes",H147="covered"),1,IF(H147="partial",0.5,0))</x:f>
        <x:v>1</x:v>
      </x:c>
    </x:row>
    <x:row r="148" s="51" customFormat="1" ht="15" customHeight="1">
      <x:c r="A148" s="93" t="n">
        <x:v>140</x:v>
      </x:c>
      <x:c r="B148" s="94" t="inlineStr">
        <x:is>
          <x:t xml:space="preserve">Public API</x:t>
        </x:is>
      </x:c>
      <x:c r="C148" s="94" t="inlineStr">
        <x:is>
          <x:t xml:space="preserve">Separator</x:t>
        </x:is>
      </x:c>
      <x:c r="D148" s="94" t="inlineStr">
        <x:is>
          <x:t xml:space="preserve">renders separator role</x:t>
        </x:is>
      </x:c>
      <x:c r="E148" s="93" t="inlineStr">
        <x:is>
          <x:t xml:space="preserve">yes</x:t>
        </x:is>
      </x:c>
      <x:c r="F148" s="93" t="inlineStr">
        <x:is>
          <x:t xml:space="preserve">yes</x:t>
        </x:is>
      </x:c>
      <x:c r="G148" s="93" t="inlineStr">
        <x:is>
          <x:t xml:space="preserve">pass</x:t>
        </x:is>
      </x:c>
      <x:c r="H148" s="93" t="inlineStr">
        <x:is>
          <x:t xml:space="preserve">covered</x:t>
        </x:is>
      </x:c>
      <x:c r="I148" s="94" t="inlineStr">
        <x:is>
          <x:t xml:space="preserve">Select playground manual verification.</x:t>
        </x:is>
      </x:c>
      <x:c r="J148" s="94" t="n"/>
      <x:c r="K148" s="95" t="n">
        <x:f>IF(AND(E148="yes",F148="yes",H148="covered"),1,IF(H148="partial",0.5,0))</x:f>
        <x:v>1</x:v>
      </x:c>
    </x:row>
    <x:row r="149" s="51" customFormat="1" ht="45" customHeight="1">
      <x:c r="A149" s="93" t="n">
        <x:v>141</x:v>
      </x:c>
      <x:c r="B149" s="94" t="inlineStr">
        <x:is>
          <x:t xml:space="preserve">Public API</x:t>
        </x:is>
      </x:c>
      <x:c r="C149" s="94" t="inlineStr">
        <x:is>
          <x:t xml:space="preserve">Separator</x:t>
        </x:is>
      </x:c>
      <x:c r="D149" s="94" t="inlineStr">
        <x:is>
          <x:t xml:space="preserve">aria-orientation horizontal</x:t>
        </x:is>
      </x:c>
      <x:c r="E149" s="93" t="inlineStr">
        <x:is>
          <x:t xml:space="preserve">yes</x:t>
        </x:is>
      </x:c>
      <x:c r="F149" s="93" t="inlineStr">
        <x:is>
          <x:t xml:space="preserve">yes</x:t>
        </x:is>
      </x:c>
      <x:c r="G149" s="93" t="inlineStr">
        <x:is>
          <x:t xml:space="preserve">pass</x:t>
        </x:is>
      </x:c>
      <x:c r="H149" s="93" t="inlineStr">
        <x:is>
          <x:t xml:space="preserve">covered</x:t>
        </x:is>
      </x:c>
      <x:c r="I149" s="94" t="inlineStr">
        <x:is>
          <x:t xml:space="preserve">Select playground manual verification.</x:t>
        </x:is>
      </x:c>
      <x:c r="J149" s="94" t="n"/>
      <x:c r="K149" s="95" t="n">
        <x:f>IF(AND(E149="yes",F149="yes",H149="covered"),1,IF(H149="partial",0.5,0))</x:f>
        <x:v>1</x:v>
      </x:c>
    </x:row>
    <x:row r="150" s="51" customFormat="1" ht="15" customHeight="1">
      <x:c r="A150" s="93" t="n">
        <x:v>142</x:v>
      </x:c>
      <x:c r="B150" s="94" t="inlineStr">
        <x:is>
          <x:t xml:space="preserve">Refs</x:t>
        </x:is>
      </x:c>
      <x:c r="C150" s="94" t="inlineStr">
        <x:is>
          <x:t xml:space="preserve">Separator</x:t>
        </x:is>
      </x:c>
      <x:c r="D150" s="94" t="inlineStr">
        <x:is>
          <x:t xml:space="preserve">ref receives div</x:t>
        </x:is>
      </x:c>
      <x:c r="E150" s="93" t="inlineStr">
        <x:is>
          <x:t xml:space="preserve">yes</x:t>
        </x:is>
      </x:c>
      <x:c r="F150" s="93" t="inlineStr">
        <x:is>
          <x:t xml:space="preserve">yes</x:t>
        </x:is>
      </x:c>
      <x:c r="G150" s="93" t="inlineStr">
        <x:is>
          <x:t xml:space="preserve">pass</x:t>
        </x:is>
      </x:c>
      <x:c r="H150" s="93" t="inlineStr">
        <x:is>
          <x:t xml:space="preserve">covered</x:t>
        </x:is>
      </x:c>
      <x:c r="I150" s="94" t="inlineStr">
        <x:is>
          <x:t xml:space="preserve">Select playground manual verification.</x:t>
        </x:is>
      </x:c>
      <x:c r="J150" s="94" t="n"/>
      <x:c r="K150" s="95" t="n">
        <x:f>IF(AND(E150="yes",F150="yes",H150="covered"),1,IF(H150="partial",0.5,0))</x:f>
        <x:v>1</x:v>
      </x:c>
    </x:row>
    <x:row r="151" s="51" customFormat="1" ht="15" customHeight="1">
      <x:c r="A151" s="93" t="n">
        <x:v>143</x:v>
      </x:c>
      <x:c r="B151" s="94" t="inlineStr">
        <x:is>
          <x:t xml:space="preserve">Props</x:t>
        </x:is>
      </x:c>
      <x:c r="C151" s="94" t="inlineStr">
        <x:is>
          <x:t xml:space="preserve">Separator</x:t>
        </x:is>
      </x:c>
      <x:c r="D151" s="94" t="inlineStr">
        <x:is>
          <x:t xml:space="preserve">native div props passthrough</x:t>
        </x:is>
      </x:c>
      <x:c r="E151" s="93" t="inlineStr">
        <x:is>
          <x:t xml:space="preserve">yes</x:t>
        </x:is>
      </x:c>
      <x:c r="F151" s="93" t="inlineStr">
        <x:is>
          <x:t xml:space="preserve">yes</x:t>
        </x:is>
      </x:c>
      <x:c r="G151" s="93" t="inlineStr">
        <x:is>
          <x:t xml:space="preserve">pass</x:t>
        </x:is>
      </x:c>
      <x:c r="H151" s="93" t="inlineStr">
        <x:is>
          <x:t xml:space="preserve">covered</x:t>
        </x:is>
      </x:c>
      <x:c r="I151" s="94" t="inlineStr">
        <x:is>
          <x:t xml:space="preserve">Select playground manual verification.</x:t>
        </x:is>
      </x:c>
      <x:c r="J151" s="94" t="n"/>
      <x:c r="K151" s="95" t="n">
        <x:f>IF(AND(E151="yes",F151="yes",H151="covered"),1,IF(H151="partial",0.5,0))</x:f>
        <x:v>1</x:v>
      </x:c>
    </x:row>
    <x:row r="152" s="51" customFormat="1" ht="15" customHeight="1">
      <x:c r="A152" s="93" t="n">
        <x:v>144</x:v>
      </x:c>
      <x:c r="B152" s="94" t="inlineStr">
        <x:is>
          <x:t xml:space="preserve">Styling hooks</x:t>
        </x:is>
      </x:c>
      <x:c r="C152" s="94" t="inlineStr">
        <x:is>
          <x:t xml:space="preserve">Separator</x:t>
        </x:is>
      </x:c>
      <x:c r="D152" s="94" t="inlineStr">
        <x:is>
          <x:t xml:space="preserve">data-slot</x:t>
        </x:is>
      </x:c>
      <x:c r="E152" s="93" t="inlineStr">
        <x:is>
          <x:t xml:space="preserve">yes</x:t>
        </x:is>
      </x:c>
      <x:c r="F152" s="93" t="inlineStr">
        <x:is>
          <x:t xml:space="preserve">yes</x:t>
        </x:is>
      </x:c>
      <x:c r="G152" s="93" t="inlineStr">
        <x:is>
          <x:t xml:space="preserve">pass</x:t>
        </x:is>
      </x:c>
      <x:c r="H152" s="93" t="inlineStr">
        <x:is>
          <x:t xml:space="preserve">covered</x:t>
        </x:is>
      </x:c>
      <x:c r="I152" s="94" t="inlineStr">
        <x:is>
          <x:t xml:space="preserve">Select playground manual verification.</x:t>
        </x:is>
      </x:c>
      <x:c r="J152" s="94" t="n"/>
      <x:c r="K152" s="95" t="n">
        <x:f>IF(AND(E152="yes",F152="yes",H152="covered"),1,IF(H152="partial",0.5,0))</x:f>
        <x:v>1</x:v>
      </x:c>
    </x:row>
    <x:row r="153" s="51" customFormat="1" ht="15" customHeight="1">
      <x:c r="A153" s="93" t="n">
        <x:v>145</x:v>
      </x:c>
      <x:c r="B153" s="94" t="inlineStr">
        <x:is>
          <x:t xml:space="preserve">Public API</x:t>
        </x:is>
      </x:c>
      <x:c r="C153" s="94" t="inlineStr">
        <x:is>
          <x:t xml:space="preserve">ScrollUpButton</x:t>
        </x:is>
      </x:c>
      <x:c r="D153" s="94" t="inlineStr">
        <x:is>
          <x:t xml:space="preserve">renders only when can scroll up</x:t>
        </x:is>
      </x:c>
      <x:c r="E153" s="93" t="inlineStr">
        <x:is>
          <x:t xml:space="preserve">yes</x:t>
        </x:is>
      </x:c>
      <x:c r="F153" s="93" t="inlineStr">
        <x:is>
          <x:t xml:space="preserve">yes</x:t>
        </x:is>
      </x:c>
      <x:c r="G153" s="93" t="inlineStr">
        <x:is>
          <x:t xml:space="preserve">pass</x:t>
        </x:is>
      </x:c>
      <x:c r="H153" s="93" t="inlineStr">
        <x:is>
          <x:t xml:space="preserve">covered</x:t>
        </x:is>
      </x:c>
      <x:c r="I153" s="94" t="inlineStr">
        <x:is>
          <x:t xml:space="preserve">Select playground manual verification.</x:t>
        </x:is>
      </x:c>
      <x:c r="J153" s="94" t="n"/>
      <x:c r="K153" s="95" t="n">
        <x:f>IF(AND(E153="yes",F153="yes",H153="covered"),1,IF(H153="partial",0.5,0))</x:f>
        <x:v>1</x:v>
      </x:c>
    </x:row>
    <x:row r="154" s="51" customFormat="1" ht="15" customHeight="1">
      <x:c r="A154" s="93" t="n">
        <x:v>146</x:v>
      </x:c>
      <x:c r="B154" s="94" t="inlineStr">
        <x:is>
          <x:t xml:space="preserve">Public API</x:t>
        </x:is>
      </x:c>
      <x:c r="C154" s="94" t="inlineStr">
        <x:is>
          <x:t xml:space="preserve">ScrollDownButton</x:t>
        </x:is>
      </x:c>
      <x:c r="D154" s="94" t="inlineStr">
        <x:is>
          <x:t xml:space="preserve">renders only when can scroll down</x:t>
        </x:is>
      </x:c>
      <x:c r="E154" s="93" t="inlineStr">
        <x:is>
          <x:t xml:space="preserve">yes</x:t>
        </x:is>
      </x:c>
      <x:c r="F154" s="93" t="inlineStr">
        <x:is>
          <x:t xml:space="preserve">yes</x:t>
        </x:is>
      </x:c>
      <x:c r="G154" s="93" t="inlineStr">
        <x:is>
          <x:t xml:space="preserve">pass</x:t>
        </x:is>
      </x:c>
      <x:c r="H154" s="93" t="inlineStr">
        <x:is>
          <x:t xml:space="preserve">covered</x:t>
        </x:is>
      </x:c>
      <x:c r="I154" s="94" t="inlineStr">
        <x:is>
          <x:t xml:space="preserve">Select playground manual verification.</x:t>
        </x:is>
      </x:c>
      <x:c r="J154" s="94" t="n"/>
      <x:c r="K154" s="95" t="n">
        <x:f>IF(AND(E154="yes",F154="yes",H154="covered"),1,IF(H154="partial",0.5,0))</x:f>
        <x:v>1</x:v>
      </x:c>
    </x:row>
    <x:row r="155" s="51" customFormat="1" ht="15" customHeight="1">
      <x:c r="A155" s="93" t="n">
        <x:v>147</x:v>
      </x:c>
      <x:c r="B155" s="94" t="inlineStr">
        <x:is>
          <x:t xml:space="preserve">Interaction</x:t>
        </x:is>
      </x:c>
      <x:c r="C155" s="94" t="inlineStr">
        <x:is>
          <x:t xml:space="preserve">Scroll buttons</x:t>
        </x:is>
      </x:c>
      <x:c r="D155" s="94" t="inlineStr">
        <x:is>
          <x:t xml:space="preserve">click scrolls viewport</x:t>
        </x:is>
      </x:c>
      <x:c r="E155" s="93" t="inlineStr">
        <x:is>
          <x:t xml:space="preserve">yes</x:t>
        </x:is>
      </x:c>
      <x:c r="F155" s="93" t="inlineStr">
        <x:is>
          <x:t xml:space="preserve">yes</x:t>
        </x:is>
      </x:c>
      <x:c r="G155" s="93" t="inlineStr">
        <x:is>
          <x:t xml:space="preserve">pass</x:t>
        </x:is>
      </x:c>
      <x:c r="H155" s="93" t="inlineStr">
        <x:is>
          <x:t xml:space="preserve">covered</x:t>
        </x:is>
      </x:c>
      <x:c r="I155" s="94" t="inlineStr">
        <x:is>
          <x:t xml:space="preserve">Select playground manual verification.</x:t>
        </x:is>
      </x:c>
      <x:c r="J155" s="94" t="n"/>
      <x:c r="K155" s="95" t="n">
        <x:f>IF(AND(E155="yes",F155="yes",H155="covered"),1,IF(H155="partial",0.5,0))</x:f>
        <x:v>1</x:v>
      </x:c>
    </x:row>
    <x:row r="156" s="51" customFormat="1" ht="15" customHeight="1">
      <x:c r="A156" s="93" t="n">
        <x:v>148</x:v>
      </x:c>
      <x:c r="B156" s="94" t="inlineStr">
        <x:is>
          <x:t xml:space="preserve">Accessibility</x:t>
        </x:is>
      </x:c>
      <x:c r="C156" s="94" t="inlineStr">
        <x:is>
          <x:t xml:space="preserve">Scroll buttons</x:t>
        </x:is>
      </x:c>
      <x:c r="D156" s="94" t="inlineStr">
        <x:is>
          <x:t xml:space="preserve">aria-hidden and tabIndex -1</x:t>
        </x:is>
      </x:c>
      <x:c r="E156" s="93" t="inlineStr">
        <x:is>
          <x:t xml:space="preserve">yes</x:t>
        </x:is>
      </x:c>
      <x:c r="F156" s="93" t="inlineStr">
        <x:is>
          <x:t xml:space="preserve">yes</x:t>
        </x:is>
      </x:c>
      <x:c r="G156" s="93" t="inlineStr">
        <x:is>
          <x:t xml:space="preserve">pass</x:t>
        </x:is>
      </x:c>
      <x:c r="H156" s="93" t="inlineStr">
        <x:is>
          <x:t xml:space="preserve">covered</x:t>
        </x:is>
      </x:c>
      <x:c r="I156" s="94" t="inlineStr">
        <x:is>
          <x:t xml:space="preserve">Select playground manual verification.</x:t>
        </x:is>
      </x:c>
      <x:c r="J156" s="94" t="n"/>
      <x:c r="K156" s="95" t="n">
        <x:f>IF(AND(E156="yes",F156="yes",H156="covered"),1,IF(H156="partial",0.5,0))</x:f>
        <x:v>1</x:v>
      </x:c>
    </x:row>
    <x:row r="157" s="51" customFormat="1" ht="45" customHeight="1">
      <x:c r="A157" s="93" t="n">
        <x:v>149</x:v>
      </x:c>
      <x:c r="B157" s="94" t="inlineStr">
        <x:is>
          <x:t xml:space="preserve">Composition</x:t>
        </x:is>
      </x:c>
      <x:c r="C157" s="94" t="inlineStr">
        <x:is>
          <x:t xml:space="preserve">Scroll buttons</x:t>
        </x:is>
      </x:c>
      <x:c r="D157" s="94" t="inlineStr">
        <x:is>
          <x:t xml:space="preserve">merged onClick</x:t>
        </x:is>
      </x:c>
      <x:c r="E157" s="93" t="inlineStr">
        <x:is>
          <x:t xml:space="preserve">yes</x:t>
        </x:is>
      </x:c>
      <x:c r="F157" s="93" t="inlineStr">
        <x:is>
          <x:t xml:space="preserve">yes</x:t>
        </x:is>
      </x:c>
      <x:c r="G157" s="93" t="inlineStr">
        <x:is>
          <x:t xml:space="preserve">pass</x:t>
        </x:is>
      </x:c>
      <x:c r="H157" s="93" t="inlineStr">
        <x:is>
          <x:t xml:space="preserve">covered</x:t>
        </x:is>
      </x:c>
      <x:c r="I157" s="94" t="inlineStr">
        <x:is>
          <x:t xml:space="preserve">Select playground manual verification.</x:t>
        </x:is>
      </x:c>
      <x:c r="J157" s="94" t="n"/>
      <x:c r="K157" s="95" t="n">
        <x:f>IF(AND(E157="yes",F157="yes",H157="covered"),1,IF(H157="partial",0.5,0))</x:f>
        <x:v>1</x:v>
      </x:c>
    </x:row>
    <x:row r="158" s="51" customFormat="1" ht="15" customHeight="1">
      <x:c r="A158" s="93" t="n">
        <x:v>150</x:v>
      </x:c>
      <x:c r="B158" s="94" t="inlineStr">
        <x:is>
          <x:t xml:space="preserve">Refs</x:t>
        </x:is>
      </x:c>
      <x:c r="C158" s="94" t="inlineStr">
        <x:is>
          <x:t xml:space="preserve">Scroll buttons</x:t>
        </x:is>
      </x:c>
      <x:c r="D158" s="94" t="inlineStr">
        <x:is>
          <x:t xml:space="preserve">refs receive button</x:t>
        </x:is>
      </x:c>
      <x:c r="E158" s="93" t="inlineStr">
        <x:is>
          <x:t xml:space="preserve">yes</x:t>
        </x:is>
      </x:c>
      <x:c r="F158" s="93" t="inlineStr">
        <x:is>
          <x:t xml:space="preserve">yes</x:t>
        </x:is>
      </x:c>
      <x:c r="G158" s="93" t="inlineStr">
        <x:is>
          <x:t xml:space="preserve">pass</x:t>
        </x:is>
      </x:c>
      <x:c r="H158" s="93" t="inlineStr">
        <x:is>
          <x:t xml:space="preserve">covered</x:t>
        </x:is>
      </x:c>
      <x:c r="I158" s="94" t="inlineStr">
        <x:is>
          <x:t xml:space="preserve">Select playground manual verification.</x:t>
        </x:is>
      </x:c>
      <x:c r="J158" s="94" t="n"/>
      <x:c r="K158" s="95" t="n">
        <x:f>IF(AND(E158="yes",F158="yes",H158="covered"),1,IF(H158="partial",0.5,0))</x:f>
        <x:v>1</x:v>
      </x:c>
    </x:row>
    <x:row r="159" s="51" customFormat="1" ht="15" customHeight="1">
      <x:c r="A159" s="93" t="n">
        <x:v>151</x:v>
      </x:c>
      <x:c r="B159" s="94" t="inlineStr">
        <x:is>
          <x:t xml:space="preserve">Props</x:t>
        </x:is>
      </x:c>
      <x:c r="C159" s="94" t="inlineStr">
        <x:is>
          <x:t xml:space="preserve">Scroll buttons</x:t>
        </x:is>
      </x:c>
      <x:c r="D159" s="94" t="inlineStr">
        <x:is>
          <x:t xml:space="preserve">native button props passthrough</x:t>
        </x:is>
      </x:c>
      <x:c r="E159" s="93" t="inlineStr">
        <x:is>
          <x:t xml:space="preserve">yes</x:t>
        </x:is>
      </x:c>
      <x:c r="F159" s="93" t="inlineStr">
        <x:is>
          <x:t xml:space="preserve">yes</x:t>
        </x:is>
      </x:c>
      <x:c r="G159" s="93" t="inlineStr">
        <x:is>
          <x:t xml:space="preserve">pass</x:t>
        </x:is>
      </x:c>
      <x:c r="H159" s="93" t="inlineStr">
        <x:is>
          <x:t xml:space="preserve">covered</x:t>
        </x:is>
      </x:c>
      <x:c r="I159" s="94" t="inlineStr">
        <x:is>
          <x:t xml:space="preserve">Select playground manual verification.</x:t>
        </x:is>
      </x:c>
      <x:c r="J159" s="94" t="n"/>
      <x:c r="K159" s="95" t="n">
        <x:f>IF(AND(E159="yes",F159="yes",H159="covered"),1,IF(H159="partial",0.5,0))</x:f>
        <x:v>1</x:v>
      </x:c>
    </x:row>
    <x:row r="160" s="51" customFormat="1" ht="15" customHeight="1">
      <x:c r="A160" s="93" t="n">
        <x:v>152</x:v>
      </x:c>
      <x:c r="B160" s="94" t="inlineStr">
        <x:is>
          <x:t xml:space="preserve">Styling hooks</x:t>
        </x:is>
      </x:c>
      <x:c r="C160" s="94" t="inlineStr">
        <x:is>
          <x:t xml:space="preserve">Scroll buttons</x:t>
        </x:is>
      </x:c>
      <x:c r="D160" s="94" t="inlineStr">
        <x:is>
          <x:t xml:space="preserve">data-slot direction</x:t>
        </x:is>
      </x:c>
      <x:c r="E160" s="93" t="inlineStr">
        <x:is>
          <x:t xml:space="preserve">yes</x:t>
        </x:is>
      </x:c>
      <x:c r="F160" s="93" t="inlineStr">
        <x:is>
          <x:t xml:space="preserve">yes</x:t>
        </x:is>
      </x:c>
      <x:c r="G160" s="93" t="inlineStr">
        <x:is>
          <x:t xml:space="preserve">pass</x:t>
        </x:is>
      </x:c>
      <x:c r="H160" s="93" t="inlineStr">
        <x:is>
          <x:t xml:space="preserve">covered</x:t>
        </x:is>
      </x:c>
      <x:c r="I160" s="94" t="inlineStr">
        <x:is>
          <x:t xml:space="preserve">Select playground manual verification.</x:t>
        </x:is>
      </x:c>
      <x:c r="J160" s="94" t="n"/>
      <x:c r="K160" s="95" t="n">
        <x:f>IF(AND(E160="yes",F160="yes",H160="covered"),1,IF(H160="partial",0.5,0))</x:f>
        <x:v>1</x:v>
      </x:c>
    </x:row>
    <x:row r="161" s="51" customFormat="1" ht="15" customHeight="1">
      <x:c r="A161" s="93" t="n">
        <x:v>153</x:v>
      </x:c>
      <x:c r="B161" s="94" t="inlineStr">
        <x:is>
          <x:t xml:space="preserve">Public API</x:t>
        </x:is>
      </x:c>
      <x:c r="C161" s="94" t="inlineStr">
        <x:is>
          <x:t xml:space="preserve">Arrow</x:t>
        </x:is>
      </x:c>
      <x:c r="D161" s="94" t="inlineStr">
        <x:is>
          <x:t xml:space="preserve">renders decorative arrow</x:t>
        </x:is>
      </x:c>
      <x:c r="E161" s="93" t="inlineStr">
        <x:is>
          <x:t xml:space="preserve">yes</x:t>
        </x:is>
      </x:c>
      <x:c r="F161" s="93" t="inlineStr">
        <x:is>
          <x:t xml:space="preserve">yes</x:t>
        </x:is>
      </x:c>
      <x:c r="G161" s="93" t="inlineStr">
        <x:is>
          <x:t xml:space="preserve">pass</x:t>
        </x:is>
      </x:c>
      <x:c r="H161" s="93" t="inlineStr">
        <x:is>
          <x:t xml:space="preserve">covered</x:t>
        </x:is>
      </x:c>
      <x:c r="I161" s="94" t="inlineStr">
        <x:is>
          <x:t xml:space="preserve">Select playground manual verification.</x:t>
        </x:is>
      </x:c>
      <x:c r="J161" s="94" t="n"/>
      <x:c r="K161" s="95" t="n">
        <x:f>IF(AND(E161="yes",F161="yes",H161="covered"),1,IF(H161="partial",0.5,0))</x:f>
        <x:v>1</x:v>
      </x:c>
    </x:row>
    <x:row r="162" s="51" customFormat="1" ht="45" customHeight="1">
      <x:c r="A162" s="93" t="n">
        <x:v>154</x:v>
      </x:c>
      <x:c r="B162" s="94" t="inlineStr">
        <x:is>
          <x:t xml:space="preserve">Accessibility</x:t>
        </x:is>
      </x:c>
      <x:c r="C162" s="94" t="inlineStr">
        <x:is>
          <x:t xml:space="preserve">Arrow</x:t>
        </x:is>
      </x:c>
      <x:c r="D162" s="94" t="inlineStr">
        <x:is>
          <x:t xml:space="preserve">aria-hidden</x:t>
        </x:is>
      </x:c>
      <x:c r="E162" s="93" t="inlineStr">
        <x:is>
          <x:t xml:space="preserve">yes</x:t>
        </x:is>
      </x:c>
      <x:c r="F162" s="93" t="inlineStr">
        <x:is>
          <x:t xml:space="preserve">yes</x:t>
        </x:is>
      </x:c>
      <x:c r="G162" s="93" t="inlineStr">
        <x:is>
          <x:t xml:space="preserve">pass</x:t>
        </x:is>
      </x:c>
      <x:c r="H162" s="93" t="inlineStr">
        <x:is>
          <x:t xml:space="preserve">covered</x:t>
        </x:is>
      </x:c>
      <x:c r="I162" s="94" t="inlineStr">
        <x:is>
          <x:t xml:space="preserve">Select playground manual verification.</x:t>
        </x:is>
      </x:c>
      <x:c r="J162" s="94" t="n"/>
      <x:c r="K162" s="95" t="n">
        <x:f>IF(AND(E162="yes",F162="yes",H162="covered"),1,IF(H162="partial",0.5,0))</x:f>
        <x:v>1</x:v>
      </x:c>
    </x:row>
    <x:row r="163" s="51" customFormat="1" ht="15" customHeight="1">
      <x:c r="A163" s="93" t="n">
        <x:v>155</x:v>
      </x:c>
      <x:c r="B163" s="94" t="inlineStr">
        <x:is>
          <x:t xml:space="preserve">Refs</x:t>
        </x:is>
      </x:c>
      <x:c r="C163" s="94" t="inlineStr">
        <x:is>
          <x:t xml:space="preserve">Arrow</x:t>
        </x:is>
      </x:c>
      <x:c r="D163" s="94" t="inlineStr">
        <x:is>
          <x:t xml:space="preserve">ref receives span</x:t>
        </x:is>
      </x:c>
      <x:c r="E163" s="93" t="inlineStr">
        <x:is>
          <x:t xml:space="preserve">yes</x:t>
        </x:is>
      </x:c>
      <x:c r="F163" s="93" t="inlineStr">
        <x:is>
          <x:t xml:space="preserve">yes</x:t>
        </x:is>
      </x:c>
      <x:c r="G163" s="93" t="inlineStr">
        <x:is>
          <x:t xml:space="preserve">pass</x:t>
        </x:is>
      </x:c>
      <x:c r="H163" s="93" t="inlineStr">
        <x:is>
          <x:t xml:space="preserve">covered</x:t>
        </x:is>
      </x:c>
      <x:c r="I163" s="94" t="inlineStr">
        <x:is>
          <x:t xml:space="preserve">Select playground manual verification.</x:t>
        </x:is>
      </x:c>
      <x:c r="J163" s="94" t="n"/>
      <x:c r="K163" s="95" t="n">
        <x:f>IF(AND(E163="yes",F163="yes",H163="covered"),1,IF(H163="partial",0.5,0))</x:f>
        <x:v>1</x:v>
      </x:c>
    </x:row>
    <x:row r="164" s="51" customFormat="1" ht="15" customHeight="1">
      <x:c r="A164" s="93" t="n">
        <x:v>156</x:v>
      </x:c>
      <x:c r="B164" s="94" t="inlineStr">
        <x:is>
          <x:t xml:space="preserve">Props</x:t>
        </x:is>
      </x:c>
      <x:c r="C164" s="94" t="inlineStr">
        <x:is>
          <x:t xml:space="preserve">Arrow</x:t>
        </x:is>
      </x:c>
      <x:c r="D164" s="94" t="inlineStr">
        <x:is>
          <x:t xml:space="preserve">native span props passthrough</x:t>
        </x:is>
      </x:c>
      <x:c r="E164" s="93" t="inlineStr">
        <x:is>
          <x:t xml:space="preserve">yes</x:t>
        </x:is>
      </x:c>
      <x:c r="F164" s="93" t="inlineStr">
        <x:is>
          <x:t xml:space="preserve">yes</x:t>
        </x:is>
      </x:c>
      <x:c r="G164" s="93" t="inlineStr">
        <x:is>
          <x:t xml:space="preserve">pass</x:t>
        </x:is>
      </x:c>
      <x:c r="H164" s="93" t="inlineStr">
        <x:is>
          <x:t xml:space="preserve">covered</x:t>
        </x:is>
      </x:c>
      <x:c r="I164" s="94" t="inlineStr">
        <x:is>
          <x:t xml:space="preserve">Select playground manual verification.</x:t>
        </x:is>
      </x:c>
      <x:c r="J164" s="94" t="n"/>
      <x:c r="K164" s="95" t="n">
        <x:f>IF(AND(E164="yes",F164="yes",H164="covered"),1,IF(H164="partial",0.5,0))</x:f>
        <x:v>1</x:v>
      </x:c>
    </x:row>
    <x:row r="165" s="51" customFormat="1" ht="15" customHeight="1">
      <x:c r="A165" s="93" t="n">
        <x:v>157</x:v>
      </x:c>
      <x:c r="B165" s="94" t="inlineStr">
        <x:is>
          <x:t xml:space="preserve">Styling hooks</x:t>
        </x:is>
      </x:c>
      <x:c r="C165" s="94" t="inlineStr">
        <x:is>
          <x:t xml:space="preserve">Arrow</x:t>
        </x:is>
      </x:c>
      <x:c r="D165" s="94" t="inlineStr">
        <x:is>
          <x:t xml:space="preserve">data-slot</x:t>
        </x:is>
      </x:c>
      <x:c r="E165" s="93" t="inlineStr">
        <x:is>
          <x:t xml:space="preserve">yes</x:t>
        </x:is>
      </x:c>
      <x:c r="F165" s="93" t="inlineStr">
        <x:is>
          <x:t xml:space="preserve">yes</x:t>
        </x:is>
      </x:c>
      <x:c r="G165" s="93" t="inlineStr">
        <x:is>
          <x:t xml:space="preserve">pass</x:t>
        </x:is>
      </x:c>
      <x:c r="H165" s="93" t="inlineStr">
        <x:is>
          <x:t xml:space="preserve">covered</x:t>
        </x:is>
      </x:c>
      <x:c r="I165" s="94" t="inlineStr">
        <x:is>
          <x:t xml:space="preserve">Select playground manual verification.</x:t>
        </x:is>
      </x:c>
      <x:c r="J165" s="94" t="n"/>
      <x:c r="K165" s="95" t="n">
        <x:f>IF(AND(E165="yes",F165="yes",H165="covered"),1,IF(H165="partial",0.5,0))</x:f>
        <x:v>1</x:v>
      </x:c>
    </x:row>
    <x:row r="166" s="51" customFormat="1" ht="15" customHeight="1">
      <x:c r="A166" s="93" t="n">
        <x:v>158</x:v>
      </x:c>
      <x:c r="B166" s="94" t="inlineStr">
        <x:is>
          <x:t xml:space="preserve">Interaction</x:t>
        </x:is>
      </x:c>
      <x:c r="C166" s="94" t="inlineStr">
        <x:is>
          <x:t xml:space="preserve">Cycle</x:t>
        </x:is>
      </x:c>
      <x:c r="D166" s="94" t="inlineStr">
        <x:is>
          <x:t xml:space="preserve">multiple open/close cycles</x:t>
        </x:is>
      </x:c>
      <x:c r="E166" s="93" t="inlineStr">
        <x:is>
          <x:t xml:space="preserve">yes</x:t>
        </x:is>
      </x:c>
      <x:c r="F166" s="93" t="inlineStr">
        <x:is>
          <x:t xml:space="preserve">yes</x:t>
        </x:is>
      </x:c>
      <x:c r="G166" s="93" t="inlineStr">
        <x:is>
          <x:t xml:space="preserve">pass</x:t>
        </x:is>
      </x:c>
      <x:c r="H166" s="93" t="inlineStr">
        <x:is>
          <x:t xml:space="preserve">covered</x:t>
        </x:is>
      </x:c>
      <x:c r="I166" s="94" t="inlineStr">
        <x:is>
          <x:t xml:space="preserve">Select playground manual verification.</x:t>
        </x:is>
      </x:c>
      <x:c r="J166" s="94" t="n"/>
      <x:c r="K166" s="95" t="n">
        <x:f>IF(AND(E166="yes",F166="yes",H166="covered"),1,IF(H166="partial",0.5,0))</x:f>
        <x:v>1</x:v>
      </x:c>
    </x:row>
    <x:row r="167" s="51" customFormat="1" ht="15" customHeight="1">
      <x:c r="A167" s="93" t="n">
        <x:v>159</x:v>
      </x:c>
      <x:c r="B167" s="94" t="inlineStr">
        <x:is>
          <x:t xml:space="preserve">Interaction</x:t>
        </x:is>
      </x:c>
      <x:c r="C167" s="94" t="inlineStr">
        <x:is>
          <x:t xml:space="preserve">Trigger</x:t>
        </x:is>
      </x:c>
      <x:c r="D167" s="94" t="inlineStr">
        <x:is>
          <x:t xml:space="preserve">pointer/click trigger activation opens Select in the existing desktop manual scenario</x:t>
        </x:is>
      </x:c>
      <x:c r="E167" s="93" t="inlineStr">
        <x:is>
          <x:t xml:space="preserve">yes</x:t>
        </x:is>
      </x:c>
      <x:c r="F167" s="93" t="inlineStr">
        <x:is>
          <x:t xml:space="preserve">yes</x:t>
        </x:is>
      </x:c>
      <x:c r="G167" s="93" t="inlineStr">
        <x:is>
          <x:t xml:space="preserve">passed existing desktop browser/manual baseline; mobile device qualification not run</x:t>
        </x:is>
      </x:c>
      <x:c r="H167" s="93" t="inlineStr">
        <x:is>
          <x:t xml:space="preserve">covered</x:t>
        </x:is>
      </x:c>
      <x:c r="I167" s="94" t="inlineStr">
        <x:is>
          <x:t xml:space="preserve">Existing desktop browser/manual baseline; not real iOS Safari or Android Chrome evidence.</x:t>
        </x:is>
      </x:c>
      <x:c r="J167" s="94" t="n"/>
      <x:c r="K167" s="95" t="n">
        <x:f>IF(AND(E167="yes",F167="yes",H167="covered"),1,IF(H167="partial",0.5,0))</x:f>
        <x:v>1</x:v>
      </x:c>
    </x:row>
    <x:row r="168" s="51" customFormat="1" ht="15" customHeight="1">
      <x:c r="A168" s="93" t="n">
        <x:v>160</x:v>
      </x:c>
      <x:c r="B168" s="94" t="inlineStr">
        <x:is>
          <x:t xml:space="preserve">Interaction</x:t>
        </x:is>
      </x:c>
      <x:c r="C168" s="94" t="inlineStr">
        <x:is>
          <x:t xml:space="preserve">Item</x:t>
        </x:is>
      </x:c>
      <x:c r="D168" s="94" t="inlineStr">
        <x:is>
          <x:t xml:space="preserve">pointer/click item activation selects in the existing desktop manual scenario</x:t>
        </x:is>
      </x:c>
      <x:c r="E168" s="93" t="inlineStr">
        <x:is>
          <x:t xml:space="preserve">yes</x:t>
        </x:is>
      </x:c>
      <x:c r="F168" s="93" t="inlineStr">
        <x:is>
          <x:t xml:space="preserve">yes</x:t>
        </x:is>
      </x:c>
      <x:c r="G168" s="93" t="inlineStr">
        <x:is>
          <x:t xml:space="preserve">passed existing desktop browser/manual baseline; mobile device qualification not run</x:t>
        </x:is>
      </x:c>
      <x:c r="H168" s="93" t="inlineStr">
        <x:is>
          <x:t xml:space="preserve">covered</x:t>
        </x:is>
      </x:c>
      <x:c r="I168" s="94" t="inlineStr">
        <x:is>
          <x:t xml:space="preserve">Existing desktop browser/manual baseline; not real iOS Safari or Android Chrome evidence.</x:t>
        </x:is>
      </x:c>
      <x:c r="J168" s="94" t="n"/>
      <x:c r="K168" s="95" t="n">
        <x:f>IF(AND(E168="yes",F168="yes",H168="covered"),1,IF(H168="partial",0.5,0))</x:f>
        <x:v>1</x:v>
      </x:c>
    </x:row>
    <x:row r="169" s="51" customFormat="1" ht="30" customHeight="1">
      <x:c r="A169" s="93" t="n">
        <x:v>161</x:v>
      </x:c>
      <x:c r="B169" s="94" t="inlineStr">
        <x:is>
          <x:t xml:space="preserve">Interaction</x:t>
        </x:is>
      </x:c>
      <x:c r="C169" s="94" t="inlineStr">
        <x:is>
          <x:t xml:space="preserve">Outside interaction</x:t>
        </x:is>
      </x:c>
      <x:c r="D169" s="94" t="inlineStr">
        <x:is>
          <x:t xml:space="preserve">current desktop pointer-down outside interaction closes Select</x:t>
        </x:is>
      </x:c>
      <x:c r="E169" s="93" t="inlineStr">
        <x:is>
          <x:t xml:space="preserve">yes</x:t>
        </x:is>
      </x:c>
      <x:c r="F169" s="93" t="inlineStr">
        <x:is>
          <x:t xml:space="preserve">yes</x:t>
        </x:is>
      </x:c>
      <x:c r="G169" s="93" t="inlineStr">
        <x:is>
          <x:t xml:space="preserve">passed existing desktop browser/manual baseline; mobile device qualification not run</x:t>
        </x:is>
      </x:c>
      <x:c r="H169" s="93" t="inlineStr">
        <x:is>
          <x:t xml:space="preserve">covered</x:t>
        </x:is>
      </x:c>
      <x:c r="I169" s="94" t="inlineStr">
        <x:is>
          <x:t xml:space="preserve">Existing desktop browser/manual baseline; not real iOS Safari or Android Chrome evidence.</x:t>
        </x:is>
      </x:c>
      <x:c r="J169" s="94" t="n"/>
      <x:c r="K169" s="95" t="n">
        <x:f>IF(AND(E169="yes",F169="yes",H169="covered"),1,IF(H169="partial",0.5,0))</x:f>
        <x:v>1</x:v>
      </x:c>
    </x:row>
    <x:row r="170" s="51" customFormat="1" ht="15" customHeight="1">
      <x:c r="A170" s="93" t="n">
        <x:v>162</x:v>
      </x:c>
      <x:c r="B170" s="94" t="inlineStr">
        <x:is>
          <x:t xml:space="preserve">Positioning</x:t>
        </x:is>
      </x:c>
      <x:c r="C170" s="94" t="inlineStr">
        <x:is>
          <x:t xml:space="preserve">Content/Listbox</x:t>
        </x:is>
      </x:c>
      <x:c r="D170" s="94" t="inlineStr">
        <x:is>
          <x:t xml:space="preserve">listbox fit and scrolling in the manually tested desktop layout viewport</x:t>
        </x:is>
      </x:c>
      <x:c r="E170" s="93" t="inlineStr">
        <x:is>
          <x:t xml:space="preserve">yes</x:t>
        </x:is>
      </x:c>
      <x:c r="F170" s="93" t="inlineStr">
        <x:is>
          <x:t xml:space="preserve">yes</x:t>
        </x:is>
      </x:c>
      <x:c r="G170" s="93" t="inlineStr">
        <x:is>
          <x:t xml:space="preserve">passed existing desktop browser/manual baseline; mobile device qualification not run</x:t>
        </x:is>
      </x:c>
      <x:c r="H170" s="93" t="inlineStr">
        <x:is>
          <x:t xml:space="preserve">covered</x:t>
        </x:is>
      </x:c>
      <x:c r="I170" s="94" t="inlineStr">
        <x:is>
          <x:t xml:space="preserve">Existing desktop browser/manual baseline; not real iOS Safari or Android Chrome evidence.</x:t>
        </x:is>
      </x:c>
      <x:c r="J170" s="94" t="n"/>
      <x:c r="K170" s="95" t="n">
        <x:f>IF(AND(E170="yes",F170="yes",H170="covered"),1,IF(H170="partial",0.5,0))</x:f>
        <x:v>1</x:v>
      </x:c>
    </x:row>
    <x:row r="171" s="51" customFormat="1" ht="30" customHeight="1">
      <x:c r="A171" s="93" t="n">
        <x:v>163</x:v>
      </x:c>
      <x:c r="B171" s="94" t="inlineStr">
        <x:is>
          <x:t xml:space="preserve">Keyboard</x:t>
        </x:is>
      </x:c>
      <x:c r="C171" s="94" t="inlineStr">
        <x:is>
          <x:t xml:space="preserve">Typeahead</x:t>
        </x:is>
      </x:c>
      <x:c r="D171" s="94" t="inlineStr">
        <x:is>
          <x:t xml:space="preserve">single-character typeahead cycles from current matching option after buffer reset</x:t>
        </x:is>
      </x:c>
      <x:c r="E171" s="93" t="inlineStr">
        <x:is>
          <x:t xml:space="preserve">yes</x:t>
        </x:is>
      </x:c>
      <x:c r="F171" s="93" t="inlineStr">
        <x:is>
          <x:t xml:space="preserve">yes</x:t>
        </x:is>
      </x:c>
      <x:c r="G171" s="93" t="inlineStr">
        <x:is>
          <x:t xml:space="preserve">pass</x:t>
        </x:is>
      </x:c>
      <x:c r="H171" s="93" t="inlineStr">
        <x:is>
          <x:t xml:space="preserve">covered</x:t>
        </x:is>
      </x:c>
      <x:c r="I171" s="94" t="inlineStr">
        <x:is>
          <x:t xml:space="preserve">Select playground manual verification.</x:t>
        </x:is>
      </x:c>
      <x:c r="J171" s="94" t="n"/>
      <x:c r="K171" s="95" t="n">
        <x:f>IF(AND(E171="yes",F171="yes",H171="covered"),1,IF(H171="partial",0.5,0))</x:f>
        <x:v>1</x:v>
      </x:c>
    </x:row>
    <x:row r="172" s="51" customFormat="1" ht="30" customHeight="1">
      <x:c r="A172" s="93" t="n">
        <x:v>164</x:v>
      </x:c>
      <x:c r="B172" s="94" t="inlineStr">
        <x:is>
          <x:t xml:space="preserve">Forms</x:t>
        </x:is>
      </x:c>
      <x:c r="C172" s="94" t="inlineStr">
        <x:is>
          <x:t xml:space="preserve">Root/Trigger</x:t>
        </x:is>
      </x:c>
      <x:c r="D172" s="94" t="inlineStr">
        <x:is>
          <x:t xml:space="preserve">Field inheritance, native select validity/submission, native ARIA, and uncontrolled reset</x:t>
        </x:is>
      </x:c>
      <x:c r="E172" s="93" t="inlineStr">
        <x:is>
          <x:t xml:space="preserve">yes</x:t>
        </x:is>
      </x:c>
      <x:c r="F172" s="93" t="inlineStr">
        <x:is>
          <x:t xml:space="preserve">no</x:t>
        </x:is>
      </x:c>
      <x:c r="G172" s="93" t="inlineStr">
        <x:is>
          <x:t xml:space="preserve">automated tests pass; manual pending</x:t>
        </x:is>
      </x:c>
      <x:c r="H172" s="93" t="inlineStr">
        <x:is>
          <x:t xml:space="preserve">untested</x:t>
        </x:is>
      </x:c>
      <x:c r="I172" s="94" t="inlineStr">
        <x:is>
          <x:t xml:space="preserve">Form &gt; Control: Foundation plus the component scenario and automated package tests.</x:t>
        </x:is>
      </x:c>
      <x:c r="J172" s="94" t="inlineStr">
        <x:is>
          <x:t xml:space="preserve">Run and review the form-foundation manual protocol.</x:t>
        </x:is>
      </x:c>
      <x:c r="K172" s="95" t="n">
        <x:f>IF(AND(E172="yes",F172="yes",H172="covered"),1,IF(H172="partial",0.5,0))</x:f>
        <x:v>0</x:v>
      </x:c>
    </x:row>
    <x:row r="173" s="51" customFormat="1" ht="30" customHeight="1">
      <x:c r="A173" s="93" t="n">
        <x:v>165</x:v>
      </x:c>
      <x:c r="B173" s="94" t="inlineStr">
        <x:is>
          <x:t xml:space="preserve">Validation</x:t>
        </x:is>
      </x:c>
      <x:c r="C173" s="94" t="inlineStr">
        <x:is>
          <x:t xml:space="preserve">Root/Trigger</x:t>
        </x:is>
      </x:c>
      <x:c r="D173" s="94" t="inlineStr">
        <x:is>
          <x:t xml:space="preserve">native-select invalidity mirrors to Trigger, Field, Error, and Form</x:t>
        </x:is>
      </x:c>
      <x:c r="E173" s="93" t="inlineStr">
        <x:is>
          <x:t xml:space="preserve">yes</x:t>
        </x:is>
      </x:c>
      <x:c r="F173" s="93" t="inlineStr">
        <x:is>
          <x:t xml:space="preserve">no</x:t>
        </x:is>
      </x:c>
      <x:c r="G173" s="93" t="inlineStr">
        <x:is>
          <x:t xml:space="preserve">automated tests pass; manual pending</x:t>
        </x:is>
      </x:c>
      <x:c r="H173" s="93" t="inlineStr">
        <x:is>
          <x:t xml:space="preserve">untested</x:t>
        </x:is>
      </x:c>
      <x:c r="I173" s="94" t="inlineStr">
        <x:is>
          <x:t xml:space="preserve">Form &gt; Control: Foundation and automated Atom validation tests.</x:t>
        </x:is>
      </x:c>
      <x:c r="J173" s="94" t="inlineStr">
        <x:is>
          <x:t xml:space="preserve">Run and review the updated form-foundation validation steps.</x:t>
        </x:is>
      </x:c>
      <x:c r="K173" s="95" t="n">
        <x:f>IF(AND(E173="yes",F173="yes",H173="covered"),1,IF(H173="partial",0.5,0))</x:f>
        <x:v>0</x:v>
      </x:c>
    </x:row>
    <x:row r="174" s="51" customFormat="1" ht="35.04999923706055" customHeight="1">
      <x:c r="A174" s="93" t="n">
        <x:v>166</x:v>
      </x:c>
      <x:c r="B174" s="94" t="inlineStr">
        <x:is>
          <x:t xml:space="preserve">Positioning</x:t>
        </x:is>
      </x:c>
      <x:c r="C174" s="94" t="inlineStr">
        <x:is>
          <x:t xml:space="preserve">Content/Listbox</x:t>
        </x:is>
      </x:c>
      <x:c r="D174" s="94" t="inlineStr">
        <x:is>
          <x:t xml:space="preserve">resolved placement exposes data-side and data-align</x:t>
        </x:is>
      </x:c>
      <x:c r="E174" s="93" t="inlineStr">
        <x:is>
          <x:t xml:space="preserve">yes</x:t>
        </x:is>
      </x:c>
      <x:c r="F174" s="93" t="inlineStr">
        <x:is>
          <x:t xml:space="preserve">no</x:t>
        </x:is>
      </x:c>
      <x:c r="G174" s="93" t="inlineStr">
        <x:is>
          <x:t xml:space="preserve">automated tests pass; manual pending</x:t>
        </x:is>
      </x:c>
      <x:c r="H174" s="93" t="inlineStr">
        <x:is>
          <x:t xml:space="preserve">untested</x:t>
        </x:is>
      </x:c>
      <x:c r="I174" s="94" t="inlineStr">
        <x:is>
          <x:t xml:space="preserve">Automated source and package tests pass; manual browser verification pending.</x:t>
        </x:is>
      </x:c>
      <x:c r="J174" s="94" t="inlineStr">
        <x:is>
          <x:t xml:space="preserve">Run the draft Select manual protocol on desktop and real touch hardware.</x:t>
        </x:is>
      </x:c>
      <x:c r="K174" s="95" t="n">
        <x:f>IF(AND(E174="yes",F174="yes",H174="covered"),1,IF(H174="partial",0.5,0))</x:f>
        <x:v>0</x:v>
      </x:c>
    </x:row>
    <x:row r="175" s="51" customFormat="1" ht="35.04999923706055" customHeight="1">
      <x:c r="A175" s="93" t="n">
        <x:v>167</x:v>
      </x:c>
      <x:c r="B175" s="94" t="inlineStr">
        <x:is>
          <x:t xml:space="preserve">Positioning</x:t>
        </x:is>
      </x:c>
      <x:c r="C175" s="94" t="inlineStr">
        <x:is>
          <x:t xml:space="preserve">Arrow</x:t>
        </x:is>
      </x:c>
      <x:c r="D175" s="94" t="inlineStr">
        <x:is>
          <x:t xml:space="preserve">arrow participates in Floating UI positioning and exposes matching data-side and data-align</x:t>
        </x:is>
      </x:c>
      <x:c r="E175" s="93" t="inlineStr">
        <x:is>
          <x:t xml:space="preserve">yes</x:t>
        </x:is>
      </x:c>
      <x:c r="F175" s="93" t="inlineStr">
        <x:is>
          <x:t xml:space="preserve">no</x:t>
        </x:is>
      </x:c>
      <x:c r="G175" s="93" t="inlineStr">
        <x:is>
          <x:t xml:space="preserve">automated tests pass; manual pending</x:t>
        </x:is>
      </x:c>
      <x:c r="H175" s="93" t="inlineStr">
        <x:is>
          <x:t xml:space="preserve">untested</x:t>
        </x:is>
      </x:c>
      <x:c r="I175" s="94" t="inlineStr">
        <x:is>
          <x:t xml:space="preserve">Automated source and package tests pass; manual browser verification pending.</x:t>
        </x:is>
      </x:c>
      <x:c r="J175" s="94" t="inlineStr">
        <x:is>
          <x:t xml:space="preserve">Run the draft Select manual protocol on desktop and real touch hardware.</x:t>
        </x:is>
      </x:c>
      <x:c r="K175" s="95" t="n">
        <x:f>IF(AND(E175="yes",F175="yes",H175="covered"),1,IF(H175="partial",0.5,0))</x:f>
        <x:v>0</x:v>
      </x:c>
    </x:row>
    <x:row r="176" s="51" customFormat="1" ht="35.04999923706055" customHeight="1">
      <x:c r="A176" s="93" t="n">
        <x:v>168</x:v>
      </x:c>
      <x:c r="B176" s="94" t="inlineStr">
        <x:is>
          <x:t xml:space="preserve">Touch/pen</x:t>
        </x:is>
      </x:c>
      <x:c r="C176" s="94" t="inlineStr">
        <x:is>
          <x:t xml:space="preserve">Outside interaction</x:t>
        </x:is>
      </x:c>
      <x:c r="D176" s="94" t="inlineStr">
        <x:is>
          <x:t xml:space="preserve">outside tap dismisses only after release</x:t>
        </x:is>
      </x:c>
      <x:c r="E176" s="93" t="inlineStr">
        <x:is>
          <x:t xml:space="preserve">yes</x:t>
        </x:is>
      </x:c>
      <x:c r="F176" s="93" t="inlineStr">
        <x:is>
          <x:t xml:space="preserve">no</x:t>
        </x:is>
      </x:c>
      <x:c r="G176" s="93" t="inlineStr">
        <x:is>
          <x:t xml:space="preserve">automated tests pass; manual pending</x:t>
        </x:is>
      </x:c>
      <x:c r="H176" s="93" t="inlineStr">
        <x:is>
          <x:t xml:space="preserve">untested</x:t>
        </x:is>
      </x:c>
      <x:c r="I176" s="94" t="inlineStr">
        <x:is>
          <x:t xml:space="preserve">Automated source and package tests pass; real-device manual verification pending.</x:t>
        </x:is>
      </x:c>
      <x:c r="J176" s="94" t="inlineStr">
        <x:is>
          <x:t xml:space="preserve">Run the draft Select manual protocol on desktop and real touch hardware.</x:t>
        </x:is>
      </x:c>
      <x:c r="K176" s="95" t="n">
        <x:f>IF(AND(E176="yes",F176="yes",H176="covered"),1,IF(H176="partial",0.5,0))</x:f>
        <x:v>0</x:v>
      </x:c>
    </x:row>
    <x:row r="177" s="51" customFormat="1" ht="35.04999923706055" customHeight="1">
      <x:c r="A177" s="93" t="n">
        <x:v>169</x:v>
      </x:c>
      <x:c r="B177" s="94" t="inlineStr">
        <x:is>
          <x:t xml:space="preserve">Touch/pen</x:t>
        </x:is>
      </x:c>
      <x:c r="C177" s="94" t="inlineStr">
        <x:is>
          <x:t xml:space="preserve">Outside interaction</x:t>
        </x:is>
      </x:c>
      <x:c r="D177" s="94" t="inlineStr">
        <x:is>
          <x:t xml:space="preserve">movement, cancellation, or scrolling before release preserves the open Select</x:t>
        </x:is>
      </x:c>
      <x:c r="E177" s="93" t="inlineStr">
        <x:is>
          <x:t xml:space="preserve">yes</x:t>
        </x:is>
      </x:c>
      <x:c r="F177" s="93" t="inlineStr">
        <x:is>
          <x:t xml:space="preserve">no</x:t>
        </x:is>
      </x:c>
      <x:c r="G177" s="93" t="inlineStr">
        <x:is>
          <x:t xml:space="preserve">automated tests pass; manual pending</x:t>
        </x:is>
      </x:c>
      <x:c r="H177" s="93" t="inlineStr">
        <x:is>
          <x:t xml:space="preserve">untested</x:t>
        </x:is>
      </x:c>
      <x:c r="I177" s="94" t="inlineStr">
        <x:is>
          <x:t xml:space="preserve">Automated source and package tests pass; real-device manual verification pending.</x:t>
        </x:is>
      </x:c>
      <x:c r="J177" s="94" t="inlineStr">
        <x:is>
          <x:t xml:space="preserve">Run the draft Select manual protocol on desktop and real touch hardware.</x:t>
        </x:is>
      </x:c>
      <x:c r="K177" s="95" t="n">
        <x:f>IF(AND(E177="yes",F177="yes",H177="covered"),1,IF(H177="partial",0.5,0))</x:f>
        <x:v>0</x:v>
      </x:c>
    </x:row>
    <x:row r="178" s="51" customFormat="1" ht="68" customHeight="1">
      <x:c r="A178" s="137" t="n">
        <x:v>170</x:v>
      </x:c>
      <x:c r="B178" s="137" t="inlineStr">
        <x:is>
          <x:t xml:space="preserve">Selection policy</x:t>
        </x:is>
      </x:c>
      <x:c r="C178" s="137" t="inlineStr">
        <x:is>
          <x:t xml:space="preserve">Root/ClearTrigger</x:t>
        </x:is>
      </x:c>
      <x:c r="D178" s="137" t="inlineStr">
        <x:is>
          <x:t xml:space="preserve">Configured close policy, deselection/clear, disabled/readOnly and focus return.</x:t>
        </x:is>
      </x:c>
      <x:c r="E178" s="137" t="inlineStr">
        <x:is>
          <x:t xml:space="preserve">yes</x:t>
        </x:is>
      </x:c>
      <x:c r="F178" s="137" t="inlineStr">
        <x:is>
          <x:t xml:space="preserve">no</x:t>
        </x:is>
      </x:c>
      <x:c r="G178" s="137" t="inlineStr">
        <x:is>
          <x:t xml:space="preserve">Automated regression passes; manual protocol unperformed</x:t>
        </x:is>
      </x:c>
      <x:c r="H178" s="137" t="inlineStr">
        <x:is>
          <x:t xml:space="preserve">partial</x:t>
        </x:is>
      </x:c>
      <x:c r="I178" s="137" t="inlineStr">
        <x:is>
          <x:t xml:space="preserve">/__tests/select-family; test/browser/select-family-parity.spec.ts</x:t>
        </x:is>
      </x:c>
      <x:c r="J178" s="137" t="inlineStr">
        <x:is>
          <x:t xml:space="preserve">Complete manual protocol; do not infer hardware or screen-reader coverage.</x:t>
        </x:is>
      </x:c>
      <x:c r="K178" s="137" t="n">
        <x:f>IF(AND(E178="yes",F178="yes",H178="covered"),1,IF(H178="partial",0.5,0))</x:f>
        <x:v>0.5</x:v>
      </x:c>
    </x:row>
    <x:row r="179" s="51" customFormat="1" ht="68" customHeight="1">
      <x:c r="A179" s="137" t="n">
        <x:v>171</x:v>
      </x:c>
      <x:c r="B179" s="137" t="inlineStr">
        <x:is>
          <x:t xml:space="preserve">Selection policy</x:t>
        </x:is>
      </x:c>
      <x:c r="C179" s="137" t="inlineStr">
        <x:is>
          <x:t xml:space="preserve">RootProvider/Content</x:t>
        </x:is>
      </x:c>
      <x:c r="D179" s="137" t="inlineStr">
        <x:is>
          <x:t xml:space="preserve">Explicit records submit before opening; stable IDs and retained closed content is hidden/inert.</x:t>
        </x:is>
      </x:c>
      <x:c r="E179" s="137" t="inlineStr">
        <x:is>
          <x:t xml:space="preserve">yes</x:t>
        </x:is>
      </x:c>
      <x:c r="F179" s="137" t="inlineStr">
        <x:is>
          <x:t xml:space="preserve">no</x:t>
        </x:is>
      </x:c>
      <x:c r="G179" s="137" t="inlineStr">
        <x:is>
          <x:t xml:space="preserve">Automated regression passes; manual protocol unperformed</x:t>
        </x:is>
      </x:c>
      <x:c r="H179" s="137" t="inlineStr">
        <x:is>
          <x:t xml:space="preserve">partial</x:t>
        </x:is>
      </x:c>
      <x:c r="I179" s="137" t="inlineStr">
        <x:is>
          <x:t xml:space="preserve">/__tests/select-family; test/browser/select-family-parity.spec.ts</x:t>
        </x:is>
      </x:c>
      <x:c r="J179" s="137" t="inlineStr">
        <x:is>
          <x:t xml:space="preserve">Complete manual protocol; do not infer hardware or screen-reader coverage.</x:t>
        </x:is>
      </x:c>
      <x:c r="K179" s="137" t="n">
        <x:f>IF(AND(E179="yes",F179="yes",H179="covered"),1,IF(H179="partial",0.5,0))</x:f>
        <x:v>0.5</x:v>
      </x:c>
    </x:row>
    <x:row r="180" s="51" customFormat="1" ht="68" customHeight="1">
      <x:c r="A180" s="137" t="n">
        <x:v>172</x:v>
      </x:c>
      <x:c r="B180" s="137" t="inlineStr">
        <x:is>
          <x:t xml:space="preserve">Selection policy</x:t>
        </x:is>
      </x:c>
      <x:c r="C180" s="137" t="inlineStr">
        <x:is>
          <x:t xml:space="preserve">Content</x:t>
        </x:is>
      </x:c>
      <x:c r="D180" s="137" t="inlineStr">
        <x:is>
          <x:t xml:space="preserve">Iframe-local portal/focus and positioned popup-local scrolling without document movement.</x:t>
        </x:is>
      </x:c>
      <x:c r="E180" s="137" t="inlineStr">
        <x:is>
          <x:t xml:space="preserve">yes</x:t>
        </x:is>
      </x:c>
      <x:c r="F180" s="137" t="inlineStr">
        <x:is>
          <x:t xml:space="preserve">no</x:t>
        </x:is>
      </x:c>
      <x:c r="G180" s="137" t="inlineStr">
        <x:is>
          <x:t xml:space="preserve">Automated regression passes; manual protocol unperformed</x:t>
        </x:is>
      </x:c>
      <x:c r="H180" s="137" t="inlineStr">
        <x:is>
          <x:t xml:space="preserve">partial</x:t>
        </x:is>
      </x:c>
      <x:c r="I180" s="137" t="inlineStr">
        <x:is>
          <x:t xml:space="preserve">/__tests/select-family; test/browser/select-family-parity.spec.ts</x:t>
        </x:is>
      </x:c>
      <x:c r="J180" s="137" t="inlineStr">
        <x:is>
          <x:t xml:space="preserve">Complete manual protocol; do not infer hardware or screen-reader coverage.</x:t>
        </x:is>
      </x:c>
      <x:c r="K180" s="137" t="n">
        <x:f>IF(AND(E180="yes",F180="yes",H180="covered"),1,IF(H180="partial",0.5,0))</x:f>
        <x:v>0.5</x:v>
      </x:c>
    </x:row>
  </x:sheetData>
  <x:mergeCells>
    <x:mergeCell ref="A6:K6"/>
    <x:mergeCell ref="A2:H2"/>
    <x:mergeCell ref="A1:H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Sidebar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84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protocol</x:t>
        </x:is>
      </x:c>
      <x:c r="H9" s="86" t="inlineStr">
        <x:is>
          <x:t xml:space="preserve">covered</x:t>
        </x:is>
      </x:c>
      <x:c r="I9" s="84" t="inlineStr">
        <x:is>
          <x:t xml:space="preserve">manual-tests/sidebar.md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protocol</x:t>
        </x:is>
      </x:c>
      <x:c r="H10" s="86" t="inlineStr">
        <x:is>
          <x:t xml:space="preserve">covered</x:t>
        </x:is>
      </x:c>
      <x:c r="I10" s="84" t="inlineStr">
        <x:is>
          <x:t xml:space="preserve">manual-tests/sidebar.md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Sidebar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protocol</x:t>
        </x:is>
      </x:c>
      <x:c r="H11" s="86" t="inlineStr">
        <x:is>
          <x:t xml:space="preserve">covered</x:t>
        </x:is>
      </x:c>
      <x:c r="I11" s="84" t="inlineStr">
        <x:is>
          <x:t xml:space="preserve">manual-tests/sidebar.md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Sidebar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protocol</x:t>
        </x:is>
      </x:c>
      <x:c r="H12" s="86" t="inlineStr">
        <x:is>
          <x:t xml:space="preserve">covered</x:t>
        </x:is>
      </x:c>
      <x:c r="I12" s="84" t="inlineStr">
        <x:is>
          <x:t xml:space="preserve">manual-tests/sidebar.md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Sidebar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protocol</x:t>
        </x:is>
      </x:c>
      <x:c r="H13" s="86" t="inlineStr">
        <x:is>
          <x:t xml:space="preserve">covered</x:t>
        </x:is>
      </x:c>
      <x:c r="I13" s="84" t="inlineStr">
        <x:is>
          <x:t xml:space="preserve">manual-tests/sidebar.md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Sidebar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protocol</x:t>
        </x:is>
      </x:c>
      <x:c r="H14" s="86" t="inlineStr">
        <x:is>
          <x:t xml:space="preserve">covered</x:t>
        </x:is>
      </x:c>
      <x:c r="I14" s="84" t="inlineStr">
        <x:is>
          <x:t xml:space="preserve">manual-tests/sidebar.md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Sidebar</x:t>
        </x:is>
      </x:c>
      <x:c r="D15" s="84" t="inlineStr">
        <x:is>
          <x:t xml:space="preserve">Supports controlled and uncontrolled sidebar state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protocol</x:t>
        </x:is>
      </x:c>
      <x:c r="H15" s="86" t="inlineStr">
        <x:is>
          <x:t xml:space="preserve">covered</x:t>
        </x:is>
      </x:c>
      <x:c r="I15" s="84" t="inlineStr">
        <x:is>
          <x:t xml:space="preserve">manual-tests/sidebar.md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Sidebar</x:t>
        </x:is>
      </x:c>
      <x:c r="D16" s="84" t="inlineStr">
        <x:is>
          <x:t xml:space="preserve">Supports `expanded`, `rail`, and `offcanvas` states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protocol</x:t>
        </x:is>
      </x:c>
      <x:c r="H16" s="86" t="inlineStr">
        <x:is>
          <x:t xml:space="preserve">covered</x:t>
        </x:is>
      </x:c>
      <x:c r="I16" s="84" t="inlineStr">
        <x:is>
          <x:t xml:space="preserve">manual-tests/sidebar.md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Sidebar</x:t>
        </x:is>
      </x:c>
      <x:c r="D17" s="84" t="inlineStr">
        <x:is>
          <x:t xml:space="preserve">Supports left and right sidebars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protocol</x:t>
        </x:is>
      </x:c>
      <x:c r="H17" s="86" t="inlineStr">
        <x:is>
          <x:t xml:space="preserve">covered</x:t>
        </x:is>
      </x:c>
      <x:c r="I17" s="84" t="inlineStr">
        <x:is>
          <x:t xml:space="preserve">manual-tests/sidebar.md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Sidebar</x:t>
        </x:is>
      </x:c>
      <x:c r="D18" s="84" t="inlineStr">
        <x:is>
          <x:t xml:space="preserve">Provides trigger, panel, and main content relationships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protocol</x:t>
        </x:is>
      </x:c>
      <x:c r="H18" s="86" t="inlineStr">
        <x:is>
          <x:t xml:space="preserve">covered</x:t>
        </x:is>
      </x:c>
      <x:c r="I18" s="84" t="inlineStr">
        <x:is>
          <x:t xml:space="preserve">manual-tests/sidebar.md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Sidebar</x:t>
        </x:is>
      </x:c>
      <x:c r="D19" s="84" t="inlineStr">
        <x:is>
          <x:t xml:space="preserve">Keeps layout and visual sizing in consumer styles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protocol</x:t>
        </x:is>
      </x:c>
      <x:c r="H19" s="86" t="inlineStr">
        <x:is>
          <x:t xml:space="preserve">covered</x:t>
        </x:is>
      </x:c>
      <x:c r="I19" s="84" t="inlineStr">
        <x:is>
          <x:t xml:space="preserve">manual-tests/sidebar.md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Sidebar</x:t>
        </x:is>
      </x:c>
      <x:c r="D20" s="84" t="inlineStr">
        <x:is>
          <x:t xml:space="preserve">Removes offcanvas panels from the accessibility tree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protocol</x:t>
        </x:is>
      </x:c>
      <x:c r="H20" s="86" t="inlineStr">
        <x:is>
          <x:t xml:space="preserve">covered</x:t>
        </x:is>
      </x:c>
      <x:c r="I20" s="84" t="inlineStr">
        <x:is>
          <x:t xml:space="preserve">manual-tests/sidebar.md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protocol</x:t>
        </x:is>
      </x:c>
      <x:c r="H21" s="86" t="inlineStr">
        <x:is>
          <x:t xml:space="preserve">covered</x:t>
        </x:is>
      </x:c>
      <x:c r="I21" s="84" t="inlineStr">
        <x:is>
          <x:t xml:space="preserve">manual-tests/sidebar.md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protocol</x:t>
        </x:is>
      </x:c>
      <x:c r="H22" s="86" t="inlineStr">
        <x:is>
          <x:t xml:space="preserve">covered</x:t>
        </x:is>
      </x:c>
      <x:c r="I22" s="84" t="inlineStr">
        <x:is>
          <x:t xml:space="preserve">manual-tests/sidebar.md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protocol</x:t>
        </x:is>
      </x:c>
      <x:c r="H23" s="86" t="inlineStr">
        <x:is>
          <x:t xml:space="preserve">covered</x:t>
        </x:is>
      </x:c>
      <x:c r="I23" s="84" t="inlineStr">
        <x:is>
          <x:t xml:space="preserve">manual-tests/sidebar.md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protocol</x:t>
        </x:is>
      </x:c>
      <x:c r="H24" s="86" t="inlineStr">
        <x:is>
          <x:t xml:space="preserve">covered</x:t>
        </x:is>
      </x:c>
      <x:c r="I24" s="84" t="inlineStr">
        <x:is>
          <x:t xml:space="preserve">manual-tests/sidebar.md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protocol</x:t>
        </x:is>
      </x:c>
      <x:c r="H25" s="86" t="inlineStr">
        <x:is>
          <x:t xml:space="preserve">covered</x:t>
        </x:is>
      </x:c>
      <x:c r="I25" s="84" t="inlineStr">
        <x:is>
          <x:t xml:space="preserve">manual-tests/sidebar.md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protocol</x:t>
        </x:is>
      </x:c>
      <x:c r="H26" s="86" t="inlineStr">
        <x:is>
          <x:t xml:space="preserve">covered</x:t>
        </x:is>
      </x:c>
      <x:c r="I26" s="84" t="inlineStr">
        <x:is>
          <x:t xml:space="preserve">manual-tests/sidebar.md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Public API</x:t>
        </x:is>
      </x:c>
      <x:c r="C27" s="84" t="inlineStr">
        <x:is>
          <x:t xml:space="preserve">Root</x:t>
        </x:is>
      </x:c>
      <x:c r="D27" s="84" t="inlineStr">
        <x:is>
          <x:t xml:space="preserve">state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protocol</x:t>
        </x:is>
      </x:c>
      <x:c r="H27" s="86" t="inlineStr">
        <x:is>
          <x:t xml:space="preserve">covered</x:t>
        </x:is>
      </x:c>
      <x:c r="I27" s="84" t="inlineStr">
        <x:is>
          <x:t xml:space="preserve">manual-tests/sidebar.md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defaultState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protocol</x:t>
        </x:is>
      </x:c>
      <x:c r="H28" s="86" t="inlineStr">
        <x:is>
          <x:t xml:space="preserve">covered</x:t>
        </x:is>
      </x:c>
      <x:c r="I28" s="84" t="inlineStr">
        <x:is>
          <x:t xml:space="preserve">manual-tests/sidebar.md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onStateChange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protocol</x:t>
        </x:is>
      </x:c>
      <x:c r="H29" s="86" t="inlineStr">
        <x:is>
          <x:t xml:space="preserve">covered</x:t>
        </x:is>
      </x:c>
      <x:c r="I29" s="84" t="inlineStr">
        <x:is>
          <x:t xml:space="preserve">manual-tests/sidebar.md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collapsedState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protocol</x:t>
        </x:is>
      </x:c>
      <x:c r="H30" s="86" t="inlineStr">
        <x:is>
          <x:t xml:space="preserve">covered</x:t>
        </x:is>
      </x:c>
      <x:c r="I30" s="84" t="inlineStr">
        <x:is>
          <x:t xml:space="preserve">manual-tests/sidebar.md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Positioning</x:t>
        </x:is>
      </x:c>
      <x:c r="C31" s="84" t="inlineStr">
        <x:is>
          <x:t xml:space="preserve">Root</x:t>
        </x:is>
      </x:c>
      <x:c r="D31" s="84" t="inlineStr">
        <x:is>
          <x:t xml:space="preserve">side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protocol</x:t>
        </x:is>
      </x:c>
      <x:c r="H31" s="86" t="inlineStr">
        <x:is>
          <x:t xml:space="preserve">covered</x:t>
        </x:is>
      </x:c>
      <x:c r="I31" s="84" t="inlineStr">
        <x:is>
          <x:t xml:space="preserve">manual-tests/sidebar.md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disabled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protocol</x:t>
        </x:is>
      </x:c>
      <x:c r="H32" s="86" t="inlineStr">
        <x:is>
          <x:t xml:space="preserve">covered</x:t>
        </x:is>
      </x:c>
      <x:c r="I32" s="84" t="inlineStr">
        <x:is>
          <x:t xml:space="preserve">manual-tests/sidebar.md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[data-slot]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protocol</x:t>
        </x:is>
      </x:c>
      <x:c r="H33" s="86" t="inlineStr">
        <x:is>
          <x:t xml:space="preserve">covered</x:t>
        </x:is>
      </x:c>
      <x:c r="I33" s="84" t="inlineStr">
        <x:is>
          <x:t xml:space="preserve">manual-tests/sidebar.md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[data-state]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protocol</x:t>
        </x:is>
      </x:c>
      <x:c r="H34" s="86" t="inlineStr">
        <x:is>
          <x:t xml:space="preserve">covered</x:t>
        </x:is>
      </x:c>
      <x:c r="I34" s="84" t="inlineStr">
        <x:is>
          <x:t xml:space="preserve">manual-tests/sidebar.md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Positioning</x:t>
        </x:is>
      </x:c>
      <x:c r="C35" s="84" t="inlineStr">
        <x:is>
          <x:t xml:space="preserve">Root</x:t>
        </x:is>
      </x:c>
      <x:c r="D35" s="84" t="inlineStr">
        <x:is>
          <x:t xml:space="preserve">[data-side]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protocol</x:t>
        </x:is>
      </x:c>
      <x:c r="H35" s="86" t="inlineStr">
        <x:is>
          <x:t xml:space="preserve">covered</x:t>
        </x:is>
      </x:c>
      <x:c r="I35" s="84" t="inlineStr">
        <x:is>
          <x:t xml:space="preserve">manual-tests/sidebar.md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[data-collapsed-state]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protocol</x:t>
        </x:is>
      </x:c>
      <x:c r="H36" s="86" t="inlineStr">
        <x:is>
          <x:t xml:space="preserve">covered</x:t>
        </x:is>
      </x:c>
      <x:c r="I36" s="84" t="inlineStr">
        <x:is>
          <x:t xml:space="preserve">manual-tests/sidebar.md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Anatomy</x:t>
        </x:is>
      </x:c>
      <x:c r="C37" s="84" t="inlineStr">
        <x:is>
          <x:t xml:space="preserve">Trigger</x:t>
        </x:is>
      </x:c>
      <x:c r="D37" s="84" t="inlineStr">
        <x:is>
          <x:t xml:space="preserve">renders correct part when expected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protocol</x:t>
        </x:is>
      </x:c>
      <x:c r="H37" s="86" t="inlineStr">
        <x:is>
          <x:t xml:space="preserve">covered</x:t>
        </x:is>
      </x:c>
      <x:c r="I37" s="84" t="inlineStr">
        <x:is>
          <x:t xml:space="preserve">manual-tests/sidebar.md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Anatomy</x:t>
        </x:is>
      </x:c>
      <x:c r="C38" s="84" t="inlineStr">
        <x:is>
          <x:t xml:space="preserve">Trigger</x:t>
        </x:is>
      </x:c>
      <x:c r="D38" s="84" t="inlineStr">
        <x:is>
          <x:t xml:space="preserve">appears in documented order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protocol</x:t>
        </x:is>
      </x:c>
      <x:c r="H38" s="86" t="inlineStr">
        <x:is>
          <x:t xml:space="preserve">covered</x:t>
        </x:is>
      </x:c>
      <x:c r="I38" s="84" t="inlineStr">
        <x:is>
          <x:t xml:space="preserve">manual-tests/sidebar.md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30" customHeight="1">
      <x:c r="A39" s="73" t="n">
        <x:v>31</x:v>
      </x:c>
      <x:c r="B39" s="84" t="inlineStr">
        <x:is>
          <x:t xml:space="preserve">Identity</x:t>
        </x:is>
      </x:c>
      <x:c r="C39" s="84" t="inlineStr">
        <x:is>
          <x:t xml:space="preserve">Trigger</x:t>
        </x:is>
      </x:c>
      <x:c r="D39" s="84" t="inlineStr">
        <x:is>
          <x:t xml:space="preserve">default tag is visible in Anatomy/Inspector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protocol</x:t>
        </x:is>
      </x:c>
      <x:c r="H39" s="86" t="inlineStr">
        <x:is>
          <x:t xml:space="preserve">covered</x:t>
        </x:is>
      </x:c>
      <x:c r="I39" s="84" t="inlineStr">
        <x:is>
          <x:t xml:space="preserve">manual-tests/sidebar.md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Identity</x:t>
        </x:is>
      </x:c>
      <x:c r="C40" s="84" t="inlineStr">
        <x:is>
          <x:t xml:space="preserve">Trigger</x:t>
        </x:is>
      </x:c>
      <x:c r="D40" s="84" t="inlineStr">
        <x:is>
          <x:t xml:space="preserve">data-slot is present and correct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protocol</x:t>
        </x:is>
      </x:c>
      <x:c r="H40" s="86" t="inlineStr">
        <x:is>
          <x:t xml:space="preserve">covered</x:t>
        </x:is>
      </x:c>
      <x:c r="I40" s="84" t="inlineStr">
        <x:is>
          <x:t xml:space="preserve">manual-tests/sidebar.md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Props</x:t>
        </x:is>
      </x:c>
      <x:c r="C41" s="84" t="inlineStr">
        <x:is>
          <x:t xml:space="preserve">Trigger</x:t>
        </x:is>
      </x:c>
      <x:c r="D41" s="84" t="inlineStr">
        <x:is>
          <x:t xml:space="preserve">non-Atom native props pass through with data-prop-check marker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protocol</x:t>
        </x:is>
      </x:c>
      <x:c r="H41" s="86" t="inlineStr">
        <x:is>
          <x:t xml:space="preserve">covered</x:t>
        </x:is>
      </x:c>
      <x:c r="I41" s="84" t="inlineStr">
        <x:is>
          <x:t xml:space="preserve">manual-tests/sidebar.md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Refs</x:t>
        </x:is>
      </x:c>
      <x:c r="C42" s="84" t="inlineStr">
        <x:is>
          <x:t xml:space="preserve">Trigger</x:t>
        </x:is>
      </x:c>
      <x:c r="D42" s="84" t="inlineStr">
        <x:is>
          <x:t xml:space="preserve">consumer ref receives the rendered element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protocol</x:t>
        </x:is>
      </x:c>
      <x:c r="H42" s="86" t="inlineStr">
        <x:is>
          <x:t xml:space="preserve">covered</x:t>
        </x:is>
      </x:c>
      <x:c r="I42" s="84" t="inlineStr">
        <x:is>
          <x:t xml:space="preserve">manual-tests/sidebar.md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Trigger</x:t>
        </x:is>
      </x:c>
      <x:c r="D43" s="84" t="inlineStr">
        <x:is>
          <x:t xml:space="preserve">Root disabled state disables Trigger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protocol</x:t>
        </x:is>
      </x:c>
      <x:c r="H43" s="86" t="inlineStr">
        <x:is>
          <x:t xml:space="preserve">covered</x:t>
        </x:is>
      </x:c>
      <x:c r="I43" s="84" t="inlineStr">
        <x:is>
          <x:t xml:space="preserve">manual-tests/sidebar.md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Composition</x:t>
        </x:is>
      </x:c>
      <x:c r="C44" s="84" t="inlineStr">
        <x:is>
          <x:t xml:space="preserve">Trigger</x:t>
        </x:is>
      </x:c>
      <x:c r="D44" s="84" t="inlineStr">
        <x:is>
          <x:t xml:space="preserve">asChild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protocol</x:t>
        </x:is>
      </x:c>
      <x:c r="H44" s="86" t="inlineStr">
        <x:is>
          <x:t xml:space="preserve">covered</x:t>
        </x:is>
      </x:c>
      <x:c r="I44" s="84" t="inlineStr">
        <x:is>
          <x:t xml:space="preserve">manual-tests/sidebar.md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Composition</x:t>
        </x:is>
      </x:c>
      <x:c r="C45" s="84" t="inlineStr">
        <x:is>
          <x:t xml:space="preserve">Trigger</x:t>
        </x:is>
      </x:c>
      <x:c r="D45" s="84" t="inlineStr">
        <x:is>
          <x:t xml:space="preserve">render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protocol</x:t>
        </x:is>
      </x:c>
      <x:c r="H45" s="86" t="inlineStr">
        <x:is>
          <x:t xml:space="preserve">covered</x:t>
        </x:is>
      </x:c>
      <x:c r="I45" s="84" t="inlineStr">
        <x:is>
          <x:t xml:space="preserve">manual-tests/sidebar.md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Trigger</x:t>
        </x:is>
      </x:c>
      <x:c r="D46" s="84" t="inlineStr">
        <x:is>
          <x:t xml:space="preserve">[data-slot]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protocol</x:t>
        </x:is>
      </x:c>
      <x:c r="H46" s="86" t="inlineStr">
        <x:is>
          <x:t xml:space="preserve">covered</x:t>
        </x:is>
      </x:c>
      <x:c r="I46" s="84" t="inlineStr">
        <x:is>
          <x:t xml:space="preserve">manual-tests/sidebar.md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Public API</x:t>
        </x:is>
      </x:c>
      <x:c r="C47" s="84" t="inlineStr">
        <x:is>
          <x:t xml:space="preserve">Trigger</x:t>
        </x:is>
      </x:c>
      <x:c r="D47" s="84" t="inlineStr">
        <x:is>
          <x:t xml:space="preserve">[data-state] prop behavior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protocol</x:t>
        </x:is>
      </x:c>
      <x:c r="H47" s="86" t="inlineStr">
        <x:is>
          <x:t xml:space="preserve">covered</x:t>
        </x:is>
      </x:c>
      <x:c r="I47" s="84" t="inlineStr">
        <x:is>
          <x:t xml:space="preserve">manual-tests/sidebar.md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Positioning</x:t>
        </x:is>
      </x:c>
      <x:c r="C48" s="84" t="inlineStr">
        <x:is>
          <x:t xml:space="preserve">Trigger</x:t>
        </x:is>
      </x:c>
      <x:c r="D48" s="84" t="inlineStr">
        <x:is>
          <x:t xml:space="preserve">[data-side] prop behavior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protocol</x:t>
        </x:is>
      </x:c>
      <x:c r="H48" s="86" t="inlineStr">
        <x:is>
          <x:t xml:space="preserve">covered</x:t>
        </x:is>
      </x:c>
      <x:c r="I48" s="84" t="inlineStr">
        <x:is>
          <x:t xml:space="preserve">manual-tests/sidebar.md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State</x:t>
        </x:is>
      </x:c>
      <x:c r="C49" s="84" t="inlineStr">
        <x:is>
          <x:t xml:space="preserve">Trigger</x:t>
        </x:is>
      </x:c>
      <x:c r="D49" s="84" t="inlineStr">
        <x:is>
          <x:t xml:space="preserve">[data-disabled]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protocol</x:t>
        </x:is>
      </x:c>
      <x:c r="H49" s="86" t="inlineStr">
        <x:is>
          <x:t xml:space="preserve">covered</x:t>
        </x:is>
      </x:c>
      <x:c r="I49" s="84" t="inlineStr">
        <x:is>
          <x:t xml:space="preserve">manual-tests/sidebar.md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Anatomy</x:t>
        </x:is>
      </x:c>
      <x:c r="C50" s="84" t="inlineStr">
        <x:is>
          <x:t xml:space="preserve">Main</x:t>
        </x:is>
      </x:c>
      <x:c r="D50" s="84" t="inlineStr">
        <x:is>
          <x:t xml:space="preserve">renders correct part when expected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protocol</x:t>
        </x:is>
      </x:c>
      <x:c r="H50" s="86" t="inlineStr">
        <x:is>
          <x:t xml:space="preserve">covered</x:t>
        </x:is>
      </x:c>
      <x:c r="I50" s="84" t="inlineStr">
        <x:is>
          <x:t xml:space="preserve">manual-tests/sidebar.md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Anatomy</x:t>
        </x:is>
      </x:c>
      <x:c r="C51" s="84" t="inlineStr">
        <x:is>
          <x:t xml:space="preserve">Main</x:t>
        </x:is>
      </x:c>
      <x:c r="D51" s="84" t="inlineStr">
        <x:is>
          <x:t xml:space="preserve">appears in documented order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protocol</x:t>
        </x:is>
      </x:c>
      <x:c r="H51" s="86" t="inlineStr">
        <x:is>
          <x:t xml:space="preserve">covered</x:t>
        </x:is>
      </x:c>
      <x:c r="I51" s="84" t="inlineStr">
        <x:is>
          <x:t xml:space="preserve">manual-tests/sidebar.md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30" customHeight="1">
      <x:c r="A52" s="73" t="n">
        <x:v>44</x:v>
      </x:c>
      <x:c r="B52" s="84" t="inlineStr">
        <x:is>
          <x:t xml:space="preserve">Identity</x:t>
        </x:is>
      </x:c>
      <x:c r="C52" s="84" t="inlineStr">
        <x:is>
          <x:t xml:space="preserve">Main</x:t>
        </x:is>
      </x:c>
      <x:c r="D52" s="84" t="inlineStr">
        <x:is>
          <x:t xml:space="preserve">default tag is visible in Anatomy/Inspector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protocol</x:t>
        </x:is>
      </x:c>
      <x:c r="H52" s="86" t="inlineStr">
        <x:is>
          <x:t xml:space="preserve">covered</x:t>
        </x:is>
      </x:c>
      <x:c r="I52" s="84" t="inlineStr">
        <x:is>
          <x:t xml:space="preserve">manual-tests/sidebar.md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Identity</x:t>
        </x:is>
      </x:c>
      <x:c r="C53" s="84" t="inlineStr">
        <x:is>
          <x:t xml:space="preserve">Main</x:t>
        </x:is>
      </x:c>
      <x:c r="D53" s="84" t="inlineStr">
        <x:is>
          <x:t xml:space="preserve">data-slot is present and correct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protocol</x:t>
        </x:is>
      </x:c>
      <x:c r="H53" s="86" t="inlineStr">
        <x:is>
          <x:t xml:space="preserve">covered</x:t>
        </x:is>
      </x:c>
      <x:c r="I53" s="84" t="inlineStr">
        <x:is>
          <x:t xml:space="preserve">manual-tests/sidebar.md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Props</x:t>
        </x:is>
      </x:c>
      <x:c r="C54" s="84" t="inlineStr">
        <x:is>
          <x:t xml:space="preserve">Main</x:t>
        </x:is>
      </x:c>
      <x:c r="D54" s="84" t="inlineStr">
        <x:is>
          <x:t xml:space="preserve">non-Atom native props pass through with data-prop-check marker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protocol</x:t>
        </x:is>
      </x:c>
      <x:c r="H54" s="86" t="inlineStr">
        <x:is>
          <x:t xml:space="preserve">covered</x:t>
        </x:is>
      </x:c>
      <x:c r="I54" s="84" t="inlineStr">
        <x:is>
          <x:t xml:space="preserve">manual-tests/sidebar.md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Refs</x:t>
        </x:is>
      </x:c>
      <x:c r="C55" s="84" t="inlineStr">
        <x:is>
          <x:t xml:space="preserve">Main</x:t>
        </x:is>
      </x:c>
      <x:c r="D55" s="84" t="inlineStr">
        <x:is>
          <x:t xml:space="preserve">consumer ref receives the rendered element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protocol</x:t>
        </x:is>
      </x:c>
      <x:c r="H55" s="86" t="inlineStr">
        <x:is>
          <x:t xml:space="preserve">covered</x:t>
        </x:is>
      </x:c>
      <x:c r="I55" s="84" t="inlineStr">
        <x:is>
          <x:t xml:space="preserve">manual-tests/sidebar.md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Main</x:t>
        </x:is>
      </x:c>
      <x:c r="D56" s="84" t="inlineStr">
        <x:is>
          <x:t xml:space="preserve">[data-slot]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protocol</x:t>
        </x:is>
      </x:c>
      <x:c r="H56" s="86" t="inlineStr">
        <x:is>
          <x:t xml:space="preserve">covered</x:t>
        </x:is>
      </x:c>
      <x:c r="I56" s="84" t="inlineStr">
        <x:is>
          <x:t xml:space="preserve">manual-tests/sidebar.md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Public API</x:t>
        </x:is>
      </x:c>
      <x:c r="C57" s="84" t="inlineStr">
        <x:is>
          <x:t xml:space="preserve">Main</x:t>
        </x:is>
      </x:c>
      <x:c r="D57" s="84" t="inlineStr">
        <x:is>
          <x:t xml:space="preserve">[data-state]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protocol</x:t>
        </x:is>
      </x:c>
      <x:c r="H57" s="86" t="inlineStr">
        <x:is>
          <x:t xml:space="preserve">covered</x:t>
        </x:is>
      </x:c>
      <x:c r="I57" s="84" t="inlineStr">
        <x:is>
          <x:t xml:space="preserve">manual-tests/sidebar.md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Positioning</x:t>
        </x:is>
      </x:c>
      <x:c r="C58" s="84" t="inlineStr">
        <x:is>
          <x:t xml:space="preserve">Main</x:t>
        </x:is>
      </x:c>
      <x:c r="D58" s="84" t="inlineStr">
        <x:is>
          <x:t xml:space="preserve">[data-side]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protocol</x:t>
        </x:is>
      </x:c>
      <x:c r="H58" s="86" t="inlineStr">
        <x:is>
          <x:t xml:space="preserve">covered</x:t>
        </x:is>
      </x:c>
      <x:c r="I58" s="84" t="inlineStr">
        <x:is>
          <x:t xml:space="preserve">manual-tests/sidebar.md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Panel</x:t>
        </x:is>
      </x:c>
      <x:c r="D59" s="84" t="inlineStr">
        <x:is>
          <x:t xml:space="preserve">renders correct part when expected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protocol</x:t>
        </x:is>
      </x:c>
      <x:c r="H59" s="86" t="inlineStr">
        <x:is>
          <x:t xml:space="preserve">covered</x:t>
        </x:is>
      </x:c>
      <x:c r="I59" s="84" t="inlineStr">
        <x:is>
          <x:t xml:space="preserve">manual-tests/sidebar.md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Anatomy</x:t>
        </x:is>
      </x:c>
      <x:c r="C60" s="84" t="inlineStr">
        <x:is>
          <x:t xml:space="preserve">Panel</x:t>
        </x:is>
      </x:c>
      <x:c r="D60" s="84" t="inlineStr">
        <x:is>
          <x:t xml:space="preserve">appears in documented order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protocol</x:t>
        </x:is>
      </x:c>
      <x:c r="H60" s="86" t="inlineStr">
        <x:is>
          <x:t xml:space="preserve">covered</x:t>
        </x:is>
      </x:c>
      <x:c r="I60" s="84" t="inlineStr">
        <x:is>
          <x:t xml:space="preserve">manual-tests/sidebar.md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30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Panel</x:t>
        </x:is>
      </x:c>
      <x:c r="D61" s="84" t="inlineStr">
        <x:is>
          <x:t xml:space="preserve">default tag is visible in Anatomy/Inspector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protocol</x:t>
        </x:is>
      </x:c>
      <x:c r="H61" s="86" t="inlineStr">
        <x:is>
          <x:t xml:space="preserve">covered</x:t>
        </x:is>
      </x:c>
      <x:c r="I61" s="84" t="inlineStr">
        <x:is>
          <x:t xml:space="preserve">manual-tests/sidebar.md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Identity</x:t>
        </x:is>
      </x:c>
      <x:c r="C62" s="84" t="inlineStr">
        <x:is>
          <x:t xml:space="preserve">Panel</x:t>
        </x:is>
      </x:c>
      <x:c r="D62" s="84" t="inlineStr">
        <x:is>
          <x:t xml:space="preserve">data-slot is present and correct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protocol</x:t>
        </x:is>
      </x:c>
      <x:c r="H62" s="86" t="inlineStr">
        <x:is>
          <x:t xml:space="preserve">covered</x:t>
        </x:is>
      </x:c>
      <x:c r="I62" s="84" t="inlineStr">
        <x:is>
          <x:t xml:space="preserve">manual-tests/sidebar.md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Props</x:t>
        </x:is>
      </x:c>
      <x:c r="C63" s="84" t="inlineStr">
        <x:is>
          <x:t xml:space="preserve">Panel</x:t>
        </x:is>
      </x:c>
      <x:c r="D63" s="84" t="inlineStr">
        <x:is>
          <x:t xml:space="preserve">non-Atom native props pass through with data-prop-check marker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protocol</x:t>
        </x:is>
      </x:c>
      <x:c r="H63" s="86" t="inlineStr">
        <x:is>
          <x:t xml:space="preserve">covered</x:t>
        </x:is>
      </x:c>
      <x:c r="I63" s="84" t="inlineStr">
        <x:is>
          <x:t xml:space="preserve">manual-tests/sidebar.md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Refs</x:t>
        </x:is>
      </x:c>
      <x:c r="C64" s="84" t="inlineStr">
        <x:is>
          <x:t xml:space="preserve">Panel</x:t>
        </x:is>
      </x:c>
      <x:c r="D64" s="84" t="inlineStr">
        <x:is>
          <x:t xml:space="preserve">consumer ref receives the rendered element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protocol</x:t>
        </x:is>
      </x:c>
      <x:c r="H64" s="86" t="inlineStr">
        <x:is>
          <x:t xml:space="preserve">covered</x:t>
        </x:is>
      </x:c>
      <x:c r="I64" s="84" t="inlineStr">
        <x:is>
          <x:t xml:space="preserve">manual-tests/sidebar.md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Composition</x:t>
        </x:is>
      </x:c>
      <x:c r="C65" s="84" t="inlineStr">
        <x:is>
          <x:t xml:space="preserve">Panel</x:t>
        </x:is>
      </x:c>
      <x:c r="D65" s="84" t="inlineStr">
        <x:is>
          <x:t xml:space="preserve">asChild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protocol</x:t>
        </x:is>
      </x:c>
      <x:c r="H65" s="86" t="inlineStr">
        <x:is>
          <x:t xml:space="preserve">covered</x:t>
        </x:is>
      </x:c>
      <x:c r="I65" s="84" t="inlineStr">
        <x:is>
          <x:t xml:space="preserve">manual-tests/sidebar.md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Composition</x:t>
        </x:is>
      </x:c>
      <x:c r="C66" s="84" t="inlineStr">
        <x:is>
          <x:t xml:space="preserve">Panel</x:t>
        </x:is>
      </x:c>
      <x:c r="D66" s="84" t="inlineStr">
        <x:is>
          <x:t xml:space="preserve">render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protocol</x:t>
        </x:is>
      </x:c>
      <x:c r="H66" s="86" t="inlineStr">
        <x:is>
          <x:t xml:space="preserve">covered</x:t>
        </x:is>
      </x:c>
      <x:c r="I66" s="84" t="inlineStr">
        <x:is>
          <x:t xml:space="preserve">manual-tests/sidebar.md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Panel</x:t>
        </x:is>
      </x:c>
      <x:c r="D67" s="84" t="inlineStr">
        <x:is>
          <x:t xml:space="preserve">[data-slot]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protocol</x:t>
        </x:is>
      </x:c>
      <x:c r="H67" s="86" t="inlineStr">
        <x:is>
          <x:t xml:space="preserve">covered</x:t>
        </x:is>
      </x:c>
      <x:c r="I67" s="84" t="inlineStr">
        <x:is>
          <x:t xml:space="preserve">manual-tests/sidebar.md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Public API</x:t>
        </x:is>
      </x:c>
      <x:c r="C68" s="84" t="inlineStr">
        <x:is>
          <x:t xml:space="preserve">Panel</x:t>
        </x:is>
      </x:c>
      <x:c r="D68" s="84" t="inlineStr">
        <x:is>
          <x:t xml:space="preserve">[data-state]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protocol</x:t>
        </x:is>
      </x:c>
      <x:c r="H68" s="86" t="inlineStr">
        <x:is>
          <x:t xml:space="preserve">covered</x:t>
        </x:is>
      </x:c>
      <x:c r="I68" s="84" t="inlineStr">
        <x:is>
          <x:t xml:space="preserve">manual-tests/sidebar.md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Positioning</x:t>
        </x:is>
      </x:c>
      <x:c r="C69" s="84" t="inlineStr">
        <x:is>
          <x:t xml:space="preserve">Panel</x:t>
        </x:is>
      </x:c>
      <x:c r="D69" s="84" t="inlineStr">
        <x:is>
          <x:t xml:space="preserve">[data-side]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protocol</x:t>
        </x:is>
      </x:c>
      <x:c r="H69" s="86" t="inlineStr">
        <x:is>
          <x:t xml:space="preserve">covered</x:t>
        </x:is>
      </x:c>
      <x:c r="I69" s="84" t="inlineStr">
        <x:is>
          <x:t xml:space="preserve">manual-tests/sidebar.md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ARIA</x:t>
        </x:is>
      </x:c>
      <x:c r="C70" s="84" t="inlineStr">
        <x:is>
          <x:t xml:space="preserve">Live DOM</x:t>
        </x:is>
      </x:c>
      <x:c r="D70" s="84" t="inlineStr">
        <x:is>
          <x:t xml:space="preserve">aria-controls is present at the correct time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protocol</x:t>
        </x:is>
      </x:c>
      <x:c r="H70" s="86" t="inlineStr">
        <x:is>
          <x:t xml:space="preserve">covered</x:t>
        </x:is>
      </x:c>
      <x:c r="I70" s="84" t="inlineStr">
        <x:is>
          <x:t xml:space="preserve">manual-tests/sidebar.md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ARIA</x:t>
        </x:is>
      </x:c>
      <x:c r="C71" s="84" t="inlineStr">
        <x:is>
          <x:t xml:space="preserve">Live DOM</x:t>
        </x:is>
      </x:c>
      <x:c r="D71" s="84" t="inlineStr">
        <x:is>
          <x:t xml:space="preserve">aria-disabled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protocol</x:t>
        </x:is>
      </x:c>
      <x:c r="H71" s="86" t="inlineStr">
        <x:is>
          <x:t xml:space="preserve">covered</x:t>
        </x:is>
      </x:c>
      <x:c r="I71" s="84" t="inlineStr">
        <x:is>
          <x:t xml:space="preserve">manual-tests/sidebar.md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ARIA</x:t>
        </x:is>
      </x:c>
      <x:c r="C72" s="84" t="inlineStr">
        <x:is>
          <x:t xml:space="preserve">Live DOM</x:t>
        </x:is>
      </x:c>
      <x:c r="D72" s="84" t="inlineStr">
        <x:is>
          <x:t xml:space="preserve">aria-expanded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protocol</x:t>
        </x:is>
      </x:c>
      <x:c r="H72" s="86" t="inlineStr">
        <x:is>
          <x:t xml:space="preserve">covered</x:t>
        </x:is>
      </x:c>
      <x:c r="I72" s="84" t="inlineStr">
        <x:is>
          <x:t xml:space="preserve">manual-tests/sidebar.md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ARIA</x:t>
        </x:is>
      </x:c>
      <x:c r="C73" s="84" t="inlineStr">
        <x:is>
          <x:t xml:space="preserve">Live DOM</x:t>
        </x:is>
      </x:c>
      <x:c r="D73" s="84" t="inlineStr">
        <x:is>
          <x:t xml:space="preserve">aria-hidden is present at the correct time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protocol</x:t>
        </x:is>
      </x:c>
      <x:c r="H73" s="86" t="inlineStr">
        <x:is>
          <x:t xml:space="preserve">covered</x:t>
        </x:is>
      </x:c>
      <x:c r="I73" s="84" t="inlineStr">
        <x:is>
          <x:t xml:space="preserve">manual-tests/sidebar.md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ARIA</x:t>
        </x:is>
      </x:c>
      <x:c r="C74" s="84" t="inlineStr">
        <x:is>
          <x:t xml:space="preserve">Live DOM</x:t>
        </x:is>
      </x:c>
      <x:c r="D74" s="84" t="inlineStr">
        <x:is>
          <x:t xml:space="preserve">aria-label is present at the correct time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protocol</x:t>
        </x:is>
      </x:c>
      <x:c r="H74" s="86" t="inlineStr">
        <x:is>
          <x:t xml:space="preserve">covered</x:t>
        </x:is>
      </x:c>
      <x:c r="I74" s="84" t="inlineStr">
        <x:is>
          <x:t xml:space="preserve">manual-tests/sidebar.md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Data</x:t>
        </x:is>
      </x:c>
      <x:c r="C75" s="84" t="inlineStr">
        <x:is>
          <x:t xml:space="preserve">Live DOM</x:t>
        </x:is>
      </x:c>
      <x:c r="D75" s="84" t="inlineStr">
        <x:is>
          <x:t xml:space="preserve">data-collapsed-state is present at the correct time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protocol</x:t>
        </x:is>
      </x:c>
      <x:c r="H75" s="86" t="inlineStr">
        <x:is>
          <x:t xml:space="preserve">covered</x:t>
        </x:is>
      </x:c>
      <x:c r="I75" s="84" t="inlineStr">
        <x:is>
          <x:t xml:space="preserve">manual-tests/sidebar.md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Data</x:t>
        </x:is>
      </x:c>
      <x:c r="C76" s="84" t="inlineStr">
        <x:is>
          <x:t xml:space="preserve">Live DOM</x:t>
        </x:is>
      </x:c>
      <x:c r="D76" s="84" t="inlineStr">
        <x:is>
          <x:t xml:space="preserve">data-disabled is present at the correct time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protocol</x:t>
        </x:is>
      </x:c>
      <x:c r="H76" s="86" t="inlineStr">
        <x:is>
          <x:t xml:space="preserve">covered</x:t>
        </x:is>
      </x:c>
      <x:c r="I76" s="84" t="inlineStr">
        <x:is>
          <x:t xml:space="preserve">manual-tests/sidebar.md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Data</x:t>
        </x:is>
      </x:c>
      <x:c r="C77" s="84" t="inlineStr">
        <x:is>
          <x:t xml:space="preserve">Live DOM</x:t>
        </x:is>
      </x:c>
      <x:c r="D77" s="84" t="inlineStr">
        <x:is>
          <x:t xml:space="preserve">data-side is present at the correct time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protocol</x:t>
        </x:is>
      </x:c>
      <x:c r="H77" s="86" t="inlineStr">
        <x:is>
          <x:t xml:space="preserve">covered</x:t>
        </x:is>
      </x:c>
      <x:c r="I77" s="84" t="inlineStr">
        <x:is>
          <x:t xml:space="preserve">manual-tests/sidebar.md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Data</x:t>
        </x:is>
      </x:c>
      <x:c r="C78" s="84" t="inlineStr">
        <x:is>
          <x:t xml:space="preserve">Live DOM</x:t>
        </x:is>
      </x:c>
      <x:c r="D78" s="84" t="inlineStr">
        <x:is>
          <x:t xml:space="preserve">data-slot is present at the correct time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protocol</x:t>
        </x:is>
      </x:c>
      <x:c r="H78" s="86" t="inlineStr">
        <x:is>
          <x:t xml:space="preserve">covered</x:t>
        </x:is>
      </x:c>
      <x:c r="I78" s="84" t="inlineStr">
        <x:is>
          <x:t xml:space="preserve">manual-tests/sidebar.md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Data</x:t>
        </x:is>
      </x:c>
      <x:c r="C79" s="84" t="inlineStr">
        <x:is>
          <x:t xml:space="preserve">Live DOM</x:t>
        </x:is>
      </x:c>
      <x:c r="D79" s="84" t="inlineStr">
        <x:is>
          <x:t xml:space="preserve">data-state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protocol</x:t>
        </x:is>
      </x:c>
      <x:c r="H79" s="86" t="inlineStr">
        <x:is>
          <x:t xml:space="preserve">covered</x:t>
        </x:is>
      </x:c>
      <x:c r="I79" s="84" t="inlineStr">
        <x:is>
          <x:t xml:space="preserve">manual-tests/sidebar.md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Data</x:t>
        </x:is>
      </x:c>
      <x:c r="C80" s="84" t="inlineStr">
        <x:is>
          <x:t xml:space="preserve">Live DOM</x:t>
        </x:is>
      </x:c>
      <x:c r="D80" s="84" t="inlineStr">
        <x:is>
          <x:t xml:space="preserve">data-target-state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protocol</x:t>
        </x:is>
      </x:c>
      <x:c r="H80" s="86" t="inlineStr">
        <x:is>
          <x:t xml:space="preserve">covered</x:t>
        </x:is>
      </x:c>
      <x:c r="I80" s="84" t="inlineStr">
        <x:is>
          <x:t xml:space="preserve">manual-tests/sidebar.md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Composition</x:t>
        </x:is>
      </x:c>
      <x:c r="C81" s="84" t="inlineStr">
        <x:is>
          <x:t xml:space="preserve">Sidebar</x:t>
        </x:is>
      </x:c>
      <x:c r="D81" s="84" t="inlineStr">
        <x:is>
          <x:t xml:space="preserve">asChild preserves child content without double nesting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protocol</x:t>
        </x:is>
      </x:c>
      <x:c r="H81" s="86" t="inlineStr">
        <x:is>
          <x:t xml:space="preserve">covered</x:t>
        </x:is>
      </x:c>
      <x:c r="I81" s="84" t="inlineStr">
        <x:is>
          <x:t xml:space="preserve">manual-tests/sidebar.md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30" customHeight="1">
      <x:c r="A82" s="73" t="n">
        <x:v>74</x:v>
      </x:c>
      <x:c r="B82" s="84" t="inlineStr">
        <x:is>
          <x:t xml:space="preserve">Composition</x:t>
        </x:is>
      </x:c>
      <x:c r="C82" s="84" t="inlineStr">
        <x:is>
          <x:t xml:space="preserve">Sidebar</x:t>
        </x:is>
      </x:c>
      <x:c r="D82" s="84" t="inlineStr">
        <x:is>
          <x:t xml:space="preserve">asChild merges Atom props and consumer props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protocol</x:t>
        </x:is>
      </x:c>
      <x:c r="H82" s="86" t="inlineStr">
        <x:is>
          <x:t xml:space="preserve">covered</x:t>
        </x:is>
      </x:c>
      <x:c r="I82" s="84" t="inlineStr">
        <x:is>
          <x:t xml:space="preserve">manual-tests/sidebar.md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Composition</x:t>
        </x:is>
      </x:c>
      <x:c r="C83" s="84" t="inlineStr">
        <x:is>
          <x:t xml:space="preserve">Sidebar</x:t>
        </x:is>
      </x:c>
      <x:c r="D83" s="84" t="inlineStr">
        <x:is>
          <x:t xml:space="preserve">render prop renders custom element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protocol</x:t>
        </x:is>
      </x:c>
      <x:c r="H83" s="86" t="inlineStr">
        <x:is>
          <x:t xml:space="preserve">covered</x:t>
        </x:is>
      </x:c>
      <x:c r="I83" s="84" t="inlineStr">
        <x:is>
          <x:t xml:space="preserve">manual-tests/sidebar.md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Composition</x:t>
        </x:is>
      </x:c>
      <x:c r="C84" s="84" t="inlineStr">
        <x:is>
          <x:t xml:space="preserve">Sidebar</x:t>
        </x:is>
      </x:c>
      <x:c r="D84" s="84" t="inlineStr">
        <x:is>
          <x:t xml:space="preserve">render prop preserves refs and behavior props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protocol</x:t>
        </x:is>
      </x:c>
      <x:c r="H84" s="86" t="inlineStr">
        <x:is>
          <x:t xml:space="preserve">covered</x:t>
        </x:is>
      </x:c>
      <x:c r="I84" s="84" t="inlineStr">
        <x:is>
          <x:t xml:space="preserve">manual-tests/sidebar.md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State</x:t>
        </x:is>
      </x:c>
      <x:c r="C85" s="84" t="inlineStr">
        <x:is>
          <x:t xml:space="preserve">Root</x:t>
        </x:is>
      </x:c>
      <x:c r="D85" s="84" t="inlineStr">
        <x:is>
          <x:t xml:space="preserve">controlled state path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protocol</x:t>
        </x:is>
      </x:c>
      <x:c r="H85" s="86" t="inlineStr">
        <x:is>
          <x:t xml:space="preserve">covered</x:t>
        </x:is>
      </x:c>
      <x:c r="I85" s="84" t="inlineStr">
        <x:is>
          <x:t xml:space="preserve">manual-tests/sidebar.md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State</x:t>
        </x:is>
      </x:c>
      <x:c r="C86" s="84" t="inlineStr">
        <x:is>
          <x:t xml:space="preserve">Root</x:t>
        </x:is>
      </x:c>
      <x:c r="D86" s="84" t="inlineStr">
        <x:is>
          <x:t xml:space="preserve">uncontrolled default state path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protocol</x:t>
        </x:is>
      </x:c>
      <x:c r="H86" s="86" t="inlineStr">
        <x:is>
          <x:t xml:space="preserve">covered</x:t>
        </x:is>
      </x:c>
      <x:c r="I86" s="84" t="inlineStr">
        <x:is>
          <x:t xml:space="preserve">manual-tests/sidebar.md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State</x:t>
        </x:is>
      </x:c>
      <x:c r="C87" s="84" t="inlineStr">
        <x:is>
          <x:t xml:space="preserve">Root</x:t>
        </x:is>
      </x:c>
      <x:c r="D87" s="84" t="inlineStr">
        <x:is>
          <x:t xml:space="preserve">state change callback fires once with correct value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protocol</x:t>
        </x:is>
      </x:c>
      <x:c r="H87" s="86" t="inlineStr">
        <x:is>
          <x:t xml:space="preserve">covered</x:t>
        </x:is>
      </x:c>
      <x:c r="I87" s="84" t="inlineStr">
        <x:is>
          <x:t xml:space="preserve">manual-tests/sidebar.md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Interaction</x:t>
        </x:is>
      </x:c>
      <x:c r="C88" s="84" t="inlineStr">
        <x:is>
          <x:t xml:space="preserve">Trigger</x:t>
        </x:is>
      </x:c>
      <x:c r="D88" s="84" t="inlineStr">
        <x:is>
          <x:t xml:space="preserve">mouse click or pointer activation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protocol</x:t>
        </x:is>
      </x:c>
      <x:c r="H88" s="86" t="inlineStr">
        <x:is>
          <x:t xml:space="preserve">covered</x:t>
        </x:is>
      </x:c>
      <x:c r="I88" s="84" t="inlineStr">
        <x:is>
          <x:t xml:space="preserve">manual-tests/sidebar.md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Interaction</x:t>
        </x:is>
      </x:c>
      <x:c r="C89" s="84" t="inlineStr">
        <x:is>
          <x:t xml:space="preserve">Trigger</x:t>
        </x:is>
      </x:c>
      <x:c r="D89" s="84" t="inlineStr">
        <x:is>
          <x:t xml:space="preserve">Enter key activation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protocol</x:t>
        </x:is>
      </x:c>
      <x:c r="H89" s="86" t="inlineStr">
        <x:is>
          <x:t xml:space="preserve">covered</x:t>
        </x:is>
      </x:c>
      <x:c r="I89" s="84" t="inlineStr">
        <x:is>
          <x:t xml:space="preserve">manual-tests/sidebar.md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Interaction</x:t>
        </x:is>
      </x:c>
      <x:c r="C90" s="84" t="inlineStr">
        <x:is>
          <x:t xml:space="preserve">Trigger</x:t>
        </x:is>
      </x:c>
      <x:c r="D90" s="84" t="inlineStr">
        <x:is>
          <x:t xml:space="preserve">Space key activation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protocol</x:t>
        </x:is>
      </x:c>
      <x:c r="H90" s="86" t="inlineStr">
        <x:is>
          <x:t xml:space="preserve">covered</x:t>
        </x:is>
      </x:c>
      <x:c r="I90" s="84" t="inlineStr">
        <x:is>
          <x:t xml:space="preserve">manual-tests/sidebar.md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Interaction</x:t>
        </x:is>
      </x:c>
      <x:c r="C91" s="84" t="inlineStr">
        <x:is>
          <x:t xml:space="preserve">Trigger</x:t>
        </x:is>
      </x:c>
      <x:c r="D91" s="84" t="inlineStr">
        <x:is>
          <x:t xml:space="preserve">disabled trigger blocks pointer and keyboard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protocol</x:t>
        </x:is>
      </x:c>
      <x:c r="H91" s="86" t="inlineStr">
        <x:is>
          <x:t xml:space="preserve">covered</x:t>
        </x:is>
      </x:c>
      <x:c r="I91" s="84" t="inlineStr">
        <x:is>
          <x:t xml:space="preserve">manual-tests/sidebar.md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Positioning</x:t>
        </x:is>
      </x:c>
      <x:c r="C92" s="84" t="inlineStr">
        <x:is>
          <x:t xml:space="preserve">Sidebar</x:t>
        </x:is>
      </x:c>
      <x:c r="D92" s="84" t="inlineStr">
        <x:is>
          <x:t xml:space="preserve">side options position content correctly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protocol</x:t>
        </x:is>
      </x:c>
      <x:c r="H92" s="86" t="inlineStr">
        <x:is>
          <x:t xml:space="preserve">covered</x:t>
        </x:is>
      </x:c>
      <x:c r="I92" s="84" t="inlineStr">
        <x:is>
          <x:t xml:space="preserve">manual-tests/sidebar.md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/>
    <x:row r="94" s="51" customFormat="1" ht="15" customHeight="1"/>
    <x:row r="95" s="51" customFormat="1" ht="15" customHeight="1"/>
    <x:row r="96" s="51" customFormat="1" ht="30" customHeight="1"/>
    <x:row r="97" s="51" customFormat="1" ht="15" customHeight="1"/>
    <x:row r="98" s="51" customFormat="1" ht="1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SkipLink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IFERROR(SUM(K9:K50)/COUNTA(A9:A50),0)</x:f>
        <x:v>1</x:v>
      </x:c>
      <x:c r="C4" s="70" t="inlineStr">
        <x:is>
          <x:t xml:space="preserve">Covered</x:t>
        </x:is>
      </x:c>
      <x:c r="D4" s="82" t="n">
        <x:f>COUNTIF(H9:H50,"covered")</x:f>
        <x:v>42</x:v>
      </x:c>
      <x:c r="E4" s="70" t="inlineStr">
        <x:is>
          <x:t xml:space="preserve">Partial</x:t>
        </x:is>
      </x:c>
      <x:c r="F4" s="82" t="n">
        <x:f>COUNTIF(H9:H50,"partial")</x:f>
        <x:v>0</x:v>
      </x:c>
      <x:c r="G4" s="70" t="inlineStr">
        <x:is>
          <x:t xml:space="preserve">Missing</x:t>
        </x:is>
      </x:c>
      <x:c r="H4" s="82" t="n">
        <x:f>COUNTIF(H9:H50,"missing")</x:f>
        <x:v>0</x:v>
      </x:c>
      <x:c r="I4" s="70" t="inlineStr">
        <x:is>
          <x:t xml:space="preserve">Untested</x:t>
        </x:is>
      </x:c>
      <x:c r="J4" s="82" t="n">
        <x:f>COUNTIF(F9:F50,"no")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Shared playground prop rule.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Shared playground prop rule.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89" t="n">
        <x:v>3</x:v>
      </x:c>
      <x:c r="B11" s="90" t="inlineStr">
        <x:is>
          <x:t xml:space="preserve">Playground</x:t>
        </x:is>
      </x:c>
      <x:c r="C11" s="90" t="inlineStr">
        <x:is>
          <x:t xml:space="preserve">SkipLink</x:t>
        </x:is>
      </x:c>
      <x:c r="D11" s="90" t="inlineStr">
        <x:is>
          <x:t xml:space="preserve">scenario is reachable from top menu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SkipLink playground scenario.</x:t>
        </x:is>
      </x:c>
      <x:c r="J11" s="90" t="n"/>
      <x:c r="K11" s="91" t="n">
        <x:f>IF(H11="covered",1,IF(H11="partial",0.5,0))</x:f>
        <x:v>1</x:v>
      </x:c>
    </x:row>
    <x:row r="12" s="51" customFormat="1" ht="15" customHeight="1">
      <x:c r="A12" s="89" t="n">
        <x:v>4</x:v>
      </x:c>
      <x:c r="B12" s="90" t="inlineStr">
        <x:is>
          <x:t xml:space="preserve">Playground</x:t>
        </x:is>
      </x:c>
      <x:c r="C12" s="90" t="inlineStr">
        <x:is>
          <x:t xml:space="preserve">SkipLink</x:t>
        </x:is>
      </x:c>
      <x:c r="D12" s="90" t="inlineStr">
        <x:is>
          <x:t xml:space="preserve">canvas source reflects current toggles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SkipLink playground scenario.</x:t>
        </x:is>
      </x:c>
      <x:c r="J12" s="90" t="n"/>
      <x:c r="K12" s="91" t="n">
        <x:f>IF(H12="covered",1,IF(H12="partial",0.5,0))</x:f>
        <x:v>1</x:v>
      </x:c>
    </x:row>
    <x:row r="13" s="51" customFormat="1" ht="15" customHeight="1">
      <x:c r="A13" s="89" t="n">
        <x:v>5</x:v>
      </x:c>
      <x:c r="B13" s="90" t="inlineStr">
        <x:is>
          <x:t xml:space="preserve">Playground</x:t>
        </x:is>
      </x:c>
      <x:c r="C13" s="90" t="inlineStr">
        <x:is>
          <x:t xml:space="preserve">SkipLink</x:t>
        </x:is>
      </x:c>
      <x:c r="D13" s="90" t="inlineStr">
        <x:is>
          <x:t xml:space="preserve">anatomy uses live DOM attributes, ARIA, and data groups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SkipLink playground scenario.</x:t>
        </x:is>
      </x:c>
      <x:c r="J13" s="90" t="n"/>
      <x:c r="K13" s="91" t="n">
        <x:f>IF(H13="covered",1,IF(H13="partial",0.5,0))</x:f>
        <x:v>1</x:v>
      </x:c>
    </x:row>
    <x:row r="14" s="51" customFormat="1" ht="15" customHeight="1">
      <x:c r="A14" s="89" t="n">
        <x:v>6</x:v>
      </x:c>
      <x:c r="B14" s="90" t="inlineStr">
        <x:is>
          <x:t xml:space="preserve">Playground</x:t>
        </x:is>
      </x:c>
      <x:c r="C14" s="90" t="inlineStr">
        <x:is>
          <x:t xml:space="preserve">SkipLink</x:t>
        </x:is>
      </x:c>
      <x:c r="D14" s="90" t="inlineStr">
        <x:is>
          <x:t xml:space="preserve">inspector selected/focused/logs work for this scenario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SkipLink playground scenario.</x:t>
        </x:is>
      </x:c>
      <x:c r="J14" s="90" t="n"/>
      <x:c r="K14" s="91" t="n">
        <x:f>IF(H14="covered",1,IF(H14="partial",0.5,0))</x:f>
        <x:v>1</x:v>
      </x:c>
    </x:row>
    <x:row r="15" s="51" customFormat="1" ht="15" customHeight="1">
      <x:c r="A15" s="89" t="n">
        <x:v>7</x:v>
      </x:c>
      <x:c r="B15" s="90" t="inlineStr">
        <x:is>
          <x:t xml:space="preserve">Feature</x:t>
        </x:is>
      </x:c>
      <x:c r="C15" s="90" t="inlineStr">
        <x:is>
          <x:t xml:space="preserve">SkipLink</x:t>
        </x:is>
      </x:c>
      <x:c r="D15" s="90" t="inlineStr">
        <x:is>
          <x:t xml:space="preserve">Renders a native anchor for progressive enhancement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SkipLink playground scenario.</x:t>
        </x:is>
      </x:c>
      <x:c r="J15" s="90" t="n"/>
      <x:c r="K15" s="91" t="n">
        <x:f>IF(H15="covered",1,IF(H15="partial",0.5,0))</x:f>
        <x:v>1</x:v>
      </x:c>
    </x:row>
    <x:row r="16" s="51" customFormat="1" ht="15" customHeight="1">
      <x:c r="A16" s="89" t="n">
        <x:v>8</x:v>
      </x:c>
      <x:c r="B16" s="90" t="inlineStr">
        <x:is>
          <x:t xml:space="preserve">Feature</x:t>
        </x:is>
      </x:c>
      <x:c r="C16" s="90" t="inlineStr">
        <x:is>
          <x:t xml:space="preserve">SkipLink</x:t>
        </x:is>
      </x:c>
      <x:c r="D16" s="90" t="inlineStr">
        <x:is>
          <x:t xml:space="preserve">Focuses and scrolls the hash target on activation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SkipLink playground scenario.</x:t>
        </x:is>
      </x:c>
      <x:c r="J16" s="90" t="n"/>
      <x:c r="K16" s="91" t="n">
        <x:f>IF(H16="covered",1,IF(H16="partial",0.5,0))</x:f>
        <x:v>1</x:v>
      </x:c>
    </x:row>
    <x:row r="17" s="51" customFormat="1" ht="15" customHeight="1">
      <x:c r="A17" s="89" t="n">
        <x:v>9</x:v>
      </x:c>
      <x:c r="B17" s="90" t="inlineStr">
        <x:is>
          <x:t xml:space="preserve">Feature</x:t>
        </x:is>
      </x:c>
      <x:c r="C17" s="90" t="inlineStr">
        <x:is>
          <x:t xml:space="preserve">SkipLink</x:t>
        </x:is>
      </x:c>
      <x:c r="D17" s="90" t="inlineStr">
        <x:is>
          <x:t xml:space="preserve">Safely handles malformed hash encoding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SkipLink playground scenario.</x:t>
        </x:is>
      </x:c>
      <x:c r="J17" s="90" t="n"/>
      <x:c r="K17" s="91" t="n">
        <x:f>IF(H17="covered",1,IF(H17="partial",0.5,0))</x:f>
        <x:v>1</x:v>
      </x:c>
    </x:row>
    <x:row r="18" s="51" customFormat="1" ht="15" customHeight="1">
      <x:c r="A18" s="89" t="n">
        <x:v>10</x:v>
      </x:c>
      <x:c r="B18" s="90" t="inlineStr">
        <x:is>
          <x:t xml:space="preserve">Feature</x:t>
        </x:is>
      </x:c>
      <x:c r="C18" s="90" t="inlineStr">
        <x:is>
          <x:t xml:space="preserve">SkipLink</x:t>
        </x:is>
      </x:c>
      <x:c r="D18" s="90" t="inlineStr">
        <x:is>
          <x:t xml:space="preserve">Provides a programmatically focusable target</x:t>
        </x:is>
      </x:c>
      <x:c r="E18" s="89" t="inlineStr">
        <x:is>
          <x:t xml:space="preserve">yes</x:t>
        </x:is>
      </x:c>
      <x:c r="F18" s="89" t="inlineStr">
        <x:is>
          <x:t xml:space="preserve">yes</x:t>
        </x:is>
      </x:c>
      <x:c r="G18" s="89" t="inlineStr">
        <x:is>
          <x:t xml:space="preserve">passed</x:t>
        </x:is>
      </x:c>
      <x:c r="H18" s="89" t="inlineStr">
        <x:is>
          <x:t xml:space="preserve">covered</x:t>
        </x:is>
      </x:c>
      <x:c r="I18" s="90" t="inlineStr">
        <x:is>
          <x:t xml:space="preserve">SkipLink playground scenario.</x:t>
        </x:is>
      </x:c>
      <x:c r="J18" s="90" t="n"/>
      <x:c r="K18" s="91" t="n">
        <x:f>IF(H18="covered",1,IF(H18="partial",0.5,0))</x:f>
        <x:v>1</x:v>
      </x:c>
    </x:row>
    <x:row r="19" s="51" customFormat="1" ht="15" customHeight="1">
      <x:c r="A19" s="89" t="n">
        <x:v>11</x:v>
      </x:c>
      <x:c r="B19" s="90" t="inlineStr">
        <x:is>
          <x:t xml:space="preserve">Feature</x:t>
        </x:is>
      </x:c>
      <x:c r="C19" s="90" t="inlineStr">
        <x:is>
          <x:t xml:space="preserve">SkipLink</x:t>
        </x:is>
      </x:c>
      <x:c r="D19" s="90" t="inlineStr">
        <x:is>
          <x:t xml:space="preserve">Supports `asChild` and `render` on both parts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SkipLink playground scenario.</x:t>
        </x:is>
      </x:c>
      <x:c r="J19" s="90" t="n"/>
      <x:c r="K19" s="91" t="n">
        <x:f>IF(H19="covered",1,IF(H19="partial",0.5,0))</x:f>
        <x:v>1</x:v>
      </x:c>
    </x:row>
    <x:row r="20" s="51" customFormat="1" ht="15" customHeight="1">
      <x:c r="A20" s="89" t="n">
        <x:v>12</x:v>
      </x:c>
      <x:c r="B20" s="90" t="inlineStr">
        <x:is>
          <x:t xml:space="preserve">Anatomy</x:t>
        </x:is>
      </x:c>
      <x:c r="C20" s="90" t="inlineStr">
        <x:is>
          <x:t xml:space="preserve">Root</x:t>
        </x:is>
      </x:c>
      <x:c r="D20" s="90" t="inlineStr">
        <x:is>
          <x:t xml:space="preserve">renders correct part when expected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SkipLink playground scenario.</x:t>
        </x:is>
      </x:c>
      <x:c r="J20" s="90" t="n"/>
      <x:c r="K20" s="91" t="n">
        <x:f>IF(H20="covered",1,IF(H20="partial",0.5,0))</x:f>
        <x:v>1</x:v>
      </x:c>
    </x:row>
    <x:row r="21" s="51" customFormat="1" ht="15" customHeight="1">
      <x:c r="A21" s="89" t="n">
        <x:v>13</x:v>
      </x:c>
      <x:c r="B21" s="90" t="inlineStr">
        <x:is>
          <x:t xml:space="preserve">Anatomy</x:t>
        </x:is>
      </x:c>
      <x:c r="C21" s="90" t="inlineStr">
        <x:is>
          <x:t xml:space="preserve">Root</x:t>
        </x:is>
      </x:c>
      <x:c r="D21" s="90" t="inlineStr">
        <x:is>
          <x:t xml:space="preserve">appears in documented order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SkipLink playground scenario.</x:t>
        </x:is>
      </x:c>
      <x:c r="J21" s="90" t="n"/>
      <x:c r="K21" s="91" t="n">
        <x:f>IF(H21="covered",1,IF(H21="partial",0.5,0))</x:f>
        <x:v>1</x:v>
      </x:c>
    </x:row>
    <x:row r="22" s="51" customFormat="1" ht="30" customHeight="1">
      <x:c r="A22" s="89" t="n">
        <x:v>14</x:v>
      </x:c>
      <x:c r="B22" s="90" t="inlineStr">
        <x:is>
          <x:t xml:space="preserve">Identity</x:t>
        </x:is>
      </x:c>
      <x:c r="C22" s="90" t="inlineStr">
        <x:is>
          <x:t xml:space="preserve">Root</x:t>
        </x:is>
      </x:c>
      <x:c r="D22" s="90" t="inlineStr">
        <x:is>
          <x:t xml:space="preserve">default tag is visible in Anatomy/Inspector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SkipLink playground scenario.</x:t>
        </x:is>
      </x:c>
      <x:c r="J22" s="90" t="n"/>
      <x:c r="K22" s="91" t="n">
        <x:f>IF(H22="covered",1,IF(H22="partial",0.5,0))</x:f>
        <x:v>1</x:v>
      </x:c>
    </x:row>
    <x:row r="23" s="51" customFormat="1" ht="15" customHeight="1">
      <x:c r="A23" s="89" t="n">
        <x:v>15</x:v>
      </x:c>
      <x:c r="B23" s="90" t="inlineStr">
        <x:is>
          <x:t xml:space="preserve">Identity</x:t>
        </x:is>
      </x:c>
      <x:c r="C23" s="90" t="inlineStr">
        <x:is>
          <x:t xml:space="preserve">Root</x:t>
        </x:is>
      </x:c>
      <x:c r="D23" s="90" t="inlineStr">
        <x:is>
          <x:t xml:space="preserve">data-slot is present and correct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SkipLink playground scenario.</x:t>
        </x:is>
      </x:c>
      <x:c r="J23" s="90" t="n"/>
      <x:c r="K23" s="91" t="n">
        <x:f>IF(H23="covered",1,IF(H23="partial",0.5,0))</x:f>
        <x:v>1</x:v>
      </x:c>
    </x:row>
    <x:row r="24" s="51" customFormat="1" ht="15" customHeight="1">
      <x:c r="A24" s="89" t="n">
        <x:v>16</x:v>
      </x:c>
      <x:c r="B24" s="90" t="inlineStr">
        <x:is>
          <x:t xml:space="preserve">Props</x:t>
        </x:is>
      </x:c>
      <x:c r="C24" s="90" t="inlineStr">
        <x:is>
          <x:t xml:space="preserve">Root</x:t>
        </x:is>
      </x:c>
      <x:c r="D24" s="90" t="inlineStr">
        <x:is>
          <x:t xml:space="preserve">non-Atom native props pass through with data-prop-check marker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SkipLink playground scenario.</x:t>
        </x:is>
      </x:c>
      <x:c r="J24" s="90" t="n"/>
      <x:c r="K24" s="91" t="n">
        <x:f>IF(H24="covered",1,IF(H24="partial",0.5,0))</x:f>
        <x:v>1</x:v>
      </x:c>
    </x:row>
    <x:row r="25" s="51" customFormat="1" ht="15" customHeight="1">
      <x:c r="A25" s="89" t="n">
        <x:v>17</x:v>
      </x:c>
      <x:c r="B25" s="90" t="inlineStr">
        <x:is>
          <x:t xml:space="preserve">Refs</x:t>
        </x:is>
      </x:c>
      <x:c r="C25" s="90" t="inlineStr">
        <x:is>
          <x:t xml:space="preserve">Root</x:t>
        </x:is>
      </x:c>
      <x:c r="D25" s="90" t="inlineStr">
        <x:is>
          <x:t xml:space="preserve">consumer ref receives the rendered element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SkipLink playground scenario.</x:t>
        </x:is>
      </x:c>
      <x:c r="J25" s="90" t="n"/>
      <x:c r="K25" s="91" t="n">
        <x:f>IF(H25="covered",1,IF(H25="partial",0.5,0))</x:f>
        <x:v>1</x:v>
      </x:c>
    </x:row>
    <x:row r="26" s="51" customFormat="1" ht="15" customHeight="1">
      <x:c r="A26" s="89" t="n">
        <x:v>18</x:v>
      </x:c>
      <x:c r="B26" s="90" t="inlineStr">
        <x:is>
          <x:t xml:space="preserve">Composition</x:t>
        </x:is>
      </x:c>
      <x:c r="C26" s="90" t="inlineStr">
        <x:is>
          <x:t xml:space="preserve">Root</x:t>
        </x:is>
      </x:c>
      <x:c r="D26" s="90" t="inlineStr">
        <x:is>
          <x:t xml:space="preserve">asChild prop behavior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SkipLink playground scenario.</x:t>
        </x:is>
      </x:c>
      <x:c r="J26" s="90" t="n"/>
      <x:c r="K26" s="91" t="n">
        <x:f>IF(H26="covered",1,IF(H26="partial",0.5,0))</x:f>
        <x:v>1</x:v>
      </x:c>
    </x:row>
    <x:row r="27" s="51" customFormat="1" ht="15" customHeight="1">
      <x:c r="A27" s="89" t="n">
        <x:v>19</x:v>
      </x:c>
      <x:c r="B27" s="90" t="inlineStr">
        <x:is>
          <x:t xml:space="preserve">Composition</x:t>
        </x:is>
      </x:c>
      <x:c r="C27" s="90" t="inlineStr">
        <x:is>
          <x:t xml:space="preserve">Root</x:t>
        </x:is>
      </x:c>
      <x:c r="D27" s="90" t="inlineStr">
        <x:is>
          <x:t xml:space="preserve">render prop behavior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SkipLink playground scenario.</x:t>
        </x:is>
      </x:c>
      <x:c r="J27" s="90" t="n"/>
      <x:c r="K27" s="91" t="n">
        <x:f>IF(H27="covered",1,IF(H27="partial",0.5,0))</x:f>
        <x:v>1</x:v>
      </x:c>
    </x:row>
    <x:row r="28" s="51" customFormat="1" ht="15" customHeight="1">
      <x:c r="A28" s="89" t="n">
        <x:v>20</x:v>
      </x:c>
      <x:c r="B28" s="90" t="inlineStr">
        <x:is>
          <x:t xml:space="preserve">Public API</x:t>
        </x:is>
      </x:c>
      <x:c r="C28" s="90" t="inlineStr">
        <x:is>
          <x:t xml:space="preserve">Root</x:t>
        </x:is>
      </x:c>
      <x:c r="D28" s="90" t="inlineStr">
        <x:is>
          <x:t xml:space="preserve">href prop behavior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SkipLink playground scenario.</x:t>
        </x:is>
      </x:c>
      <x:c r="J28" s="90" t="n"/>
      <x:c r="K28" s="91" t="n">
        <x:f>IF(H28="covered",1,IF(H28="partial",0.5,0))</x:f>
        <x:v>1</x:v>
      </x:c>
    </x:row>
    <x:row r="29" s="51" customFormat="1" ht="15" customHeight="1">
      <x:c r="A29" s="89" t="n">
        <x:v>21</x:v>
      </x:c>
      <x:c r="B29" s="90" t="inlineStr">
        <x:is>
          <x:t xml:space="preserve">Public API</x:t>
        </x:is>
      </x:c>
      <x:c r="C29" s="90" t="inlineStr">
        <x:is>
          <x:t xml:space="preserve">Root</x:t>
        </x:is>
      </x:c>
      <x:c r="D29" s="90" t="inlineStr">
        <x:is>
          <x:t xml:space="preserve">focusTarget prop behavior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SkipLink playground scenario.</x:t>
        </x:is>
      </x:c>
      <x:c r="J29" s="90" t="n"/>
      <x:c r="K29" s="91" t="n">
        <x:f>IF(H29="covered",1,IF(H29="partial",0.5,0))</x:f>
        <x:v>1</x:v>
      </x:c>
    </x:row>
    <x:row r="30" s="51" customFormat="1" ht="15" customHeight="1">
      <x:c r="A30" s="89" t="n">
        <x:v>22</x:v>
      </x:c>
      <x:c r="B30" s="90" t="inlineStr">
        <x:is>
          <x:t xml:space="preserve">State</x:t>
        </x:is>
      </x:c>
      <x:c r="C30" s="90" t="inlineStr">
        <x:is>
          <x:t xml:space="preserve">Root</x:t>
        </x:is>
      </x:c>
      <x:c r="D30" s="90" t="inlineStr">
        <x:is>
          <x:t xml:space="preserve">onClick prop behavior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SkipLink playground scenario.</x:t>
        </x:is>
      </x:c>
      <x:c r="J30" s="90" t="n"/>
      <x:c r="K30" s="91" t="n">
        <x:f>IF(H30="covered",1,IF(H30="partial",0.5,0))</x:f>
        <x:v>1</x:v>
      </x:c>
    </x:row>
    <x:row r="31" s="51" customFormat="1" ht="15" customHeight="1">
      <x:c r="A31" s="89" t="n">
        <x:v>23</x:v>
      </x:c>
      <x:c r="B31" s="90" t="inlineStr">
        <x:is>
          <x:t xml:space="preserve">Public API</x:t>
        </x:is>
      </x:c>
      <x:c r="C31" s="90" t="inlineStr">
        <x:is>
          <x:t xml:space="preserve">Root</x:t>
        </x:is>
      </x:c>
      <x:c r="D31" s="90" t="inlineStr">
        <x:is>
          <x:t xml:space="preserve">[data-slot] prop behavior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SkipLink playground scenario.</x:t>
        </x:is>
      </x:c>
      <x:c r="J31" s="90" t="n"/>
      <x:c r="K31" s="91" t="n">
        <x:f>IF(H31="covered",1,IF(H31="partial",0.5,0))</x:f>
        <x:v>1</x:v>
      </x:c>
    </x:row>
    <x:row r="32" s="51" customFormat="1" ht="15" customHeight="1">
      <x:c r="A32" s="89" t="n">
        <x:v>24</x:v>
      </x:c>
      <x:c r="B32" s="90" t="inlineStr">
        <x:is>
          <x:t xml:space="preserve">Anatomy</x:t>
        </x:is>
      </x:c>
      <x:c r="C32" s="90" t="inlineStr">
        <x:is>
          <x:t xml:space="preserve">Target</x:t>
        </x:is>
      </x:c>
      <x:c r="D32" s="90" t="inlineStr">
        <x:is>
          <x:t xml:space="preserve">renders correct part when expected</x:t>
        </x:is>
      </x:c>
      <x:c r="E32" s="89" t="inlineStr">
        <x:is>
          <x:t xml:space="preserve">yes</x:t>
        </x:is>
      </x:c>
      <x:c r="F32" s="89" t="inlineStr">
        <x:is>
          <x:t xml:space="preserve">yes</x:t>
        </x:is>
      </x:c>
      <x:c r="G32" s="89" t="inlineStr">
        <x:is>
          <x:t xml:space="preserve">passed</x:t>
        </x:is>
      </x:c>
      <x:c r="H32" s="89" t="inlineStr">
        <x:is>
          <x:t xml:space="preserve">covered</x:t>
        </x:is>
      </x:c>
      <x:c r="I32" s="90" t="inlineStr">
        <x:is>
          <x:t xml:space="preserve">SkipLink playground scenario.</x:t>
        </x:is>
      </x:c>
      <x:c r="J32" s="90" t="n"/>
      <x:c r="K32" s="91" t="n">
        <x:f>IF(H32="covered",1,IF(H32="partial",0.5,0))</x:f>
        <x:v>1</x:v>
      </x:c>
    </x:row>
    <x:row r="33" s="51" customFormat="1" ht="15" customHeight="1">
      <x:c r="A33" s="89" t="n">
        <x:v>25</x:v>
      </x:c>
      <x:c r="B33" s="90" t="inlineStr">
        <x:is>
          <x:t xml:space="preserve">Anatomy</x:t>
        </x:is>
      </x:c>
      <x:c r="C33" s="90" t="inlineStr">
        <x:is>
          <x:t xml:space="preserve">Target</x:t>
        </x:is>
      </x:c>
      <x:c r="D33" s="90" t="inlineStr">
        <x:is>
          <x:t xml:space="preserve">appears in documented order</x:t>
        </x:is>
      </x:c>
      <x:c r="E33" s="89" t="inlineStr">
        <x:is>
          <x:t xml:space="preserve">yes</x:t>
        </x:is>
      </x:c>
      <x:c r="F33" s="89" t="inlineStr">
        <x:is>
          <x:t xml:space="preserve">yes</x:t>
        </x:is>
      </x:c>
      <x:c r="G33" s="89" t="inlineStr">
        <x:is>
          <x:t xml:space="preserve">passed</x:t>
        </x:is>
      </x:c>
      <x:c r="H33" s="89" t="inlineStr">
        <x:is>
          <x:t xml:space="preserve">covered</x:t>
        </x:is>
      </x:c>
      <x:c r="I33" s="90" t="inlineStr">
        <x:is>
          <x:t xml:space="preserve">SkipLink playground scenario.</x:t>
        </x:is>
      </x:c>
      <x:c r="J33" s="90" t="n"/>
      <x:c r="K33" s="91" t="n">
        <x:f>IF(H33="covered",1,IF(H33="partial",0.5,0))</x:f>
        <x:v>1</x:v>
      </x:c>
    </x:row>
    <x:row r="34" s="51" customFormat="1" ht="30" customHeight="1">
      <x:c r="A34" s="89" t="n">
        <x:v>26</x:v>
      </x:c>
      <x:c r="B34" s="90" t="inlineStr">
        <x:is>
          <x:t xml:space="preserve">Identity</x:t>
        </x:is>
      </x:c>
      <x:c r="C34" s="90" t="inlineStr">
        <x:is>
          <x:t xml:space="preserve">Target</x:t>
        </x:is>
      </x:c>
      <x:c r="D34" s="90" t="inlineStr">
        <x:is>
          <x:t xml:space="preserve">default tag is visible in Anatomy/Inspector</x:t>
        </x:is>
      </x:c>
      <x:c r="E34" s="89" t="inlineStr">
        <x:is>
          <x:t xml:space="preserve">yes</x:t>
        </x:is>
      </x:c>
      <x:c r="F34" s="89" t="inlineStr">
        <x:is>
          <x:t xml:space="preserve">yes</x:t>
        </x:is>
      </x:c>
      <x:c r="G34" s="89" t="inlineStr">
        <x:is>
          <x:t xml:space="preserve">passed</x:t>
        </x:is>
      </x:c>
      <x:c r="H34" s="89" t="inlineStr">
        <x:is>
          <x:t xml:space="preserve">covered</x:t>
        </x:is>
      </x:c>
      <x:c r="I34" s="90" t="inlineStr">
        <x:is>
          <x:t xml:space="preserve">SkipLink playground scenario.</x:t>
        </x:is>
      </x:c>
      <x:c r="J34" s="90" t="n"/>
      <x:c r="K34" s="91" t="n">
        <x:f>IF(H34="covered",1,IF(H34="partial",0.5,0))</x:f>
        <x:v>1</x:v>
      </x:c>
    </x:row>
    <x:row r="35" s="51" customFormat="1" ht="15" customHeight="1">
      <x:c r="A35" s="89" t="n">
        <x:v>27</x:v>
      </x:c>
      <x:c r="B35" s="90" t="inlineStr">
        <x:is>
          <x:t xml:space="preserve">Identity</x:t>
        </x:is>
      </x:c>
      <x:c r="C35" s="90" t="inlineStr">
        <x:is>
          <x:t xml:space="preserve">Target</x:t>
        </x:is>
      </x:c>
      <x:c r="D35" s="90" t="inlineStr">
        <x:is>
          <x:t xml:space="preserve">data-slot is present and correct</x:t>
        </x:is>
      </x:c>
      <x:c r="E35" s="89" t="inlineStr">
        <x:is>
          <x:t xml:space="preserve">yes</x:t>
        </x:is>
      </x:c>
      <x:c r="F35" s="89" t="inlineStr">
        <x:is>
          <x:t xml:space="preserve">yes</x:t>
        </x:is>
      </x:c>
      <x:c r="G35" s="89" t="inlineStr">
        <x:is>
          <x:t xml:space="preserve">passed</x:t>
        </x:is>
      </x:c>
      <x:c r="H35" s="89" t="inlineStr">
        <x:is>
          <x:t xml:space="preserve">covered</x:t>
        </x:is>
      </x:c>
      <x:c r="I35" s="90" t="inlineStr">
        <x:is>
          <x:t xml:space="preserve">SkipLink playground scenario.</x:t>
        </x:is>
      </x:c>
      <x:c r="J35" s="90" t="n"/>
      <x:c r="K35" s="91" t="n">
        <x:f>IF(H35="covered",1,IF(H35="partial",0.5,0))</x:f>
        <x:v>1</x:v>
      </x:c>
    </x:row>
    <x:row r="36" s="51" customFormat="1" ht="15" customHeight="1">
      <x:c r="A36" s="89" t="n">
        <x:v>28</x:v>
      </x:c>
      <x:c r="B36" s="90" t="inlineStr">
        <x:is>
          <x:t xml:space="preserve">Props</x:t>
        </x:is>
      </x:c>
      <x:c r="C36" s="90" t="inlineStr">
        <x:is>
          <x:t xml:space="preserve">Target</x:t>
        </x:is>
      </x:c>
      <x:c r="D36" s="90" t="inlineStr">
        <x:is>
          <x:t xml:space="preserve">non-Atom native props pass through with data-prop-check marker</x:t>
        </x:is>
      </x:c>
      <x:c r="E36" s="89" t="inlineStr">
        <x:is>
          <x:t xml:space="preserve">yes</x:t>
        </x:is>
      </x:c>
      <x:c r="F36" s="89" t="inlineStr">
        <x:is>
          <x:t xml:space="preserve">yes</x:t>
        </x:is>
      </x:c>
      <x:c r="G36" s="89" t="inlineStr">
        <x:is>
          <x:t xml:space="preserve">passed</x:t>
        </x:is>
      </x:c>
      <x:c r="H36" s="89" t="inlineStr">
        <x:is>
          <x:t xml:space="preserve">covered</x:t>
        </x:is>
      </x:c>
      <x:c r="I36" s="90" t="inlineStr">
        <x:is>
          <x:t xml:space="preserve">SkipLink playground scenario.</x:t>
        </x:is>
      </x:c>
      <x:c r="J36" s="90" t="n"/>
      <x:c r="K36" s="91" t="n">
        <x:f>IF(H36="covered",1,IF(H36="partial",0.5,0))</x:f>
        <x:v>1</x:v>
      </x:c>
    </x:row>
    <x:row r="37" s="51" customFormat="1" ht="15" customHeight="1">
      <x:c r="A37" s="89" t="n">
        <x:v>29</x:v>
      </x:c>
      <x:c r="B37" s="90" t="inlineStr">
        <x:is>
          <x:t xml:space="preserve">Refs</x:t>
        </x:is>
      </x:c>
      <x:c r="C37" s="90" t="inlineStr">
        <x:is>
          <x:t xml:space="preserve">Target</x:t>
        </x:is>
      </x:c>
      <x:c r="D37" s="90" t="inlineStr">
        <x:is>
          <x:t xml:space="preserve">consumer ref receives the rendered element</x:t>
        </x:is>
      </x:c>
      <x:c r="E37" s="89" t="inlineStr">
        <x:is>
          <x:t xml:space="preserve">yes</x:t>
        </x:is>
      </x:c>
      <x:c r="F37" s="89" t="inlineStr">
        <x:is>
          <x:t xml:space="preserve">yes</x:t>
        </x:is>
      </x:c>
      <x:c r="G37" s="89" t="inlineStr">
        <x:is>
          <x:t xml:space="preserve">passed</x:t>
        </x:is>
      </x:c>
      <x:c r="H37" s="89" t="inlineStr">
        <x:is>
          <x:t xml:space="preserve">covered</x:t>
        </x:is>
      </x:c>
      <x:c r="I37" s="90" t="inlineStr">
        <x:is>
          <x:t xml:space="preserve">SkipLink playground scenario.</x:t>
        </x:is>
      </x:c>
      <x:c r="J37" s="90" t="n"/>
      <x:c r="K37" s="91" t="n">
        <x:f>IF(H37="covered",1,IF(H37="partial",0.5,0))</x:f>
        <x:v>1</x:v>
      </x:c>
    </x:row>
    <x:row r="38" s="51" customFormat="1" ht="15" customHeight="1">
      <x:c r="A38" s="89" t="n">
        <x:v>30</x:v>
      </x:c>
      <x:c r="B38" s="90" t="inlineStr">
        <x:is>
          <x:t xml:space="preserve">Composition</x:t>
        </x:is>
      </x:c>
      <x:c r="C38" s="90" t="inlineStr">
        <x:is>
          <x:t xml:space="preserve">Target</x:t>
        </x:is>
      </x:c>
      <x:c r="D38" s="90" t="inlineStr">
        <x:is>
          <x:t xml:space="preserve">asChild prop behavior</x:t>
        </x:is>
      </x:c>
      <x:c r="E38" s="89" t="inlineStr">
        <x:is>
          <x:t xml:space="preserve">yes</x:t>
        </x:is>
      </x:c>
      <x:c r="F38" s="89" t="inlineStr">
        <x:is>
          <x:t xml:space="preserve">yes</x:t>
        </x:is>
      </x:c>
      <x:c r="G38" s="89" t="inlineStr">
        <x:is>
          <x:t xml:space="preserve">passed</x:t>
        </x:is>
      </x:c>
      <x:c r="H38" s="89" t="inlineStr">
        <x:is>
          <x:t xml:space="preserve">covered</x:t>
        </x:is>
      </x:c>
      <x:c r="I38" s="90" t="inlineStr">
        <x:is>
          <x:t xml:space="preserve">SkipLink playground scenario.</x:t>
        </x:is>
      </x:c>
      <x:c r="J38" s="90" t="n"/>
      <x:c r="K38" s="91" t="n">
        <x:f>IF(H38="covered",1,IF(H38="partial",0.5,0))</x:f>
        <x:v>1</x:v>
      </x:c>
    </x:row>
    <x:row r="39" s="51" customFormat="1" ht="15" customHeight="1">
      <x:c r="A39" s="89" t="n">
        <x:v>31</x:v>
      </x:c>
      <x:c r="B39" s="90" t="inlineStr">
        <x:is>
          <x:t xml:space="preserve">Composition</x:t>
        </x:is>
      </x:c>
      <x:c r="C39" s="90" t="inlineStr">
        <x:is>
          <x:t xml:space="preserve">Target</x:t>
        </x:is>
      </x:c>
      <x:c r="D39" s="90" t="inlineStr">
        <x:is>
          <x:t xml:space="preserve">render prop behavior</x:t>
        </x:is>
      </x:c>
      <x:c r="E39" s="89" t="inlineStr">
        <x:is>
          <x:t xml:space="preserve">yes</x:t>
        </x:is>
      </x:c>
      <x:c r="F39" s="89" t="inlineStr">
        <x:is>
          <x:t xml:space="preserve">yes</x:t>
        </x:is>
      </x:c>
      <x:c r="G39" s="89" t="inlineStr">
        <x:is>
          <x:t xml:space="preserve">passed</x:t>
        </x:is>
      </x:c>
      <x:c r="H39" s="89" t="inlineStr">
        <x:is>
          <x:t xml:space="preserve">covered</x:t>
        </x:is>
      </x:c>
      <x:c r="I39" s="90" t="inlineStr">
        <x:is>
          <x:t xml:space="preserve">SkipLink playground scenario.</x:t>
        </x:is>
      </x:c>
      <x:c r="J39" s="90" t="n"/>
      <x:c r="K39" s="91" t="n">
        <x:f>IF(H39="covered",1,IF(H39="partial",0.5,0))</x:f>
        <x:v>1</x:v>
      </x:c>
    </x:row>
    <x:row r="40" s="51" customFormat="1" ht="15" customHeight="1">
      <x:c r="A40" s="89" t="n">
        <x:v>32</x:v>
      </x:c>
      <x:c r="B40" s="90" t="inlineStr">
        <x:is>
          <x:t xml:space="preserve">Public API</x:t>
        </x:is>
      </x:c>
      <x:c r="C40" s="90" t="inlineStr">
        <x:is>
          <x:t xml:space="preserve">Target</x:t>
        </x:is>
      </x:c>
      <x:c r="D40" s="90" t="inlineStr">
        <x:is>
          <x:t xml:space="preserve">id prop behavior</x:t>
        </x:is>
      </x:c>
      <x:c r="E40" s="89" t="inlineStr">
        <x:is>
          <x:t xml:space="preserve">yes</x:t>
        </x:is>
      </x:c>
      <x:c r="F40" s="89" t="inlineStr">
        <x:is>
          <x:t xml:space="preserve">yes</x:t>
        </x:is>
      </x:c>
      <x:c r="G40" s="89" t="inlineStr">
        <x:is>
          <x:t xml:space="preserve">passed</x:t>
        </x:is>
      </x:c>
      <x:c r="H40" s="89" t="inlineStr">
        <x:is>
          <x:t xml:space="preserve">covered</x:t>
        </x:is>
      </x:c>
      <x:c r="I40" s="90" t="inlineStr">
        <x:is>
          <x:t xml:space="preserve">SkipLink playground scenario.</x:t>
        </x:is>
      </x:c>
      <x:c r="J40" s="90" t="n"/>
      <x:c r="K40" s="91" t="n">
        <x:f>IF(H40="covered",1,IF(H40="partial",0.5,0))</x:f>
        <x:v>1</x:v>
      </x:c>
    </x:row>
    <x:row r="41" s="51" customFormat="1" ht="15" customHeight="1">
      <x:c r="A41" s="89" t="n">
        <x:v>33</x:v>
      </x:c>
      <x:c r="B41" s="90" t="inlineStr">
        <x:is>
          <x:t xml:space="preserve">Public API</x:t>
        </x:is>
      </x:c>
      <x:c r="C41" s="90" t="inlineStr">
        <x:is>
          <x:t xml:space="preserve">Target</x:t>
        </x:is>
      </x:c>
      <x:c r="D41" s="90" t="inlineStr">
        <x:is>
          <x:t xml:space="preserve">tabIndex prop behavior</x:t>
        </x:is>
      </x:c>
      <x:c r="E41" s="89" t="inlineStr">
        <x:is>
          <x:t xml:space="preserve">yes</x:t>
        </x:is>
      </x:c>
      <x:c r="F41" s="89" t="inlineStr">
        <x:is>
          <x:t xml:space="preserve">yes</x:t>
        </x:is>
      </x:c>
      <x:c r="G41" s="89" t="inlineStr">
        <x:is>
          <x:t xml:space="preserve">passed</x:t>
        </x:is>
      </x:c>
      <x:c r="H41" s="89" t="inlineStr">
        <x:is>
          <x:t xml:space="preserve">covered</x:t>
        </x:is>
      </x:c>
      <x:c r="I41" s="90" t="inlineStr">
        <x:is>
          <x:t xml:space="preserve">SkipLink playground scenario.</x:t>
        </x:is>
      </x:c>
      <x:c r="J41" s="90" t="n"/>
      <x:c r="K41" s="91" t="n">
        <x:f>IF(H41="covered",1,IF(H41="partial",0.5,0))</x:f>
        <x:v>1</x:v>
      </x:c>
    </x:row>
    <x:row r="42" s="51" customFormat="1" ht="15" customHeight="1">
      <x:c r="A42" s="89" t="n">
        <x:v>34</x:v>
      </x:c>
      <x:c r="B42" s="90" t="inlineStr">
        <x:is>
          <x:t xml:space="preserve">Public API</x:t>
        </x:is>
      </x:c>
      <x:c r="C42" s="90" t="inlineStr">
        <x:is>
          <x:t xml:space="preserve">Target</x:t>
        </x:is>
      </x:c>
      <x:c r="D42" s="90" t="inlineStr">
        <x:is>
          <x:t xml:space="preserve">[data-slot] prop behavior</x:t>
        </x:is>
      </x:c>
      <x:c r="E42" s="89" t="inlineStr">
        <x:is>
          <x:t xml:space="preserve">yes</x:t>
        </x:is>
      </x:c>
      <x:c r="F42" s="89" t="inlineStr">
        <x:is>
          <x:t xml:space="preserve">yes</x:t>
        </x:is>
      </x:c>
      <x:c r="G42" s="89" t="inlineStr">
        <x:is>
          <x:t xml:space="preserve">passed</x:t>
        </x:is>
      </x:c>
      <x:c r="H42" s="89" t="inlineStr">
        <x:is>
          <x:t xml:space="preserve">covered</x:t>
        </x:is>
      </x:c>
      <x:c r="I42" s="90" t="inlineStr">
        <x:is>
          <x:t xml:space="preserve">SkipLink playground scenario.</x:t>
        </x:is>
      </x:c>
      <x:c r="J42" s="90" t="n"/>
      <x:c r="K42" s="91" t="n">
        <x:f>IF(H42="covered",1,IF(H42="partial",0.5,0))</x:f>
        <x:v>1</x:v>
      </x:c>
    </x:row>
    <x:row r="43" s="51" customFormat="1" ht="15" customHeight="1">
      <x:c r="A43" s="89" t="n">
        <x:v>35</x:v>
      </x:c>
      <x:c r="B43" s="90" t="inlineStr">
        <x:is>
          <x:t xml:space="preserve">Data</x:t>
        </x:is>
      </x:c>
      <x:c r="C43" s="90" t="inlineStr">
        <x:is>
          <x:t xml:space="preserve">Live DOM</x:t>
        </x:is>
      </x:c>
      <x:c r="D43" s="90" t="inlineStr">
        <x:is>
          <x:t xml:space="preserve">data-slot is present at the correct time</x:t>
        </x:is>
      </x:c>
      <x:c r="E43" s="89" t="inlineStr">
        <x:is>
          <x:t xml:space="preserve">yes</x:t>
        </x:is>
      </x:c>
      <x:c r="F43" s="89" t="inlineStr">
        <x:is>
          <x:t xml:space="preserve">yes</x:t>
        </x:is>
      </x:c>
      <x:c r="G43" s="89" t="inlineStr">
        <x:is>
          <x:t xml:space="preserve">passed</x:t>
        </x:is>
      </x:c>
      <x:c r="H43" s="89" t="inlineStr">
        <x:is>
          <x:t xml:space="preserve">covered</x:t>
        </x:is>
      </x:c>
      <x:c r="I43" s="90" t="inlineStr">
        <x:is>
          <x:t xml:space="preserve">SkipLink playground scenario.</x:t>
        </x:is>
      </x:c>
      <x:c r="J43" s="90" t="n"/>
      <x:c r="K43" s="91" t="n">
        <x:f>IF(H43="covered",1,IF(H43="partial",0.5,0))</x:f>
        <x:v>1</x:v>
      </x:c>
    </x:row>
    <x:row r="44" s="51" customFormat="1" ht="30" customHeight="1">
      <x:c r="A44" s="89" t="n">
        <x:v>36</x:v>
      </x:c>
      <x:c r="B44" s="90" t="inlineStr">
        <x:is>
          <x:t xml:space="preserve">Composition</x:t>
        </x:is>
      </x:c>
      <x:c r="C44" s="90" t="inlineStr">
        <x:is>
          <x:t xml:space="preserve">SkipLink</x:t>
        </x:is>
      </x:c>
      <x:c r="D44" s="90" t="inlineStr">
        <x:is>
          <x:t xml:space="preserve">asChild preserves child content without double nesting</x:t>
        </x:is>
      </x:c>
      <x:c r="E44" s="89" t="inlineStr">
        <x:is>
          <x:t xml:space="preserve">yes</x:t>
        </x:is>
      </x:c>
      <x:c r="F44" s="89" t="inlineStr">
        <x:is>
          <x:t xml:space="preserve">yes</x:t>
        </x:is>
      </x:c>
      <x:c r="G44" s="89" t="inlineStr">
        <x:is>
          <x:t xml:space="preserve">passed</x:t>
        </x:is>
      </x:c>
      <x:c r="H44" s="89" t="inlineStr">
        <x:is>
          <x:t xml:space="preserve">covered</x:t>
        </x:is>
      </x:c>
      <x:c r="I44" s="90" t="inlineStr">
        <x:is>
          <x:t xml:space="preserve">SkipLink playground scenario.</x:t>
        </x:is>
      </x:c>
      <x:c r="J44" s="90" t="n"/>
      <x:c r="K44" s="91" t="n">
        <x:f>IF(H44="covered",1,IF(H44="partial",0.5,0))</x:f>
        <x:v>1</x:v>
      </x:c>
    </x:row>
    <x:row r="45" s="51" customFormat="1" ht="15" customHeight="1">
      <x:c r="A45" s="89" t="n">
        <x:v>37</x:v>
      </x:c>
      <x:c r="B45" s="90" t="inlineStr">
        <x:is>
          <x:t xml:space="preserve">Composition</x:t>
        </x:is>
      </x:c>
      <x:c r="C45" s="90" t="inlineStr">
        <x:is>
          <x:t xml:space="preserve">SkipLink</x:t>
        </x:is>
      </x:c>
      <x:c r="D45" s="90" t="inlineStr">
        <x:is>
          <x:t xml:space="preserve">asChild merges Atom props and consumer props</x:t>
        </x:is>
      </x:c>
      <x:c r="E45" s="89" t="inlineStr">
        <x:is>
          <x:t xml:space="preserve">yes</x:t>
        </x:is>
      </x:c>
      <x:c r="F45" s="89" t="inlineStr">
        <x:is>
          <x:t xml:space="preserve">yes</x:t>
        </x:is>
      </x:c>
      <x:c r="G45" s="89" t="inlineStr">
        <x:is>
          <x:t xml:space="preserve">passed</x:t>
        </x:is>
      </x:c>
      <x:c r="H45" s="89" t="inlineStr">
        <x:is>
          <x:t xml:space="preserve">covered</x:t>
        </x:is>
      </x:c>
      <x:c r="I45" s="90" t="inlineStr">
        <x:is>
          <x:t xml:space="preserve">SkipLink playground scenario.</x:t>
        </x:is>
      </x:c>
      <x:c r="J45" s="90" t="n"/>
      <x:c r="K45" s="91" t="n">
        <x:f>IF(H45="covered",1,IF(H45="partial",0.5,0))</x:f>
        <x:v>1</x:v>
      </x:c>
    </x:row>
    <x:row r="46" s="51" customFormat="1" ht="15" customHeight="1">
      <x:c r="A46" s="89" t="n">
        <x:v>38</x:v>
      </x:c>
      <x:c r="B46" s="90" t="inlineStr">
        <x:is>
          <x:t xml:space="preserve">Composition</x:t>
        </x:is>
      </x:c>
      <x:c r="C46" s="90" t="inlineStr">
        <x:is>
          <x:t xml:space="preserve">SkipLink</x:t>
        </x:is>
      </x:c>
      <x:c r="D46" s="90" t="inlineStr">
        <x:is>
          <x:t xml:space="preserve">asChild lets preventDefault block Atom behavior where supported</x:t>
        </x:is>
      </x:c>
      <x:c r="E46" s="89" t="inlineStr">
        <x:is>
          <x:t xml:space="preserve">yes</x:t>
        </x:is>
      </x:c>
      <x:c r="F46" s="89" t="inlineStr">
        <x:is>
          <x:t xml:space="preserve">yes</x:t>
        </x:is>
      </x:c>
      <x:c r="G46" s="89" t="inlineStr">
        <x:is>
          <x:t xml:space="preserve">passed</x:t>
        </x:is>
      </x:c>
      <x:c r="H46" s="89" t="inlineStr">
        <x:is>
          <x:t xml:space="preserve">covered</x:t>
        </x:is>
      </x:c>
      <x:c r="I46" s="90" t="inlineStr">
        <x:is>
          <x:t xml:space="preserve">SkipLink playground scenario.</x:t>
        </x:is>
      </x:c>
      <x:c r="J46" s="90" t="n"/>
      <x:c r="K46" s="91" t="n">
        <x:f>IF(H46="covered",1,IF(H46="partial",0.5,0))</x:f>
        <x:v>1</x:v>
      </x:c>
    </x:row>
    <x:row r="47" s="51" customFormat="1" ht="15" customHeight="1">
      <x:c r="A47" s="89" t="n">
        <x:v>39</x:v>
      </x:c>
      <x:c r="B47" s="90" t="inlineStr">
        <x:is>
          <x:t xml:space="preserve">Composition</x:t>
        </x:is>
      </x:c>
      <x:c r="C47" s="90" t="inlineStr">
        <x:is>
          <x:t xml:space="preserve">SkipLink</x:t>
        </x:is>
      </x:c>
      <x:c r="D47" s="90" t="inlineStr">
        <x:is>
          <x:t xml:space="preserve">render prop renders custom element</x:t>
        </x:is>
      </x:c>
      <x:c r="E47" s="89" t="inlineStr">
        <x:is>
          <x:t xml:space="preserve">yes</x:t>
        </x:is>
      </x:c>
      <x:c r="F47" s="89" t="inlineStr">
        <x:is>
          <x:t xml:space="preserve">yes</x:t>
        </x:is>
      </x:c>
      <x:c r="G47" s="89" t="inlineStr">
        <x:is>
          <x:t xml:space="preserve">passed</x:t>
        </x:is>
      </x:c>
      <x:c r="H47" s="89" t="inlineStr">
        <x:is>
          <x:t xml:space="preserve">covered</x:t>
        </x:is>
      </x:c>
      <x:c r="I47" s="90" t="inlineStr">
        <x:is>
          <x:t xml:space="preserve">SkipLink playground scenario.</x:t>
        </x:is>
      </x:c>
      <x:c r="J47" s="90" t="n"/>
      <x:c r="K47" s="91" t="n">
        <x:f>IF(H47="covered",1,IF(H47="partial",0.5,0))</x:f>
        <x:v>1</x:v>
      </x:c>
    </x:row>
    <x:row r="48" s="51" customFormat="1" ht="15" customHeight="1">
      <x:c r="A48" s="89" t="n">
        <x:v>40</x:v>
      </x:c>
      <x:c r="B48" s="90" t="inlineStr">
        <x:is>
          <x:t xml:space="preserve">Composition</x:t>
        </x:is>
      </x:c>
      <x:c r="C48" s="90" t="inlineStr">
        <x:is>
          <x:t xml:space="preserve">SkipLink</x:t>
        </x:is>
      </x:c>
      <x:c r="D48" s="90" t="inlineStr">
        <x:is>
          <x:t xml:space="preserve">render prop preserves refs and behavior props</x:t>
        </x:is>
      </x:c>
      <x:c r="E48" s="89" t="inlineStr">
        <x:is>
          <x:t xml:space="preserve">yes</x:t>
        </x:is>
      </x:c>
      <x:c r="F48" s="89" t="inlineStr">
        <x:is>
          <x:t xml:space="preserve">yes</x:t>
        </x:is>
      </x:c>
      <x:c r="G48" s="89" t="inlineStr">
        <x:is>
          <x:t xml:space="preserve">passed</x:t>
        </x:is>
      </x:c>
      <x:c r="H48" s="89" t="inlineStr">
        <x:is>
          <x:t xml:space="preserve">covered</x:t>
        </x:is>
      </x:c>
      <x:c r="I48" s="90" t="inlineStr">
        <x:is>
          <x:t xml:space="preserve">SkipLink playground scenario.</x:t>
        </x:is>
      </x:c>
      <x:c r="J48" s="90" t="n"/>
      <x:c r="K48" s="91" t="n">
        <x:f>IF(H48="covered",1,IF(H48="partial",0.5,0))</x:f>
        <x:v>1</x:v>
      </x:c>
    </x:row>
    <x:row r="49" s="51" customFormat="1" ht="15" customHeight="1">
      <x:c r="A49" s="89" t="n">
        <x:v>41</x:v>
      </x:c>
      <x:c r="B49" s="90" t="inlineStr">
        <x:is>
          <x:t xml:space="preserve">Utility</x:t>
        </x:is>
      </x:c>
      <x:c r="C49" s="90" t="inlineStr">
        <x:is>
          <x:t xml:space="preserve">SkipLink</x:t>
        </x:is>
      </x:c>
      <x:c r="D49" s="90" t="inlineStr">
        <x:is>
          <x:t xml:space="preserve">skip link target receives programmatic focus</x:t>
        </x:is>
      </x:c>
      <x:c r="E49" s="89" t="inlineStr">
        <x:is>
          <x:t xml:space="preserve">yes</x:t>
        </x:is>
      </x:c>
      <x:c r="F49" s="89" t="inlineStr">
        <x:is>
          <x:t xml:space="preserve">yes</x:t>
        </x:is>
      </x:c>
      <x:c r="G49" s="89" t="inlineStr">
        <x:is>
          <x:t xml:space="preserve">passed</x:t>
        </x:is>
      </x:c>
      <x:c r="H49" s="89" t="inlineStr">
        <x:is>
          <x:t xml:space="preserve">covered</x:t>
        </x:is>
      </x:c>
      <x:c r="I49" s="90" t="inlineStr">
        <x:is>
          <x:t xml:space="preserve">SkipLink playground scenario.</x:t>
        </x:is>
      </x:c>
      <x:c r="J49" s="90" t="n"/>
      <x:c r="K49" s="91" t="n">
        <x:f>IF(H49="covered",1,IF(H49="partial",0.5,0))</x:f>
        <x:v>1</x:v>
      </x:c>
    </x:row>
    <x:row r="50" s="51" customFormat="1" ht="15" customHeight="1">
      <x:c r="A50" s="89" t="n">
        <x:v>42</x:v>
      </x:c>
      <x:c r="B50" s="90" t="inlineStr">
        <x:is>
          <x:t xml:space="preserve">Utility</x:t>
        </x:is>
      </x:c>
      <x:c r="C50" s="90" t="inlineStr">
        <x:is>
          <x:t xml:space="preserve">SkipLink</x:t>
        </x:is>
      </x:c>
      <x:c r="D50" s="90" t="inlineStr">
        <x:is>
          <x:t xml:space="preserve">malformed hashes do not break navigation</x:t>
        </x:is>
      </x:c>
      <x:c r="E50" s="89" t="inlineStr">
        <x:is>
          <x:t xml:space="preserve">yes</x:t>
        </x:is>
      </x:c>
      <x:c r="F50" s="89" t="inlineStr">
        <x:is>
          <x:t xml:space="preserve">yes</x:t>
        </x:is>
      </x:c>
      <x:c r="G50" s="89" t="inlineStr">
        <x:is>
          <x:t xml:space="preserve">passed</x:t>
        </x:is>
      </x:c>
      <x:c r="H50" s="89" t="inlineStr">
        <x:is>
          <x:t xml:space="preserve">covered</x:t>
        </x:is>
      </x:c>
      <x:c r="I50" s="90" t="inlineStr">
        <x:is>
          <x:t xml:space="preserve">SkipLink playground scenario.</x:t>
        </x:is>
      </x:c>
      <x:c r="J50" s="90" t="n"/>
      <x:c r="K50" s="91" t="n">
        <x:f>IF(H50="covered",1,IF(H50="partial",0.5,0))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Slider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0.9809523809523809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103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2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tested</x:t>
        </x:is>
      </x:c>
      <x:c r="H9" s="86" t="inlineStr">
        <x:is>
          <x:t xml:space="preserve">covered</x:t>
        </x:is>
      </x:c>
      <x:c r="I9" s="84" t="inlineStr">
        <x:is>
          <x:t xml:space="preserve">Slider playground scenario.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tested</x:t>
        </x:is>
      </x:c>
      <x:c r="H10" s="86" t="inlineStr">
        <x:is>
          <x:t xml:space="preserve">covered</x:t>
        </x:is>
      </x:c>
      <x:c r="I10" s="84" t="inlineStr">
        <x:is>
          <x:t xml:space="preserve">Slider playground scenario.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Slider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tested</x:t>
        </x:is>
      </x:c>
      <x:c r="H11" s="86" t="inlineStr">
        <x:is>
          <x:t xml:space="preserve">covered</x:t>
        </x:is>
      </x:c>
      <x:c r="I11" s="84" t="inlineStr">
        <x:is>
          <x:t xml:space="preserve">Slider playground scenario.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Slider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tested</x:t>
        </x:is>
      </x:c>
      <x:c r="H12" s="86" t="inlineStr">
        <x:is>
          <x:t xml:space="preserve">covered</x:t>
        </x:is>
      </x:c>
      <x:c r="I12" s="84" t="inlineStr">
        <x:is>
          <x:t xml:space="preserve">Slider playground scenario.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Slider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tested</x:t>
        </x:is>
      </x:c>
      <x:c r="H13" s="86" t="inlineStr">
        <x:is>
          <x:t xml:space="preserve">covered</x:t>
        </x:is>
      </x:c>
      <x:c r="I13" s="84" t="inlineStr">
        <x:is>
          <x:t xml:space="preserve">Slider playground scenario.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Slider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tested</x:t>
        </x:is>
      </x:c>
      <x:c r="H14" s="86" t="inlineStr">
        <x:is>
          <x:t xml:space="preserve">covered</x:t>
        </x:is>
      </x:c>
      <x:c r="I14" s="84" t="inlineStr">
        <x:is>
          <x:t xml:space="preserve">Slider playground scenario.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Slider</x:t>
        </x:is>
      </x:c>
      <x:c r="D15" s="84" t="inlineStr">
        <x:is>
          <x:t xml:space="preserve">Supports single-value and multi-thumb range values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tested</x:t>
        </x:is>
      </x:c>
      <x:c r="H15" s="86" t="inlineStr">
        <x:is>
          <x:t xml:space="preserve">covered</x:t>
        </x:is>
      </x:c>
      <x:c r="I15" s="84" t="inlineStr">
        <x:is>
          <x:t xml:space="preserve">Slider playground scenario.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Slider</x:t>
        </x:is>
      </x:c>
      <x:c r="D16" s="84" t="inlineStr">
        <x:is>
          <x:t xml:space="preserve">Supports controlled and uncontrolled values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tested</x:t>
        </x:is>
      </x:c>
      <x:c r="H16" s="86" t="inlineStr">
        <x:is>
          <x:t xml:space="preserve">covered</x:t>
        </x:is>
      </x:c>
      <x:c r="I16" s="84" t="inlineStr">
        <x:is>
          <x:t xml:space="preserve">Slider playground scenario.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Slider</x:t>
        </x:is>
      </x:c>
      <x:c r="D17" s="84" t="inlineStr">
        <x:is>
          <x:t xml:space="preserve">Supports horizontal and vertical orientation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tested</x:t>
        </x:is>
      </x:c>
      <x:c r="H17" s="86" t="inlineStr">
        <x:is>
          <x:t xml:space="preserve">covered</x:t>
        </x:is>
      </x:c>
      <x:c r="I17" s="84" t="inlineStr">
        <x:is>
          <x:t xml:space="preserve">Slider playground scenario.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Slider</x:t>
        </x:is>
      </x:c>
      <x:c r="D18" s="84" t="inlineStr">
        <x:is>
          <x:t xml:space="preserve">Supports pointer dragging, keyboard changes, and commit callbacks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tested</x:t>
        </x:is>
      </x:c>
      <x:c r="H18" s="86" t="inlineStr">
        <x:is>
          <x:t xml:space="preserve">covered</x:t>
        </x:is>
      </x:c>
      <x:c r="I18" s="84" t="inlineStr">
        <x:is>
          <x:t xml:space="preserve">Slider playground scenario.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Slider</x:t>
        </x:is>
      </x:c>
      <x:c r="D19" s="84" t="inlineStr">
        <x:is>
          <x:t xml:space="preserve">Supports hidden form inputs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tested</x:t>
        </x:is>
      </x:c>
      <x:c r="H19" s="86" t="inlineStr">
        <x:is>
          <x:t xml:space="preserve">covered</x:t>
        </x:is>
      </x:c>
      <x:c r="I19" s="84" t="inlineStr">
        <x:is>
          <x:t xml:space="preserve">Slider playground scenario.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Slider</x:t>
        </x:is>
      </x:c>
      <x:c r="D20" s="84" t="inlineStr">
        <x:is>
          <x:t xml:space="preserve">Exposes geometry through data attributes and inline offset styles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tested</x:t>
        </x:is>
      </x:c>
      <x:c r="H20" s="86" t="inlineStr">
        <x:is>
          <x:t xml:space="preserve">covered</x:t>
        </x:is>
      </x:c>
      <x:c r="I20" s="84" t="inlineStr">
        <x:is>
          <x:t xml:space="preserve">Slider playground scenario.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tested</x:t>
        </x:is>
      </x:c>
      <x:c r="H21" s="86" t="inlineStr">
        <x:is>
          <x:t xml:space="preserve">covered</x:t>
        </x:is>
      </x:c>
      <x:c r="I21" s="84" t="inlineStr">
        <x:is>
          <x:t xml:space="preserve">Slider playground scenario.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tested</x:t>
        </x:is>
      </x:c>
      <x:c r="H22" s="86" t="inlineStr">
        <x:is>
          <x:t xml:space="preserve">covered</x:t>
        </x:is>
      </x:c>
      <x:c r="I22" s="84" t="inlineStr">
        <x:is>
          <x:t xml:space="preserve">Slider playground scenario.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tested</x:t>
        </x:is>
      </x:c>
      <x:c r="H23" s="86" t="inlineStr">
        <x:is>
          <x:t xml:space="preserve">covered</x:t>
        </x:is>
      </x:c>
      <x:c r="I23" s="84" t="inlineStr">
        <x:is>
          <x:t xml:space="preserve">Slider playground scenario.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tested</x:t>
        </x:is>
      </x:c>
      <x:c r="H24" s="86" t="inlineStr">
        <x:is>
          <x:t xml:space="preserve">covered</x:t>
        </x:is>
      </x:c>
      <x:c r="I24" s="84" t="inlineStr">
        <x:is>
          <x:t xml:space="preserve">Slider playground scenario.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tested</x:t>
        </x:is>
      </x:c>
      <x:c r="H25" s="86" t="inlineStr">
        <x:is>
          <x:t xml:space="preserve">covered</x:t>
        </x:is>
      </x:c>
      <x:c r="I25" s="84" t="inlineStr">
        <x:is>
          <x:t xml:space="preserve">Slider playground scenario.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tested</x:t>
        </x:is>
      </x:c>
      <x:c r="H26" s="86" t="inlineStr">
        <x:is>
          <x:t xml:space="preserve">covered</x:t>
        </x:is>
      </x:c>
      <x:c r="I26" s="84" t="inlineStr">
        <x:is>
          <x:t xml:space="preserve">Slider playground scenario.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tested</x:t>
        </x:is>
      </x:c>
      <x:c r="H27" s="86" t="inlineStr">
        <x:is>
          <x:t xml:space="preserve">covered</x:t>
        </x:is>
      </x:c>
      <x:c r="I27" s="84" t="inlineStr">
        <x:is>
          <x:t xml:space="preserve">Slider playground scenario.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tested</x:t>
        </x:is>
      </x:c>
      <x:c r="H28" s="86" t="inlineStr">
        <x:is>
          <x:t xml:space="preserve">covered</x:t>
        </x:is>
      </x:c>
      <x:c r="I28" s="84" t="inlineStr">
        <x:is>
          <x:t xml:space="preserve">Slider playground scenario.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tested</x:t>
        </x:is>
      </x:c>
      <x:c r="H29" s="86" t="inlineStr">
        <x:is>
          <x:t xml:space="preserve">covered</x:t>
        </x:is>
      </x:c>
      <x:c r="I29" s="84" t="inlineStr">
        <x:is>
          <x:t xml:space="preserve">Slider playground scenario.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onValueCommit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tested</x:t>
        </x:is>
      </x:c>
      <x:c r="H30" s="86" t="inlineStr">
        <x:is>
          <x:t xml:space="preserve">covered</x:t>
        </x:is>
      </x:c>
      <x:c r="I30" s="84" t="inlineStr">
        <x:is>
          <x:t xml:space="preserve">Slider playground scenario.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min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tested</x:t>
        </x:is>
      </x:c>
      <x:c r="H31" s="86" t="inlineStr">
        <x:is>
          <x:t xml:space="preserve">covered</x:t>
        </x:is>
      </x:c>
      <x:c r="I31" s="84" t="inlineStr">
        <x:is>
          <x:t xml:space="preserve">Slider playground scenario.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max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tested</x:t>
        </x:is>
      </x:c>
      <x:c r="H32" s="86" t="inlineStr">
        <x:is>
          <x:t xml:space="preserve">covered</x:t>
        </x:is>
      </x:c>
      <x:c r="I32" s="84" t="inlineStr">
        <x:is>
          <x:t xml:space="preserve">Slider playground scenario.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step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tested</x:t>
        </x:is>
      </x:c>
      <x:c r="H33" s="86" t="inlineStr">
        <x:is>
          <x:t xml:space="preserve">covered</x:t>
        </x:is>
      </x:c>
      <x:c r="I33" s="84" t="inlineStr">
        <x:is>
          <x:t xml:space="preserve">Slider playground scenario.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largeStep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tested</x:t>
        </x:is>
      </x:c>
      <x:c r="H34" s="86" t="inlineStr">
        <x:is>
          <x:t xml:space="preserve">covered</x:t>
        </x:is>
      </x:c>
      <x:c r="I34" s="84" t="inlineStr">
        <x:is>
          <x:t xml:space="preserve">Slider playground scenario.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minStepsBetweenThumbs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tested</x:t>
        </x:is>
      </x:c>
      <x:c r="H35" s="86" t="inlineStr">
        <x:is>
          <x:t xml:space="preserve">covered</x:t>
        </x:is>
      </x:c>
      <x:c r="I35" s="84" t="inlineStr">
        <x:is>
          <x:t xml:space="preserve">Slider playground scenario.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State</x:t>
        </x:is>
      </x:c>
      <x:c r="C36" s="84" t="inlineStr">
        <x:is>
          <x:t xml:space="preserve">Root</x:t>
        </x:is>
      </x:c>
      <x:c r="D36" s="84" t="inlineStr">
        <x:is>
          <x:t xml:space="preserve">disabled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tested</x:t>
        </x:is>
      </x:c>
      <x:c r="H36" s="86" t="inlineStr">
        <x:is>
          <x:t xml:space="preserve">covered</x:t>
        </x:is>
      </x:c>
      <x:c r="I36" s="84" t="inlineStr">
        <x:is>
          <x:t xml:space="preserve">Slider playground scenario.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Root</x:t>
        </x:is>
      </x:c>
      <x:c r="D37" s="84" t="inlineStr">
        <x:is>
          <x:t xml:space="preserve">orientation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tested</x:t>
        </x:is>
      </x:c>
      <x:c r="H37" s="86" t="inlineStr">
        <x:is>
          <x:t xml:space="preserve">covered</x:t>
        </x:is>
      </x:c>
      <x:c r="I37" s="84" t="inlineStr">
        <x:is>
          <x:t xml:space="preserve">Slider playground scenario.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name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tested</x:t>
        </x:is>
      </x:c>
      <x:c r="H38" s="86" t="inlineStr">
        <x:is>
          <x:t xml:space="preserve">covered</x:t>
        </x:is>
      </x:c>
      <x:c r="I38" s="84" t="inlineStr">
        <x:is>
          <x:t xml:space="preserve">Slider playground scenario.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form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tested</x:t>
        </x:is>
      </x:c>
      <x:c r="H39" s="86" t="inlineStr">
        <x:is>
          <x:t xml:space="preserve">covered</x:t>
        </x:is>
      </x:c>
      <x:c r="I39" s="84" t="inlineStr">
        <x:is>
          <x:t xml:space="preserve">Slider playground scenario.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Accessibility</x:t>
        </x:is>
      </x:c>
      <x:c r="C40" s="84" t="inlineStr">
        <x:is>
          <x:t xml:space="preserve">Root</x:t>
        </x:is>
      </x:c>
      <x:c r="D40" s="84" t="inlineStr">
        <x:is>
          <x:t xml:space="preserve">aria-label prop behavior</x:t>
        </x:is>
      </x:c>
      <x:c r="E40" s="76" t="inlineStr">
        <x:is>
          <x:t xml:space="preserve">yes</x:t>
        </x:is>
      </x:c>
      <x:c r="F40" s="85" t="inlineStr">
        <x:is>
          <x:t xml:space="preserve">no</x:t>
        </x:is>
      </x:c>
      <x:c r="G40" s="73" t="inlineStr">
        <x:is>
          <x:t xml:space="preserve">automated tests pass; manual pending</x:t>
        </x:is>
      </x:c>
      <x:c r="H40" s="86" t="inlineStr">
        <x:is>
          <x:t xml:space="preserve">untested</x:t>
        </x:is>
      </x:c>
      <x:c r="I40" s="84" t="inlineStr">
        <x:is>
          <x:t xml:space="preserve">Form &gt; Control: Foundation plus the component scenario and automated package tests.</x:t>
        </x:is>
      </x:c>
      <x:c r="J40" s="84" t="inlineStr">
        <x:is>
          <x:t xml:space="preserve">Run the form-foundation manual protocol.</x:t>
        </x:is>
      </x:c>
      <x:c r="K40" s="87" t="n">
        <x:f>IF(AND(E40="yes",F40="yes",H40="covered"),1,IF(H40="partial",0.5,0))</x:f>
        <x:v>0</x:v>
      </x:c>
    </x:row>
    <x:row r="41" s="51" customFormat="1" ht="15" customHeight="1">
      <x:c r="A41" s="73" t="n">
        <x:v>33</x:v>
      </x:c>
      <x:c r="B41" s="84" t="inlineStr">
        <x:is>
          <x:t xml:space="preserve">Accessibility</x:t>
        </x:is>
      </x:c>
      <x:c r="C41" s="84" t="inlineStr">
        <x:is>
          <x:t xml:space="preserve">Root</x:t>
        </x:is>
      </x:c>
      <x:c r="D41" s="84" t="inlineStr">
        <x:is>
          <x:t xml:space="preserve">ariaValueText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tested</x:t>
        </x:is>
      </x:c>
      <x:c r="H41" s="86" t="inlineStr">
        <x:is>
          <x:t xml:space="preserve">covered</x:t>
        </x:is>
      </x:c>
      <x:c r="I41" s="84" t="inlineStr">
        <x:is>
          <x:t xml:space="preserve">Slider playground scenario.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Public API</x:t>
        </x:is>
      </x:c>
      <x:c r="C42" s="84" t="inlineStr">
        <x:is>
          <x:t xml:space="preserve">Root</x:t>
        </x:is>
      </x:c>
      <x:c r="D42" s="84" t="inlineStr">
        <x:is>
          <x:t xml:space="preserve">[data-slot]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tested</x:t>
        </x:is>
      </x:c>
      <x:c r="H42" s="86" t="inlineStr">
        <x:is>
          <x:t xml:space="preserve">covered</x:t>
        </x:is>
      </x:c>
      <x:c r="I42" s="84" t="inlineStr">
        <x:is>
          <x:t xml:space="preserve">Slider playground scenario.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Root</x:t>
        </x:is>
      </x:c>
      <x:c r="D43" s="84" t="inlineStr">
        <x:is>
          <x:t xml:space="preserve">[data-orientation]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tested</x:t>
        </x:is>
      </x:c>
      <x:c r="H43" s="86" t="inlineStr">
        <x:is>
          <x:t xml:space="preserve">covered</x:t>
        </x:is>
      </x:c>
      <x:c r="I43" s="84" t="inlineStr">
        <x:is>
          <x:t xml:space="preserve">Slider playground scenario.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State</x:t>
        </x:is>
      </x:c>
      <x:c r="C44" s="84" t="inlineStr">
        <x:is>
          <x:t xml:space="preserve">Root</x:t>
        </x:is>
      </x:c>
      <x:c r="D44" s="84" t="inlineStr">
        <x:is>
          <x:t xml:space="preserve">[data-disabled]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tested</x:t>
        </x:is>
      </x:c>
      <x:c r="H44" s="86" t="inlineStr">
        <x:is>
          <x:t xml:space="preserve">covered</x:t>
        </x:is>
      </x:c>
      <x:c r="I44" s="84" t="inlineStr">
        <x:is>
          <x:t xml:space="preserve">Slider playground scenario.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Range</x:t>
        </x:is>
      </x:c>
      <x:c r="D45" s="84" t="inlineStr">
        <x:is>
          <x:t xml:space="preserve">renders correct part when expected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tested</x:t>
        </x:is>
      </x:c>
      <x:c r="H45" s="86" t="inlineStr">
        <x:is>
          <x:t xml:space="preserve">covered</x:t>
        </x:is>
      </x:c>
      <x:c r="I45" s="84" t="inlineStr">
        <x:is>
          <x:t xml:space="preserve">Slider playground scenario.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Range</x:t>
        </x:is>
      </x:c>
      <x:c r="D46" s="84" t="inlineStr">
        <x:is>
          <x:t xml:space="preserve">appears in documented order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tested</x:t>
        </x:is>
      </x:c>
      <x:c r="H46" s="86" t="inlineStr">
        <x:is>
          <x:t xml:space="preserve">covered</x:t>
        </x:is>
      </x:c>
      <x:c r="I46" s="84" t="inlineStr">
        <x:is>
          <x:t xml:space="preserve">Slider playground scenario.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30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Range</x:t>
        </x:is>
      </x:c>
      <x:c r="D47" s="84" t="inlineStr">
        <x:is>
          <x:t xml:space="preserve">default tag is visible in Anatomy/Inspector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tested</x:t>
        </x:is>
      </x:c>
      <x:c r="H47" s="86" t="inlineStr">
        <x:is>
          <x:t xml:space="preserve">covered</x:t>
        </x:is>
      </x:c>
      <x:c r="I47" s="84" t="inlineStr">
        <x:is>
          <x:t xml:space="preserve">Slider playground scenario.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Identity</x:t>
        </x:is>
      </x:c>
      <x:c r="C48" s="84" t="inlineStr">
        <x:is>
          <x:t xml:space="preserve">Range</x:t>
        </x:is>
      </x:c>
      <x:c r="D48" s="84" t="inlineStr">
        <x:is>
          <x:t xml:space="preserve">data-slot is present and correct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tested</x:t>
        </x:is>
      </x:c>
      <x:c r="H48" s="86" t="inlineStr">
        <x:is>
          <x:t xml:space="preserve">covered</x:t>
        </x:is>
      </x:c>
      <x:c r="I48" s="84" t="inlineStr">
        <x:is>
          <x:t xml:space="preserve">Slider playground scenario.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Props</x:t>
        </x:is>
      </x:c>
      <x:c r="C49" s="84" t="inlineStr">
        <x:is>
          <x:t xml:space="preserve">Range</x:t>
        </x:is>
      </x:c>
      <x:c r="D49" s="84" t="inlineStr">
        <x:is>
          <x:t xml:space="preserve">non-Atom native props pass through with data-prop-check marker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tested</x:t>
        </x:is>
      </x:c>
      <x:c r="H49" s="86" t="inlineStr">
        <x:is>
          <x:t xml:space="preserve">covered</x:t>
        </x:is>
      </x:c>
      <x:c r="I49" s="84" t="inlineStr">
        <x:is>
          <x:t xml:space="preserve">Slider playground scenario.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Refs</x:t>
        </x:is>
      </x:c>
      <x:c r="C50" s="84" t="inlineStr">
        <x:is>
          <x:t xml:space="preserve">Range</x:t>
        </x:is>
      </x:c>
      <x:c r="D50" s="84" t="inlineStr">
        <x:is>
          <x:t xml:space="preserve">consumer ref receives the rendered element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tested</x:t>
        </x:is>
      </x:c>
      <x:c r="H50" s="86" t="inlineStr">
        <x:is>
          <x:t xml:space="preserve">covered</x:t>
        </x:is>
      </x:c>
      <x:c r="I50" s="84" t="inlineStr">
        <x:is>
          <x:t xml:space="preserve">Slider playground scenario.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Public API</x:t>
        </x:is>
      </x:c>
      <x:c r="C51" s="84" t="inlineStr">
        <x:is>
          <x:t xml:space="preserve">Range</x:t>
        </x:is>
      </x:c>
      <x:c r="D51" s="84" t="inlineStr">
        <x:is>
          <x:t xml:space="preserve">PageUp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tested</x:t>
        </x:is>
      </x:c>
      <x:c r="H51" s="86" t="inlineStr">
        <x:is>
          <x:t xml:space="preserve">covered</x:t>
        </x:is>
      </x:c>
      <x:c r="I51" s="84" t="inlineStr">
        <x:is>
          <x:t xml:space="preserve">Slider playground scenario.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Range</x:t>
        </x:is>
      </x:c>
      <x:c r="D52" s="84" t="inlineStr">
        <x:is>
          <x:t xml:space="preserve">PageDown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tested</x:t>
        </x:is>
      </x:c>
      <x:c r="H52" s="86" t="inlineStr">
        <x:is>
          <x:t xml:space="preserve">covered</x:t>
        </x:is>
      </x:c>
      <x:c r="I52" s="84" t="inlineStr">
        <x:is>
          <x:t xml:space="preserve">Slider playground scenario.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Range</x:t>
        </x:is>
      </x:c>
      <x:c r="D53" s="84" t="inlineStr">
        <x:is>
          <x:t xml:space="preserve">Home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tested</x:t>
        </x:is>
      </x:c>
      <x:c r="H53" s="86" t="inlineStr">
        <x:is>
          <x:t xml:space="preserve">covered</x:t>
        </x:is>
      </x:c>
      <x:c r="I53" s="84" t="inlineStr">
        <x:is>
          <x:t xml:space="preserve">Slider playground scenario.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Range</x:t>
        </x:is>
      </x:c>
      <x:c r="D54" s="84" t="inlineStr">
        <x:is>
          <x:t xml:space="preserve">End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tested</x:t>
        </x:is>
      </x:c>
      <x:c r="H54" s="86" t="inlineStr">
        <x:is>
          <x:t xml:space="preserve">covered</x:t>
        </x:is>
      </x:c>
      <x:c r="I54" s="84" t="inlineStr">
        <x:is>
          <x:t xml:space="preserve">Slider playground scenario.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Anatomy</x:t>
        </x:is>
      </x:c>
      <x:c r="C55" s="84" t="inlineStr">
        <x:is>
          <x:t xml:space="preserve">Thumb</x:t>
        </x:is>
      </x:c>
      <x:c r="D55" s="84" t="inlineStr">
        <x:is>
          <x:t xml:space="preserve">renders correct part when expected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tested</x:t>
        </x:is>
      </x:c>
      <x:c r="H55" s="86" t="inlineStr">
        <x:is>
          <x:t xml:space="preserve">covered</x:t>
        </x:is>
      </x:c>
      <x:c r="I55" s="84" t="inlineStr">
        <x:is>
          <x:t xml:space="preserve">Slider playground scenario.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Anatomy</x:t>
        </x:is>
      </x:c>
      <x:c r="C56" s="84" t="inlineStr">
        <x:is>
          <x:t xml:space="preserve">Thumb</x:t>
        </x:is>
      </x:c>
      <x:c r="D56" s="84" t="inlineStr">
        <x:is>
          <x:t xml:space="preserve">appears in documented order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tested</x:t>
        </x:is>
      </x:c>
      <x:c r="H56" s="86" t="inlineStr">
        <x:is>
          <x:t xml:space="preserve">covered</x:t>
        </x:is>
      </x:c>
      <x:c r="I56" s="84" t="inlineStr">
        <x:is>
          <x:t xml:space="preserve">Slider playground scenario.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30" customHeight="1">
      <x:c r="A57" s="73" t="n">
        <x:v>49</x:v>
      </x:c>
      <x:c r="B57" s="84" t="inlineStr">
        <x:is>
          <x:t xml:space="preserve">Identity</x:t>
        </x:is>
      </x:c>
      <x:c r="C57" s="84" t="inlineStr">
        <x:is>
          <x:t xml:space="preserve">Thumb</x:t>
        </x:is>
      </x:c>
      <x:c r="D57" s="84" t="inlineStr">
        <x:is>
          <x:t xml:space="preserve">default tag is visible in Anatomy/Inspector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tested</x:t>
        </x:is>
      </x:c>
      <x:c r="H57" s="86" t="inlineStr">
        <x:is>
          <x:t xml:space="preserve">covered</x:t>
        </x:is>
      </x:c>
      <x:c r="I57" s="84" t="inlineStr">
        <x:is>
          <x:t xml:space="preserve">Slider playground scenario.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Identity</x:t>
        </x:is>
      </x:c>
      <x:c r="C58" s="84" t="inlineStr">
        <x:is>
          <x:t xml:space="preserve">Thumb</x:t>
        </x:is>
      </x:c>
      <x:c r="D58" s="84" t="inlineStr">
        <x:is>
          <x:t xml:space="preserve">data-slot is present and correct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tested</x:t>
        </x:is>
      </x:c>
      <x:c r="H58" s="86" t="inlineStr">
        <x:is>
          <x:t xml:space="preserve">covered</x:t>
        </x:is>
      </x:c>
      <x:c r="I58" s="84" t="inlineStr">
        <x:is>
          <x:t xml:space="preserve">Slider playground scenario.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Props</x:t>
        </x:is>
      </x:c>
      <x:c r="C59" s="84" t="inlineStr">
        <x:is>
          <x:t xml:space="preserve">Thumb</x:t>
        </x:is>
      </x:c>
      <x:c r="D59" s="84" t="inlineStr">
        <x:is>
          <x:t xml:space="preserve">non-Atom native props pass through with data-prop-check marker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tested</x:t>
        </x:is>
      </x:c>
      <x:c r="H59" s="86" t="inlineStr">
        <x:is>
          <x:t xml:space="preserve">covered</x:t>
        </x:is>
      </x:c>
      <x:c r="I59" s="84" t="inlineStr">
        <x:is>
          <x:t xml:space="preserve">Slider playground scenario.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Refs</x:t>
        </x:is>
      </x:c>
      <x:c r="C60" s="84" t="inlineStr">
        <x:is>
          <x:t xml:space="preserve">Thumb</x:t>
        </x:is>
      </x:c>
      <x:c r="D60" s="84" t="inlineStr">
        <x:is>
          <x:t xml:space="preserve">consumer ref receives the rendered element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tested</x:t>
        </x:is>
      </x:c>
      <x:c r="H60" s="86" t="inlineStr">
        <x:is>
          <x:t xml:space="preserve">covered</x:t>
        </x:is>
      </x:c>
      <x:c r="I60" s="84" t="inlineStr">
        <x:is>
          <x:t xml:space="preserve">Slider playground scenario.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Public API</x:t>
        </x:is>
      </x:c>
      <x:c r="C61" s="84" t="inlineStr">
        <x:is>
          <x:t xml:space="preserve">Thumb</x:t>
        </x:is>
      </x:c>
      <x:c r="D61" s="84" t="inlineStr">
        <x:is>
          <x:t xml:space="preserve">index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tested</x:t>
        </x:is>
      </x:c>
      <x:c r="H61" s="86" t="inlineStr">
        <x:is>
          <x:t xml:space="preserve">covered</x:t>
        </x:is>
      </x:c>
      <x:c r="I61" s="84" t="inlineStr">
        <x:is>
          <x:t xml:space="preserve">Slider playground scenario.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Composition</x:t>
        </x:is>
      </x:c>
      <x:c r="C62" s="84" t="inlineStr">
        <x:is>
          <x:t xml:space="preserve">Thumb</x:t>
        </x:is>
      </x:c>
      <x:c r="D62" s="84" t="inlineStr">
        <x:is>
          <x:t xml:space="preserve">asChild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tested</x:t>
        </x:is>
      </x:c>
      <x:c r="H62" s="86" t="inlineStr">
        <x:is>
          <x:t xml:space="preserve">covered</x:t>
        </x:is>
      </x:c>
      <x:c r="I62" s="84" t="inlineStr">
        <x:is>
          <x:t xml:space="preserve">Slider playground scenario.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Composition</x:t>
        </x:is>
      </x:c>
      <x:c r="C63" s="84" t="inlineStr">
        <x:is>
          <x:t xml:space="preserve">Thumb</x:t>
        </x:is>
      </x:c>
      <x:c r="D63" s="84" t="inlineStr">
        <x:is>
          <x:t xml:space="preserve">render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tested</x:t>
        </x:is>
      </x:c>
      <x:c r="H63" s="86" t="inlineStr">
        <x:is>
          <x:t xml:space="preserve">covered</x:t>
        </x:is>
      </x:c>
      <x:c r="I63" s="84" t="inlineStr">
        <x:is>
          <x:t xml:space="preserve">Slider playground scenario.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Thumb</x:t>
        </x:is>
      </x:c>
      <x:c r="D64" s="84" t="inlineStr">
        <x:is>
          <x:t xml:space="preserve">[data-slot]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tested</x:t>
        </x:is>
      </x:c>
      <x:c r="H64" s="86" t="inlineStr">
        <x:is>
          <x:t xml:space="preserve">covered</x:t>
        </x:is>
      </x:c>
      <x:c r="I64" s="84" t="inlineStr">
        <x:is>
          <x:t xml:space="preserve">Slider playground scenario.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State</x:t>
        </x:is>
      </x:c>
      <x:c r="C65" s="84" t="inlineStr">
        <x:is>
          <x:t xml:space="preserve">Thumb</x:t>
        </x:is>
      </x:c>
      <x:c r="D65" s="84" t="inlineStr">
        <x:is>
          <x:t xml:space="preserve">[data-value]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tested</x:t>
        </x:is>
      </x:c>
      <x:c r="H65" s="86" t="inlineStr">
        <x:is>
          <x:t xml:space="preserve">covered</x:t>
        </x:is>
      </x:c>
      <x:c r="I65" s="84" t="inlineStr">
        <x:is>
          <x:t xml:space="preserve">Slider playground scenario.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Public API</x:t>
        </x:is>
      </x:c>
      <x:c r="C66" s="84" t="inlineStr">
        <x:is>
          <x:t xml:space="preserve">Thumb</x:t>
        </x:is>
      </x:c>
      <x:c r="D66" s="84" t="inlineStr">
        <x:is>
          <x:t xml:space="preserve">[data-percent]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tested</x:t>
        </x:is>
      </x:c>
      <x:c r="H66" s="86" t="inlineStr">
        <x:is>
          <x:t xml:space="preserve">covered</x:t>
        </x:is>
      </x:c>
      <x:c r="I66" s="84" t="inlineStr">
        <x:is>
          <x:t xml:space="preserve">Slider playground scenario.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Anatomy</x:t>
        </x:is>
      </x:c>
      <x:c r="C67" s="84" t="inlineStr">
        <x:is>
          <x:t xml:space="preserve">Track</x:t>
        </x:is>
      </x:c>
      <x:c r="D67" s="84" t="inlineStr">
        <x:is>
          <x:t xml:space="preserve">renders correct part when expected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tested</x:t>
        </x:is>
      </x:c>
      <x:c r="H67" s="86" t="inlineStr">
        <x:is>
          <x:t xml:space="preserve">covered</x:t>
        </x:is>
      </x:c>
      <x:c r="I67" s="84" t="inlineStr">
        <x:is>
          <x:t xml:space="preserve">Slider playground scenario.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Anatomy</x:t>
        </x:is>
      </x:c>
      <x:c r="C68" s="84" t="inlineStr">
        <x:is>
          <x:t xml:space="preserve">Track</x:t>
        </x:is>
      </x:c>
      <x:c r="D68" s="84" t="inlineStr">
        <x:is>
          <x:t xml:space="preserve">appears in documented order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tested</x:t>
        </x:is>
      </x:c>
      <x:c r="H68" s="86" t="inlineStr">
        <x:is>
          <x:t xml:space="preserve">covered</x:t>
        </x:is>
      </x:c>
      <x:c r="I68" s="84" t="inlineStr">
        <x:is>
          <x:t xml:space="preserve">Slider playground scenario.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30" customHeight="1">
      <x:c r="A69" s="73" t="n">
        <x:v>61</x:v>
      </x:c>
      <x:c r="B69" s="84" t="inlineStr">
        <x:is>
          <x:t xml:space="preserve">Identity</x:t>
        </x:is>
      </x:c>
      <x:c r="C69" s="84" t="inlineStr">
        <x:is>
          <x:t xml:space="preserve">Track</x:t>
        </x:is>
      </x:c>
      <x:c r="D69" s="84" t="inlineStr">
        <x:is>
          <x:t xml:space="preserve">default tag is visible in Anatomy/Inspector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tested</x:t>
        </x:is>
      </x:c>
      <x:c r="H69" s="86" t="inlineStr">
        <x:is>
          <x:t xml:space="preserve">covered</x:t>
        </x:is>
      </x:c>
      <x:c r="I69" s="84" t="inlineStr">
        <x:is>
          <x:t xml:space="preserve">Slider playground scenario.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Identity</x:t>
        </x:is>
      </x:c>
      <x:c r="C70" s="84" t="inlineStr">
        <x:is>
          <x:t xml:space="preserve">Track</x:t>
        </x:is>
      </x:c>
      <x:c r="D70" s="84" t="inlineStr">
        <x:is>
          <x:t xml:space="preserve">data-slot is present and correct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tested</x:t>
        </x:is>
      </x:c>
      <x:c r="H70" s="86" t="inlineStr">
        <x:is>
          <x:t xml:space="preserve">covered</x:t>
        </x:is>
      </x:c>
      <x:c r="I70" s="84" t="inlineStr">
        <x:is>
          <x:t xml:space="preserve">Slider playground scenario.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Props</x:t>
        </x:is>
      </x:c>
      <x:c r="C71" s="84" t="inlineStr">
        <x:is>
          <x:t xml:space="preserve">Track</x:t>
        </x:is>
      </x:c>
      <x:c r="D71" s="84" t="inlineStr">
        <x:is>
          <x:t xml:space="preserve">non-Atom native props pass through with data-prop-check marker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tested</x:t>
        </x:is>
      </x:c>
      <x:c r="H71" s="86" t="inlineStr">
        <x:is>
          <x:t xml:space="preserve">covered</x:t>
        </x:is>
      </x:c>
      <x:c r="I71" s="84" t="inlineStr">
        <x:is>
          <x:t xml:space="preserve">Slider playground scenario.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Refs</x:t>
        </x:is>
      </x:c>
      <x:c r="C72" s="84" t="inlineStr">
        <x:is>
          <x:t xml:space="preserve">Track</x:t>
        </x:is>
      </x:c>
      <x:c r="D72" s="84" t="inlineStr">
        <x:is>
          <x:t xml:space="preserve">consumer ref receives the rendered element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tested</x:t>
        </x:is>
      </x:c>
      <x:c r="H72" s="86" t="inlineStr">
        <x:is>
          <x:t xml:space="preserve">covered</x:t>
        </x:is>
      </x:c>
      <x:c r="I72" s="84" t="inlineStr">
        <x:is>
          <x:t xml:space="preserve">Slider playground scenario.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Composition</x:t>
        </x:is>
      </x:c>
      <x:c r="C73" s="84" t="inlineStr">
        <x:is>
          <x:t xml:space="preserve">Track</x:t>
        </x:is>
      </x:c>
      <x:c r="D73" s="84" t="inlineStr">
        <x:is>
          <x:t xml:space="preserve">asChild prop behavior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tested</x:t>
        </x:is>
      </x:c>
      <x:c r="H73" s="86" t="inlineStr">
        <x:is>
          <x:t xml:space="preserve">covered</x:t>
        </x:is>
      </x:c>
      <x:c r="I73" s="84" t="inlineStr">
        <x:is>
          <x:t xml:space="preserve">Slider playground scenario.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Composition</x:t>
        </x:is>
      </x:c>
      <x:c r="C74" s="84" t="inlineStr">
        <x:is>
          <x:t xml:space="preserve">Track</x:t>
        </x:is>
      </x:c>
      <x:c r="D74" s="84" t="inlineStr">
        <x:is>
          <x:t xml:space="preserve">render prop behavior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tested</x:t>
        </x:is>
      </x:c>
      <x:c r="H74" s="86" t="inlineStr">
        <x:is>
          <x:t xml:space="preserve">covered</x:t>
        </x:is>
      </x:c>
      <x:c r="I74" s="84" t="inlineStr">
        <x:is>
          <x:t xml:space="preserve">Slider playground scenario.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Public API</x:t>
        </x:is>
      </x:c>
      <x:c r="C75" s="84" t="inlineStr">
        <x:is>
          <x:t xml:space="preserve">Track</x:t>
        </x:is>
      </x:c>
      <x:c r="D75" s="84" t="inlineStr">
        <x:is>
          <x:t xml:space="preserve">[data-slot] prop behavior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tested</x:t>
        </x:is>
      </x:c>
      <x:c r="H75" s="86" t="inlineStr">
        <x:is>
          <x:t xml:space="preserve">covered</x:t>
        </x:is>
      </x:c>
      <x:c r="I75" s="84" t="inlineStr">
        <x:is>
          <x:t xml:space="preserve">Slider playground scenario.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Public API</x:t>
        </x:is>
      </x:c>
      <x:c r="C76" s="84" t="inlineStr">
        <x:is>
          <x:t xml:space="preserve">Track</x:t>
        </x:is>
      </x:c>
      <x:c r="D76" s="84" t="inlineStr">
        <x:is>
          <x:t xml:space="preserve">[data-orientation] prop behavior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tested</x:t>
        </x:is>
      </x:c>
      <x:c r="H76" s="86" t="inlineStr">
        <x:is>
          <x:t xml:space="preserve">covered</x:t>
        </x:is>
      </x:c>
      <x:c r="I76" s="84" t="inlineStr">
        <x:is>
          <x:t xml:space="preserve">Slider playground scenario.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State</x:t>
        </x:is>
      </x:c>
      <x:c r="C77" s="84" t="inlineStr">
        <x:is>
          <x:t xml:space="preserve">Track</x:t>
        </x:is>
      </x:c>
      <x:c r="D77" s="84" t="inlineStr">
        <x:is>
          <x:t xml:space="preserve">[data-disabled] prop behavior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tested</x:t>
        </x:is>
      </x:c>
      <x:c r="H77" s="86" t="inlineStr">
        <x:is>
          <x:t xml:space="preserve">covered</x:t>
        </x:is>
      </x:c>
      <x:c r="I77" s="84" t="inlineStr">
        <x:is>
          <x:t xml:space="preserve">Slider playground scenario.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ARIA</x:t>
        </x:is>
      </x:c>
      <x:c r="C78" s="84" t="inlineStr">
        <x:is>
          <x:t xml:space="preserve">Live DOM</x:t>
        </x:is>
      </x:c>
      <x:c r="D78" s="84" t="inlineStr">
        <x:is>
          <x:t xml:space="preserve">aria-disabled is present at the correct time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tested</x:t>
        </x:is>
      </x:c>
      <x:c r="H78" s="86" t="inlineStr">
        <x:is>
          <x:t xml:space="preserve">covered</x:t>
        </x:is>
      </x:c>
      <x:c r="I78" s="84" t="inlineStr">
        <x:is>
          <x:t xml:space="preserve">Slider playground scenario.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ARIA</x:t>
        </x:is>
      </x:c>
      <x:c r="C79" s="84" t="inlineStr">
        <x:is>
          <x:t xml:space="preserve">Live DOM</x:t>
        </x:is>
      </x:c>
      <x:c r="D79" s="84" t="inlineStr">
        <x:is>
          <x:t xml:space="preserve">aria-hidden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tested</x:t>
        </x:is>
      </x:c>
      <x:c r="H79" s="86" t="inlineStr">
        <x:is>
          <x:t xml:space="preserve">covered</x:t>
        </x:is>
      </x:c>
      <x:c r="I79" s="84" t="inlineStr">
        <x:is>
          <x:t xml:space="preserve">Slider playground scenario.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ARIA</x:t>
        </x:is>
      </x:c>
      <x:c r="C80" s="84" t="inlineStr">
        <x:is>
          <x:t xml:space="preserve">Live DOM</x:t>
        </x:is>
      </x:c>
      <x:c r="D80" s="84" t="inlineStr">
        <x:is>
          <x:t xml:space="preserve">aria-label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tested</x:t>
        </x:is>
      </x:c>
      <x:c r="H80" s="86" t="inlineStr">
        <x:is>
          <x:t xml:space="preserve">covered</x:t>
        </x:is>
      </x:c>
      <x:c r="I80" s="84" t="inlineStr">
        <x:is>
          <x:t xml:space="preserve">Slider playground scenario.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ARIA</x:t>
        </x:is>
      </x:c>
      <x:c r="C81" s="84" t="inlineStr">
        <x:is>
          <x:t xml:space="preserve">Live DOM</x:t>
        </x:is>
      </x:c>
      <x:c r="D81" s="84" t="inlineStr">
        <x:is>
          <x:t xml:space="preserve">aria-orientation is present at the correct time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tested</x:t>
        </x:is>
      </x:c>
      <x:c r="H81" s="86" t="inlineStr">
        <x:is>
          <x:t xml:space="preserve">covered</x:t>
        </x:is>
      </x:c>
      <x:c r="I81" s="84" t="inlineStr">
        <x:is>
          <x:t xml:space="preserve">Slider playground scenario.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ARIA</x:t>
        </x:is>
      </x:c>
      <x:c r="C82" s="84" t="inlineStr">
        <x:is>
          <x:t xml:space="preserve">Live DOM</x:t>
        </x:is>
      </x:c>
      <x:c r="D82" s="84" t="inlineStr">
        <x:is>
          <x:t xml:space="preserve">aria-valuemax is present at the correct time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tested</x:t>
        </x:is>
      </x:c>
      <x:c r="H82" s="86" t="inlineStr">
        <x:is>
          <x:t xml:space="preserve">covered</x:t>
        </x:is>
      </x:c>
      <x:c r="I82" s="84" t="inlineStr">
        <x:is>
          <x:t xml:space="preserve">Slider playground scenario.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ARIA</x:t>
        </x:is>
      </x:c>
      <x:c r="C83" s="84" t="inlineStr">
        <x:is>
          <x:t xml:space="preserve">Live DOM</x:t>
        </x:is>
      </x:c>
      <x:c r="D83" s="84" t="inlineStr">
        <x:is>
          <x:t xml:space="preserve">aria-valuemin is present at the correct time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tested</x:t>
        </x:is>
      </x:c>
      <x:c r="H83" s="86" t="inlineStr">
        <x:is>
          <x:t xml:space="preserve">covered</x:t>
        </x:is>
      </x:c>
      <x:c r="I83" s="84" t="inlineStr">
        <x:is>
          <x:t xml:space="preserve">Slider playground scenario.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ARIA</x:t>
        </x:is>
      </x:c>
      <x:c r="C84" s="84" t="inlineStr">
        <x:is>
          <x:t xml:space="preserve">Live DOM</x:t>
        </x:is>
      </x:c>
      <x:c r="D84" s="84" t="inlineStr">
        <x:is>
          <x:t xml:space="preserve">aria-valuenow is present at the correct time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tested</x:t>
        </x:is>
      </x:c>
      <x:c r="H84" s="86" t="inlineStr">
        <x:is>
          <x:t xml:space="preserve">covered</x:t>
        </x:is>
      </x:c>
      <x:c r="I84" s="84" t="inlineStr">
        <x:is>
          <x:t xml:space="preserve">Slider playground scenario.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ARIA</x:t>
        </x:is>
      </x:c>
      <x:c r="C85" s="84" t="inlineStr">
        <x:is>
          <x:t xml:space="preserve">Live DOM</x:t>
        </x:is>
      </x:c>
      <x:c r="D85" s="84" t="inlineStr">
        <x:is>
          <x:t xml:space="preserve">aria-valuetext is present at the correct time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tested</x:t>
        </x:is>
      </x:c>
      <x:c r="H85" s="86" t="inlineStr">
        <x:is>
          <x:t xml:space="preserve">covered</x:t>
        </x:is>
      </x:c>
      <x:c r="I85" s="84" t="inlineStr">
        <x:is>
          <x:t xml:space="preserve">Slider playground scenario.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Data</x:t>
        </x:is>
      </x:c>
      <x:c r="C86" s="84" t="inlineStr">
        <x:is>
          <x:t xml:space="preserve">Live DOM</x:t>
        </x:is>
      </x:c>
      <x:c r="D86" s="84" t="inlineStr">
        <x:is>
          <x:t xml:space="preserve">data-disabled is present at the correct time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tested</x:t>
        </x:is>
      </x:c>
      <x:c r="H86" s="86" t="inlineStr">
        <x:is>
          <x:t xml:space="preserve">covered</x:t>
        </x:is>
      </x:c>
      <x:c r="I86" s="84" t="inlineStr">
        <x:is>
          <x:t xml:space="preserve">Slider playground scenario.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Data</x:t>
        </x:is>
      </x:c>
      <x:c r="C87" s="84" t="inlineStr">
        <x:is>
          <x:t xml:space="preserve">Live DOM</x:t>
        </x:is>
      </x:c>
      <x:c r="D87" s="84" t="inlineStr">
        <x:is>
          <x:t xml:space="preserve">data-end is present at the correct time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tested</x:t>
        </x:is>
      </x:c>
      <x:c r="H87" s="86" t="inlineStr">
        <x:is>
          <x:t xml:space="preserve">covered</x:t>
        </x:is>
      </x:c>
      <x:c r="I87" s="84" t="inlineStr">
        <x:is>
          <x:t xml:space="preserve">Slider playground scenario.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Data</x:t>
        </x:is>
      </x:c>
      <x:c r="C88" s="84" t="inlineStr">
        <x:is>
          <x:t xml:space="preserve">Live DOM</x:t>
        </x:is>
      </x:c>
      <x:c r="D88" s="84" t="inlineStr">
        <x:is>
          <x:t xml:space="preserve">data-orientation is present at the correct time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tested</x:t>
        </x:is>
      </x:c>
      <x:c r="H88" s="86" t="inlineStr">
        <x:is>
          <x:t xml:space="preserve">covered</x:t>
        </x:is>
      </x:c>
      <x:c r="I88" s="84" t="inlineStr">
        <x:is>
          <x:t xml:space="preserve">Slider playground scenario.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Data</x:t>
        </x:is>
      </x:c>
      <x:c r="C89" s="84" t="inlineStr">
        <x:is>
          <x:t xml:space="preserve">Live DOM</x:t>
        </x:is>
      </x:c>
      <x:c r="D89" s="84" t="inlineStr">
        <x:is>
          <x:t xml:space="preserve">data-percent is present at the correct time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tested</x:t>
        </x:is>
      </x:c>
      <x:c r="H89" s="86" t="inlineStr">
        <x:is>
          <x:t xml:space="preserve">covered</x:t>
        </x:is>
      </x:c>
      <x:c r="I89" s="84" t="inlineStr">
        <x:is>
          <x:t xml:space="preserve">Slider playground scenario.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Data</x:t>
        </x:is>
      </x:c>
      <x:c r="C90" s="84" t="inlineStr">
        <x:is>
          <x:t xml:space="preserve">Live DOM</x:t>
        </x:is>
      </x:c>
      <x:c r="D90" s="84" t="inlineStr">
        <x:is>
          <x:t xml:space="preserve">data-slot is present at the correct time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tested</x:t>
        </x:is>
      </x:c>
      <x:c r="H90" s="86" t="inlineStr">
        <x:is>
          <x:t xml:space="preserve">covered</x:t>
        </x:is>
      </x:c>
      <x:c r="I90" s="84" t="inlineStr">
        <x:is>
          <x:t xml:space="preserve">Slider playground scenario.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Data</x:t>
        </x:is>
      </x:c>
      <x:c r="C91" s="84" t="inlineStr">
        <x:is>
          <x:t xml:space="preserve">Live DOM</x:t>
        </x:is>
      </x:c>
      <x:c r="D91" s="84" t="inlineStr">
        <x:is>
          <x:t xml:space="preserve">data-start is present at the correct time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tested</x:t>
        </x:is>
      </x:c>
      <x:c r="H91" s="86" t="inlineStr">
        <x:is>
          <x:t xml:space="preserve">covered</x:t>
        </x:is>
      </x:c>
      <x:c r="I91" s="84" t="inlineStr">
        <x:is>
          <x:t xml:space="preserve">Slider playground scenario.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Data</x:t>
        </x:is>
      </x:c>
      <x:c r="C92" s="84" t="inlineStr">
        <x:is>
          <x:t xml:space="preserve">Live DOM</x:t>
        </x:is>
      </x:c>
      <x:c r="D92" s="84" t="inlineStr">
        <x:is>
          <x:t xml:space="preserve">data-value is present at the correct time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tested</x:t>
        </x:is>
      </x:c>
      <x:c r="H92" s="86" t="inlineStr">
        <x:is>
          <x:t xml:space="preserve">covered</x:t>
        </x:is>
      </x:c>
      <x:c r="I92" s="84" t="inlineStr">
        <x:is>
          <x:t xml:space="preserve">Slider playground scenario.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30" customHeight="1">
      <x:c r="A93" s="73" t="n">
        <x:v>85</x:v>
      </x:c>
      <x:c r="B93" s="84" t="inlineStr">
        <x:is>
          <x:t xml:space="preserve">Composition</x:t>
        </x:is>
      </x:c>
      <x:c r="C93" s="84" t="inlineStr">
        <x:is>
          <x:t xml:space="preserve">Slider</x:t>
        </x:is>
      </x:c>
      <x:c r="D93" s="84" t="inlineStr">
        <x:is>
          <x:t xml:space="preserve">asChild preserves child content without double nesting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tested</x:t>
        </x:is>
      </x:c>
      <x:c r="H93" s="86" t="inlineStr">
        <x:is>
          <x:t xml:space="preserve">covered</x:t>
        </x:is>
      </x:c>
      <x:c r="I93" s="84" t="inlineStr">
        <x:is>
          <x:t xml:space="preserve">Slider playground scenario.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Composition</x:t>
        </x:is>
      </x:c>
      <x:c r="C94" s="84" t="inlineStr">
        <x:is>
          <x:t xml:space="preserve">Slider</x:t>
        </x:is>
      </x:c>
      <x:c r="D94" s="84" t="inlineStr">
        <x:is>
          <x:t xml:space="preserve">asChild merges Atom props and consumer props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tested</x:t>
        </x:is>
      </x:c>
      <x:c r="H94" s="86" t="inlineStr">
        <x:is>
          <x:t xml:space="preserve">covered</x:t>
        </x:is>
      </x:c>
      <x:c r="I94" s="84" t="inlineStr">
        <x:is>
          <x:t xml:space="preserve">Slider playground scenario.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Composition</x:t>
        </x:is>
      </x:c>
      <x:c r="C95" s="84" t="inlineStr">
        <x:is>
          <x:t xml:space="preserve">Slider</x:t>
        </x:is>
      </x:c>
      <x:c r="D95" s="84" t="inlineStr">
        <x:is>
          <x:t xml:space="preserve">asChild lets preventDefault block Atom behavior where supported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tested</x:t>
        </x:is>
      </x:c>
      <x:c r="H95" s="86" t="inlineStr">
        <x:is>
          <x:t xml:space="preserve">covered</x:t>
        </x:is>
      </x:c>
      <x:c r="I95" s="84" t="inlineStr">
        <x:is>
          <x:t xml:space="preserve">Slider playground scenario.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Composition</x:t>
        </x:is>
      </x:c>
      <x:c r="C96" s="84" t="inlineStr">
        <x:is>
          <x:t xml:space="preserve">Slider</x:t>
        </x:is>
      </x:c>
      <x:c r="D96" s="84" t="inlineStr">
        <x:is>
          <x:t xml:space="preserve">render prop renders custom element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tested</x:t>
        </x:is>
      </x:c>
      <x:c r="H96" s="86" t="inlineStr">
        <x:is>
          <x:t xml:space="preserve">covered</x:t>
        </x:is>
      </x:c>
      <x:c r="I96" s="84" t="inlineStr">
        <x:is>
          <x:t xml:space="preserve">Slider playground scenario.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Composition</x:t>
        </x:is>
      </x:c>
      <x:c r="C97" s="84" t="inlineStr">
        <x:is>
          <x:t xml:space="preserve">Slider</x:t>
        </x:is>
      </x:c>
      <x:c r="D97" s="84" t="inlineStr">
        <x:is>
          <x:t xml:space="preserve">render prop preserves refs and behavior props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tested</x:t>
        </x:is>
      </x:c>
      <x:c r="H97" s="86" t="inlineStr">
        <x:is>
          <x:t xml:space="preserve">covered</x:t>
        </x:is>
      </x:c>
      <x:c r="I97" s="84" t="inlineStr">
        <x:is>
          <x:t xml:space="preserve">Slider playground scenario.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State</x:t>
        </x:is>
      </x:c>
      <x:c r="C98" s="84" t="inlineStr">
        <x:is>
          <x:t xml:space="preserve">Root</x:t>
        </x:is>
      </x:c>
      <x:c r="D98" s="84" t="inlineStr">
        <x:is>
          <x:t xml:space="preserve">controlled state path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tested</x:t>
        </x:is>
      </x:c>
      <x:c r="H98" s="86" t="inlineStr">
        <x:is>
          <x:t xml:space="preserve">covered</x:t>
        </x:is>
      </x:c>
      <x:c r="I98" s="84" t="inlineStr">
        <x:is>
          <x:t xml:space="preserve">Slider playground scenario.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30" customHeight="1">
      <x:c r="A99" s="73" t="n">
        <x:v>91</x:v>
      </x:c>
      <x:c r="B99" s="84" t="inlineStr">
        <x:is>
          <x:t xml:space="preserve">State</x:t>
        </x:is>
      </x:c>
      <x:c r="C99" s="84" t="inlineStr">
        <x:is>
          <x:t xml:space="preserve">Root</x:t>
        </x:is>
      </x:c>
      <x:c r="D99" s="84" t="inlineStr">
        <x:is>
          <x:t xml:space="preserve">uncontrolled default state path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tested</x:t>
        </x:is>
      </x:c>
      <x:c r="H99" s="86" t="inlineStr">
        <x:is>
          <x:t xml:space="preserve">covered</x:t>
        </x:is>
      </x:c>
      <x:c r="I99" s="84" t="inlineStr">
        <x:is>
          <x:t xml:space="preserve">Slider playground scenario.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30" customHeight="1">
      <x:c r="A100" s="73" t="n">
        <x:v>92</x:v>
      </x:c>
      <x:c r="B100" s="84" t="inlineStr">
        <x:is>
          <x:t xml:space="preserve">State</x:t>
        </x:is>
      </x:c>
      <x:c r="C100" s="84" t="inlineStr">
        <x:is>
          <x:t xml:space="preserve">Root</x:t>
        </x:is>
      </x:c>
      <x:c r="D100" s="84" t="inlineStr">
        <x:is>
          <x:t xml:space="preserve">state change callback fires once with correct value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tested</x:t>
        </x:is>
      </x:c>
      <x:c r="H100" s="86" t="inlineStr">
        <x:is>
          <x:t xml:space="preserve">covered</x:t>
        </x:is>
      </x:c>
      <x:c r="I100" s="84" t="inlineStr">
        <x:is>
          <x:t xml:space="preserve">Slider playground scenario.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30" customHeight="1">
      <x:c r="A101" s="73" t="n">
        <x:v>93</x:v>
      </x:c>
      <x:c r="B101" s="84" t="inlineStr">
        <x:is>
          <x:t xml:space="preserve">State</x:t>
        </x:is>
      </x:c>
      <x:c r="C101" s="84" t="inlineStr">
        <x:is>
          <x:t xml:space="preserve">Slider</x:t>
        </x:is>
      </x:c>
      <x:c r="D101" s="84" t="inlineStr">
        <x:is>
          <x:t xml:space="preserve">disabled state blocks or exposes behavior correctly where supported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tested</x:t>
        </x:is>
      </x:c>
      <x:c r="H101" s="86" t="inlineStr">
        <x:is>
          <x:t xml:space="preserve">covered</x:t>
        </x:is>
      </x:c>
      <x:c r="I101" s="84" t="inlineStr">
        <x:is>
          <x:t xml:space="preserve">Slider playground scenario.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30" customHeight="1">
      <x:c r="A102" s="73" t="n">
        <x:v>94</x:v>
      </x:c>
      <x:c r="B102" s="84" t="inlineStr">
        <x:is>
          <x:t xml:space="preserve">State</x:t>
        </x:is>
      </x:c>
      <x:c r="C102" s="84" t="inlineStr">
        <x:is>
          <x:t xml:space="preserve">Slider</x:t>
        </x:is>
      </x:c>
      <x:c r="D102" s="84" t="inlineStr">
        <x:is>
          <x:t xml:space="preserve">readonly/readOnly state blocks or exposes behavior correctly where supported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tested</x:t>
        </x:is>
      </x:c>
      <x:c r="H102" s="86" t="inlineStr">
        <x:is>
          <x:t xml:space="preserve">covered</x:t>
        </x:is>
      </x:c>
      <x:c r="I102" s="84" t="inlineStr">
        <x:is>
          <x:t xml:space="preserve">Slider playground scenario.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State</x:t>
        </x:is>
      </x:c>
      <x:c r="C103" s="84" t="inlineStr">
        <x:is>
          <x:t xml:space="preserve">Slider</x:t>
        </x:is>
      </x:c>
      <x:c r="D103" s="84" t="inlineStr">
        <x:is>
          <x:t xml:space="preserve">required state blocks or exposes behavior correctly where supported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tested</x:t>
        </x:is>
      </x:c>
      <x:c r="H103" s="86" t="inlineStr">
        <x:is>
          <x:t xml:space="preserve">covered</x:t>
        </x:is>
      </x:c>
      <x:c r="I103" s="84" t="inlineStr">
        <x:is>
          <x:t xml:space="preserve">Slider playground scenario.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30" customHeight="1">
      <x:c r="A104" s="73" t="n">
        <x:v>96</x:v>
      </x:c>
      <x:c r="B104" s="84" t="inlineStr">
        <x:is>
          <x:t xml:space="preserve">State</x:t>
        </x:is>
      </x:c>
      <x:c r="C104" s="84" t="inlineStr">
        <x:is>
          <x:t xml:space="preserve">Slider</x:t>
        </x:is>
      </x:c>
      <x:c r="D104" s="84" t="inlineStr">
        <x:is>
          <x:t xml:space="preserve">invalid state blocks or exposes behavior correctly where supported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tested</x:t>
        </x:is>
      </x:c>
      <x:c r="H104" s="86" t="inlineStr">
        <x:is>
          <x:t xml:space="preserve">covered</x:t>
        </x:is>
      </x:c>
      <x:c r="I104" s="84" t="inlineStr">
        <x:is>
          <x:t xml:space="preserve">Slider playground scenario.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Forms</x:t>
        </x:is>
      </x:c>
      <x:c r="C105" s="84" t="inlineStr">
        <x:is>
          <x:t xml:space="preserve">Slider</x:t>
        </x:is>
      </x:c>
      <x:c r="D105" s="84" t="inlineStr">
        <x:is>
          <x:t xml:space="preserve">form value participates correctly where supported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tested</x:t>
        </x:is>
      </x:c>
      <x:c r="H105" s="86" t="inlineStr">
        <x:is>
          <x:t xml:space="preserve">covered</x:t>
        </x:is>
      </x:c>
      <x:c r="I105" s="84" t="inlineStr">
        <x:is>
          <x:t xml:space="preserve">Slider playground scenario.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Forms</x:t>
        </x:is>
      </x:c>
      <x:c r="C106" s="84" t="inlineStr">
        <x:is>
          <x:t xml:space="preserve">Slider</x:t>
        </x:is>
      </x:c>
      <x:c r="D106" s="84" t="inlineStr">
        <x:is>
          <x:t xml:space="preserve">hidden input mirrors value/checked/disabled where supported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tested</x:t>
        </x:is>
      </x:c>
      <x:c r="H106" s="86" t="inlineStr">
        <x:is>
          <x:t xml:space="preserve">covered</x:t>
        </x:is>
      </x:c>
      <x:c r="I106" s="84" t="inlineStr">
        <x:is>
          <x:t xml:space="preserve">Slider playground scenario.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30" customHeight="1">
      <x:c r="A107" s="73" t="n">
        <x:v>99</x:v>
      </x:c>
      <x:c r="B107" s="84" t="inlineStr">
        <x:is>
          <x:t xml:space="preserve">Portal</x:t>
        </x:is>
      </x:c>
      <x:c r="C107" s="84" t="inlineStr">
        <x:is>
          <x:t xml:space="preserve">Slider</x:t>
        </x:is>
      </x:c>
      <x:c r="D107" s="84" t="inlineStr">
        <x:is>
          <x:t xml:space="preserve">portal renders in body by default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tested</x:t>
        </x:is>
      </x:c>
      <x:c r="H107" s="86" t="inlineStr">
        <x:is>
          <x:t xml:space="preserve">covered</x:t>
        </x:is>
      </x:c>
      <x:c r="I107" s="84" t="inlineStr">
        <x:is>
          <x:t xml:space="preserve">Slider playground scenario.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Portal</x:t>
        </x:is>
      </x:c>
      <x:c r="C108" s="84" t="inlineStr">
        <x:is>
          <x:t xml:space="preserve">Slider</x:t>
        </x:is>
      </x:c>
      <x:c r="D108" s="84" t="inlineStr">
        <x:is>
          <x:t xml:space="preserve">custom/disabled portal path works where supported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tested</x:t>
        </x:is>
      </x:c>
      <x:c r="H108" s="86" t="inlineStr">
        <x:is>
          <x:t xml:space="preserve">covered</x:t>
        </x:is>
      </x:c>
      <x:c r="I108" s="84" t="inlineStr">
        <x:is>
          <x:t xml:space="preserve">Slider playground scenario.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Direction</x:t>
        </x:is>
      </x:c>
      <x:c r="C109" s="84" t="inlineStr">
        <x:is>
          <x:t xml:space="preserve">Root</x:t>
        </x:is>
      </x:c>
      <x:c r="D109" s="84" t="inlineStr">
        <x:is>
          <x:t xml:space="preserve">reads Direction.Provider context for horizontal slider math</x:t>
        </x:is>
      </x:c>
      <x:c r="E109" s="88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tested</x:t>
        </x:is>
      </x:c>
      <x:c r="H109" s="88" t="inlineStr">
        <x:is>
          <x:t xml:space="preserve">covered</x:t>
        </x:is>
      </x:c>
      <x:c r="I109" s="84" t="inlineStr">
        <x:is>
          <x:t xml:space="preserve">Slider playground scenario.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30" customHeight="1">
      <x:c r="A110" s="73" t="n">
        <x:v>102</x:v>
      </x:c>
      <x:c r="B110" s="84" t="inlineStr">
        <x:is>
          <x:t xml:space="preserve">Direction</x:t>
        </x:is>
      </x:c>
      <x:c r="C110" s="84" t="inlineStr">
        <x:is>
          <x:t xml:space="preserve">Root</x:t>
        </x:is>
      </x:c>
      <x:c r="D110" s="84" t="inlineStr">
        <x:is>
          <x:t xml:space="preserve">RTL mirrors ArrowLeft and ArrowRight value changes</x:t>
        </x:is>
      </x:c>
      <x:c r="E110" s="88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tested</x:t>
        </x:is>
      </x:c>
      <x:c r="H110" s="88" t="inlineStr">
        <x:is>
          <x:t xml:space="preserve">covered</x:t>
        </x:is>
      </x:c>
      <x:c r="I110" s="84" t="inlineStr">
        <x:is>
          <x:t xml:space="preserve">Slider playground scenario.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Direction</x:t>
        </x:is>
      </x:c>
      <x:c r="C111" s="84" t="inlineStr">
        <x:is>
          <x:t xml:space="preserve">Root</x:t>
        </x:is>
      </x:c>
      <x:c r="D111" s="84" t="inlineStr">
        <x:is>
          <x:t xml:space="preserve">RTL mirrors pointer math for horizontal value changes</x:t>
        </x:is>
      </x:c>
      <x:c r="E111" s="88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tested</x:t>
        </x:is>
      </x:c>
      <x:c r="H111" s="88" t="inlineStr">
        <x:is>
          <x:t xml:space="preserve">covered</x:t>
        </x:is>
      </x:c>
      <x:c r="I111" s="84" t="inlineStr">
        <x:is>
          <x:t xml:space="preserve">Slider playground scenario.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30" customHeight="1">
      <x:c r="A112" s="73" t="n">
        <x:v>104</x:v>
      </x:c>
      <x:c r="B112" s="84" t="inlineStr">
        <x:is>
          <x:t xml:space="preserve">Playground</x:t>
        </x:is>
      </x:c>
      <x:c r="C112" s="84" t="inlineStr">
        <x:is>
          <x:t xml:space="preserve">Direction controls</x:t>
        </x:is>
      </x:c>
      <x:c r="D112" s="84" t="inlineStr">
        <x:is>
          <x:t xml:space="preserve">scenario exposes provider direction controls</x:t>
        </x:is>
      </x:c>
      <x:c r="E112" s="88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tested</x:t>
        </x:is>
      </x:c>
      <x:c r="H112" s="88" t="inlineStr">
        <x:is>
          <x:t xml:space="preserve">covered</x:t>
        </x:is>
      </x:c>
      <x:c r="I112" s="84" t="inlineStr">
        <x:is>
          <x:t xml:space="preserve">Slider playground scenario.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30" customHeight="1">
      <x:c r="A113" s="73" t="n">
        <x:v>105</x:v>
      </x:c>
      <x:c r="B113" s="84" t="inlineStr">
        <x:is>
          <x:t xml:space="preserve">Forms</x:t>
        </x:is>
      </x:c>
      <x:c r="C113" s="84" t="inlineStr">
        <x:is>
          <x:t xml:space="preserve">Root</x:t>
        </x:is>
      </x:c>
      <x:c r="D113" s="84" t="inlineStr">
        <x:is>
          <x:t xml:space="preserve">Field inheritance, native aria-label, submitted values, and uncontrolled reset</x:t>
        </x:is>
      </x:c>
      <x:c r="E113" s="88" t="inlineStr">
        <x:is>
          <x:t xml:space="preserve">yes</x:t>
        </x:is>
      </x:c>
      <x:c r="F113" s="85" t="inlineStr">
        <x:is>
          <x:t xml:space="preserve">no</x:t>
        </x:is>
      </x:c>
      <x:c r="G113" s="73" t="inlineStr">
        <x:is>
          <x:t xml:space="preserve">automated tests pass; manual pending</x:t>
        </x:is>
      </x:c>
      <x:c r="H113" s="88" t="inlineStr">
        <x:is>
          <x:t xml:space="preserve">untested</x:t>
        </x:is>
      </x:c>
      <x:c r="I113" s="84" t="inlineStr">
        <x:is>
          <x:t xml:space="preserve">Form &gt; Control: Foundation plus the component scenario and automated package tests.</x:t>
        </x:is>
      </x:c>
      <x:c r="J113" s="84" t="inlineStr">
        <x:is>
          <x:t xml:space="preserve">Run and review the form-foundation manual protocol.</x:t>
        </x:is>
      </x:c>
      <x:c r="K113" s="87" t="n">
        <x:f>IF(AND(E113="yes",F113="yes",H113="covered"),1,IF(H113="partial",0.5,0))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SwipeableItem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90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96" t="n">
        <x:v>1</x:v>
      </x:c>
      <x:c r="B9" s="97" t="inlineStr">
        <x:is>
          <x:t xml:space="preserve">Playground</x:t>
        </x:is>
      </x:c>
      <x:c r="C9" s="97" t="inlineStr">
        <x:is>
          <x:t xml:space="preserve">Props</x:t>
        </x:is>
      </x:c>
      <x:c r="D9" s="97" t="inlineStr">
        <x:is>
          <x:t xml:space="preserve">Props toolbar exposes Prop Check and keeps data-prop-check off by default</x:t>
        </x:is>
      </x:c>
      <x:c r="E9" s="96" t="inlineStr">
        <x:is>
          <x:t xml:space="preserve">yes</x:t>
        </x:is>
      </x:c>
      <x:c r="F9" s="96" t="inlineStr">
        <x:is>
          <x:t xml:space="preserve">yes</x:t>
        </x:is>
      </x:c>
      <x:c r="G9" s="96" t="inlineStr">
        <x:is>
          <x:t xml:space="preserve">passed manual test</x:t>
        </x:is>
      </x:c>
      <x:c r="H9" s="93" t="inlineStr">
        <x:is>
          <x:t xml:space="preserve">covered</x:t>
        </x:is>
      </x:c>
      <x:c r="I9" s="97" t="inlineStr">
        <x:is>
          <x:t xml:space="preserve">SwipeableItem playground scenario.</x:t>
        </x:is>
      </x:c>
      <x:c r="J9" s="97" t="n"/>
      <x:c r="K9" s="98" t="n">
        <x:f>IF(AND(E9="yes",F9="yes",H9="covered"),1,IF(H9="partial",0.5,0))</x:f>
        <x:v>1</x:v>
      </x:c>
    </x:row>
    <x:row r="10" s="51" customFormat="1" ht="15" customHeight="1">
      <x:c r="A10" s="96" t="n">
        <x:v>2</x:v>
      </x:c>
      <x:c r="B10" s="97" t="inlineStr">
        <x:is>
          <x:t xml:space="preserve">Playground</x:t>
        </x:is>
      </x:c>
      <x:c r="C10" s="97" t="inlineStr">
        <x:is>
          <x:t xml:space="preserve">Props</x:t>
        </x:is>
      </x:c>
      <x:c r="D10" s="97" t="inlineStr">
        <x:is>
          <x:t xml:space="preserve">custom data-slot override is available for every slot-owning anatomy part</x:t>
        </x:is>
      </x:c>
      <x:c r="E10" s="96" t="inlineStr">
        <x:is>
          <x:t xml:space="preserve">yes</x:t>
        </x:is>
      </x:c>
      <x:c r="F10" s="96" t="inlineStr">
        <x:is>
          <x:t xml:space="preserve">yes</x:t>
        </x:is>
      </x:c>
      <x:c r="G10" s="96" t="inlineStr">
        <x:is>
          <x:t xml:space="preserve">passed manual test</x:t>
        </x:is>
      </x:c>
      <x:c r="H10" s="93" t="inlineStr">
        <x:is>
          <x:t xml:space="preserve">covered</x:t>
        </x:is>
      </x:c>
      <x:c r="I10" s="97" t="inlineStr">
        <x:is>
          <x:t xml:space="preserve">SwipeableItem playground scenario.</x:t>
        </x:is>
      </x:c>
      <x:c r="J10" s="97" t="n"/>
      <x:c r="K10" s="98" t="n">
        <x:f>IF(AND(E10="yes",F10="yes",H10="covered"),1,IF(H10="partial",0.5,0))</x:f>
        <x:v>1</x:v>
      </x:c>
    </x:row>
    <x:row r="11" s="51" customFormat="1" ht="15" customHeight="1">
      <x:c r="A11" s="96" t="n">
        <x:v>3</x:v>
      </x:c>
      <x:c r="B11" s="97" t="inlineStr">
        <x:is>
          <x:t xml:space="preserve">Playground</x:t>
        </x:is>
      </x:c>
      <x:c r="C11" s="97" t="inlineStr">
        <x:is>
          <x:t xml:space="preserve">SwipeableItem</x:t>
        </x:is>
      </x:c>
      <x:c r="D11" s="97" t="inlineStr">
        <x:is>
          <x:t xml:space="preserve">scenario is reachable from top menu</x:t>
        </x:is>
      </x:c>
      <x:c r="E11" s="96" t="inlineStr">
        <x:is>
          <x:t xml:space="preserve">yes</x:t>
        </x:is>
      </x:c>
      <x:c r="F11" s="96" t="inlineStr">
        <x:is>
          <x:t xml:space="preserve">yes</x:t>
        </x:is>
      </x:c>
      <x:c r="G11" s="96" t="inlineStr">
        <x:is>
          <x:t xml:space="preserve">passed manual test</x:t>
        </x:is>
      </x:c>
      <x:c r="H11" s="93" t="inlineStr">
        <x:is>
          <x:t xml:space="preserve">covered</x:t>
        </x:is>
      </x:c>
      <x:c r="I11" s="97" t="inlineStr">
        <x:is>
          <x:t xml:space="preserve">SwipeableItem playground scenario.</x:t>
        </x:is>
      </x:c>
      <x:c r="J11" s="97" t="n"/>
      <x:c r="K11" s="98" t="n">
        <x:f>IF(AND(E11="yes",F11="yes",H11="covered"),1,IF(H11="partial",0.5,0))</x:f>
        <x:v>1</x:v>
      </x:c>
    </x:row>
    <x:row r="12" s="51" customFormat="1" ht="15" customHeight="1">
      <x:c r="A12" s="96" t="n">
        <x:v>4</x:v>
      </x:c>
      <x:c r="B12" s="97" t="inlineStr">
        <x:is>
          <x:t xml:space="preserve">Playground</x:t>
        </x:is>
      </x:c>
      <x:c r="C12" s="97" t="inlineStr">
        <x:is>
          <x:t xml:space="preserve">SwipeableItem</x:t>
        </x:is>
      </x:c>
      <x:c r="D12" s="97" t="inlineStr">
        <x:is>
          <x:t xml:space="preserve">canvas source reflects current toggles</x:t>
        </x:is>
      </x:c>
      <x:c r="E12" s="96" t="inlineStr">
        <x:is>
          <x:t xml:space="preserve">yes</x:t>
        </x:is>
      </x:c>
      <x:c r="F12" s="96" t="inlineStr">
        <x:is>
          <x:t xml:space="preserve">yes</x:t>
        </x:is>
      </x:c>
      <x:c r="G12" s="96" t="inlineStr">
        <x:is>
          <x:t xml:space="preserve">passed manual test</x:t>
        </x:is>
      </x:c>
      <x:c r="H12" s="93" t="inlineStr">
        <x:is>
          <x:t xml:space="preserve">covered</x:t>
        </x:is>
      </x:c>
      <x:c r="I12" s="97" t="inlineStr">
        <x:is>
          <x:t xml:space="preserve">SwipeableItem playground scenario.</x:t>
        </x:is>
      </x:c>
      <x:c r="J12" s="97" t="n"/>
      <x:c r="K12" s="98" t="n">
        <x:f>IF(AND(E12="yes",F12="yes",H12="covered"),1,IF(H12="partial",0.5,0))</x:f>
        <x:v>1</x:v>
      </x:c>
    </x:row>
    <x:row r="13" s="51" customFormat="1" ht="15" customHeight="1">
      <x:c r="A13" s="96" t="n">
        <x:v>5</x:v>
      </x:c>
      <x:c r="B13" s="97" t="inlineStr">
        <x:is>
          <x:t xml:space="preserve">Playground</x:t>
        </x:is>
      </x:c>
      <x:c r="C13" s="97" t="inlineStr">
        <x:is>
          <x:t xml:space="preserve">SwipeableItem</x:t>
        </x:is>
      </x:c>
      <x:c r="D13" s="97" t="inlineStr">
        <x:is>
          <x:t xml:space="preserve">anatomy uses live DOM attributes, ARIA, and data groups</x:t>
        </x:is>
      </x:c>
      <x:c r="E13" s="96" t="inlineStr">
        <x:is>
          <x:t xml:space="preserve">yes</x:t>
        </x:is>
      </x:c>
      <x:c r="F13" s="96" t="inlineStr">
        <x:is>
          <x:t xml:space="preserve">yes</x:t>
        </x:is>
      </x:c>
      <x:c r="G13" s="96" t="inlineStr">
        <x:is>
          <x:t xml:space="preserve">passed manual test</x:t>
        </x:is>
      </x:c>
      <x:c r="H13" s="93" t="inlineStr">
        <x:is>
          <x:t xml:space="preserve">covered</x:t>
        </x:is>
      </x:c>
      <x:c r="I13" s="97" t="inlineStr">
        <x:is>
          <x:t xml:space="preserve">SwipeableItem playground scenario.</x:t>
        </x:is>
      </x:c>
      <x:c r="J13" s="97" t="n"/>
      <x:c r="K13" s="98" t="n">
        <x:f>IF(AND(E13="yes",F13="yes",H13="covered"),1,IF(H13="partial",0.5,0))</x:f>
        <x:v>1</x:v>
      </x:c>
    </x:row>
    <x:row r="14" s="51" customFormat="1" ht="15" customHeight="1">
      <x:c r="A14" s="96" t="n">
        <x:v>6</x:v>
      </x:c>
      <x:c r="B14" s="97" t="inlineStr">
        <x:is>
          <x:t xml:space="preserve">Playground</x:t>
        </x:is>
      </x:c>
      <x:c r="C14" s="97" t="inlineStr">
        <x:is>
          <x:t xml:space="preserve">SwipeableItem</x:t>
        </x:is>
      </x:c>
      <x:c r="D14" s="97" t="inlineStr">
        <x:is>
          <x:t xml:space="preserve">inspector selected/focused/logs work for this scenario</x:t>
        </x:is>
      </x:c>
      <x:c r="E14" s="96" t="inlineStr">
        <x:is>
          <x:t xml:space="preserve">yes</x:t>
        </x:is>
      </x:c>
      <x:c r="F14" s="96" t="inlineStr">
        <x:is>
          <x:t xml:space="preserve">yes</x:t>
        </x:is>
      </x:c>
      <x:c r="G14" s="96" t="inlineStr">
        <x:is>
          <x:t xml:space="preserve">passed manual test</x:t>
        </x:is>
      </x:c>
      <x:c r="H14" s="93" t="inlineStr">
        <x:is>
          <x:t xml:space="preserve">covered</x:t>
        </x:is>
      </x:c>
      <x:c r="I14" s="97" t="inlineStr">
        <x:is>
          <x:t xml:space="preserve">SwipeableItem playground scenario.</x:t>
        </x:is>
      </x:c>
      <x:c r="J14" s="97" t="n"/>
      <x:c r="K14" s="98" t="n">
        <x:f>IF(AND(E14="yes",F14="yes",H14="covered"),1,IF(H14="partial",0.5,0))</x:f>
        <x:v>1</x:v>
      </x:c>
    </x:row>
    <x:row r="15" s="51" customFormat="1" ht="15" customHeight="1">
      <x:c r="A15" s="96" t="n">
        <x:v>7</x:v>
      </x:c>
      <x:c r="B15" s="97" t="inlineStr">
        <x:is>
          <x:t xml:space="preserve">Feature</x:t>
        </x:is>
      </x:c>
      <x:c r="C15" s="97" t="inlineStr">
        <x:is>
          <x:t xml:space="preserve">SwipeableItem</x:t>
        </x:is>
      </x:c>
      <x:c r="D15" s="97" t="inlineStr">
        <x:is>
          <x:t xml:space="preserve">Supports start and end action panels</x:t>
        </x:is>
      </x:c>
      <x:c r="E15" s="96" t="inlineStr">
        <x:is>
          <x:t xml:space="preserve">yes</x:t>
        </x:is>
      </x:c>
      <x:c r="F15" s="96" t="inlineStr">
        <x:is>
          <x:t xml:space="preserve">yes</x:t>
        </x:is>
      </x:c>
      <x:c r="G15" s="96" t="inlineStr">
        <x:is>
          <x:t xml:space="preserve">passed manual test</x:t>
        </x:is>
      </x:c>
      <x:c r="H15" s="93" t="inlineStr">
        <x:is>
          <x:t xml:space="preserve">covered</x:t>
        </x:is>
      </x:c>
      <x:c r="I15" s="97" t="inlineStr">
        <x:is>
          <x:t xml:space="preserve">SwipeableItem playground scenario.</x:t>
        </x:is>
      </x:c>
      <x:c r="J15" s="97" t="n"/>
      <x:c r="K15" s="98" t="n">
        <x:f>IF(AND(E15="yes",F15="yes",H15="covered"),1,IF(H15="partial",0.5,0))</x:f>
        <x:v>1</x:v>
      </x:c>
    </x:row>
    <x:row r="16" s="51" customFormat="1" ht="15" customHeight="1">
      <x:c r="A16" s="96" t="n">
        <x:v>8</x:v>
      </x:c>
      <x:c r="B16" s="97" t="inlineStr">
        <x:is>
          <x:t xml:space="preserve">Feature</x:t>
        </x:is>
      </x:c>
      <x:c r="C16" s="97" t="inlineStr">
        <x:is>
          <x:t xml:space="preserve">SwipeableItem</x:t>
        </x:is>
      </x:c>
      <x:c r="D16" s="97" t="inlineStr">
        <x:is>
          <x:t xml:space="preserve">Supports pointer dragging and keyboard opening</x:t>
        </x:is>
      </x:c>
      <x:c r="E16" s="96" t="inlineStr">
        <x:is>
          <x:t xml:space="preserve">yes</x:t>
        </x:is>
      </x:c>
      <x:c r="F16" s="96" t="inlineStr">
        <x:is>
          <x:t xml:space="preserve">yes</x:t>
        </x:is>
      </x:c>
      <x:c r="G16" s="96" t="inlineStr">
        <x:is>
          <x:t xml:space="preserve">passed manual test</x:t>
        </x:is>
      </x:c>
      <x:c r="H16" s="93" t="inlineStr">
        <x:is>
          <x:t xml:space="preserve">covered</x:t>
        </x:is>
      </x:c>
      <x:c r="I16" s="97" t="inlineStr">
        <x:is>
          <x:t xml:space="preserve">SwipeableItem playground scenario.</x:t>
        </x:is>
      </x:c>
      <x:c r="J16" s="97" t="n"/>
      <x:c r="K16" s="98" t="n">
        <x:f>IF(AND(E16="yes",F16="yes",H16="covered"),1,IF(H16="partial",0.5,0))</x:f>
        <x:v>1</x:v>
      </x:c>
    </x:row>
    <x:row r="17" s="51" customFormat="1" ht="15" customHeight="1">
      <x:c r="A17" s="96" t="n">
        <x:v>9</x:v>
      </x:c>
      <x:c r="B17" s="97" t="inlineStr">
        <x:is>
          <x:t xml:space="preserve">Feature</x:t>
        </x:is>
      </x:c>
      <x:c r="C17" s="97" t="inlineStr">
        <x:is>
          <x:t xml:space="preserve">SwipeableItem</x:t>
        </x:is>
      </x:c>
      <x:c r="D17" s="97" t="inlineStr">
        <x:is>
          <x:t xml:space="preserve">Supports controlled and uncontrolled open side state</x:t>
        </x:is>
      </x:c>
      <x:c r="E17" s="96" t="inlineStr">
        <x:is>
          <x:t xml:space="preserve">yes</x:t>
        </x:is>
      </x:c>
      <x:c r="F17" s="96" t="inlineStr">
        <x:is>
          <x:t xml:space="preserve">yes</x:t>
        </x:is>
      </x:c>
      <x:c r="G17" s="96" t="inlineStr">
        <x:is>
          <x:t xml:space="preserve">passed manual test</x:t>
        </x:is>
      </x:c>
      <x:c r="H17" s="93" t="inlineStr">
        <x:is>
          <x:t xml:space="preserve">covered</x:t>
        </x:is>
      </x:c>
      <x:c r="I17" s="97" t="inlineStr">
        <x:is>
          <x:t xml:space="preserve">SwipeableItem playground scenario.</x:t>
        </x:is>
      </x:c>
      <x:c r="J17" s="97" t="n"/>
      <x:c r="K17" s="98" t="n">
        <x:f>IF(AND(E17="yes",F17="yes",H17="covered"),1,IF(H17="partial",0.5,0))</x:f>
        <x:v>1</x:v>
      </x:c>
    </x:row>
    <x:row r="18" s="51" customFormat="1" ht="15" customHeight="1">
      <x:c r="A18" s="96" t="n">
        <x:v>10</x:v>
      </x:c>
      <x:c r="B18" s="97" t="inlineStr">
        <x:is>
          <x:t xml:space="preserve">Feature</x:t>
        </x:is>
      </x:c>
      <x:c r="C18" s="97" t="inlineStr">
        <x:is>
          <x:t xml:space="preserve">SwipeableItem</x:t>
        </x:is>
      </x:c>
      <x:c r="D18" s="97" t="inlineStr">
        <x:is>
          <x:t xml:space="preserve">Supports left-to-right and right-to-left direction</x:t>
        </x:is>
      </x:c>
      <x:c r="E18" s="96" t="inlineStr">
        <x:is>
          <x:t xml:space="preserve">yes</x:t>
        </x:is>
      </x:c>
      <x:c r="F18" s="96" t="inlineStr">
        <x:is>
          <x:t xml:space="preserve">yes</x:t>
        </x:is>
      </x:c>
      <x:c r="G18" s="96" t="inlineStr">
        <x:is>
          <x:t xml:space="preserve">passed manual test</x:t>
        </x:is>
      </x:c>
      <x:c r="H18" s="93" t="inlineStr">
        <x:is>
          <x:t xml:space="preserve">covered</x:t>
        </x:is>
      </x:c>
      <x:c r="I18" s="97" t="inlineStr">
        <x:is>
          <x:t xml:space="preserve">SwipeableItem playground scenario.</x:t>
        </x:is>
      </x:c>
      <x:c r="J18" s="97" t="n"/>
      <x:c r="K18" s="98" t="n">
        <x:f>IF(AND(E18="yes",F18="yes",H18="covered"),1,IF(H18="partial",0.5,0))</x:f>
        <x:v>1</x:v>
      </x:c>
    </x:row>
    <x:row r="19" s="51" customFormat="1" ht="15" customHeight="1">
      <x:c r="A19" s="96" t="n">
        <x:v>11</x:v>
      </x:c>
      <x:c r="B19" s="97" t="inlineStr">
        <x:is>
          <x:t xml:space="preserve">Feature</x:t>
        </x:is>
      </x:c>
      <x:c r="C19" s="97" t="inlineStr">
        <x:is>
          <x:t xml:space="preserve">SwipeableItem</x:t>
        </x:is>
      </x:c>
      <x:c r="D19" s="97" t="inlineStr">
        <x:is>
          <x:t xml:space="preserve">Supports optional full-swipe actions</x:t>
        </x:is>
      </x:c>
      <x:c r="E19" s="96" t="inlineStr">
        <x:is>
          <x:t xml:space="preserve">yes</x:t>
        </x:is>
      </x:c>
      <x:c r="F19" s="96" t="inlineStr">
        <x:is>
          <x:t xml:space="preserve">yes</x:t>
        </x:is>
      </x:c>
      <x:c r="G19" s="96" t="inlineStr">
        <x:is>
          <x:t xml:space="preserve">passed manual test</x:t>
        </x:is>
      </x:c>
      <x:c r="H19" s="93" t="inlineStr">
        <x:is>
          <x:t xml:space="preserve">covered</x:t>
        </x:is>
      </x:c>
      <x:c r="I19" s="97" t="inlineStr">
        <x:is>
          <x:t xml:space="preserve">SwipeableItem playground scenario.</x:t>
        </x:is>
      </x:c>
      <x:c r="J19" s="97" t="n"/>
      <x:c r="K19" s="98" t="n">
        <x:f>IF(AND(E19="yes",F19="yes",H19="covered"),1,IF(H19="partial",0.5,0))</x:f>
        <x:v>1</x:v>
      </x:c>
    </x:row>
    <x:row r="20" s="51" customFormat="1" ht="15" customHeight="1">
      <x:c r="A20" s="96" t="n">
        <x:v>12</x:v>
      </x:c>
      <x:c r="B20" s="97" t="inlineStr">
        <x:is>
          <x:t xml:space="preserve">Feature</x:t>
        </x:is>
      </x:c>
      <x:c r="C20" s="97" t="inlineStr">
        <x:is>
          <x:t xml:space="preserve">SwipeableItem</x:t>
        </x:is>
      </x:c>
      <x:c r="D20" s="97" t="inlineStr">
        <x:is>
          <x:t xml:space="preserve">Supports `asChild` and `render` on every part</x:t>
        </x:is>
      </x:c>
      <x:c r="E20" s="96" t="inlineStr">
        <x:is>
          <x:t xml:space="preserve">yes</x:t>
        </x:is>
      </x:c>
      <x:c r="F20" s="96" t="inlineStr">
        <x:is>
          <x:t xml:space="preserve">yes</x:t>
        </x:is>
      </x:c>
      <x:c r="G20" s="96" t="inlineStr">
        <x:is>
          <x:t xml:space="preserve">passed manual test</x:t>
        </x:is>
      </x:c>
      <x:c r="H20" s="93" t="inlineStr">
        <x:is>
          <x:t xml:space="preserve">covered</x:t>
        </x:is>
      </x:c>
      <x:c r="I20" s="97" t="inlineStr">
        <x:is>
          <x:t xml:space="preserve">SwipeableItem playground scenario.</x:t>
        </x:is>
      </x:c>
      <x:c r="J20" s="97" t="n"/>
      <x:c r="K20" s="98" t="n">
        <x:f>IF(AND(E20="yes",F20="yes",H20="covered"),1,IF(H20="partial",0.5,0))</x:f>
        <x:v>1</x:v>
      </x:c>
    </x:row>
    <x:row r="21" s="51" customFormat="1" ht="15" customHeight="1">
      <x:c r="A21" s="96" t="n">
        <x:v>13</x:v>
      </x:c>
      <x:c r="B21" s="97" t="inlineStr">
        <x:is>
          <x:t xml:space="preserve">Anatomy</x:t>
        </x:is>
      </x:c>
      <x:c r="C21" s="97" t="inlineStr">
        <x:is>
          <x:t xml:space="preserve">Root</x:t>
        </x:is>
      </x:c>
      <x:c r="D21" s="97" t="inlineStr">
        <x:is>
          <x:t xml:space="preserve">renders correct part when expected</x:t>
        </x:is>
      </x:c>
      <x:c r="E21" s="96" t="inlineStr">
        <x:is>
          <x:t xml:space="preserve">yes</x:t>
        </x:is>
      </x:c>
      <x:c r="F21" s="96" t="inlineStr">
        <x:is>
          <x:t xml:space="preserve">yes</x:t>
        </x:is>
      </x:c>
      <x:c r="G21" s="96" t="inlineStr">
        <x:is>
          <x:t xml:space="preserve">passed manual test</x:t>
        </x:is>
      </x:c>
      <x:c r="H21" s="93" t="inlineStr">
        <x:is>
          <x:t xml:space="preserve">covered</x:t>
        </x:is>
      </x:c>
      <x:c r="I21" s="97" t="inlineStr">
        <x:is>
          <x:t xml:space="preserve">SwipeableItem playground scenario.</x:t>
        </x:is>
      </x:c>
      <x:c r="J21" s="97" t="n"/>
      <x:c r="K21" s="98" t="n">
        <x:f>IF(AND(E21="yes",F21="yes",H21="covered"),1,IF(H21="partial",0.5,0))</x:f>
        <x:v>1</x:v>
      </x:c>
    </x:row>
    <x:row r="22" s="51" customFormat="1" ht="15" customHeight="1">
      <x:c r="A22" s="96" t="n">
        <x:v>14</x:v>
      </x:c>
      <x:c r="B22" s="97" t="inlineStr">
        <x:is>
          <x:t xml:space="preserve">Anatomy</x:t>
        </x:is>
      </x:c>
      <x:c r="C22" s="97" t="inlineStr">
        <x:is>
          <x:t xml:space="preserve">Root</x:t>
        </x:is>
      </x:c>
      <x:c r="D22" s="97" t="inlineStr">
        <x:is>
          <x:t xml:space="preserve">appears in documented order</x:t>
        </x:is>
      </x:c>
      <x:c r="E22" s="96" t="inlineStr">
        <x:is>
          <x:t xml:space="preserve">yes</x:t>
        </x:is>
      </x:c>
      <x:c r="F22" s="96" t="inlineStr">
        <x:is>
          <x:t xml:space="preserve">yes</x:t>
        </x:is>
      </x:c>
      <x:c r="G22" s="96" t="inlineStr">
        <x:is>
          <x:t xml:space="preserve">passed manual test</x:t>
        </x:is>
      </x:c>
      <x:c r="H22" s="93" t="inlineStr">
        <x:is>
          <x:t xml:space="preserve">covered</x:t>
        </x:is>
      </x:c>
      <x:c r="I22" s="97" t="inlineStr">
        <x:is>
          <x:t xml:space="preserve">SwipeableItem playground scenario.</x:t>
        </x:is>
      </x:c>
      <x:c r="J22" s="97" t="n"/>
      <x:c r="K22" s="98" t="n">
        <x:f>IF(AND(E22="yes",F22="yes",H22="covered"),1,IF(H22="partial",0.5,0))</x:f>
        <x:v>1</x:v>
      </x:c>
    </x:row>
    <x:row r="23" s="51" customFormat="1" ht="30" customHeight="1">
      <x:c r="A23" s="96" t="n">
        <x:v>15</x:v>
      </x:c>
      <x:c r="B23" s="97" t="inlineStr">
        <x:is>
          <x:t xml:space="preserve">Identity</x:t>
        </x:is>
      </x:c>
      <x:c r="C23" s="97" t="inlineStr">
        <x:is>
          <x:t xml:space="preserve">Root</x:t>
        </x:is>
      </x:c>
      <x:c r="D23" s="97" t="inlineStr">
        <x:is>
          <x:t xml:space="preserve">default tag is visible in Anatomy/Inspector</x:t>
        </x:is>
      </x:c>
      <x:c r="E23" s="96" t="inlineStr">
        <x:is>
          <x:t xml:space="preserve">yes</x:t>
        </x:is>
      </x:c>
      <x:c r="F23" s="96" t="inlineStr">
        <x:is>
          <x:t xml:space="preserve">yes</x:t>
        </x:is>
      </x:c>
      <x:c r="G23" s="96" t="inlineStr">
        <x:is>
          <x:t xml:space="preserve">passed manual test</x:t>
        </x:is>
      </x:c>
      <x:c r="H23" s="93" t="inlineStr">
        <x:is>
          <x:t xml:space="preserve">covered</x:t>
        </x:is>
      </x:c>
      <x:c r="I23" s="97" t="inlineStr">
        <x:is>
          <x:t xml:space="preserve">SwipeableItem playground scenario.</x:t>
        </x:is>
      </x:c>
      <x:c r="J23" s="97" t="n"/>
      <x:c r="K23" s="98" t="n">
        <x:f>IF(AND(E23="yes",F23="yes",H23="covered"),1,IF(H23="partial",0.5,0))</x:f>
        <x:v>1</x:v>
      </x:c>
    </x:row>
    <x:row r="24" s="51" customFormat="1" ht="15" customHeight="1">
      <x:c r="A24" s="96" t="n">
        <x:v>16</x:v>
      </x:c>
      <x:c r="B24" s="97" t="inlineStr">
        <x:is>
          <x:t xml:space="preserve">Identity</x:t>
        </x:is>
      </x:c>
      <x:c r="C24" s="97" t="inlineStr">
        <x:is>
          <x:t xml:space="preserve">Root</x:t>
        </x:is>
      </x:c>
      <x:c r="D24" s="97" t="inlineStr">
        <x:is>
          <x:t xml:space="preserve">data-slot is present and correct</x:t>
        </x:is>
      </x:c>
      <x:c r="E24" s="96" t="inlineStr">
        <x:is>
          <x:t xml:space="preserve">yes</x:t>
        </x:is>
      </x:c>
      <x:c r="F24" s="96" t="inlineStr">
        <x:is>
          <x:t xml:space="preserve">yes</x:t>
        </x:is>
      </x:c>
      <x:c r="G24" s="96" t="inlineStr">
        <x:is>
          <x:t xml:space="preserve">passed manual test</x:t>
        </x:is>
      </x:c>
      <x:c r="H24" s="93" t="inlineStr">
        <x:is>
          <x:t xml:space="preserve">covered</x:t>
        </x:is>
      </x:c>
      <x:c r="I24" s="97" t="inlineStr">
        <x:is>
          <x:t xml:space="preserve">SwipeableItem playground scenario.</x:t>
        </x:is>
      </x:c>
      <x:c r="J24" s="97" t="n"/>
      <x:c r="K24" s="98" t="n">
        <x:f>IF(AND(E24="yes",F24="yes",H24="covered"),1,IF(H24="partial",0.5,0))</x:f>
        <x:v>1</x:v>
      </x:c>
    </x:row>
    <x:row r="25" s="51" customFormat="1" ht="15" customHeight="1">
      <x:c r="A25" s="96" t="n">
        <x:v>17</x:v>
      </x:c>
      <x:c r="B25" s="97" t="inlineStr">
        <x:is>
          <x:t xml:space="preserve">Props</x:t>
        </x:is>
      </x:c>
      <x:c r="C25" s="97" t="inlineStr">
        <x:is>
          <x:t xml:space="preserve">Root</x:t>
        </x:is>
      </x:c>
      <x:c r="D25" s="97" t="inlineStr">
        <x:is>
          <x:t xml:space="preserve">non-Atom native props pass through with data-prop-check marker</x:t>
        </x:is>
      </x:c>
      <x:c r="E25" s="96" t="inlineStr">
        <x:is>
          <x:t xml:space="preserve">yes</x:t>
        </x:is>
      </x:c>
      <x:c r="F25" s="96" t="inlineStr">
        <x:is>
          <x:t xml:space="preserve">yes</x:t>
        </x:is>
      </x:c>
      <x:c r="G25" s="96" t="inlineStr">
        <x:is>
          <x:t xml:space="preserve">passed manual test</x:t>
        </x:is>
      </x:c>
      <x:c r="H25" s="93" t="inlineStr">
        <x:is>
          <x:t xml:space="preserve">covered</x:t>
        </x:is>
      </x:c>
      <x:c r="I25" s="97" t="inlineStr">
        <x:is>
          <x:t xml:space="preserve">SwipeableItem playground scenario.</x:t>
        </x:is>
      </x:c>
      <x:c r="J25" s="97" t="n"/>
      <x:c r="K25" s="98" t="n">
        <x:f>IF(AND(E25="yes",F25="yes",H25="covered"),1,IF(H25="partial",0.5,0))</x:f>
        <x:v>1</x:v>
      </x:c>
    </x:row>
    <x:row r="26" s="51" customFormat="1" ht="15" customHeight="1">
      <x:c r="A26" s="96" t="n">
        <x:v>18</x:v>
      </x:c>
      <x:c r="B26" s="97" t="inlineStr">
        <x:is>
          <x:t xml:space="preserve">Refs</x:t>
        </x:is>
      </x:c>
      <x:c r="C26" s="97" t="inlineStr">
        <x:is>
          <x:t xml:space="preserve">Root</x:t>
        </x:is>
      </x:c>
      <x:c r="D26" s="97" t="inlineStr">
        <x:is>
          <x:t xml:space="preserve">consumer ref receives the rendered element</x:t>
        </x:is>
      </x:c>
      <x:c r="E26" s="96" t="inlineStr">
        <x:is>
          <x:t xml:space="preserve">yes</x:t>
        </x:is>
      </x:c>
      <x:c r="F26" s="96" t="inlineStr">
        <x:is>
          <x:t xml:space="preserve">yes</x:t>
        </x:is>
      </x:c>
      <x:c r="G26" s="96" t="inlineStr">
        <x:is>
          <x:t xml:space="preserve">passed manual test</x:t>
        </x:is>
      </x:c>
      <x:c r="H26" s="93" t="inlineStr">
        <x:is>
          <x:t xml:space="preserve">covered</x:t>
        </x:is>
      </x:c>
      <x:c r="I26" s="97" t="inlineStr">
        <x:is>
          <x:t xml:space="preserve">SwipeableItem playground scenario.</x:t>
        </x:is>
      </x:c>
      <x:c r="J26" s="97" t="n"/>
      <x:c r="K26" s="98" t="n">
        <x:f>IF(AND(E26="yes",F26="yes",H26="covered"),1,IF(H26="partial",0.5,0))</x:f>
        <x:v>1</x:v>
      </x:c>
    </x:row>
    <x:row r="27" s="51" customFormat="1" ht="15" customHeight="1">
      <x:c r="A27" s="96" t="n">
        <x:v>19</x:v>
      </x:c>
      <x:c r="B27" s="97" t="inlineStr">
        <x:is>
          <x:t xml:space="preserve">Composition</x:t>
        </x:is>
      </x:c>
      <x:c r="C27" s="97" t="inlineStr">
        <x:is>
          <x:t xml:space="preserve">Root</x:t>
        </x:is>
      </x:c>
      <x:c r="D27" s="97" t="inlineStr">
        <x:is>
          <x:t xml:space="preserve">asChild prop behavior</x:t>
        </x:is>
      </x:c>
      <x:c r="E27" s="96" t="inlineStr">
        <x:is>
          <x:t xml:space="preserve">yes</x:t>
        </x:is>
      </x:c>
      <x:c r="F27" s="96" t="inlineStr">
        <x:is>
          <x:t xml:space="preserve">yes</x:t>
        </x:is>
      </x:c>
      <x:c r="G27" s="96" t="inlineStr">
        <x:is>
          <x:t xml:space="preserve">passed manual test</x:t>
        </x:is>
      </x:c>
      <x:c r="H27" s="93" t="inlineStr">
        <x:is>
          <x:t xml:space="preserve">covered</x:t>
        </x:is>
      </x:c>
      <x:c r="I27" s="97" t="inlineStr">
        <x:is>
          <x:t xml:space="preserve">SwipeableItem playground scenario.</x:t>
        </x:is>
      </x:c>
      <x:c r="J27" s="97" t="n"/>
      <x:c r="K27" s="98" t="n">
        <x:f>IF(AND(E27="yes",F27="yes",H27="covered"),1,IF(H27="partial",0.5,0))</x:f>
        <x:v>1</x:v>
      </x:c>
    </x:row>
    <x:row r="28" s="51" customFormat="1" ht="15" customHeight="1">
      <x:c r="A28" s="96" t="n">
        <x:v>20</x:v>
      </x:c>
      <x:c r="B28" s="97" t="inlineStr">
        <x:is>
          <x:t xml:space="preserve">Composition</x:t>
        </x:is>
      </x:c>
      <x:c r="C28" s="97" t="inlineStr">
        <x:is>
          <x:t xml:space="preserve">Root</x:t>
        </x:is>
      </x:c>
      <x:c r="D28" s="97" t="inlineStr">
        <x:is>
          <x:t xml:space="preserve">render prop behavior</x:t>
        </x:is>
      </x:c>
      <x:c r="E28" s="96" t="inlineStr">
        <x:is>
          <x:t xml:space="preserve">yes</x:t>
        </x:is>
      </x:c>
      <x:c r="F28" s="96" t="inlineStr">
        <x:is>
          <x:t xml:space="preserve">yes</x:t>
        </x:is>
      </x:c>
      <x:c r="G28" s="96" t="inlineStr">
        <x:is>
          <x:t xml:space="preserve">passed manual test</x:t>
        </x:is>
      </x:c>
      <x:c r="H28" s="93" t="inlineStr">
        <x:is>
          <x:t xml:space="preserve">covered</x:t>
        </x:is>
      </x:c>
      <x:c r="I28" s="97" t="inlineStr">
        <x:is>
          <x:t xml:space="preserve">SwipeableItem playground scenario.</x:t>
        </x:is>
      </x:c>
      <x:c r="J28" s="97" t="n"/>
      <x:c r="K28" s="98" t="n">
        <x:f>IF(AND(E28="yes",F28="yes",H28="covered"),1,IF(H28="partial",0.5,0))</x:f>
        <x:v>1</x:v>
      </x:c>
    </x:row>
    <x:row r="29" s="51" customFormat="1" ht="15" customHeight="1">
      <x:c r="A29" s="96" t="n">
        <x:v>21</x:v>
      </x:c>
      <x:c r="B29" s="97" t="inlineStr">
        <x:is>
          <x:t xml:space="preserve">State</x:t>
        </x:is>
      </x:c>
      <x:c r="C29" s="97" t="inlineStr">
        <x:is>
          <x:t xml:space="preserve">Root</x:t>
        </x:is>
      </x:c>
      <x:c r="D29" s="97" t="inlineStr">
        <x:is>
          <x:t xml:space="preserve">openSide prop behavior</x:t>
        </x:is>
      </x:c>
      <x:c r="E29" s="96" t="inlineStr">
        <x:is>
          <x:t xml:space="preserve">yes</x:t>
        </x:is>
      </x:c>
      <x:c r="F29" s="96" t="inlineStr">
        <x:is>
          <x:t xml:space="preserve">yes</x:t>
        </x:is>
      </x:c>
      <x:c r="G29" s="96" t="inlineStr">
        <x:is>
          <x:t xml:space="preserve">passed manual test</x:t>
        </x:is>
      </x:c>
      <x:c r="H29" s="93" t="inlineStr">
        <x:is>
          <x:t xml:space="preserve">covered</x:t>
        </x:is>
      </x:c>
      <x:c r="I29" s="97" t="inlineStr">
        <x:is>
          <x:t xml:space="preserve">SwipeableItem playground scenario.</x:t>
        </x:is>
      </x:c>
      <x:c r="J29" s="97" t="n"/>
      <x:c r="K29" s="98" t="n">
        <x:f>IF(AND(E29="yes",F29="yes",H29="covered"),1,IF(H29="partial",0.5,0))</x:f>
        <x:v>1</x:v>
      </x:c>
    </x:row>
    <x:row r="30" s="51" customFormat="1" ht="15" customHeight="1">
      <x:c r="A30" s="96" t="n">
        <x:v>22</x:v>
      </x:c>
      <x:c r="B30" s="97" t="inlineStr">
        <x:is>
          <x:t xml:space="preserve">State</x:t>
        </x:is>
      </x:c>
      <x:c r="C30" s="97" t="inlineStr">
        <x:is>
          <x:t xml:space="preserve">Root</x:t>
        </x:is>
      </x:c>
      <x:c r="D30" s="97" t="inlineStr">
        <x:is>
          <x:t xml:space="preserve">defaultOpenSide prop behavior</x:t>
        </x:is>
      </x:c>
      <x:c r="E30" s="96" t="inlineStr">
        <x:is>
          <x:t xml:space="preserve">yes</x:t>
        </x:is>
      </x:c>
      <x:c r="F30" s="96" t="inlineStr">
        <x:is>
          <x:t xml:space="preserve">yes</x:t>
        </x:is>
      </x:c>
      <x:c r="G30" s="96" t="inlineStr">
        <x:is>
          <x:t xml:space="preserve">passed manual test</x:t>
        </x:is>
      </x:c>
      <x:c r="H30" s="93" t="inlineStr">
        <x:is>
          <x:t xml:space="preserve">covered</x:t>
        </x:is>
      </x:c>
      <x:c r="I30" s="97" t="inlineStr">
        <x:is>
          <x:t xml:space="preserve">SwipeableItem playground scenario.</x:t>
        </x:is>
      </x:c>
      <x:c r="J30" s="97" t="n"/>
      <x:c r="K30" s="98" t="n">
        <x:f>IF(AND(E30="yes",F30="yes",H30="covered"),1,IF(H30="partial",0.5,0))</x:f>
        <x:v>1</x:v>
      </x:c>
    </x:row>
    <x:row r="31" s="51" customFormat="1" ht="15" customHeight="1">
      <x:c r="A31" s="96" t="n">
        <x:v>23</x:v>
      </x:c>
      <x:c r="B31" s="97" t="inlineStr">
        <x:is>
          <x:t xml:space="preserve">State</x:t>
        </x:is>
      </x:c>
      <x:c r="C31" s="97" t="inlineStr">
        <x:is>
          <x:t xml:space="preserve">Root</x:t>
        </x:is>
      </x:c>
      <x:c r="D31" s="97" t="inlineStr">
        <x:is>
          <x:t xml:space="preserve">onOpenSideChange prop behavior</x:t>
        </x:is>
      </x:c>
      <x:c r="E31" s="96" t="inlineStr">
        <x:is>
          <x:t xml:space="preserve">yes</x:t>
        </x:is>
      </x:c>
      <x:c r="F31" s="96" t="inlineStr">
        <x:is>
          <x:t xml:space="preserve">yes</x:t>
        </x:is>
      </x:c>
      <x:c r="G31" s="96" t="inlineStr">
        <x:is>
          <x:t xml:space="preserve">passed manual test</x:t>
        </x:is>
      </x:c>
      <x:c r="H31" s="93" t="inlineStr">
        <x:is>
          <x:t xml:space="preserve">covered</x:t>
        </x:is>
      </x:c>
      <x:c r="I31" s="97" t="inlineStr">
        <x:is>
          <x:t xml:space="preserve">SwipeableItem playground scenario.</x:t>
        </x:is>
      </x:c>
      <x:c r="J31" s="97" t="n"/>
      <x:c r="K31" s="98" t="n">
        <x:f>IF(AND(E31="yes",F31="yes",H31="covered"),1,IF(H31="partial",0.5,0))</x:f>
        <x:v>1</x:v>
      </x:c>
    </x:row>
    <x:row r="32" s="51" customFormat="1" ht="15" customHeight="1">
      <x:c r="A32" s="96" t="n">
        <x:v>24</x:v>
      </x:c>
      <x:c r="B32" s="97" t="inlineStr">
        <x:is>
          <x:t xml:space="preserve">State</x:t>
        </x:is>
      </x:c>
      <x:c r="C32" s="97" t="inlineStr">
        <x:is>
          <x:t xml:space="preserve">Root</x:t>
        </x:is>
      </x:c>
      <x:c r="D32" s="97" t="inlineStr">
        <x:is>
          <x:t xml:space="preserve">onFullSwipe prop behavior</x:t>
        </x:is>
      </x:c>
      <x:c r="E32" s="96" t="inlineStr">
        <x:is>
          <x:t xml:space="preserve">yes</x:t>
        </x:is>
      </x:c>
      <x:c r="F32" s="96" t="inlineStr">
        <x:is>
          <x:t xml:space="preserve">yes</x:t>
        </x:is>
      </x:c>
      <x:c r="G32" s="96" t="inlineStr">
        <x:is>
          <x:t xml:space="preserve">passed manual test</x:t>
        </x:is>
      </x:c>
      <x:c r="H32" s="93" t="inlineStr">
        <x:is>
          <x:t xml:space="preserve">covered</x:t>
        </x:is>
      </x:c>
      <x:c r="I32" s="97" t="inlineStr">
        <x:is>
          <x:t xml:space="preserve">SwipeableItem playground scenario.</x:t>
        </x:is>
      </x:c>
      <x:c r="J32" s="97" t="n"/>
      <x:c r="K32" s="98" t="n">
        <x:f>IF(AND(E32="yes",F32="yes",H32="covered"),1,IF(H32="partial",0.5,0))</x:f>
        <x:v>1</x:v>
      </x:c>
    </x:row>
    <x:row r="33" s="51" customFormat="1" ht="15" customHeight="1">
      <x:c r="A33" s="96" t="n">
        <x:v>25</x:v>
      </x:c>
      <x:c r="B33" s="97" t="inlineStr">
        <x:is>
          <x:t xml:space="preserve">State</x:t>
        </x:is>
      </x:c>
      <x:c r="C33" s="97" t="inlineStr">
        <x:is>
          <x:t xml:space="preserve">Root</x:t>
        </x:is>
      </x:c>
      <x:c r="D33" s="97" t="inlineStr">
        <x:is>
          <x:t xml:space="preserve">disabled prop behavior</x:t>
        </x:is>
      </x:c>
      <x:c r="E33" s="96" t="inlineStr">
        <x:is>
          <x:t xml:space="preserve">yes</x:t>
        </x:is>
      </x:c>
      <x:c r="F33" s="96" t="inlineStr">
        <x:is>
          <x:t xml:space="preserve">yes</x:t>
        </x:is>
      </x:c>
      <x:c r="G33" s="96" t="inlineStr">
        <x:is>
          <x:t xml:space="preserve">passed manual test</x:t>
        </x:is>
      </x:c>
      <x:c r="H33" s="93" t="inlineStr">
        <x:is>
          <x:t xml:space="preserve">covered</x:t>
        </x:is>
      </x:c>
      <x:c r="I33" s="97" t="inlineStr">
        <x:is>
          <x:t xml:space="preserve">SwipeableItem playground scenario.</x:t>
        </x:is>
      </x:c>
      <x:c r="J33" s="97" t="n"/>
      <x:c r="K33" s="98" t="n">
        <x:f>IF(AND(E33="yes",F33="yes",H33="covered"),1,IF(H33="partial",0.5,0))</x:f>
        <x:v>1</x:v>
      </x:c>
    </x:row>
    <x:row r="34" s="51" customFormat="1" ht="15" customHeight="1">
      <x:c r="A34" s="96" t="n">
        <x:v>26</x:v>
      </x:c>
      <x:c r="B34" s="97" t="inlineStr">
        <x:is>
          <x:t xml:space="preserve">State</x:t>
        </x:is>
      </x:c>
      <x:c r="C34" s="97" t="inlineStr">
        <x:is>
          <x:t xml:space="preserve">Root</x:t>
        </x:is>
      </x:c>
      <x:c r="D34" s="97" t="inlineStr">
        <x:is>
          <x:t xml:space="preserve">readOnly prop behavior</x:t>
        </x:is>
      </x:c>
      <x:c r="E34" s="96" t="inlineStr">
        <x:is>
          <x:t xml:space="preserve">yes</x:t>
        </x:is>
      </x:c>
      <x:c r="F34" s="96" t="inlineStr">
        <x:is>
          <x:t xml:space="preserve">yes</x:t>
        </x:is>
      </x:c>
      <x:c r="G34" s="96" t="inlineStr">
        <x:is>
          <x:t xml:space="preserve">passed manual test</x:t>
        </x:is>
      </x:c>
      <x:c r="H34" s="93" t="inlineStr">
        <x:is>
          <x:t xml:space="preserve">covered</x:t>
        </x:is>
      </x:c>
      <x:c r="I34" s="97" t="inlineStr">
        <x:is>
          <x:t xml:space="preserve">SwipeableItem playground scenario.</x:t>
        </x:is>
      </x:c>
      <x:c r="J34" s="97" t="n"/>
      <x:c r="K34" s="98" t="n">
        <x:f>IF(AND(E34="yes",F34="yes",H34="covered"),1,IF(H34="partial",0.5,0))</x:f>
        <x:v>1</x:v>
      </x:c>
    </x:row>
    <x:row r="35" s="51" customFormat="1" ht="15" customHeight="1">
      <x:c r="A35" s="96" t="n">
        <x:v>27</x:v>
      </x:c>
      <x:c r="B35" s="97" t="inlineStr">
        <x:is>
          <x:t xml:space="preserve">Public API</x:t>
        </x:is>
      </x:c>
      <x:c r="C35" s="97" t="inlineStr">
        <x:is>
          <x:t xml:space="preserve">Root</x:t>
        </x:is>
      </x:c>
      <x:c r="D35" s="97" t="inlineStr">
        <x:is>
          <x:t xml:space="preserve">threshold prop behavior</x:t>
        </x:is>
      </x:c>
      <x:c r="E35" s="96" t="inlineStr">
        <x:is>
          <x:t xml:space="preserve">yes</x:t>
        </x:is>
      </x:c>
      <x:c r="F35" s="96" t="inlineStr">
        <x:is>
          <x:t xml:space="preserve">yes</x:t>
        </x:is>
      </x:c>
      <x:c r="G35" s="96" t="inlineStr">
        <x:is>
          <x:t xml:space="preserve">passed manual test</x:t>
        </x:is>
      </x:c>
      <x:c r="H35" s="93" t="inlineStr">
        <x:is>
          <x:t xml:space="preserve">covered</x:t>
        </x:is>
      </x:c>
      <x:c r="I35" s="97" t="inlineStr">
        <x:is>
          <x:t xml:space="preserve">SwipeableItem playground scenario.</x:t>
        </x:is>
      </x:c>
      <x:c r="J35" s="97" t="n"/>
      <x:c r="K35" s="98" t="n">
        <x:f>IF(AND(E35="yes",F35="yes",H35="covered"),1,IF(H35="partial",0.5,0))</x:f>
        <x:v>1</x:v>
      </x:c>
    </x:row>
    <x:row r="36" s="51" customFormat="1" ht="15" customHeight="1">
      <x:c r="A36" s="96" t="n">
        <x:v>28</x:v>
      </x:c>
      <x:c r="B36" s="97" t="inlineStr">
        <x:is>
          <x:t xml:space="preserve">Public API</x:t>
        </x:is>
      </x:c>
      <x:c r="C36" s="97" t="inlineStr">
        <x:is>
          <x:t xml:space="preserve">Root</x:t>
        </x:is>
      </x:c>
      <x:c r="D36" s="97" t="inlineStr">
        <x:is>
          <x:t xml:space="preserve">fullSwipeThreshold prop behavior</x:t>
        </x:is>
      </x:c>
      <x:c r="E36" s="96" t="inlineStr">
        <x:is>
          <x:t xml:space="preserve">yes</x:t>
        </x:is>
      </x:c>
      <x:c r="F36" s="96" t="inlineStr">
        <x:is>
          <x:t xml:space="preserve">yes</x:t>
        </x:is>
      </x:c>
      <x:c r="G36" s="96" t="inlineStr">
        <x:is>
          <x:t xml:space="preserve">passed manual test</x:t>
        </x:is>
      </x:c>
      <x:c r="H36" s="93" t="inlineStr">
        <x:is>
          <x:t xml:space="preserve">covered</x:t>
        </x:is>
      </x:c>
      <x:c r="I36" s="97" t="inlineStr">
        <x:is>
          <x:t xml:space="preserve">SwipeableItem playground scenario.</x:t>
        </x:is>
      </x:c>
      <x:c r="J36" s="97" t="n"/>
      <x:c r="K36" s="98" t="n">
        <x:f>IF(AND(E36="yes",F36="yes",H36="covered"),1,IF(H36="partial",0.5,0))</x:f>
        <x:v>1</x:v>
      </x:c>
    </x:row>
    <x:row r="37" s="51" customFormat="1" ht="15" customHeight="1">
      <x:c r="A37" s="96" t="n">
        <x:v>29</x:v>
      </x:c>
      <x:c r="B37" s="97" t="inlineStr">
        <x:is>
          <x:t xml:space="preserve">Public API</x:t>
        </x:is>
      </x:c>
      <x:c r="C37" s="97" t="inlineStr">
        <x:is>
          <x:t xml:space="preserve">Root</x:t>
        </x:is>
      </x:c>
      <x:c r="D37" s="97" t="inlineStr">
        <x:is>
          <x:t xml:space="preserve">dir prop behavior</x:t>
        </x:is>
      </x:c>
      <x:c r="E37" s="96" t="inlineStr">
        <x:is>
          <x:t xml:space="preserve">yes</x:t>
        </x:is>
      </x:c>
      <x:c r="F37" s="96" t="inlineStr">
        <x:is>
          <x:t xml:space="preserve">yes</x:t>
        </x:is>
      </x:c>
      <x:c r="G37" s="96" t="inlineStr">
        <x:is>
          <x:t xml:space="preserve">passed manual test</x:t>
        </x:is>
      </x:c>
      <x:c r="H37" s="93" t="inlineStr">
        <x:is>
          <x:t xml:space="preserve">covered</x:t>
        </x:is>
      </x:c>
      <x:c r="I37" s="97" t="inlineStr">
        <x:is>
          <x:t xml:space="preserve">SwipeableItem playground scenario.</x:t>
        </x:is>
      </x:c>
      <x:c r="J37" s="97" t="n"/>
      <x:c r="K37" s="98" t="n">
        <x:f>IF(AND(E37="yes",F37="yes",H37="covered"),1,IF(H37="partial",0.5,0))</x:f>
        <x:v>1</x:v>
      </x:c>
    </x:row>
    <x:row r="38" s="51" customFormat="1" ht="15" customHeight="1">
      <x:c r="A38" s="96" t="n">
        <x:v>30</x:v>
      </x:c>
      <x:c r="B38" s="97" t="inlineStr">
        <x:is>
          <x:t xml:space="preserve">Public API</x:t>
        </x:is>
      </x:c>
      <x:c r="C38" s="97" t="inlineStr">
        <x:is>
          <x:t xml:space="preserve">Root</x:t>
        </x:is>
      </x:c>
      <x:c r="D38" s="97" t="inlineStr">
        <x:is>
          <x:t xml:space="preserve">[data-slot] prop behavior</x:t>
        </x:is>
      </x:c>
      <x:c r="E38" s="96" t="inlineStr">
        <x:is>
          <x:t xml:space="preserve">yes</x:t>
        </x:is>
      </x:c>
      <x:c r="F38" s="96" t="inlineStr">
        <x:is>
          <x:t xml:space="preserve">yes</x:t>
        </x:is>
      </x:c>
      <x:c r="G38" s="96" t="inlineStr">
        <x:is>
          <x:t xml:space="preserve">passed manual test</x:t>
        </x:is>
      </x:c>
      <x:c r="H38" s="93" t="inlineStr">
        <x:is>
          <x:t xml:space="preserve">covered</x:t>
        </x:is>
      </x:c>
      <x:c r="I38" s="97" t="inlineStr">
        <x:is>
          <x:t xml:space="preserve">SwipeableItem playground scenario.</x:t>
        </x:is>
      </x:c>
      <x:c r="J38" s="97" t="n"/>
      <x:c r="K38" s="98" t="n">
        <x:f>IF(AND(E38="yes",F38="yes",H38="covered"),1,IF(H38="partial",0.5,0))</x:f>
        <x:v>1</x:v>
      </x:c>
    </x:row>
    <x:row r="39" s="51" customFormat="1" ht="15" customHeight="1">
      <x:c r="A39" s="96" t="n">
        <x:v>31</x:v>
      </x:c>
      <x:c r="B39" s="97" t="inlineStr">
        <x:is>
          <x:t xml:space="preserve">Public API</x:t>
        </x:is>
      </x:c>
      <x:c r="C39" s="97" t="inlineStr">
        <x:is>
          <x:t xml:space="preserve">Root</x:t>
        </x:is>
      </x:c>
      <x:c r="D39" s="97" t="inlineStr">
        <x:is>
          <x:t xml:space="preserve">[data-state] prop behavior</x:t>
        </x:is>
      </x:c>
      <x:c r="E39" s="96" t="inlineStr">
        <x:is>
          <x:t xml:space="preserve">yes</x:t>
        </x:is>
      </x:c>
      <x:c r="F39" s="96" t="inlineStr">
        <x:is>
          <x:t xml:space="preserve">yes</x:t>
        </x:is>
      </x:c>
      <x:c r="G39" s="96" t="inlineStr">
        <x:is>
          <x:t xml:space="preserve">passed manual test</x:t>
        </x:is>
      </x:c>
      <x:c r="H39" s="93" t="inlineStr">
        <x:is>
          <x:t xml:space="preserve">covered</x:t>
        </x:is>
      </x:c>
      <x:c r="I39" s="97" t="inlineStr">
        <x:is>
          <x:t xml:space="preserve">SwipeableItem playground scenario.</x:t>
        </x:is>
      </x:c>
      <x:c r="J39" s="97" t="n"/>
      <x:c r="K39" s="98" t="n">
        <x:f>IF(AND(E39="yes",F39="yes",H39="covered"),1,IF(H39="partial",0.5,0))</x:f>
        <x:v>1</x:v>
      </x:c>
    </x:row>
    <x:row r="40" s="51" customFormat="1" ht="15" customHeight="1">
      <x:c r="A40" s="96" t="n">
        <x:v>32</x:v>
      </x:c>
      <x:c r="B40" s="97" t="inlineStr">
        <x:is>
          <x:t xml:space="preserve">Positioning</x:t>
        </x:is>
      </x:c>
      <x:c r="C40" s="97" t="inlineStr">
        <x:is>
          <x:t xml:space="preserve">Root</x:t>
        </x:is>
      </x:c>
      <x:c r="D40" s="97" t="inlineStr">
        <x:is>
          <x:t xml:space="preserve">[data-side] prop behavior</x:t>
        </x:is>
      </x:c>
      <x:c r="E40" s="96" t="inlineStr">
        <x:is>
          <x:t xml:space="preserve">yes</x:t>
        </x:is>
      </x:c>
      <x:c r="F40" s="96" t="inlineStr">
        <x:is>
          <x:t xml:space="preserve">yes</x:t>
        </x:is>
      </x:c>
      <x:c r="G40" s="96" t="inlineStr">
        <x:is>
          <x:t xml:space="preserve">passed manual test</x:t>
        </x:is>
      </x:c>
      <x:c r="H40" s="93" t="inlineStr">
        <x:is>
          <x:t xml:space="preserve">covered</x:t>
        </x:is>
      </x:c>
      <x:c r="I40" s="97" t="inlineStr">
        <x:is>
          <x:t xml:space="preserve">SwipeableItem playground scenario.</x:t>
        </x:is>
      </x:c>
      <x:c r="J40" s="97" t="n"/>
      <x:c r="K40" s="98" t="n">
        <x:f>IF(AND(E40="yes",F40="yes",H40="covered"),1,IF(H40="partial",0.5,0))</x:f>
        <x:v>1</x:v>
      </x:c>
    </x:row>
    <x:row r="41" s="51" customFormat="1" ht="15" customHeight="1">
      <x:c r="A41" s="96" t="n">
        <x:v>33</x:v>
      </x:c>
      <x:c r="B41" s="97" t="inlineStr">
        <x:is>
          <x:t xml:space="preserve">Public API</x:t>
        </x:is>
      </x:c>
      <x:c r="C41" s="97" t="inlineStr">
        <x:is>
          <x:t xml:space="preserve">Root</x:t>
        </x:is>
      </x:c>
      <x:c r="D41" s="97" t="inlineStr">
        <x:is>
          <x:t xml:space="preserve">[data-dragging] prop behavior</x:t>
        </x:is>
      </x:c>
      <x:c r="E41" s="96" t="inlineStr">
        <x:is>
          <x:t xml:space="preserve">yes</x:t>
        </x:is>
      </x:c>
      <x:c r="F41" s="96" t="inlineStr">
        <x:is>
          <x:t xml:space="preserve">yes</x:t>
        </x:is>
      </x:c>
      <x:c r="G41" s="96" t="inlineStr">
        <x:is>
          <x:t xml:space="preserve">passed manual test</x:t>
        </x:is>
      </x:c>
      <x:c r="H41" s="93" t="inlineStr">
        <x:is>
          <x:t xml:space="preserve">covered</x:t>
        </x:is>
      </x:c>
      <x:c r="I41" s="97" t="inlineStr">
        <x:is>
          <x:t xml:space="preserve">SwipeableItem playground scenario.</x:t>
        </x:is>
      </x:c>
      <x:c r="J41" s="97" t="n"/>
      <x:c r="K41" s="98" t="n">
        <x:f>IF(AND(E41="yes",F41="yes",H41="covered"),1,IF(H41="partial",0.5,0))</x:f>
        <x:v>1</x:v>
      </x:c>
    </x:row>
    <x:row r="42" s="51" customFormat="1" ht="15" customHeight="1">
      <x:c r="A42" s="96" t="n">
        <x:v>34</x:v>
      </x:c>
      <x:c r="B42" s="97" t="inlineStr">
        <x:is>
          <x:t xml:space="preserve">State</x:t>
        </x:is>
      </x:c>
      <x:c r="C42" s="97" t="inlineStr">
        <x:is>
          <x:t xml:space="preserve">Root</x:t>
        </x:is>
      </x:c>
      <x:c r="D42" s="97" t="inlineStr">
        <x:is>
          <x:t xml:space="preserve">[data-disabled] prop behavior</x:t>
        </x:is>
      </x:c>
      <x:c r="E42" s="96" t="inlineStr">
        <x:is>
          <x:t xml:space="preserve">yes</x:t>
        </x:is>
      </x:c>
      <x:c r="F42" s="96" t="inlineStr">
        <x:is>
          <x:t xml:space="preserve">yes</x:t>
        </x:is>
      </x:c>
      <x:c r="G42" s="96" t="inlineStr">
        <x:is>
          <x:t xml:space="preserve">passed manual test</x:t>
        </x:is>
      </x:c>
      <x:c r="H42" s="93" t="inlineStr">
        <x:is>
          <x:t xml:space="preserve">covered</x:t>
        </x:is>
      </x:c>
      <x:c r="I42" s="97" t="inlineStr">
        <x:is>
          <x:t xml:space="preserve">SwipeableItem playground scenario.</x:t>
        </x:is>
      </x:c>
      <x:c r="J42" s="97" t="n"/>
      <x:c r="K42" s="98" t="n">
        <x:f>IF(AND(E42="yes",F42="yes",H42="covered"),1,IF(H42="partial",0.5,0))</x:f>
        <x:v>1</x:v>
      </x:c>
    </x:row>
    <x:row r="43" s="51" customFormat="1" ht="15" customHeight="1">
      <x:c r="A43" s="96" t="n">
        <x:v>35</x:v>
      </x:c>
      <x:c r="B43" s="97" t="inlineStr">
        <x:is>
          <x:t xml:space="preserve">State</x:t>
        </x:is>
      </x:c>
      <x:c r="C43" s="97" t="inlineStr">
        <x:is>
          <x:t xml:space="preserve">Root</x:t>
        </x:is>
      </x:c>
      <x:c r="D43" s="97" t="inlineStr">
        <x:is>
          <x:t xml:space="preserve">[data-readonly] prop behavior</x:t>
        </x:is>
      </x:c>
      <x:c r="E43" s="96" t="inlineStr">
        <x:is>
          <x:t xml:space="preserve">yes</x:t>
        </x:is>
      </x:c>
      <x:c r="F43" s="96" t="inlineStr">
        <x:is>
          <x:t xml:space="preserve">yes</x:t>
        </x:is>
      </x:c>
      <x:c r="G43" s="96" t="inlineStr">
        <x:is>
          <x:t xml:space="preserve">passed manual test</x:t>
        </x:is>
      </x:c>
      <x:c r="H43" s="93" t="inlineStr">
        <x:is>
          <x:t xml:space="preserve">covered</x:t>
        </x:is>
      </x:c>
      <x:c r="I43" s="97" t="inlineStr">
        <x:is>
          <x:t xml:space="preserve">SwipeableItem playground scenario.</x:t>
        </x:is>
      </x:c>
      <x:c r="J43" s="97" t="n"/>
      <x:c r="K43" s="98" t="n">
        <x:f>IF(AND(E43="yes",F43="yes",H43="covered"),1,IF(H43="partial",0.5,0))</x:f>
        <x:v>1</x:v>
      </x:c>
    </x:row>
    <x:row r="44" s="51" customFormat="1" ht="15" customHeight="1">
      <x:c r="A44" s="96" t="n">
        <x:v>36</x:v>
      </x:c>
      <x:c r="B44" s="97" t="inlineStr">
        <x:is>
          <x:t xml:space="preserve">Positioning</x:t>
        </x:is>
      </x:c>
      <x:c r="C44" s="97" t="inlineStr">
        <x:is>
          <x:t xml:space="preserve">Root</x:t>
        </x:is>
      </x:c>
      <x:c r="D44" s="97" t="inlineStr">
        <x:is>
          <x:t xml:space="preserve">--atom-swipeable-item-offset prop behavior</x:t>
        </x:is>
      </x:c>
      <x:c r="E44" s="96" t="inlineStr">
        <x:is>
          <x:t xml:space="preserve">yes</x:t>
        </x:is>
      </x:c>
      <x:c r="F44" s="96" t="inlineStr">
        <x:is>
          <x:t xml:space="preserve">yes</x:t>
        </x:is>
      </x:c>
      <x:c r="G44" s="96" t="inlineStr">
        <x:is>
          <x:t xml:space="preserve">passed manual test</x:t>
        </x:is>
      </x:c>
      <x:c r="H44" s="93" t="inlineStr">
        <x:is>
          <x:t xml:space="preserve">covered</x:t>
        </x:is>
      </x:c>
      <x:c r="I44" s="97" t="inlineStr">
        <x:is>
          <x:t xml:space="preserve">SwipeableItem playground scenario.</x:t>
        </x:is>
      </x:c>
      <x:c r="J44" s="97" t="n"/>
      <x:c r="K44" s="98" t="n">
        <x:f>IF(AND(E44="yes",F44="yes",H44="covered"),1,IF(H44="partial",0.5,0))</x:f>
        <x:v>1</x:v>
      </x:c>
    </x:row>
    <x:row r="45" s="51" customFormat="1" ht="15" customHeight="1">
      <x:c r="A45" s="96" t="n">
        <x:v>37</x:v>
      </x:c>
      <x:c r="B45" s="97" t="inlineStr">
        <x:is>
          <x:t xml:space="preserve">Public API</x:t>
        </x:is>
      </x:c>
      <x:c r="C45" s="97" t="inlineStr">
        <x:is>
          <x:t xml:space="preserve">Root</x:t>
        </x:is>
      </x:c>
      <x:c r="D45" s="97" t="inlineStr">
        <x:is>
          <x:t xml:space="preserve">--atom-swipeable-item-start-size prop behavior</x:t>
        </x:is>
      </x:c>
      <x:c r="E45" s="96" t="inlineStr">
        <x:is>
          <x:t xml:space="preserve">yes</x:t>
        </x:is>
      </x:c>
      <x:c r="F45" s="96" t="inlineStr">
        <x:is>
          <x:t xml:space="preserve">yes</x:t>
        </x:is>
      </x:c>
      <x:c r="G45" s="96" t="inlineStr">
        <x:is>
          <x:t xml:space="preserve">passed manual test</x:t>
        </x:is>
      </x:c>
      <x:c r="H45" s="93" t="inlineStr">
        <x:is>
          <x:t xml:space="preserve">covered</x:t>
        </x:is>
      </x:c>
      <x:c r="I45" s="97" t="inlineStr">
        <x:is>
          <x:t xml:space="preserve">SwipeableItem playground scenario.</x:t>
        </x:is>
      </x:c>
      <x:c r="J45" s="97" t="n"/>
      <x:c r="K45" s="98" t="n">
        <x:f>IF(AND(E45="yes",F45="yes",H45="covered"),1,IF(H45="partial",0.5,0))</x:f>
        <x:v>1</x:v>
      </x:c>
    </x:row>
    <x:row r="46" s="51" customFormat="1" ht="15" customHeight="1">
      <x:c r="A46" s="96" t="n">
        <x:v>38</x:v>
      </x:c>
      <x:c r="B46" s="97" t="inlineStr">
        <x:is>
          <x:t xml:space="preserve">Public API</x:t>
        </x:is>
      </x:c>
      <x:c r="C46" s="97" t="inlineStr">
        <x:is>
          <x:t xml:space="preserve">Root</x:t>
        </x:is>
      </x:c>
      <x:c r="D46" s="97" t="inlineStr">
        <x:is>
          <x:t xml:space="preserve">--atom-swipeable-item-end-size prop behavior</x:t>
        </x:is>
      </x:c>
      <x:c r="E46" s="96" t="inlineStr">
        <x:is>
          <x:t xml:space="preserve">yes</x:t>
        </x:is>
      </x:c>
      <x:c r="F46" s="96" t="inlineStr">
        <x:is>
          <x:t xml:space="preserve">yes</x:t>
        </x:is>
      </x:c>
      <x:c r="G46" s="96" t="inlineStr">
        <x:is>
          <x:t xml:space="preserve">passed manual test</x:t>
        </x:is>
      </x:c>
      <x:c r="H46" s="93" t="inlineStr">
        <x:is>
          <x:t xml:space="preserve">covered</x:t>
        </x:is>
      </x:c>
      <x:c r="I46" s="97" t="inlineStr">
        <x:is>
          <x:t xml:space="preserve">SwipeableItem playground scenario.</x:t>
        </x:is>
      </x:c>
      <x:c r="J46" s="97" t="n"/>
      <x:c r="K46" s="98" t="n">
        <x:f>IF(AND(E46="yes",F46="yes",H46="covered"),1,IF(H46="partial",0.5,0))</x:f>
        <x:v>1</x:v>
      </x:c>
    </x:row>
    <x:row r="47" s="51" customFormat="1" ht="15" customHeight="1">
      <x:c r="A47" s="96" t="n">
        <x:v>39</x:v>
      </x:c>
      <x:c r="B47" s="97" t="inlineStr">
        <x:is>
          <x:t xml:space="preserve">Anatomy</x:t>
        </x:is>
      </x:c>
      <x:c r="C47" s="97" t="inlineStr">
        <x:is>
          <x:t xml:space="preserve">Content</x:t>
        </x:is>
      </x:c>
      <x:c r="D47" s="97" t="inlineStr">
        <x:is>
          <x:t xml:space="preserve">renders correct part when expected</x:t>
        </x:is>
      </x:c>
      <x:c r="E47" s="96" t="inlineStr">
        <x:is>
          <x:t xml:space="preserve">yes</x:t>
        </x:is>
      </x:c>
      <x:c r="F47" s="96" t="inlineStr">
        <x:is>
          <x:t xml:space="preserve">yes</x:t>
        </x:is>
      </x:c>
      <x:c r="G47" s="96" t="inlineStr">
        <x:is>
          <x:t xml:space="preserve">passed manual test</x:t>
        </x:is>
      </x:c>
      <x:c r="H47" s="93" t="inlineStr">
        <x:is>
          <x:t xml:space="preserve">covered</x:t>
        </x:is>
      </x:c>
      <x:c r="I47" s="97" t="inlineStr">
        <x:is>
          <x:t xml:space="preserve">SwipeableItem playground scenario.</x:t>
        </x:is>
      </x:c>
      <x:c r="J47" s="97" t="n"/>
      <x:c r="K47" s="98" t="n">
        <x:f>IF(AND(E47="yes",F47="yes",H47="covered"),1,IF(H47="partial",0.5,0))</x:f>
        <x:v>1</x:v>
      </x:c>
    </x:row>
    <x:row r="48" s="51" customFormat="1" ht="15" customHeight="1">
      <x:c r="A48" s="96" t="n">
        <x:v>40</x:v>
      </x:c>
      <x:c r="B48" s="97" t="inlineStr">
        <x:is>
          <x:t xml:space="preserve">Anatomy</x:t>
        </x:is>
      </x:c>
      <x:c r="C48" s="97" t="inlineStr">
        <x:is>
          <x:t xml:space="preserve">Content</x:t>
        </x:is>
      </x:c>
      <x:c r="D48" s="97" t="inlineStr">
        <x:is>
          <x:t xml:space="preserve">appears in documented order</x:t>
        </x:is>
      </x:c>
      <x:c r="E48" s="96" t="inlineStr">
        <x:is>
          <x:t xml:space="preserve">yes</x:t>
        </x:is>
      </x:c>
      <x:c r="F48" s="96" t="inlineStr">
        <x:is>
          <x:t xml:space="preserve">yes</x:t>
        </x:is>
      </x:c>
      <x:c r="G48" s="96" t="inlineStr">
        <x:is>
          <x:t xml:space="preserve">passed manual test</x:t>
        </x:is>
      </x:c>
      <x:c r="H48" s="93" t="inlineStr">
        <x:is>
          <x:t xml:space="preserve">covered</x:t>
        </x:is>
      </x:c>
      <x:c r="I48" s="97" t="inlineStr">
        <x:is>
          <x:t xml:space="preserve">SwipeableItem playground scenario.</x:t>
        </x:is>
      </x:c>
      <x:c r="J48" s="97" t="n"/>
      <x:c r="K48" s="98" t="n">
        <x:f>IF(AND(E48="yes",F48="yes",H48="covered"),1,IF(H48="partial",0.5,0))</x:f>
        <x:v>1</x:v>
      </x:c>
    </x:row>
    <x:row r="49" s="51" customFormat="1" ht="30" customHeight="1">
      <x:c r="A49" s="96" t="n">
        <x:v>41</x:v>
      </x:c>
      <x:c r="B49" s="97" t="inlineStr">
        <x:is>
          <x:t xml:space="preserve">Identity</x:t>
        </x:is>
      </x:c>
      <x:c r="C49" s="97" t="inlineStr">
        <x:is>
          <x:t xml:space="preserve">Content</x:t>
        </x:is>
      </x:c>
      <x:c r="D49" s="97" t="inlineStr">
        <x:is>
          <x:t xml:space="preserve">default tag is visible in Anatomy/Inspector</x:t>
        </x:is>
      </x:c>
      <x:c r="E49" s="96" t="inlineStr">
        <x:is>
          <x:t xml:space="preserve">yes</x:t>
        </x:is>
      </x:c>
      <x:c r="F49" s="96" t="inlineStr">
        <x:is>
          <x:t xml:space="preserve">yes</x:t>
        </x:is>
      </x:c>
      <x:c r="G49" s="96" t="inlineStr">
        <x:is>
          <x:t xml:space="preserve">passed manual test</x:t>
        </x:is>
      </x:c>
      <x:c r="H49" s="93" t="inlineStr">
        <x:is>
          <x:t xml:space="preserve">covered</x:t>
        </x:is>
      </x:c>
      <x:c r="I49" s="97" t="inlineStr">
        <x:is>
          <x:t xml:space="preserve">SwipeableItem playground scenario.</x:t>
        </x:is>
      </x:c>
      <x:c r="J49" s="97" t="n"/>
      <x:c r="K49" s="98" t="n">
        <x:f>IF(AND(E49="yes",F49="yes",H49="covered"),1,IF(H49="partial",0.5,0))</x:f>
        <x:v>1</x:v>
      </x:c>
    </x:row>
    <x:row r="50" s="51" customFormat="1" ht="15" customHeight="1">
      <x:c r="A50" s="96" t="n">
        <x:v>42</x:v>
      </x:c>
      <x:c r="B50" s="97" t="inlineStr">
        <x:is>
          <x:t xml:space="preserve">Identity</x:t>
        </x:is>
      </x:c>
      <x:c r="C50" s="97" t="inlineStr">
        <x:is>
          <x:t xml:space="preserve">Content</x:t>
        </x:is>
      </x:c>
      <x:c r="D50" s="97" t="inlineStr">
        <x:is>
          <x:t xml:space="preserve">data-slot is present and correct</x:t>
        </x:is>
      </x:c>
      <x:c r="E50" s="96" t="inlineStr">
        <x:is>
          <x:t xml:space="preserve">yes</x:t>
        </x:is>
      </x:c>
      <x:c r="F50" s="96" t="inlineStr">
        <x:is>
          <x:t xml:space="preserve">yes</x:t>
        </x:is>
      </x:c>
      <x:c r="G50" s="96" t="inlineStr">
        <x:is>
          <x:t xml:space="preserve">passed manual test</x:t>
        </x:is>
      </x:c>
      <x:c r="H50" s="93" t="inlineStr">
        <x:is>
          <x:t xml:space="preserve">covered</x:t>
        </x:is>
      </x:c>
      <x:c r="I50" s="97" t="inlineStr">
        <x:is>
          <x:t xml:space="preserve">SwipeableItem playground scenario.</x:t>
        </x:is>
      </x:c>
      <x:c r="J50" s="97" t="n"/>
      <x:c r="K50" s="98" t="n">
        <x:f>IF(AND(E50="yes",F50="yes",H50="covered"),1,IF(H50="partial",0.5,0))</x:f>
        <x:v>1</x:v>
      </x:c>
    </x:row>
    <x:row r="51" s="51" customFormat="1" ht="15" customHeight="1">
      <x:c r="A51" s="96" t="n">
        <x:v>43</x:v>
      </x:c>
      <x:c r="B51" s="97" t="inlineStr">
        <x:is>
          <x:t xml:space="preserve">Props</x:t>
        </x:is>
      </x:c>
      <x:c r="C51" s="97" t="inlineStr">
        <x:is>
          <x:t xml:space="preserve">Content</x:t>
        </x:is>
      </x:c>
      <x:c r="D51" s="97" t="inlineStr">
        <x:is>
          <x:t xml:space="preserve">non-Atom native props pass through with data-prop-check marker</x:t>
        </x:is>
      </x:c>
      <x:c r="E51" s="96" t="inlineStr">
        <x:is>
          <x:t xml:space="preserve">yes</x:t>
        </x:is>
      </x:c>
      <x:c r="F51" s="96" t="inlineStr">
        <x:is>
          <x:t xml:space="preserve">yes</x:t>
        </x:is>
      </x:c>
      <x:c r="G51" s="96" t="inlineStr">
        <x:is>
          <x:t xml:space="preserve">passed manual test</x:t>
        </x:is>
      </x:c>
      <x:c r="H51" s="93" t="inlineStr">
        <x:is>
          <x:t xml:space="preserve">covered</x:t>
        </x:is>
      </x:c>
      <x:c r="I51" s="97" t="inlineStr">
        <x:is>
          <x:t xml:space="preserve">SwipeableItem playground scenario.</x:t>
        </x:is>
      </x:c>
      <x:c r="J51" s="97" t="n"/>
      <x:c r="K51" s="98" t="n">
        <x:f>IF(AND(E51="yes",F51="yes",H51="covered"),1,IF(H51="partial",0.5,0))</x:f>
        <x:v>1</x:v>
      </x:c>
    </x:row>
    <x:row r="52" s="51" customFormat="1" ht="15" customHeight="1">
      <x:c r="A52" s="96" t="n">
        <x:v>44</x:v>
      </x:c>
      <x:c r="B52" s="97" t="inlineStr">
        <x:is>
          <x:t xml:space="preserve">Refs</x:t>
        </x:is>
      </x:c>
      <x:c r="C52" s="97" t="inlineStr">
        <x:is>
          <x:t xml:space="preserve">Content</x:t>
        </x:is>
      </x:c>
      <x:c r="D52" s="97" t="inlineStr">
        <x:is>
          <x:t xml:space="preserve">consumer ref receives the rendered element</x:t>
        </x:is>
      </x:c>
      <x:c r="E52" s="96" t="inlineStr">
        <x:is>
          <x:t xml:space="preserve">yes</x:t>
        </x:is>
      </x:c>
      <x:c r="F52" s="96" t="inlineStr">
        <x:is>
          <x:t xml:space="preserve">yes</x:t>
        </x:is>
      </x:c>
      <x:c r="G52" s="96" t="inlineStr">
        <x:is>
          <x:t xml:space="preserve">passed manual test</x:t>
        </x:is>
      </x:c>
      <x:c r="H52" s="93" t="inlineStr">
        <x:is>
          <x:t xml:space="preserve">covered</x:t>
        </x:is>
      </x:c>
      <x:c r="I52" s="97" t="inlineStr">
        <x:is>
          <x:t xml:space="preserve">SwipeableItem playground scenario.</x:t>
        </x:is>
      </x:c>
      <x:c r="J52" s="97" t="n"/>
      <x:c r="K52" s="98" t="n">
        <x:f>IF(AND(E52="yes",F52="yes",H52="covered"),1,IF(H52="partial",0.5,0))</x:f>
        <x:v>1</x:v>
      </x:c>
    </x:row>
    <x:row r="53" s="51" customFormat="1" ht="15" customHeight="1">
      <x:c r="A53" s="96" t="n">
        <x:v>45</x:v>
      </x:c>
      <x:c r="B53" s="97" t="inlineStr">
        <x:is>
          <x:t xml:space="preserve">Composition</x:t>
        </x:is>
      </x:c>
      <x:c r="C53" s="97" t="inlineStr">
        <x:is>
          <x:t xml:space="preserve">Content</x:t>
        </x:is>
      </x:c>
      <x:c r="D53" s="97" t="inlineStr">
        <x:is>
          <x:t xml:space="preserve">asChild prop behavior</x:t>
        </x:is>
      </x:c>
      <x:c r="E53" s="96" t="inlineStr">
        <x:is>
          <x:t xml:space="preserve">yes</x:t>
        </x:is>
      </x:c>
      <x:c r="F53" s="96" t="inlineStr">
        <x:is>
          <x:t xml:space="preserve">yes</x:t>
        </x:is>
      </x:c>
      <x:c r="G53" s="96" t="inlineStr">
        <x:is>
          <x:t xml:space="preserve">passed manual test</x:t>
        </x:is>
      </x:c>
      <x:c r="H53" s="93" t="inlineStr">
        <x:is>
          <x:t xml:space="preserve">covered</x:t>
        </x:is>
      </x:c>
      <x:c r="I53" s="97" t="inlineStr">
        <x:is>
          <x:t xml:space="preserve">SwipeableItem playground scenario.</x:t>
        </x:is>
      </x:c>
      <x:c r="J53" s="97" t="n"/>
      <x:c r="K53" s="98" t="n">
        <x:f>IF(AND(E53="yes",F53="yes",H53="covered"),1,IF(H53="partial",0.5,0))</x:f>
        <x:v>1</x:v>
      </x:c>
    </x:row>
    <x:row r="54" s="51" customFormat="1" ht="15" customHeight="1">
      <x:c r="A54" s="96" t="n">
        <x:v>46</x:v>
      </x:c>
      <x:c r="B54" s="97" t="inlineStr">
        <x:is>
          <x:t xml:space="preserve">Composition</x:t>
        </x:is>
      </x:c>
      <x:c r="C54" s="97" t="inlineStr">
        <x:is>
          <x:t xml:space="preserve">Content</x:t>
        </x:is>
      </x:c>
      <x:c r="D54" s="97" t="inlineStr">
        <x:is>
          <x:t xml:space="preserve">render prop behavior</x:t>
        </x:is>
      </x:c>
      <x:c r="E54" s="96" t="inlineStr">
        <x:is>
          <x:t xml:space="preserve">yes</x:t>
        </x:is>
      </x:c>
      <x:c r="F54" s="96" t="inlineStr">
        <x:is>
          <x:t xml:space="preserve">yes</x:t>
        </x:is>
      </x:c>
      <x:c r="G54" s="96" t="inlineStr">
        <x:is>
          <x:t xml:space="preserve">passed manual test</x:t>
        </x:is>
      </x:c>
      <x:c r="H54" s="93" t="inlineStr">
        <x:is>
          <x:t xml:space="preserve">covered</x:t>
        </x:is>
      </x:c>
      <x:c r="I54" s="97" t="inlineStr">
        <x:is>
          <x:t xml:space="preserve">SwipeableItem playground scenario.</x:t>
        </x:is>
      </x:c>
      <x:c r="J54" s="97" t="n"/>
      <x:c r="K54" s="98" t="n">
        <x:f>IF(AND(E54="yes",F54="yes",H54="covered"),1,IF(H54="partial",0.5,0))</x:f>
        <x:v>1</x:v>
      </x:c>
    </x:row>
    <x:row r="55" s="51" customFormat="1" ht="15" customHeight="1">
      <x:c r="A55" s="96" t="n">
        <x:v>47</x:v>
      </x:c>
      <x:c r="B55" s="97" t="inlineStr">
        <x:is>
          <x:t xml:space="preserve">Public API</x:t>
        </x:is>
      </x:c>
      <x:c r="C55" s="97" t="inlineStr">
        <x:is>
          <x:t xml:space="preserve">Content</x:t>
        </x:is>
      </x:c>
      <x:c r="D55" s="97" t="inlineStr">
        <x:is>
          <x:t xml:space="preserve">tabIndex prop behavior</x:t>
        </x:is>
      </x:c>
      <x:c r="E55" s="96" t="inlineStr">
        <x:is>
          <x:t xml:space="preserve">yes</x:t>
        </x:is>
      </x:c>
      <x:c r="F55" s="96" t="inlineStr">
        <x:is>
          <x:t xml:space="preserve">yes</x:t>
        </x:is>
      </x:c>
      <x:c r="G55" s="96" t="inlineStr">
        <x:is>
          <x:t xml:space="preserve">passed manual test</x:t>
        </x:is>
      </x:c>
      <x:c r="H55" s="93" t="inlineStr">
        <x:is>
          <x:t xml:space="preserve">covered</x:t>
        </x:is>
      </x:c>
      <x:c r="I55" s="97" t="inlineStr">
        <x:is>
          <x:t xml:space="preserve">SwipeableItem playground scenario.</x:t>
        </x:is>
      </x:c>
      <x:c r="J55" s="97" t="n"/>
      <x:c r="K55" s="98" t="n">
        <x:f>IF(AND(E55="yes",F55="yes",H55="covered"),1,IF(H55="partial",0.5,0))</x:f>
        <x:v>1</x:v>
      </x:c>
    </x:row>
    <x:row r="56" s="51" customFormat="1" ht="15" customHeight="1">
      <x:c r="A56" s="96" t="n">
        <x:v>48</x:v>
      </x:c>
      <x:c r="B56" s="97" t="inlineStr">
        <x:is>
          <x:t xml:space="preserve">Public API</x:t>
        </x:is>
      </x:c>
      <x:c r="C56" s="97" t="inlineStr">
        <x:is>
          <x:t xml:space="preserve">Content</x:t>
        </x:is>
      </x:c>
      <x:c r="D56" s="97" t="inlineStr">
        <x:is>
          <x:t xml:space="preserve">[data-slot] prop behavior</x:t>
        </x:is>
      </x:c>
      <x:c r="E56" s="96" t="inlineStr">
        <x:is>
          <x:t xml:space="preserve">yes</x:t>
        </x:is>
      </x:c>
      <x:c r="F56" s="96" t="inlineStr">
        <x:is>
          <x:t xml:space="preserve">yes</x:t>
        </x:is>
      </x:c>
      <x:c r="G56" s="96" t="inlineStr">
        <x:is>
          <x:t xml:space="preserve">passed manual test</x:t>
        </x:is>
      </x:c>
      <x:c r="H56" s="93" t="inlineStr">
        <x:is>
          <x:t xml:space="preserve">covered</x:t>
        </x:is>
      </x:c>
      <x:c r="I56" s="97" t="inlineStr">
        <x:is>
          <x:t xml:space="preserve">SwipeableItem playground scenario.</x:t>
        </x:is>
      </x:c>
      <x:c r="J56" s="97" t="n"/>
      <x:c r="K56" s="98" t="n">
        <x:f>IF(AND(E56="yes",F56="yes",H56="covered"),1,IF(H56="partial",0.5,0))</x:f>
        <x:v>1</x:v>
      </x:c>
    </x:row>
    <x:row r="57" s="51" customFormat="1" ht="15" customHeight="1">
      <x:c r="A57" s="96" t="n">
        <x:v>49</x:v>
      </x:c>
      <x:c r="B57" s="97" t="inlineStr">
        <x:is>
          <x:t xml:space="preserve">Public API</x:t>
        </x:is>
      </x:c>
      <x:c r="C57" s="97" t="inlineStr">
        <x:is>
          <x:t xml:space="preserve">Content</x:t>
        </x:is>
      </x:c>
      <x:c r="D57" s="97" t="inlineStr">
        <x:is>
          <x:t xml:space="preserve">[data-state] prop behavior</x:t>
        </x:is>
      </x:c>
      <x:c r="E57" s="96" t="inlineStr">
        <x:is>
          <x:t xml:space="preserve">yes</x:t>
        </x:is>
      </x:c>
      <x:c r="F57" s="96" t="inlineStr">
        <x:is>
          <x:t xml:space="preserve">yes</x:t>
        </x:is>
      </x:c>
      <x:c r="G57" s="96" t="inlineStr">
        <x:is>
          <x:t xml:space="preserve">passed manual test</x:t>
        </x:is>
      </x:c>
      <x:c r="H57" s="93" t="inlineStr">
        <x:is>
          <x:t xml:space="preserve">covered</x:t>
        </x:is>
      </x:c>
      <x:c r="I57" s="97" t="inlineStr">
        <x:is>
          <x:t xml:space="preserve">SwipeableItem playground scenario.</x:t>
        </x:is>
      </x:c>
      <x:c r="J57" s="97" t="n"/>
      <x:c r="K57" s="98" t="n">
        <x:f>IF(AND(E57="yes",F57="yes",H57="covered"),1,IF(H57="partial",0.5,0))</x:f>
        <x:v>1</x:v>
      </x:c>
    </x:row>
    <x:row r="58" s="51" customFormat="1" ht="15" customHeight="1">
      <x:c r="A58" s="96" t="n">
        <x:v>50</x:v>
      </x:c>
      <x:c r="B58" s="97" t="inlineStr">
        <x:is>
          <x:t xml:space="preserve">Positioning</x:t>
        </x:is>
      </x:c>
      <x:c r="C58" s="97" t="inlineStr">
        <x:is>
          <x:t xml:space="preserve">Content</x:t>
        </x:is>
      </x:c>
      <x:c r="D58" s="97" t="inlineStr">
        <x:is>
          <x:t xml:space="preserve">[data-side] prop behavior</x:t>
        </x:is>
      </x:c>
      <x:c r="E58" s="96" t="inlineStr">
        <x:is>
          <x:t xml:space="preserve">yes</x:t>
        </x:is>
      </x:c>
      <x:c r="F58" s="96" t="inlineStr">
        <x:is>
          <x:t xml:space="preserve">yes</x:t>
        </x:is>
      </x:c>
      <x:c r="G58" s="96" t="inlineStr">
        <x:is>
          <x:t xml:space="preserve">passed manual test</x:t>
        </x:is>
      </x:c>
      <x:c r="H58" s="93" t="inlineStr">
        <x:is>
          <x:t xml:space="preserve">covered</x:t>
        </x:is>
      </x:c>
      <x:c r="I58" s="97" t="inlineStr">
        <x:is>
          <x:t xml:space="preserve">SwipeableItem playground scenario.</x:t>
        </x:is>
      </x:c>
      <x:c r="J58" s="97" t="n"/>
      <x:c r="K58" s="98" t="n">
        <x:f>IF(AND(E58="yes",F58="yes",H58="covered"),1,IF(H58="partial",0.5,0))</x:f>
        <x:v>1</x:v>
      </x:c>
    </x:row>
    <x:row r="59" s="51" customFormat="1" ht="15" customHeight="1">
      <x:c r="A59" s="96" t="n">
        <x:v>51</x:v>
      </x:c>
      <x:c r="B59" s="97" t="inlineStr">
        <x:is>
          <x:t xml:space="preserve">Public API</x:t>
        </x:is>
      </x:c>
      <x:c r="C59" s="97" t="inlineStr">
        <x:is>
          <x:t xml:space="preserve">Content</x:t>
        </x:is>
      </x:c>
      <x:c r="D59" s="97" t="inlineStr">
        <x:is>
          <x:t xml:space="preserve">[data-dragging] prop behavior</x:t>
        </x:is>
      </x:c>
      <x:c r="E59" s="96" t="inlineStr">
        <x:is>
          <x:t xml:space="preserve">yes</x:t>
        </x:is>
      </x:c>
      <x:c r="F59" s="96" t="inlineStr">
        <x:is>
          <x:t xml:space="preserve">yes</x:t>
        </x:is>
      </x:c>
      <x:c r="G59" s="96" t="inlineStr">
        <x:is>
          <x:t xml:space="preserve">passed manual test</x:t>
        </x:is>
      </x:c>
      <x:c r="H59" s="93" t="inlineStr">
        <x:is>
          <x:t xml:space="preserve">covered</x:t>
        </x:is>
      </x:c>
      <x:c r="I59" s="97" t="inlineStr">
        <x:is>
          <x:t xml:space="preserve">SwipeableItem playground scenario.</x:t>
        </x:is>
      </x:c>
      <x:c r="J59" s="97" t="n"/>
      <x:c r="K59" s="98" t="n">
        <x:f>IF(AND(E59="yes",F59="yes",H59="covered"),1,IF(H59="partial",0.5,0))</x:f>
        <x:v>1</x:v>
      </x:c>
    </x:row>
    <x:row r="60" s="51" customFormat="1" ht="15" customHeight="1">
      <x:c r="A60" s="96" t="n">
        <x:v>52</x:v>
      </x:c>
      <x:c r="B60" s="97" t="inlineStr">
        <x:is>
          <x:t xml:space="preserve">State</x:t>
        </x:is>
      </x:c>
      <x:c r="C60" s="97" t="inlineStr">
        <x:is>
          <x:t xml:space="preserve">Content</x:t>
        </x:is>
      </x:c>
      <x:c r="D60" s="97" t="inlineStr">
        <x:is>
          <x:t xml:space="preserve">[data-disabled] prop behavior</x:t>
        </x:is>
      </x:c>
      <x:c r="E60" s="96" t="inlineStr">
        <x:is>
          <x:t xml:space="preserve">yes</x:t>
        </x:is>
      </x:c>
      <x:c r="F60" s="96" t="inlineStr">
        <x:is>
          <x:t xml:space="preserve">yes</x:t>
        </x:is>
      </x:c>
      <x:c r="G60" s="96" t="inlineStr">
        <x:is>
          <x:t xml:space="preserve">passed manual test</x:t>
        </x:is>
      </x:c>
      <x:c r="H60" s="93" t="inlineStr">
        <x:is>
          <x:t xml:space="preserve">covered</x:t>
        </x:is>
      </x:c>
      <x:c r="I60" s="97" t="inlineStr">
        <x:is>
          <x:t xml:space="preserve">SwipeableItem playground scenario.</x:t>
        </x:is>
      </x:c>
      <x:c r="J60" s="97" t="n"/>
      <x:c r="K60" s="98" t="n">
        <x:f>IF(AND(E60="yes",F60="yes",H60="covered"),1,IF(H60="partial",0.5,0))</x:f>
        <x:v>1</x:v>
      </x:c>
    </x:row>
    <x:row r="61" s="51" customFormat="1" ht="15" customHeight="1">
      <x:c r="A61" s="96" t="n">
        <x:v>53</x:v>
      </x:c>
      <x:c r="B61" s="97" t="inlineStr">
        <x:is>
          <x:t xml:space="preserve">State</x:t>
        </x:is>
      </x:c>
      <x:c r="C61" s="97" t="inlineStr">
        <x:is>
          <x:t xml:space="preserve">Content</x:t>
        </x:is>
      </x:c>
      <x:c r="D61" s="97" t="inlineStr">
        <x:is>
          <x:t xml:space="preserve">[data-readonly] prop behavior</x:t>
        </x:is>
      </x:c>
      <x:c r="E61" s="96" t="inlineStr">
        <x:is>
          <x:t xml:space="preserve">yes</x:t>
        </x:is>
      </x:c>
      <x:c r="F61" s="96" t="inlineStr">
        <x:is>
          <x:t xml:space="preserve">yes</x:t>
        </x:is>
      </x:c>
      <x:c r="G61" s="96" t="inlineStr">
        <x:is>
          <x:t xml:space="preserve">passed manual test</x:t>
        </x:is>
      </x:c>
      <x:c r="H61" s="93" t="inlineStr">
        <x:is>
          <x:t xml:space="preserve">covered</x:t>
        </x:is>
      </x:c>
      <x:c r="I61" s="97" t="inlineStr">
        <x:is>
          <x:t xml:space="preserve">SwipeableItem playground scenario.</x:t>
        </x:is>
      </x:c>
      <x:c r="J61" s="97" t="n"/>
      <x:c r="K61" s="98" t="n">
        <x:f>IF(AND(E61="yes",F61="yes",H61="covered"),1,IF(H61="partial",0.5,0))</x:f>
        <x:v>1</x:v>
      </x:c>
    </x:row>
    <x:row r="62" s="51" customFormat="1" ht="15" customHeight="1">
      <x:c r="A62" s="96" t="n">
        <x:v>54</x:v>
      </x:c>
      <x:c r="B62" s="97" t="inlineStr">
        <x:is>
          <x:t xml:space="preserve">Anatomy</x:t>
        </x:is>
      </x:c>
      <x:c r="C62" s="97" t="inlineStr">
        <x:is>
          <x:t xml:space="preserve">Actions</x:t>
        </x:is>
      </x:c>
      <x:c r="D62" s="97" t="inlineStr">
        <x:is>
          <x:t xml:space="preserve">renders correct part when expected</x:t>
        </x:is>
      </x:c>
      <x:c r="E62" s="96" t="inlineStr">
        <x:is>
          <x:t xml:space="preserve">yes</x:t>
        </x:is>
      </x:c>
      <x:c r="F62" s="96" t="inlineStr">
        <x:is>
          <x:t xml:space="preserve">yes</x:t>
        </x:is>
      </x:c>
      <x:c r="G62" s="96" t="inlineStr">
        <x:is>
          <x:t xml:space="preserve">passed manual test</x:t>
        </x:is>
      </x:c>
      <x:c r="H62" s="93" t="inlineStr">
        <x:is>
          <x:t xml:space="preserve">covered</x:t>
        </x:is>
      </x:c>
      <x:c r="I62" s="97" t="inlineStr">
        <x:is>
          <x:t xml:space="preserve">SwipeableItem playground scenario.</x:t>
        </x:is>
      </x:c>
      <x:c r="J62" s="97" t="n"/>
      <x:c r="K62" s="98" t="n">
        <x:f>IF(AND(E62="yes",F62="yes",H62="covered"),1,IF(H62="partial",0.5,0))</x:f>
        <x:v>1</x:v>
      </x:c>
    </x:row>
    <x:row r="63" s="51" customFormat="1" ht="15" customHeight="1">
      <x:c r="A63" s="96" t="n">
        <x:v>55</x:v>
      </x:c>
      <x:c r="B63" s="97" t="inlineStr">
        <x:is>
          <x:t xml:space="preserve">Anatomy</x:t>
        </x:is>
      </x:c>
      <x:c r="C63" s="97" t="inlineStr">
        <x:is>
          <x:t xml:space="preserve">Actions</x:t>
        </x:is>
      </x:c>
      <x:c r="D63" s="97" t="inlineStr">
        <x:is>
          <x:t xml:space="preserve">appears in documented order</x:t>
        </x:is>
      </x:c>
      <x:c r="E63" s="96" t="inlineStr">
        <x:is>
          <x:t xml:space="preserve">yes</x:t>
        </x:is>
      </x:c>
      <x:c r="F63" s="96" t="inlineStr">
        <x:is>
          <x:t xml:space="preserve">yes</x:t>
        </x:is>
      </x:c>
      <x:c r="G63" s="96" t="inlineStr">
        <x:is>
          <x:t xml:space="preserve">passed manual test</x:t>
        </x:is>
      </x:c>
      <x:c r="H63" s="93" t="inlineStr">
        <x:is>
          <x:t xml:space="preserve">covered</x:t>
        </x:is>
      </x:c>
      <x:c r="I63" s="97" t="inlineStr">
        <x:is>
          <x:t xml:space="preserve">SwipeableItem playground scenario.</x:t>
        </x:is>
      </x:c>
      <x:c r="J63" s="97" t="n"/>
      <x:c r="K63" s="98" t="n">
        <x:f>IF(AND(E63="yes",F63="yes",H63="covered"),1,IF(H63="partial",0.5,0))</x:f>
        <x:v>1</x:v>
      </x:c>
    </x:row>
    <x:row r="64" s="51" customFormat="1" ht="30" customHeight="1">
      <x:c r="A64" s="96" t="n">
        <x:v>56</x:v>
      </x:c>
      <x:c r="B64" s="97" t="inlineStr">
        <x:is>
          <x:t xml:space="preserve">Identity</x:t>
        </x:is>
      </x:c>
      <x:c r="C64" s="97" t="inlineStr">
        <x:is>
          <x:t xml:space="preserve">Actions</x:t>
        </x:is>
      </x:c>
      <x:c r="D64" s="97" t="inlineStr">
        <x:is>
          <x:t xml:space="preserve">default tag is visible in Anatomy/Inspector</x:t>
        </x:is>
      </x:c>
      <x:c r="E64" s="96" t="inlineStr">
        <x:is>
          <x:t xml:space="preserve">yes</x:t>
        </x:is>
      </x:c>
      <x:c r="F64" s="96" t="inlineStr">
        <x:is>
          <x:t xml:space="preserve">yes</x:t>
        </x:is>
      </x:c>
      <x:c r="G64" s="96" t="inlineStr">
        <x:is>
          <x:t xml:space="preserve">passed manual test</x:t>
        </x:is>
      </x:c>
      <x:c r="H64" s="93" t="inlineStr">
        <x:is>
          <x:t xml:space="preserve">covered</x:t>
        </x:is>
      </x:c>
      <x:c r="I64" s="97" t="inlineStr">
        <x:is>
          <x:t xml:space="preserve">SwipeableItem playground scenario.</x:t>
        </x:is>
      </x:c>
      <x:c r="J64" s="97" t="n"/>
      <x:c r="K64" s="98" t="n">
        <x:f>IF(AND(E64="yes",F64="yes",H64="covered"),1,IF(H64="partial",0.5,0))</x:f>
        <x:v>1</x:v>
      </x:c>
    </x:row>
    <x:row r="65" s="51" customFormat="1" ht="15" customHeight="1">
      <x:c r="A65" s="96" t="n">
        <x:v>57</x:v>
      </x:c>
      <x:c r="B65" s="97" t="inlineStr">
        <x:is>
          <x:t xml:space="preserve">Identity</x:t>
        </x:is>
      </x:c>
      <x:c r="C65" s="97" t="inlineStr">
        <x:is>
          <x:t xml:space="preserve">Actions</x:t>
        </x:is>
      </x:c>
      <x:c r="D65" s="97" t="inlineStr">
        <x:is>
          <x:t xml:space="preserve">data-slot is present and correct</x:t>
        </x:is>
      </x:c>
      <x:c r="E65" s="96" t="inlineStr">
        <x:is>
          <x:t xml:space="preserve">yes</x:t>
        </x:is>
      </x:c>
      <x:c r="F65" s="96" t="inlineStr">
        <x:is>
          <x:t xml:space="preserve">yes</x:t>
        </x:is>
      </x:c>
      <x:c r="G65" s="96" t="inlineStr">
        <x:is>
          <x:t xml:space="preserve">passed manual test</x:t>
        </x:is>
      </x:c>
      <x:c r="H65" s="93" t="inlineStr">
        <x:is>
          <x:t xml:space="preserve">covered</x:t>
        </x:is>
      </x:c>
      <x:c r="I65" s="97" t="inlineStr">
        <x:is>
          <x:t xml:space="preserve">SwipeableItem playground scenario.</x:t>
        </x:is>
      </x:c>
      <x:c r="J65" s="97" t="n"/>
      <x:c r="K65" s="98" t="n">
        <x:f>IF(AND(E65="yes",F65="yes",H65="covered"),1,IF(H65="partial",0.5,0))</x:f>
        <x:v>1</x:v>
      </x:c>
    </x:row>
    <x:row r="66" s="51" customFormat="1" ht="15" customHeight="1">
      <x:c r="A66" s="96" t="n">
        <x:v>58</x:v>
      </x:c>
      <x:c r="B66" s="97" t="inlineStr">
        <x:is>
          <x:t xml:space="preserve">Props</x:t>
        </x:is>
      </x:c>
      <x:c r="C66" s="97" t="inlineStr">
        <x:is>
          <x:t xml:space="preserve">Actions</x:t>
        </x:is>
      </x:c>
      <x:c r="D66" s="97" t="inlineStr">
        <x:is>
          <x:t xml:space="preserve">non-Atom native props pass through with data-prop-check marker</x:t>
        </x:is>
      </x:c>
      <x:c r="E66" s="96" t="inlineStr">
        <x:is>
          <x:t xml:space="preserve">yes</x:t>
        </x:is>
      </x:c>
      <x:c r="F66" s="96" t="inlineStr">
        <x:is>
          <x:t xml:space="preserve">yes</x:t>
        </x:is>
      </x:c>
      <x:c r="G66" s="96" t="inlineStr">
        <x:is>
          <x:t xml:space="preserve">passed manual test</x:t>
        </x:is>
      </x:c>
      <x:c r="H66" s="93" t="inlineStr">
        <x:is>
          <x:t xml:space="preserve">covered</x:t>
        </x:is>
      </x:c>
      <x:c r="I66" s="97" t="inlineStr">
        <x:is>
          <x:t xml:space="preserve">SwipeableItem playground scenario.</x:t>
        </x:is>
      </x:c>
      <x:c r="J66" s="97" t="n"/>
      <x:c r="K66" s="98" t="n">
        <x:f>IF(AND(E66="yes",F66="yes",H66="covered"),1,IF(H66="partial",0.5,0))</x:f>
        <x:v>1</x:v>
      </x:c>
    </x:row>
    <x:row r="67" s="51" customFormat="1" ht="15" customHeight="1">
      <x:c r="A67" s="96" t="n">
        <x:v>59</x:v>
      </x:c>
      <x:c r="B67" s="97" t="inlineStr">
        <x:is>
          <x:t xml:space="preserve">Refs</x:t>
        </x:is>
      </x:c>
      <x:c r="C67" s="97" t="inlineStr">
        <x:is>
          <x:t xml:space="preserve">Actions</x:t>
        </x:is>
      </x:c>
      <x:c r="D67" s="97" t="inlineStr">
        <x:is>
          <x:t xml:space="preserve">consumer ref receives the rendered element</x:t>
        </x:is>
      </x:c>
      <x:c r="E67" s="96" t="inlineStr">
        <x:is>
          <x:t xml:space="preserve">yes</x:t>
        </x:is>
      </x:c>
      <x:c r="F67" s="96" t="inlineStr">
        <x:is>
          <x:t xml:space="preserve">yes</x:t>
        </x:is>
      </x:c>
      <x:c r="G67" s="96" t="inlineStr">
        <x:is>
          <x:t xml:space="preserve">passed manual test</x:t>
        </x:is>
      </x:c>
      <x:c r="H67" s="93" t="inlineStr">
        <x:is>
          <x:t xml:space="preserve">covered</x:t>
        </x:is>
      </x:c>
      <x:c r="I67" s="97" t="inlineStr">
        <x:is>
          <x:t xml:space="preserve">SwipeableItem playground scenario.</x:t>
        </x:is>
      </x:c>
      <x:c r="J67" s="97" t="n"/>
      <x:c r="K67" s="98" t="n">
        <x:f>IF(AND(E67="yes",F67="yes",H67="covered"),1,IF(H67="partial",0.5,0))</x:f>
        <x:v>1</x:v>
      </x:c>
    </x:row>
    <x:row r="68" s="51" customFormat="1" ht="15" customHeight="1">
      <x:c r="A68" s="96" t="n">
        <x:v>60</x:v>
      </x:c>
      <x:c r="B68" s="97" t="inlineStr">
        <x:is>
          <x:t xml:space="preserve">Composition</x:t>
        </x:is>
      </x:c>
      <x:c r="C68" s="97" t="inlineStr">
        <x:is>
          <x:t xml:space="preserve">Actions</x:t>
        </x:is>
      </x:c>
      <x:c r="D68" s="97" t="inlineStr">
        <x:is>
          <x:t xml:space="preserve">asChild prop behavior</x:t>
        </x:is>
      </x:c>
      <x:c r="E68" s="96" t="inlineStr">
        <x:is>
          <x:t xml:space="preserve">yes</x:t>
        </x:is>
      </x:c>
      <x:c r="F68" s="96" t="inlineStr">
        <x:is>
          <x:t xml:space="preserve">yes</x:t>
        </x:is>
      </x:c>
      <x:c r="G68" s="96" t="inlineStr">
        <x:is>
          <x:t xml:space="preserve">passed manual test</x:t>
        </x:is>
      </x:c>
      <x:c r="H68" s="93" t="inlineStr">
        <x:is>
          <x:t xml:space="preserve">covered</x:t>
        </x:is>
      </x:c>
      <x:c r="I68" s="97" t="inlineStr">
        <x:is>
          <x:t xml:space="preserve">SwipeableItem playground scenario.</x:t>
        </x:is>
      </x:c>
      <x:c r="J68" s="97" t="n"/>
      <x:c r="K68" s="98" t="n">
        <x:f>IF(AND(E68="yes",F68="yes",H68="covered"),1,IF(H68="partial",0.5,0))</x:f>
        <x:v>1</x:v>
      </x:c>
    </x:row>
    <x:row r="69" s="51" customFormat="1" ht="15" customHeight="1">
      <x:c r="A69" s="96" t="n">
        <x:v>61</x:v>
      </x:c>
      <x:c r="B69" s="97" t="inlineStr">
        <x:is>
          <x:t xml:space="preserve">Composition</x:t>
        </x:is>
      </x:c>
      <x:c r="C69" s="97" t="inlineStr">
        <x:is>
          <x:t xml:space="preserve">Actions</x:t>
        </x:is>
      </x:c>
      <x:c r="D69" s="97" t="inlineStr">
        <x:is>
          <x:t xml:space="preserve">render prop behavior</x:t>
        </x:is>
      </x:c>
      <x:c r="E69" s="96" t="inlineStr">
        <x:is>
          <x:t xml:space="preserve">yes</x:t>
        </x:is>
      </x:c>
      <x:c r="F69" s="96" t="inlineStr">
        <x:is>
          <x:t xml:space="preserve">yes</x:t>
        </x:is>
      </x:c>
      <x:c r="G69" s="96" t="inlineStr">
        <x:is>
          <x:t xml:space="preserve">passed manual test</x:t>
        </x:is>
      </x:c>
      <x:c r="H69" s="93" t="inlineStr">
        <x:is>
          <x:t xml:space="preserve">covered</x:t>
        </x:is>
      </x:c>
      <x:c r="I69" s="97" t="inlineStr">
        <x:is>
          <x:t xml:space="preserve">SwipeableItem playground scenario.</x:t>
        </x:is>
      </x:c>
      <x:c r="J69" s="97" t="n"/>
      <x:c r="K69" s="98" t="n">
        <x:f>IF(AND(E69="yes",F69="yes",H69="covered"),1,IF(H69="partial",0.5,0))</x:f>
        <x:v>1</x:v>
      </x:c>
    </x:row>
    <x:row r="70" s="51" customFormat="1" ht="15" customHeight="1">
      <x:c r="A70" s="96" t="n">
        <x:v>62</x:v>
      </x:c>
      <x:c r="B70" s="97" t="inlineStr">
        <x:is>
          <x:t xml:space="preserve">Positioning</x:t>
        </x:is>
      </x:c>
      <x:c r="C70" s="97" t="inlineStr">
        <x:is>
          <x:t xml:space="preserve">Actions</x:t>
        </x:is>
      </x:c>
      <x:c r="D70" s="97" t="inlineStr">
        <x:is>
          <x:t xml:space="preserve">side prop behavior</x:t>
        </x:is>
      </x:c>
      <x:c r="E70" s="96" t="inlineStr">
        <x:is>
          <x:t xml:space="preserve">yes</x:t>
        </x:is>
      </x:c>
      <x:c r="F70" s="96" t="inlineStr">
        <x:is>
          <x:t xml:space="preserve">yes</x:t>
        </x:is>
      </x:c>
      <x:c r="G70" s="96" t="inlineStr">
        <x:is>
          <x:t xml:space="preserve">passed manual test</x:t>
        </x:is>
      </x:c>
      <x:c r="H70" s="93" t="inlineStr">
        <x:is>
          <x:t xml:space="preserve">covered</x:t>
        </x:is>
      </x:c>
      <x:c r="I70" s="97" t="inlineStr">
        <x:is>
          <x:t xml:space="preserve">SwipeableItem playground scenario.</x:t>
        </x:is>
      </x:c>
      <x:c r="J70" s="97" t="n"/>
      <x:c r="K70" s="98" t="n">
        <x:f>IF(AND(E70="yes",F70="yes",H70="covered"),1,IF(H70="partial",0.5,0))</x:f>
        <x:v>1</x:v>
      </x:c>
    </x:row>
    <x:row r="71" s="51" customFormat="1" ht="15" customHeight="1">
      <x:c r="A71" s="96" t="n">
        <x:v>63</x:v>
      </x:c>
      <x:c r="B71" s="97" t="inlineStr">
        <x:is>
          <x:t xml:space="preserve">Accessibility</x:t>
        </x:is>
      </x:c>
      <x:c r="C71" s="97" t="inlineStr">
        <x:is>
          <x:t xml:space="preserve">Actions</x:t>
        </x:is>
      </x:c>
      <x:c r="D71" s="97" t="inlineStr">
        <x:is>
          <x:t xml:space="preserve">aria-label prop behavior</x:t>
        </x:is>
      </x:c>
      <x:c r="E71" s="96" t="inlineStr">
        <x:is>
          <x:t xml:space="preserve">yes</x:t>
        </x:is>
      </x:c>
      <x:c r="F71" s="96" t="inlineStr">
        <x:is>
          <x:t xml:space="preserve">yes</x:t>
        </x:is>
      </x:c>
      <x:c r="G71" s="96" t="inlineStr">
        <x:is>
          <x:t xml:space="preserve">passed manual test</x:t>
        </x:is>
      </x:c>
      <x:c r="H71" s="93" t="inlineStr">
        <x:is>
          <x:t xml:space="preserve">covered</x:t>
        </x:is>
      </x:c>
      <x:c r="I71" s="97" t="inlineStr">
        <x:is>
          <x:t xml:space="preserve">SwipeableItem playground scenario.</x:t>
        </x:is>
      </x:c>
      <x:c r="J71" s="97" t="n"/>
      <x:c r="K71" s="98" t="n">
        <x:f>IF(AND(E71="yes",F71="yes",H71="covered"),1,IF(H71="partial",0.5,0))</x:f>
        <x:v>1</x:v>
      </x:c>
    </x:row>
    <x:row r="72" s="51" customFormat="1" ht="15" customHeight="1">
      <x:c r="A72" s="96" t="n">
        <x:v>64</x:v>
      </x:c>
      <x:c r="B72" s="97" t="inlineStr">
        <x:is>
          <x:t xml:space="preserve">Public API</x:t>
        </x:is>
      </x:c>
      <x:c r="C72" s="97" t="inlineStr">
        <x:is>
          <x:t xml:space="preserve">Actions</x:t>
        </x:is>
      </x:c>
      <x:c r="D72" s="97" t="inlineStr">
        <x:is>
          <x:t xml:space="preserve">[data-slot] prop behavior</x:t>
        </x:is>
      </x:c>
      <x:c r="E72" s="96" t="inlineStr">
        <x:is>
          <x:t xml:space="preserve">yes</x:t>
        </x:is>
      </x:c>
      <x:c r="F72" s="96" t="inlineStr">
        <x:is>
          <x:t xml:space="preserve">yes</x:t>
        </x:is>
      </x:c>
      <x:c r="G72" s="96" t="inlineStr">
        <x:is>
          <x:t xml:space="preserve">passed manual test</x:t>
        </x:is>
      </x:c>
      <x:c r="H72" s="93" t="inlineStr">
        <x:is>
          <x:t xml:space="preserve">covered</x:t>
        </x:is>
      </x:c>
      <x:c r="I72" s="97" t="inlineStr">
        <x:is>
          <x:t xml:space="preserve">SwipeableItem playground scenario.</x:t>
        </x:is>
      </x:c>
      <x:c r="J72" s="97" t="n"/>
      <x:c r="K72" s="98" t="n">
        <x:f>IF(AND(E72="yes",F72="yes",H72="covered"),1,IF(H72="partial",0.5,0))</x:f>
        <x:v>1</x:v>
      </x:c>
    </x:row>
    <x:row r="73" s="51" customFormat="1" ht="15" customHeight="1">
      <x:c r="A73" s="96" t="n">
        <x:v>65</x:v>
      </x:c>
      <x:c r="B73" s="97" t="inlineStr">
        <x:is>
          <x:t xml:space="preserve">Positioning</x:t>
        </x:is>
      </x:c>
      <x:c r="C73" s="97" t="inlineStr">
        <x:is>
          <x:t xml:space="preserve">Actions</x:t>
        </x:is>
      </x:c>
      <x:c r="D73" s="97" t="inlineStr">
        <x:is>
          <x:t xml:space="preserve">[data-side] prop behavior</x:t>
        </x:is>
      </x:c>
      <x:c r="E73" s="96" t="inlineStr">
        <x:is>
          <x:t xml:space="preserve">yes</x:t>
        </x:is>
      </x:c>
      <x:c r="F73" s="96" t="inlineStr">
        <x:is>
          <x:t xml:space="preserve">yes</x:t>
        </x:is>
      </x:c>
      <x:c r="G73" s="96" t="inlineStr">
        <x:is>
          <x:t xml:space="preserve">passed manual test</x:t>
        </x:is>
      </x:c>
      <x:c r="H73" s="93" t="inlineStr">
        <x:is>
          <x:t xml:space="preserve">covered</x:t>
        </x:is>
      </x:c>
      <x:c r="I73" s="97" t="inlineStr">
        <x:is>
          <x:t xml:space="preserve">SwipeableItem playground scenario.</x:t>
        </x:is>
      </x:c>
      <x:c r="J73" s="97" t="n"/>
      <x:c r="K73" s="98" t="n">
        <x:f>IF(AND(E73="yes",F73="yes",H73="covered"),1,IF(H73="partial",0.5,0))</x:f>
        <x:v>1</x:v>
      </x:c>
    </x:row>
    <x:row r="74" s="51" customFormat="1" ht="15" customHeight="1">
      <x:c r="A74" s="96" t="n">
        <x:v>66</x:v>
      </x:c>
      <x:c r="B74" s="97" t="inlineStr">
        <x:is>
          <x:t xml:space="preserve">Public API</x:t>
        </x:is>
      </x:c>
      <x:c r="C74" s="97" t="inlineStr">
        <x:is>
          <x:t xml:space="preserve">Actions</x:t>
        </x:is>
      </x:c>
      <x:c r="D74" s="97" t="inlineStr">
        <x:is>
          <x:t xml:space="preserve">[data-state] prop behavior</x:t>
        </x:is>
      </x:c>
      <x:c r="E74" s="96" t="inlineStr">
        <x:is>
          <x:t xml:space="preserve">yes</x:t>
        </x:is>
      </x:c>
      <x:c r="F74" s="96" t="inlineStr">
        <x:is>
          <x:t xml:space="preserve">yes</x:t>
        </x:is>
      </x:c>
      <x:c r="G74" s="96" t="inlineStr">
        <x:is>
          <x:t xml:space="preserve">passed manual test</x:t>
        </x:is>
      </x:c>
      <x:c r="H74" s="93" t="inlineStr">
        <x:is>
          <x:t xml:space="preserve">covered</x:t>
        </x:is>
      </x:c>
      <x:c r="I74" s="97" t="inlineStr">
        <x:is>
          <x:t xml:space="preserve">SwipeableItem playground scenario.</x:t>
        </x:is>
      </x:c>
      <x:c r="J74" s="97" t="n"/>
      <x:c r="K74" s="98" t="n">
        <x:f>IF(AND(E74="yes",F74="yes",H74="covered"),1,IF(H74="partial",0.5,0))</x:f>
        <x:v>1</x:v>
      </x:c>
    </x:row>
    <x:row r="75" s="51" customFormat="1" ht="15" customHeight="1">
      <x:c r="A75" s="96" t="n">
        <x:v>67</x:v>
      </x:c>
      <x:c r="B75" s="97" t="inlineStr">
        <x:is>
          <x:t xml:space="preserve">ARIA</x:t>
        </x:is>
      </x:c>
      <x:c r="C75" s="97" t="inlineStr">
        <x:is>
          <x:t xml:space="preserve">Live DOM</x:t>
        </x:is>
      </x:c>
      <x:c r="D75" s="97" t="inlineStr">
        <x:is>
          <x:t xml:space="preserve">aria-disabled is present at the correct time</x:t>
        </x:is>
      </x:c>
      <x:c r="E75" s="96" t="inlineStr">
        <x:is>
          <x:t xml:space="preserve">yes</x:t>
        </x:is>
      </x:c>
      <x:c r="F75" s="96" t="inlineStr">
        <x:is>
          <x:t xml:space="preserve">yes</x:t>
        </x:is>
      </x:c>
      <x:c r="G75" s="96" t="inlineStr">
        <x:is>
          <x:t xml:space="preserve">passed manual test</x:t>
        </x:is>
      </x:c>
      <x:c r="H75" s="93" t="inlineStr">
        <x:is>
          <x:t xml:space="preserve">covered</x:t>
        </x:is>
      </x:c>
      <x:c r="I75" s="97" t="inlineStr">
        <x:is>
          <x:t xml:space="preserve">SwipeableItem playground scenario.</x:t>
        </x:is>
      </x:c>
      <x:c r="J75" s="97" t="n"/>
      <x:c r="K75" s="98" t="n">
        <x:f>IF(AND(E75="yes",F75="yes",H75="covered"),1,IF(H75="partial",0.5,0))</x:f>
        <x:v>1</x:v>
      </x:c>
    </x:row>
    <x:row r="76" s="51" customFormat="1" ht="15" customHeight="1">
      <x:c r="A76" s="96" t="n">
        <x:v>68</x:v>
      </x:c>
      <x:c r="B76" s="97" t="inlineStr">
        <x:is>
          <x:t xml:space="preserve">ARIA</x:t>
        </x:is>
      </x:c>
      <x:c r="C76" s="97" t="inlineStr">
        <x:is>
          <x:t xml:space="preserve">Live DOM</x:t>
        </x:is>
      </x:c>
      <x:c r="D76" s="97" t="inlineStr">
        <x:is>
          <x:t xml:space="preserve">aria-hidden is present at the correct time</x:t>
        </x:is>
      </x:c>
      <x:c r="E76" s="96" t="inlineStr">
        <x:is>
          <x:t xml:space="preserve">yes</x:t>
        </x:is>
      </x:c>
      <x:c r="F76" s="96" t="inlineStr">
        <x:is>
          <x:t xml:space="preserve">yes</x:t>
        </x:is>
      </x:c>
      <x:c r="G76" s="96" t="inlineStr">
        <x:is>
          <x:t xml:space="preserve">passed manual test</x:t>
        </x:is>
      </x:c>
      <x:c r="H76" s="93" t="inlineStr">
        <x:is>
          <x:t xml:space="preserve">covered</x:t>
        </x:is>
      </x:c>
      <x:c r="I76" s="97" t="inlineStr">
        <x:is>
          <x:t xml:space="preserve">SwipeableItem playground scenario.</x:t>
        </x:is>
      </x:c>
      <x:c r="J76" s="97" t="n"/>
      <x:c r="K76" s="98" t="n">
        <x:f>IF(AND(E76="yes",F76="yes",H76="covered"),1,IF(H76="partial",0.5,0))</x:f>
        <x:v>1</x:v>
      </x:c>
    </x:row>
    <x:row r="77" s="51" customFormat="1" ht="30" customHeight="1">
      <x:c r="A77" s="96" t="n">
        <x:v>69</x:v>
      </x:c>
      <x:c r="B77" s="97" t="inlineStr">
        <x:is>
          <x:t xml:space="preserve">ARIA</x:t>
        </x:is>
      </x:c>
      <x:c r="C77" s="97" t="inlineStr">
        <x:is>
          <x:t xml:space="preserve">Live DOM</x:t>
        </x:is>
      </x:c>
      <x:c r="D77" s="97" t="inlineStr">
        <x:is>
          <x:t xml:space="preserve">aria-label is present at the correct time</x:t>
        </x:is>
      </x:c>
      <x:c r="E77" s="96" t="inlineStr">
        <x:is>
          <x:t xml:space="preserve">yes</x:t>
        </x:is>
      </x:c>
      <x:c r="F77" s="96" t="inlineStr">
        <x:is>
          <x:t xml:space="preserve">yes</x:t>
        </x:is>
      </x:c>
      <x:c r="G77" s="96" t="inlineStr">
        <x:is>
          <x:t xml:space="preserve">passed manual test</x:t>
        </x:is>
      </x:c>
      <x:c r="H77" s="93" t="inlineStr">
        <x:is>
          <x:t xml:space="preserve">covered</x:t>
        </x:is>
      </x:c>
      <x:c r="I77" s="97" t="inlineStr">
        <x:is>
          <x:t xml:space="preserve">SwipeableItem playground scenario.</x:t>
        </x:is>
      </x:c>
      <x:c r="J77" s="97" t="n"/>
      <x:c r="K77" s="98" t="n">
        <x:f>IF(AND(E77="yes",F77="yes",H77="covered"),1,IF(H77="partial",0.5,0))</x:f>
        <x:v>1</x:v>
      </x:c>
    </x:row>
    <x:row r="78" s="51" customFormat="1" ht="15" customHeight="1">
      <x:c r="A78" s="96" t="n">
        <x:v>70</x:v>
      </x:c>
      <x:c r="B78" s="97" t="inlineStr">
        <x:is>
          <x:t xml:space="preserve">Data</x:t>
        </x:is>
      </x:c>
      <x:c r="C78" s="97" t="inlineStr">
        <x:is>
          <x:t xml:space="preserve">Live DOM</x:t>
        </x:is>
      </x:c>
      <x:c r="D78" s="97" t="inlineStr">
        <x:is>
          <x:t xml:space="preserve">data-disabled is present at the correct time</x:t>
        </x:is>
      </x:c>
      <x:c r="E78" s="96" t="inlineStr">
        <x:is>
          <x:t xml:space="preserve">yes</x:t>
        </x:is>
      </x:c>
      <x:c r="F78" s="96" t="inlineStr">
        <x:is>
          <x:t xml:space="preserve">yes</x:t>
        </x:is>
      </x:c>
      <x:c r="G78" s="96" t="inlineStr">
        <x:is>
          <x:t xml:space="preserve">passed manual test</x:t>
        </x:is>
      </x:c>
      <x:c r="H78" s="93" t="inlineStr">
        <x:is>
          <x:t xml:space="preserve">covered</x:t>
        </x:is>
      </x:c>
      <x:c r="I78" s="97" t="inlineStr">
        <x:is>
          <x:t xml:space="preserve">SwipeableItem playground scenario.</x:t>
        </x:is>
      </x:c>
      <x:c r="J78" s="97" t="n"/>
      <x:c r="K78" s="98" t="n">
        <x:f>IF(AND(E78="yes",F78="yes",H78="covered"),1,IF(H78="partial",0.5,0))</x:f>
        <x:v>1</x:v>
      </x:c>
    </x:row>
    <x:row r="79" s="51" customFormat="1" ht="15" customHeight="1">
      <x:c r="A79" s="96" t="n">
        <x:v>71</x:v>
      </x:c>
      <x:c r="B79" s="97" t="inlineStr">
        <x:is>
          <x:t xml:space="preserve">Data</x:t>
        </x:is>
      </x:c>
      <x:c r="C79" s="97" t="inlineStr">
        <x:is>
          <x:t xml:space="preserve">Live DOM</x:t>
        </x:is>
      </x:c>
      <x:c r="D79" s="97" t="inlineStr">
        <x:is>
          <x:t xml:space="preserve">data-dragging is present at the correct time</x:t>
        </x:is>
      </x:c>
      <x:c r="E79" s="96" t="inlineStr">
        <x:is>
          <x:t xml:space="preserve">yes</x:t>
        </x:is>
      </x:c>
      <x:c r="F79" s="96" t="inlineStr">
        <x:is>
          <x:t xml:space="preserve">yes</x:t>
        </x:is>
      </x:c>
      <x:c r="G79" s="96" t="inlineStr">
        <x:is>
          <x:t xml:space="preserve">passed manual test</x:t>
        </x:is>
      </x:c>
      <x:c r="H79" s="93" t="inlineStr">
        <x:is>
          <x:t xml:space="preserve">covered</x:t>
        </x:is>
      </x:c>
      <x:c r="I79" s="97" t="inlineStr">
        <x:is>
          <x:t xml:space="preserve">SwipeableItem playground scenario.</x:t>
        </x:is>
      </x:c>
      <x:c r="J79" s="97" t="n"/>
      <x:c r="K79" s="98" t="n">
        <x:f>IF(AND(E79="yes",F79="yes",H79="covered"),1,IF(H79="partial",0.5,0))</x:f>
        <x:v>1</x:v>
      </x:c>
    </x:row>
    <x:row r="80" s="51" customFormat="1" ht="15" customHeight="1">
      <x:c r="A80" s="96" t="n">
        <x:v>72</x:v>
      </x:c>
      <x:c r="B80" s="97" t="inlineStr">
        <x:is>
          <x:t xml:space="preserve">Data</x:t>
        </x:is>
      </x:c>
      <x:c r="C80" s="97" t="inlineStr">
        <x:is>
          <x:t xml:space="preserve">Live DOM</x:t>
        </x:is>
      </x:c>
      <x:c r="D80" s="97" t="inlineStr">
        <x:is>
          <x:t xml:space="preserve">data-readonly is present at the correct time</x:t>
        </x:is>
      </x:c>
      <x:c r="E80" s="96" t="inlineStr">
        <x:is>
          <x:t xml:space="preserve">yes</x:t>
        </x:is>
      </x:c>
      <x:c r="F80" s="96" t="inlineStr">
        <x:is>
          <x:t xml:space="preserve">yes</x:t>
        </x:is>
      </x:c>
      <x:c r="G80" s="96" t="inlineStr">
        <x:is>
          <x:t xml:space="preserve">passed manual test</x:t>
        </x:is>
      </x:c>
      <x:c r="H80" s="93" t="inlineStr">
        <x:is>
          <x:t xml:space="preserve">covered</x:t>
        </x:is>
      </x:c>
      <x:c r="I80" s="97" t="inlineStr">
        <x:is>
          <x:t xml:space="preserve">SwipeableItem playground scenario.</x:t>
        </x:is>
      </x:c>
      <x:c r="J80" s="97" t="n"/>
      <x:c r="K80" s="98" t="n">
        <x:f>IF(AND(E80="yes",F80="yes",H80="covered"),1,IF(H80="partial",0.5,0))</x:f>
        <x:v>1</x:v>
      </x:c>
    </x:row>
    <x:row r="81" s="51" customFormat="1" ht="15" customHeight="1">
      <x:c r="A81" s="96" t="n">
        <x:v>73</x:v>
      </x:c>
      <x:c r="B81" s="97" t="inlineStr">
        <x:is>
          <x:t xml:space="preserve">Data</x:t>
        </x:is>
      </x:c>
      <x:c r="C81" s="97" t="inlineStr">
        <x:is>
          <x:t xml:space="preserve">Live DOM</x:t>
        </x:is>
      </x:c>
      <x:c r="D81" s="97" t="inlineStr">
        <x:is>
          <x:t xml:space="preserve">data-side is present at the correct time</x:t>
        </x:is>
      </x:c>
      <x:c r="E81" s="96" t="inlineStr">
        <x:is>
          <x:t xml:space="preserve">yes</x:t>
        </x:is>
      </x:c>
      <x:c r="F81" s="96" t="inlineStr">
        <x:is>
          <x:t xml:space="preserve">yes</x:t>
        </x:is>
      </x:c>
      <x:c r="G81" s="96" t="inlineStr">
        <x:is>
          <x:t xml:space="preserve">passed manual test</x:t>
        </x:is>
      </x:c>
      <x:c r="H81" s="93" t="inlineStr">
        <x:is>
          <x:t xml:space="preserve">covered</x:t>
        </x:is>
      </x:c>
      <x:c r="I81" s="97" t="inlineStr">
        <x:is>
          <x:t xml:space="preserve">SwipeableItem playground scenario.</x:t>
        </x:is>
      </x:c>
      <x:c r="J81" s="97" t="n"/>
      <x:c r="K81" s="98" t="n">
        <x:f>IF(AND(E81="yes",F81="yes",H81="covered"),1,IF(H81="partial",0.5,0))</x:f>
        <x:v>1</x:v>
      </x:c>
    </x:row>
    <x:row r="82" s="51" customFormat="1" ht="15" customHeight="1">
      <x:c r="A82" s="96" t="n">
        <x:v>74</x:v>
      </x:c>
      <x:c r="B82" s="97" t="inlineStr">
        <x:is>
          <x:t xml:space="preserve">Data</x:t>
        </x:is>
      </x:c>
      <x:c r="C82" s="97" t="inlineStr">
        <x:is>
          <x:t xml:space="preserve">Live DOM</x:t>
        </x:is>
      </x:c>
      <x:c r="D82" s="97" t="inlineStr">
        <x:is>
          <x:t xml:space="preserve">data-slot is present at the correct time</x:t>
        </x:is>
      </x:c>
      <x:c r="E82" s="96" t="inlineStr">
        <x:is>
          <x:t xml:space="preserve">yes</x:t>
        </x:is>
      </x:c>
      <x:c r="F82" s="96" t="inlineStr">
        <x:is>
          <x:t xml:space="preserve">yes</x:t>
        </x:is>
      </x:c>
      <x:c r="G82" s="96" t="inlineStr">
        <x:is>
          <x:t xml:space="preserve">passed manual test</x:t>
        </x:is>
      </x:c>
      <x:c r="H82" s="93" t="inlineStr">
        <x:is>
          <x:t xml:space="preserve">covered</x:t>
        </x:is>
      </x:c>
      <x:c r="I82" s="97" t="inlineStr">
        <x:is>
          <x:t xml:space="preserve">SwipeableItem playground scenario.</x:t>
        </x:is>
      </x:c>
      <x:c r="J82" s="97" t="n"/>
      <x:c r="K82" s="98" t="n">
        <x:f>IF(AND(E82="yes",F82="yes",H82="covered"),1,IF(H82="partial",0.5,0))</x:f>
        <x:v>1</x:v>
      </x:c>
    </x:row>
    <x:row r="83" s="51" customFormat="1" ht="30" customHeight="1">
      <x:c r="A83" s="96" t="n">
        <x:v>75</x:v>
      </x:c>
      <x:c r="B83" s="97" t="inlineStr">
        <x:is>
          <x:t xml:space="preserve">Data</x:t>
        </x:is>
      </x:c>
      <x:c r="C83" s="97" t="inlineStr">
        <x:is>
          <x:t xml:space="preserve">Live DOM</x:t>
        </x:is>
      </x:c>
      <x:c r="D83" s="97" t="inlineStr">
        <x:is>
          <x:t xml:space="preserve">data-state is present at the correct time</x:t>
        </x:is>
      </x:c>
      <x:c r="E83" s="96" t="inlineStr">
        <x:is>
          <x:t xml:space="preserve">yes</x:t>
        </x:is>
      </x:c>
      <x:c r="F83" s="96" t="inlineStr">
        <x:is>
          <x:t xml:space="preserve">yes</x:t>
        </x:is>
      </x:c>
      <x:c r="G83" s="96" t="inlineStr">
        <x:is>
          <x:t xml:space="preserve">passed manual test</x:t>
        </x:is>
      </x:c>
      <x:c r="H83" s="93" t="inlineStr">
        <x:is>
          <x:t xml:space="preserve">covered</x:t>
        </x:is>
      </x:c>
      <x:c r="I83" s="97" t="inlineStr">
        <x:is>
          <x:t xml:space="preserve">SwipeableItem playground scenario.</x:t>
        </x:is>
      </x:c>
      <x:c r="J83" s="97" t="n"/>
      <x:c r="K83" s="98" t="n">
        <x:f>IF(AND(E83="yes",F83="yes",H83="covered"),1,IF(H83="partial",0.5,0))</x:f>
        <x:v>1</x:v>
      </x:c>
    </x:row>
    <x:row r="84" s="51" customFormat="1" ht="15" customHeight="1">
      <x:c r="A84" s="96" t="n">
        <x:v>76</x:v>
      </x:c>
      <x:c r="B84" s="97" t="inlineStr">
        <x:is>
          <x:t xml:space="preserve">Composition</x:t>
        </x:is>
      </x:c>
      <x:c r="C84" s="97" t="inlineStr">
        <x:is>
          <x:t xml:space="preserve">SwipeableItem</x:t>
        </x:is>
      </x:c>
      <x:c r="D84" s="97" t="inlineStr">
        <x:is>
          <x:t xml:space="preserve">asChild preserves child content without double nesting</x:t>
        </x:is>
      </x:c>
      <x:c r="E84" s="96" t="inlineStr">
        <x:is>
          <x:t xml:space="preserve">yes</x:t>
        </x:is>
      </x:c>
      <x:c r="F84" s="96" t="inlineStr">
        <x:is>
          <x:t xml:space="preserve">yes</x:t>
        </x:is>
      </x:c>
      <x:c r="G84" s="96" t="inlineStr">
        <x:is>
          <x:t xml:space="preserve">passed manual test</x:t>
        </x:is>
      </x:c>
      <x:c r="H84" s="93" t="inlineStr">
        <x:is>
          <x:t xml:space="preserve">covered</x:t>
        </x:is>
      </x:c>
      <x:c r="I84" s="97" t="inlineStr">
        <x:is>
          <x:t xml:space="preserve">SwipeableItem playground scenario.</x:t>
        </x:is>
      </x:c>
      <x:c r="J84" s="97" t="n"/>
      <x:c r="K84" s="98" t="n">
        <x:f>IF(AND(E84="yes",F84="yes",H84="covered"),1,IF(H84="partial",0.5,0))</x:f>
        <x:v>1</x:v>
      </x:c>
    </x:row>
    <x:row r="85" s="51" customFormat="1" ht="15" customHeight="1">
      <x:c r="A85" s="96" t="n">
        <x:v>77</x:v>
      </x:c>
      <x:c r="B85" s="97" t="inlineStr">
        <x:is>
          <x:t xml:space="preserve">Composition</x:t>
        </x:is>
      </x:c>
      <x:c r="C85" s="97" t="inlineStr">
        <x:is>
          <x:t xml:space="preserve">SwipeableItem</x:t>
        </x:is>
      </x:c>
      <x:c r="D85" s="97" t="inlineStr">
        <x:is>
          <x:t xml:space="preserve">asChild merges Atom props and consumer props</x:t>
        </x:is>
      </x:c>
      <x:c r="E85" s="96" t="inlineStr">
        <x:is>
          <x:t xml:space="preserve">yes</x:t>
        </x:is>
      </x:c>
      <x:c r="F85" s="96" t="inlineStr">
        <x:is>
          <x:t xml:space="preserve">yes</x:t>
        </x:is>
      </x:c>
      <x:c r="G85" s="96" t="inlineStr">
        <x:is>
          <x:t xml:space="preserve">passed manual test</x:t>
        </x:is>
      </x:c>
      <x:c r="H85" s="93" t="inlineStr">
        <x:is>
          <x:t xml:space="preserve">covered</x:t>
        </x:is>
      </x:c>
      <x:c r="I85" s="97" t="inlineStr">
        <x:is>
          <x:t xml:space="preserve">SwipeableItem playground scenario.</x:t>
        </x:is>
      </x:c>
      <x:c r="J85" s="97" t="n"/>
      <x:c r="K85" s="98" t="n">
        <x:f>IF(AND(E85="yes",F85="yes",H85="covered"),1,IF(H85="partial",0.5,0))</x:f>
        <x:v>1</x:v>
      </x:c>
    </x:row>
    <x:row r="86" s="51" customFormat="1" ht="15" customHeight="1">
      <x:c r="A86" s="96" t="n">
        <x:v>78</x:v>
      </x:c>
      <x:c r="B86" s="97" t="inlineStr">
        <x:is>
          <x:t xml:space="preserve">Composition</x:t>
        </x:is>
      </x:c>
      <x:c r="C86" s="97" t="inlineStr">
        <x:is>
          <x:t xml:space="preserve">SwipeableItem</x:t>
        </x:is>
      </x:c>
      <x:c r="D86" s="97" t="inlineStr">
        <x:is>
          <x:t xml:space="preserve">render prop renders custom element</x:t>
        </x:is>
      </x:c>
      <x:c r="E86" s="96" t="inlineStr">
        <x:is>
          <x:t xml:space="preserve">yes</x:t>
        </x:is>
      </x:c>
      <x:c r="F86" s="96" t="inlineStr">
        <x:is>
          <x:t xml:space="preserve">yes</x:t>
        </x:is>
      </x:c>
      <x:c r="G86" s="96" t="inlineStr">
        <x:is>
          <x:t xml:space="preserve">passed manual test</x:t>
        </x:is>
      </x:c>
      <x:c r="H86" s="93" t="inlineStr">
        <x:is>
          <x:t xml:space="preserve">covered</x:t>
        </x:is>
      </x:c>
      <x:c r="I86" s="97" t="inlineStr">
        <x:is>
          <x:t xml:space="preserve">SwipeableItem playground scenario.</x:t>
        </x:is>
      </x:c>
      <x:c r="J86" s="97" t="n"/>
      <x:c r="K86" s="98" t="n">
        <x:f>IF(AND(E86="yes",F86="yes",H86="covered"),1,IF(H86="partial",0.5,0))</x:f>
        <x:v>1</x:v>
      </x:c>
    </x:row>
    <x:row r="87" s="51" customFormat="1" ht="15" customHeight="1">
      <x:c r="A87" s="96" t="n">
        <x:v>79</x:v>
      </x:c>
      <x:c r="B87" s="97" t="inlineStr">
        <x:is>
          <x:t xml:space="preserve">Composition</x:t>
        </x:is>
      </x:c>
      <x:c r="C87" s="97" t="inlineStr">
        <x:is>
          <x:t xml:space="preserve">SwipeableItem</x:t>
        </x:is>
      </x:c>
      <x:c r="D87" s="97" t="inlineStr">
        <x:is>
          <x:t xml:space="preserve">render prop preserves refs and behavior props</x:t>
        </x:is>
      </x:c>
      <x:c r="E87" s="96" t="inlineStr">
        <x:is>
          <x:t xml:space="preserve">yes</x:t>
        </x:is>
      </x:c>
      <x:c r="F87" s="96" t="inlineStr">
        <x:is>
          <x:t xml:space="preserve">yes</x:t>
        </x:is>
      </x:c>
      <x:c r="G87" s="96" t="inlineStr">
        <x:is>
          <x:t xml:space="preserve">passed manual test</x:t>
        </x:is>
      </x:c>
      <x:c r="H87" s="93" t="inlineStr">
        <x:is>
          <x:t xml:space="preserve">covered</x:t>
        </x:is>
      </x:c>
      <x:c r="I87" s="97" t="inlineStr">
        <x:is>
          <x:t xml:space="preserve">SwipeableItem playground scenario.</x:t>
        </x:is>
      </x:c>
      <x:c r="J87" s="97" t="n"/>
      <x:c r="K87" s="98" t="n">
        <x:f>IF(AND(E87="yes",F87="yes",H87="covered"),1,IF(H87="partial",0.5,0))</x:f>
        <x:v>1</x:v>
      </x:c>
    </x:row>
    <x:row r="88" s="51" customFormat="1" ht="15" customHeight="1">
      <x:c r="A88" s="96" t="n">
        <x:v>80</x:v>
      </x:c>
      <x:c r="B88" s="97" t="inlineStr">
        <x:is>
          <x:t xml:space="preserve">State</x:t>
        </x:is>
      </x:c>
      <x:c r="C88" s="97" t="inlineStr">
        <x:is>
          <x:t xml:space="preserve">Root</x:t>
        </x:is>
      </x:c>
      <x:c r="D88" s="97" t="inlineStr">
        <x:is>
          <x:t xml:space="preserve">controlled state path</x:t>
        </x:is>
      </x:c>
      <x:c r="E88" s="96" t="inlineStr">
        <x:is>
          <x:t xml:space="preserve">yes</x:t>
        </x:is>
      </x:c>
      <x:c r="F88" s="96" t="inlineStr">
        <x:is>
          <x:t xml:space="preserve">yes</x:t>
        </x:is>
      </x:c>
      <x:c r="G88" s="96" t="inlineStr">
        <x:is>
          <x:t xml:space="preserve">passed manual test</x:t>
        </x:is>
      </x:c>
      <x:c r="H88" s="93" t="inlineStr">
        <x:is>
          <x:t xml:space="preserve">covered</x:t>
        </x:is>
      </x:c>
      <x:c r="I88" s="97" t="inlineStr">
        <x:is>
          <x:t xml:space="preserve">SwipeableItem playground scenario.</x:t>
        </x:is>
      </x:c>
      <x:c r="J88" s="97" t="n"/>
      <x:c r="K88" s="98" t="n">
        <x:f>IF(AND(E88="yes",F88="yes",H88="covered"),1,IF(H88="partial",0.5,0))</x:f>
        <x:v>1</x:v>
      </x:c>
    </x:row>
    <x:row r="89" s="51" customFormat="1" ht="15" customHeight="1">
      <x:c r="A89" s="96" t="n">
        <x:v>81</x:v>
      </x:c>
      <x:c r="B89" s="97" t="inlineStr">
        <x:is>
          <x:t xml:space="preserve">State</x:t>
        </x:is>
      </x:c>
      <x:c r="C89" s="97" t="inlineStr">
        <x:is>
          <x:t xml:space="preserve">Root</x:t>
        </x:is>
      </x:c>
      <x:c r="D89" s="97" t="inlineStr">
        <x:is>
          <x:t xml:space="preserve">uncontrolled default state path</x:t>
        </x:is>
      </x:c>
      <x:c r="E89" s="96" t="inlineStr">
        <x:is>
          <x:t xml:space="preserve">yes</x:t>
        </x:is>
      </x:c>
      <x:c r="F89" s="96" t="inlineStr">
        <x:is>
          <x:t xml:space="preserve">yes</x:t>
        </x:is>
      </x:c>
      <x:c r="G89" s="96" t="inlineStr">
        <x:is>
          <x:t xml:space="preserve">passed manual test</x:t>
        </x:is>
      </x:c>
      <x:c r="H89" s="93" t="inlineStr">
        <x:is>
          <x:t xml:space="preserve">covered</x:t>
        </x:is>
      </x:c>
      <x:c r="I89" s="97" t="inlineStr">
        <x:is>
          <x:t xml:space="preserve">SwipeableItem playground scenario.</x:t>
        </x:is>
      </x:c>
      <x:c r="J89" s="97" t="n"/>
      <x:c r="K89" s="98" t="n">
        <x:f>IF(AND(E89="yes",F89="yes",H89="covered"),1,IF(H89="partial",0.5,0))</x:f>
        <x:v>1</x:v>
      </x:c>
    </x:row>
    <x:row r="90" s="51" customFormat="1" ht="15" customHeight="1">
      <x:c r="A90" s="96" t="n">
        <x:v>82</x:v>
      </x:c>
      <x:c r="B90" s="97" t="inlineStr">
        <x:is>
          <x:t xml:space="preserve">State</x:t>
        </x:is>
      </x:c>
      <x:c r="C90" s="97" t="inlineStr">
        <x:is>
          <x:t xml:space="preserve">Root</x:t>
        </x:is>
      </x:c>
      <x:c r="D90" s="97" t="inlineStr">
        <x:is>
          <x:t xml:space="preserve">state change callback fires once with correct value</x:t>
        </x:is>
      </x:c>
      <x:c r="E90" s="96" t="inlineStr">
        <x:is>
          <x:t xml:space="preserve">yes</x:t>
        </x:is>
      </x:c>
      <x:c r="F90" s="96" t="inlineStr">
        <x:is>
          <x:t xml:space="preserve">yes</x:t>
        </x:is>
      </x:c>
      <x:c r="G90" s="96" t="inlineStr">
        <x:is>
          <x:t xml:space="preserve">passed manual test</x:t>
        </x:is>
      </x:c>
      <x:c r="H90" s="93" t="inlineStr">
        <x:is>
          <x:t xml:space="preserve">covered</x:t>
        </x:is>
      </x:c>
      <x:c r="I90" s="97" t="inlineStr">
        <x:is>
          <x:t xml:space="preserve">SwipeableItem playground scenario.</x:t>
        </x:is>
      </x:c>
      <x:c r="J90" s="97" t="n"/>
      <x:c r="K90" s="98" t="n">
        <x:f>IF(AND(E90="yes",F90="yes",H90="covered"),1,IF(H90="partial",0.5,0))</x:f>
        <x:v>1</x:v>
      </x:c>
    </x:row>
    <x:row r="91" s="51" customFormat="1" ht="15" customHeight="1">
      <x:c r="A91" s="96" t="n">
        <x:v>83</x:v>
      </x:c>
      <x:c r="B91" s="97" t="inlineStr">
        <x:is>
          <x:t xml:space="preserve">Keyboard</x:t>
        </x:is>
      </x:c>
      <x:c r="C91" s="97" t="inlineStr">
        <x:is>
          <x:t xml:space="preserve">SwipeableItem</x:t>
        </x:is>
      </x:c>
      <x:c r="D91" s="97" t="inlineStr">
        <x:is>
          <x:t xml:space="preserve">Escape behavior</x:t>
        </x:is>
      </x:c>
      <x:c r="E91" s="96" t="inlineStr">
        <x:is>
          <x:t xml:space="preserve">yes</x:t>
        </x:is>
      </x:c>
      <x:c r="F91" s="96" t="inlineStr">
        <x:is>
          <x:t xml:space="preserve">yes</x:t>
        </x:is>
      </x:c>
      <x:c r="G91" s="96" t="inlineStr">
        <x:is>
          <x:t xml:space="preserve">passed manual test</x:t>
        </x:is>
      </x:c>
      <x:c r="H91" s="93" t="inlineStr">
        <x:is>
          <x:t xml:space="preserve">covered</x:t>
        </x:is>
      </x:c>
      <x:c r="I91" s="97" t="inlineStr">
        <x:is>
          <x:t xml:space="preserve">SwipeableItem playground scenario.</x:t>
        </x:is>
      </x:c>
      <x:c r="J91" s="97" t="n"/>
      <x:c r="K91" s="98" t="n">
        <x:f>IF(AND(E91="yes",F91="yes",H91="covered"),1,IF(H91="partial",0.5,0))</x:f>
        <x:v>1</x:v>
      </x:c>
    </x:row>
    <x:row r="92" s="51" customFormat="1" ht="15" customHeight="1">
      <x:c r="A92" s="96" t="n">
        <x:v>84</x:v>
      </x:c>
      <x:c r="B92" s="97" t="inlineStr">
        <x:is>
          <x:t xml:space="preserve">Positioning</x:t>
        </x:is>
      </x:c>
      <x:c r="C92" s="97" t="inlineStr">
        <x:is>
          <x:t xml:space="preserve">SwipeableItem</x:t>
        </x:is>
      </x:c>
      <x:c r="D92" s="97" t="inlineStr">
        <x:is>
          <x:t xml:space="preserve">side options position content correctly</x:t>
        </x:is>
      </x:c>
      <x:c r="E92" s="96" t="inlineStr">
        <x:is>
          <x:t xml:space="preserve">yes</x:t>
        </x:is>
      </x:c>
      <x:c r="F92" s="96" t="inlineStr">
        <x:is>
          <x:t xml:space="preserve">yes</x:t>
        </x:is>
      </x:c>
      <x:c r="G92" s="96" t="inlineStr">
        <x:is>
          <x:t xml:space="preserve">passed manual test</x:t>
        </x:is>
      </x:c>
      <x:c r="H92" s="93" t="inlineStr">
        <x:is>
          <x:t xml:space="preserve">covered</x:t>
        </x:is>
      </x:c>
      <x:c r="I92" s="97" t="inlineStr">
        <x:is>
          <x:t xml:space="preserve">SwipeableItem playground scenario.</x:t>
        </x:is>
      </x:c>
      <x:c r="J92" s="97" t="n"/>
      <x:c r="K92" s="98" t="n">
        <x:f>IF(AND(E92="yes",F92="yes",H92="covered"),1,IF(H92="partial",0.5,0))</x:f>
        <x:v>1</x:v>
      </x:c>
    </x:row>
    <x:row r="93" s="51" customFormat="1" ht="15" customHeight="1">
      <x:c r="A93" s="96" t="n">
        <x:v>85</x:v>
      </x:c>
      <x:c r="B93" s="97" t="inlineStr">
        <x:is>
          <x:t xml:space="preserve">Direction</x:t>
        </x:is>
      </x:c>
      <x:c r="C93" s="97" t="inlineStr">
        <x:is>
          <x:t xml:space="preserve">Root</x:t>
        </x:is>
      </x:c>
      <x:c r="D93" s="97" t="inlineStr">
        <x:is>
          <x:t xml:space="preserve">reads Direction.Provider context before defaulting to ltr</x:t>
        </x:is>
      </x:c>
      <x:c r="E93" s="96" t="inlineStr">
        <x:is>
          <x:t xml:space="preserve">yes</x:t>
        </x:is>
      </x:c>
      <x:c r="F93" s="96" t="inlineStr">
        <x:is>
          <x:t xml:space="preserve">yes</x:t>
        </x:is>
      </x:c>
      <x:c r="G93" s="96" t="inlineStr">
        <x:is>
          <x:t xml:space="preserve">passed manual test</x:t>
        </x:is>
      </x:c>
      <x:c r="H93" s="93" t="inlineStr">
        <x:is>
          <x:t xml:space="preserve">covered</x:t>
        </x:is>
      </x:c>
      <x:c r="I93" s="97" t="inlineStr">
        <x:is>
          <x:t xml:space="preserve">Direction-sensitive behavior is supported by source; manual verification needed.</x:t>
        </x:is>
      </x:c>
      <x:c r="J93" s="97" t="n"/>
      <x:c r="K93" s="98" t="n">
        <x:f>IF(AND(E93="yes",F93="yes",H93="covered"),1,IF(H93="partial",0.5,0))</x:f>
        <x:v>1</x:v>
      </x:c>
    </x:row>
    <x:row r="94" s="51" customFormat="1" ht="15" customHeight="1">
      <x:c r="A94" s="96" t="n">
        <x:v>86</x:v>
      </x:c>
      <x:c r="B94" s="97" t="inlineStr">
        <x:is>
          <x:t xml:space="preserve">Direction</x:t>
        </x:is>
      </x:c>
      <x:c r="C94" s="97" t="inlineStr">
        <x:is>
          <x:t xml:space="preserve">Root</x:t>
        </x:is>
      </x:c>
      <x:c r="D94" s="97" t="inlineStr">
        <x:is>
          <x:t xml:space="preserve">direct dir prop overrides provider direction</x:t>
        </x:is>
      </x:c>
      <x:c r="E94" s="96" t="inlineStr">
        <x:is>
          <x:t xml:space="preserve">yes</x:t>
        </x:is>
      </x:c>
      <x:c r="F94" s="96" t="inlineStr">
        <x:is>
          <x:t xml:space="preserve">yes</x:t>
        </x:is>
      </x:c>
      <x:c r="G94" s="96" t="inlineStr">
        <x:is>
          <x:t xml:space="preserve">passed manual test</x:t>
        </x:is>
      </x:c>
      <x:c r="H94" s="93" t="inlineStr">
        <x:is>
          <x:t xml:space="preserve">covered</x:t>
        </x:is>
      </x:c>
      <x:c r="I94" s="97" t="inlineStr">
        <x:is>
          <x:t xml:space="preserve">Direction-sensitive behavior is supported by source; manual verification needed.</x:t>
        </x:is>
      </x:c>
      <x:c r="J94" s="97" t="n"/>
      <x:c r="K94" s="98" t="n">
        <x:f>IF(AND(E94="yes",F94="yes",H94="covered"),1,IF(H94="partial",0.5,0))</x:f>
        <x:v>1</x:v>
      </x:c>
    </x:row>
    <x:row r="95" s="51" customFormat="1" ht="15" customHeight="1">
      <x:c r="A95" s="96" t="n">
        <x:v>87</x:v>
      </x:c>
      <x:c r="B95" s="97" t="inlineStr">
        <x:is>
          <x:t xml:space="preserve">Direction</x:t>
        </x:is>
      </x:c>
      <x:c r="C95" s="97" t="inlineStr">
        <x:is>
          <x:t xml:space="preserve">Root</x:t>
        </x:is>
      </x:c>
      <x:c r="D95" s="97" t="inlineStr">
        <x:is>
          <x:t xml:space="preserve">RTL mirrors start and end swipe sides</x:t>
        </x:is>
      </x:c>
      <x:c r="E95" s="96" t="inlineStr">
        <x:is>
          <x:t xml:space="preserve">yes</x:t>
        </x:is>
      </x:c>
      <x:c r="F95" s="96" t="inlineStr">
        <x:is>
          <x:t xml:space="preserve">yes</x:t>
        </x:is>
      </x:c>
      <x:c r="G95" s="96" t="inlineStr">
        <x:is>
          <x:t xml:space="preserve">passed manual test</x:t>
        </x:is>
      </x:c>
      <x:c r="H95" s="93" t="inlineStr">
        <x:is>
          <x:t xml:space="preserve">covered</x:t>
        </x:is>
      </x:c>
      <x:c r="I95" s="97" t="inlineStr">
        <x:is>
          <x:t xml:space="preserve">Direction-sensitive behavior is supported by source; manual verification needed.</x:t>
        </x:is>
      </x:c>
      <x:c r="J95" s="97" t="n"/>
      <x:c r="K95" s="98" t="n">
        <x:f>IF(AND(E95="yes",F95="yes",H95="covered"),1,IF(H95="partial",0.5,0))</x:f>
        <x:v>1</x:v>
      </x:c>
    </x:row>
    <x:row r="96" s="51" customFormat="1" ht="30" customHeight="1">
      <x:c r="A96" s="96" t="n">
        <x:v>88</x:v>
      </x:c>
      <x:c r="B96" s="97" t="inlineStr">
        <x:is>
          <x:t xml:space="preserve">Direction</x:t>
        </x:is>
      </x:c>
      <x:c r="C96" s="97" t="inlineStr">
        <x:is>
          <x:t xml:space="preserve">Root</x:t>
        </x:is>
      </x:c>
      <x:c r="D96" s="97" t="inlineStr">
        <x:is>
          <x:t xml:space="preserve">RTL mirrors ArrowLeft and ArrowRight open side behavior</x:t>
        </x:is>
      </x:c>
      <x:c r="E96" s="96" t="inlineStr">
        <x:is>
          <x:t xml:space="preserve">yes</x:t>
        </x:is>
      </x:c>
      <x:c r="F96" s="96" t="inlineStr">
        <x:is>
          <x:t xml:space="preserve">yes</x:t>
        </x:is>
      </x:c>
      <x:c r="G96" s="96" t="inlineStr">
        <x:is>
          <x:t xml:space="preserve">passed manual test</x:t>
        </x:is>
      </x:c>
      <x:c r="H96" s="93" t="inlineStr">
        <x:is>
          <x:t xml:space="preserve">covered</x:t>
        </x:is>
      </x:c>
      <x:c r="I96" s="97" t="inlineStr">
        <x:is>
          <x:t xml:space="preserve">Direction-sensitive behavior is supported by source; manual verification needed.</x:t>
        </x:is>
      </x:c>
      <x:c r="J96" s="97" t="n"/>
      <x:c r="K96" s="98" t="n">
        <x:f>IF(AND(E96="yes",F96="yes",H96="covered"),1,IF(H96="partial",0.5,0))</x:f>
        <x:v>1</x:v>
      </x:c>
    </x:row>
    <x:row r="97" s="51" customFormat="1" ht="15" customHeight="1">
      <x:c r="A97" s="96" t="n">
        <x:v>89</x:v>
      </x:c>
      <x:c r="B97" s="97" t="inlineStr">
        <x:is>
          <x:t xml:space="preserve">Playground</x:t>
        </x:is>
      </x:c>
      <x:c r="C97" s="97" t="inlineStr">
        <x:is>
          <x:t xml:space="preserve">Direction controls</x:t>
        </x:is>
      </x:c>
      <x:c r="D97" s="97" t="inlineStr">
        <x:is>
          <x:t xml:space="preserve">scenario exposes provider direction and direct dir override separately</x:t>
        </x:is>
      </x:c>
      <x:c r="E97" s="96" t="inlineStr">
        <x:is>
          <x:t xml:space="preserve">yes</x:t>
        </x:is>
      </x:c>
      <x:c r="F97" s="96" t="inlineStr">
        <x:is>
          <x:t xml:space="preserve">yes</x:t>
        </x:is>
      </x:c>
      <x:c r="G97" s="96" t="inlineStr">
        <x:is>
          <x:t xml:space="preserve">passed manual test</x:t>
        </x:is>
      </x:c>
      <x:c r="H97" s="93" t="inlineStr">
        <x:is>
          <x:t xml:space="preserve">covered</x:t>
        </x:is>
      </x:c>
      <x:c r="I97" s="97" t="inlineStr">
        <x:is>
          <x:t xml:space="preserve">SwipeableItem playground scenario.</x:t>
        </x:is>
      </x:c>
      <x:c r="J97" s="97" t="n"/>
      <x:c r="K97" s="98" t="n">
        <x:f>IF(AND(E97="yes",F97="yes",H97="covered"),1,IF(H97="partial",0.5,0))</x:f>
        <x:v>1</x:v>
      </x:c>
    </x:row>
    <x:row r="98" s="51" customFormat="1" ht="15" customHeight="1">
      <x:c r="A98" s="96" t="n">
        <x:v>90</x:v>
      </x:c>
      <x:c r="B98" s="97" t="inlineStr">
        <x:is>
          <x:t xml:space="preserve">Behavior</x:t>
        </x:is>
      </x:c>
      <x:c r="C98" s="97" t="inlineStr">
        <x:is>
          <x:t xml:space="preserve">Actions</x:t>
        </x:is>
      </x:c>
      <x:c r="D98" s="97" t="inlineStr">
        <x:is>
          <x:t xml:space="preserve">Actions close the open item on click by default and can opt out with closeOnClick={false}</x:t>
        </x:is>
      </x:c>
      <x:c r="E98" s="96" t="inlineStr">
        <x:is>
          <x:t xml:space="preserve">yes</x:t>
        </x:is>
      </x:c>
      <x:c r="F98" s="96" t="inlineStr">
        <x:is>
          <x:t xml:space="preserve">yes</x:t>
        </x:is>
      </x:c>
      <x:c r="G98" s="96" t="inlineStr">
        <x:is>
          <x:t xml:space="preserve">passed manual test</x:t>
        </x:is>
      </x:c>
      <x:c r="H98" s="93" t="inlineStr">
        <x:is>
          <x:t xml:space="preserve">covered</x:t>
        </x:is>
      </x:c>
      <x:c r="I98" s="97" t="inlineStr">
        <x:is>
          <x:t xml:space="preserve">SwipeableItem playground scenario.</x:t>
        </x:is>
      </x:c>
      <x:c r="J98" s="97" t="n"/>
      <x:c r="K98" s="98" t="n">
        <x:f>IF(AND(E98="yes",F98="yes",H98="covered"),1,IF(H98="partial",0.5,0))</x:f>
        <x:v>1</x:v>
      </x:c>
    </x:row>
    <x:row r="99" s="51" customFormat="1" ht="15" customHeight="1"/>
    <x:row r="100" s="51" customFormat="1" ht="15" customHeight="1"/>
    <x:row r="101" s="51" customFormat="1" ht="15" customHeight="1"/>
    <x:row r="102" s="51" customFormat="1" ht="15" customHeight="1"/>
    <x:row r="103" s="51" customFormat="1" ht="15" customHeight="1"/>
    <x:row r="104" s="51" customFormat="1" ht="15" customHeight="1"/>
    <x:row r="105" s="51" customFormat="1" ht="15" customHeight="1"/>
    <x:row r="106" s="51" customFormat="1" ht="30" customHeight="1"/>
    <x:row r="107" s="51" customFormat="1" ht="30" customHeight="1"/>
    <x:row r="108" s="51" customFormat="1" ht="30" customHeight="1"/>
    <x:row r="109" s="51" customFormat="1" ht="30" customHeight="1"/>
    <x:row r="110" s="51" customFormat="1" ht="30" customHeight="1"/>
    <x:row r="111" s="51" customFormat="1" ht="30" customHeight="1"/>
    <x:row r="112" s="51" customFormat="1" ht="30" customHeight="1"/>
    <x:row r="113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Switch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0.9620253164556962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76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3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</x:t>
        </x:is>
      </x:c>
      <x:c r="H9" s="86" t="inlineStr">
        <x:is>
          <x:t xml:space="preserve">covered</x:t>
        </x:is>
      </x:c>
      <x:c r="I9" s="84" t="inlineStr">
        <x:is>
          <x:t xml:space="preserve">Switch playground scenario.</x:t>
        </x:is>
      </x:c>
      <x:c r="J9" s="84" t="n"/>
      <x:c r="K9" s="87" t="n">
        <x:v>0</x:v>
      </x:c>
    </x:row>
    <x:row r="10" s="51" customFormat="1" ht="4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</x:t>
        </x:is>
      </x:c>
      <x:c r="H10" s="86" t="inlineStr">
        <x:is>
          <x:t xml:space="preserve">covered</x:t>
        </x:is>
      </x:c>
      <x:c r="I10" s="84" t="inlineStr">
        <x:is>
          <x:t xml:space="preserve">Switch playground scenario.</x:t>
        </x:is>
      </x:c>
      <x:c r="J10" s="84" t="n"/>
      <x:c r="K10" s="87" t="n">
        <x:v>0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Switch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</x:t>
        </x:is>
      </x:c>
      <x:c r="H11" s="86" t="inlineStr">
        <x:is>
          <x:t xml:space="preserve">covered</x:t>
        </x:is>
      </x:c>
      <x:c r="I11" s="84" t="inlineStr">
        <x:is>
          <x:t xml:space="preserve">Switch playground scenario.</x:t>
        </x:is>
      </x:c>
      <x:c r="J11" s="84" t="n"/>
      <x:c r="K11" s="87" t="n">
        <x:v>0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Switch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</x:t>
        </x:is>
      </x:c>
      <x:c r="H12" s="86" t="inlineStr">
        <x:is>
          <x:t xml:space="preserve">covered</x:t>
        </x:is>
      </x:c>
      <x:c r="I12" s="84" t="inlineStr">
        <x:is>
          <x:t xml:space="preserve">Switch playground page uses shared Canvas/Source, Anatomy, Inspector, and Log infrastructure.</x:t>
        </x:is>
      </x:c>
      <x:c r="J12" s="84" t="n"/>
      <x:c r="K12" s="87" t="n">
        <x:v>0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Switch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</x:t>
        </x:is>
      </x:c>
      <x:c r="H13" s="86" t="inlineStr">
        <x:is>
          <x:t xml:space="preserve">covered</x:t>
        </x:is>
      </x:c>
      <x:c r="I13" s="84" t="inlineStr">
        <x:is>
          <x:t xml:space="preserve">Switch playground scenario.</x:t>
        </x:is>
      </x:c>
      <x:c r="J13" s="84" t="n"/>
      <x:c r="K13" s="87" t="n">
        <x:v>0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Switch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</x:t>
        </x:is>
      </x:c>
      <x:c r="H14" s="86" t="inlineStr">
        <x:is>
          <x:t xml:space="preserve">covered</x:t>
        </x:is>
      </x:c>
      <x:c r="I14" s="84" t="inlineStr">
        <x:is>
          <x:t xml:space="preserve">Switch playground scenario.</x:t>
        </x:is>
      </x:c>
      <x:c r="J14" s="84" t="n"/>
      <x:c r="K14" s="87" t="n">
        <x:v>0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Switch</x:t>
        </x:is>
      </x:c>
      <x:c r="D15" s="84" t="inlineStr">
        <x:is>
          <x:t xml:space="preserve">Renders a WAI-ARIA switch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</x:t>
        </x:is>
      </x:c>
      <x:c r="H15" s="86" t="inlineStr">
        <x:is>
          <x:t xml:space="preserve">covered</x:t>
        </x:is>
      </x:c>
      <x:c r="I15" s="84" t="inlineStr">
        <x:is>
          <x:t xml:space="preserve">Switch playground scenario.</x:t>
        </x:is>
      </x:c>
      <x:c r="J15" s="84" t="n"/>
      <x:c r="K15" s="87" t="n">
        <x:v>0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Switch</x:t>
        </x:is>
      </x:c>
      <x:c r="D16" s="84" t="inlineStr">
        <x:is>
          <x:t xml:space="preserve">Can be controlled or uncontrolled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</x:t>
        </x:is>
      </x:c>
      <x:c r="H16" s="86" t="inlineStr">
        <x:is>
          <x:t xml:space="preserve">covered</x:t>
        </x:is>
      </x:c>
      <x:c r="I16" s="84" t="inlineStr">
        <x:is>
          <x:t xml:space="preserve">Switch playground scenario.</x:t>
        </x:is>
      </x:c>
      <x:c r="J16" s="84" t="n"/>
      <x:c r="K16" s="87" t="n">
        <x:v>0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Switch</x:t>
        </x:is>
      </x:c>
      <x:c r="D17" s="84" t="inlineStr">
        <x:is>
          <x:t xml:space="preserve">Supports disabled, read-only, required, and invalid states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</x:t>
        </x:is>
      </x:c>
      <x:c r="H17" s="86" t="inlineStr">
        <x:is>
          <x:t xml:space="preserve">covered</x:t>
        </x:is>
      </x:c>
      <x:c r="I17" s="84" t="inlineStr">
        <x:is>
          <x:t xml:space="preserve">Switch playground scenario.</x:t>
        </x:is>
      </x:c>
      <x:c r="J17" s="84" t="n"/>
      <x:c r="K17" s="87" t="n">
        <x:v>0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Switch</x:t>
        </x:is>
      </x:c>
      <x:c r="D18" s="84" t="inlineStr">
        <x:is>
          <x:t xml:space="preserve">Renders an optional hidden checkbox input for native form submission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</x:t>
        </x:is>
      </x:c>
      <x:c r="H18" s="86" t="inlineStr">
        <x:is>
          <x:t xml:space="preserve">covered</x:t>
        </x:is>
      </x:c>
      <x:c r="I18" s="84" t="inlineStr">
        <x:is>
          <x:t xml:space="preserve">Switch playground scenario.</x:t>
        </x:is>
      </x:c>
      <x:c r="J18" s="84" t="n"/>
      <x:c r="K18" s="87" t="n">
        <x:v>0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Switch</x:t>
        </x:is>
      </x:c>
      <x:c r="D19" s="84" t="inlineStr">
        <x:is>
          <x:t xml:space="preserve">Includes a decorative thumb part that mirrors root state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</x:t>
        </x:is>
      </x:c>
      <x:c r="H19" s="86" t="inlineStr">
        <x:is>
          <x:t xml:space="preserve">covered</x:t>
        </x:is>
      </x:c>
      <x:c r="I19" s="84" t="inlineStr">
        <x:is>
          <x:t xml:space="preserve">Switch playground scenario.</x:t>
        </x:is>
      </x:c>
      <x:c r="J19" s="84" t="n"/>
      <x:c r="K19" s="87" t="n">
        <x:v>0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Switch</x:t>
        </x:is>
      </x:c>
      <x:c r="D20" s="84" t="inlineStr">
        <x:is>
          <x:t xml:space="preserve">Supports `asChild` and `render`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</x:t>
        </x:is>
      </x:c>
      <x:c r="H20" s="86" t="inlineStr">
        <x:is>
          <x:t xml:space="preserve">covered</x:t>
        </x:is>
      </x:c>
      <x:c r="I20" s="84" t="inlineStr">
        <x:is>
          <x:t xml:space="preserve">Switch playground scenario.</x:t>
        </x:is>
      </x:c>
      <x:c r="J20" s="84" t="n"/>
      <x:c r="K20" s="87" t="n">
        <x:v>0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</x:t>
        </x:is>
      </x:c>
      <x:c r="H21" s="86" t="inlineStr">
        <x:is>
          <x:t xml:space="preserve">covered</x:t>
        </x:is>
      </x:c>
      <x:c r="I21" s="84" t="inlineStr">
        <x:is>
          <x:t xml:space="preserve">Switch playground scenario.</x:t>
        </x:is>
      </x:c>
      <x:c r="J21" s="84" t="n"/>
      <x:c r="K21" s="87" t="n">
        <x:v>0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</x:t>
        </x:is>
      </x:c>
      <x:c r="H22" s="86" t="inlineStr">
        <x:is>
          <x:t xml:space="preserve">covered</x:t>
        </x:is>
      </x:c>
      <x:c r="I22" s="84" t="inlineStr">
        <x:is>
          <x:t xml:space="preserve">Switch playground scenario.</x:t>
        </x:is>
      </x:c>
      <x:c r="J22" s="84" t="n"/>
      <x:c r="K22" s="87" t="n">
        <x:v>0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</x:t>
        </x:is>
      </x:c>
      <x:c r="H23" s="86" t="inlineStr">
        <x:is>
          <x:t xml:space="preserve">covered</x:t>
        </x:is>
      </x:c>
      <x:c r="I23" s="84" t="inlineStr">
        <x:is>
          <x:t xml:space="preserve">Switch playground scenario.</x:t>
        </x:is>
      </x:c>
      <x:c r="J23" s="84" t="n"/>
      <x:c r="K23" s="87" t="n">
        <x:v>0</x:v>
      </x:c>
    </x:row>
    <x:row r="24" s="51" customFormat="1" ht="4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</x:t>
        </x:is>
      </x:c>
      <x:c r="H24" s="86" t="inlineStr">
        <x:is>
          <x:t xml:space="preserve">covered</x:t>
        </x:is>
      </x:c>
      <x:c r="I24" s="84" t="inlineStr">
        <x:is>
          <x:t xml:space="preserve">Switch playground scenario.</x:t>
        </x:is>
      </x:c>
      <x:c r="J24" s="84" t="n"/>
      <x:c r="K24" s="87" t="n">
        <x:v>0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</x:t>
        </x:is>
      </x:c>
      <x:c r="H25" s="86" t="inlineStr">
        <x:is>
          <x:t xml:space="preserve">covered</x:t>
        </x:is>
      </x:c>
      <x:c r="I25" s="84" t="inlineStr">
        <x:is>
          <x:t xml:space="preserve">Switch playground scenario.</x:t>
        </x:is>
      </x:c>
      <x:c r="J25" s="84" t="n"/>
      <x:c r="K25" s="87" t="n">
        <x:v>0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</x:t>
        </x:is>
      </x:c>
      <x:c r="H26" s="86" t="inlineStr">
        <x:is>
          <x:t xml:space="preserve">covered</x:t>
        </x:is>
      </x:c>
      <x:c r="I26" s="84" t="inlineStr">
        <x:is>
          <x:t xml:space="preserve">Package tests/source review verify consumer ref plumbing for Switch; playground manual pass can inspect rendered DOM behavior.</x:t>
        </x:is>
      </x:c>
      <x:c r="J26" s="84" t="n"/>
      <x:c r="K26" s="87" t="n">
        <x:v>0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checked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</x:t>
        </x:is>
      </x:c>
      <x:c r="H27" s="86" t="inlineStr">
        <x:is>
          <x:t xml:space="preserve">covered</x:t>
        </x:is>
      </x:c>
      <x:c r="I27" s="84" t="inlineStr">
        <x:is>
          <x:t xml:space="preserve">Switch playground scenario.</x:t>
        </x:is>
      </x:c>
      <x:c r="J27" s="84" t="n"/>
      <x:c r="K27" s="87" t="n">
        <x:v>0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defaultChecked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</x:t>
        </x:is>
      </x:c>
      <x:c r="H28" s="86" t="inlineStr">
        <x:is>
          <x:t xml:space="preserve">covered</x:t>
        </x:is>
      </x:c>
      <x:c r="I28" s="84" t="inlineStr">
        <x:is>
          <x:t xml:space="preserve">Switch playground scenario.</x:t>
        </x:is>
      </x:c>
      <x:c r="J28" s="84" t="n"/>
      <x:c r="K28" s="87" t="n">
        <x:v>0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onCheckedChange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</x:t>
        </x:is>
      </x:c>
      <x:c r="H29" s="86" t="inlineStr">
        <x:is>
          <x:t xml:space="preserve">covered</x:t>
        </x:is>
      </x:c>
      <x:c r="I29" s="84" t="inlineStr">
        <x:is>
          <x:t xml:space="preserve">Switch playground scenario.</x:t>
        </x:is>
      </x:c>
      <x:c r="J29" s="84" t="n"/>
      <x:c r="K29" s="87" t="n">
        <x:v>0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disabled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</x:t>
        </x:is>
      </x:c>
      <x:c r="H30" s="86" t="inlineStr">
        <x:is>
          <x:t xml:space="preserve">covered</x:t>
        </x:is>
      </x:c>
      <x:c r="I30" s="84" t="inlineStr">
        <x:is>
          <x:t xml:space="preserve">Switch playground scenario.</x:t>
        </x:is>
      </x:c>
      <x:c r="J30" s="84" t="n"/>
      <x:c r="K30" s="87" t="n">
        <x:v>0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readOnly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</x:t>
        </x:is>
      </x:c>
      <x:c r="H31" s="86" t="inlineStr">
        <x:is>
          <x:t xml:space="preserve">covered</x:t>
        </x:is>
      </x:c>
      <x:c r="I31" s="84" t="inlineStr">
        <x:is>
          <x:t xml:space="preserve">Switch playground scenario.</x:t>
        </x:is>
      </x:c>
      <x:c r="J31" s="84" t="n"/>
      <x:c r="K31" s="87" t="n">
        <x:v>0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invalid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</x:t>
        </x:is>
      </x:c>
      <x:c r="H32" s="86" t="inlineStr">
        <x:is>
          <x:t xml:space="preserve">covered</x:t>
        </x:is>
      </x:c>
      <x:c r="I32" s="84" t="inlineStr">
        <x:is>
          <x:t xml:space="preserve">Switch playground scenario.</x:t>
        </x:is>
      </x:c>
      <x:c r="J32" s="84" t="n"/>
      <x:c r="K32" s="87" t="n">
        <x:v>0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required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</x:t>
        </x:is>
      </x:c>
      <x:c r="H33" s="86" t="inlineStr">
        <x:is>
          <x:t xml:space="preserve">covered</x:t>
        </x:is>
      </x:c>
      <x:c r="I33" s="84" t="inlineStr">
        <x:is>
          <x:t xml:space="preserve">Switch playground scenario.</x:t>
        </x:is>
      </x:c>
      <x:c r="J33" s="84" t="n"/>
      <x:c r="K33" s="87" t="n">
        <x:v>0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name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</x:t>
        </x:is>
      </x:c>
      <x:c r="H34" s="86" t="inlineStr">
        <x:is>
          <x:t xml:space="preserve">covered</x:t>
        </x:is>
      </x:c>
      <x:c r="I34" s="84" t="inlineStr">
        <x:is>
          <x:t xml:space="preserve">Switch playground scenario.</x:t>
        </x:is>
      </x:c>
      <x:c r="J34" s="84" t="n"/>
      <x:c r="K34" s="87" t="n">
        <x:v>0</x:v>
      </x:c>
    </x:row>
    <x:row r="35" s="51" customFormat="1" ht="1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Root</x:t>
        </x:is>
      </x:c>
      <x:c r="D35" s="84" t="inlineStr">
        <x:is>
          <x:t xml:space="preserve">value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</x:t>
        </x:is>
      </x:c>
      <x:c r="H35" s="86" t="inlineStr">
        <x:is>
          <x:t xml:space="preserve">covered</x:t>
        </x:is>
      </x:c>
      <x:c r="I35" s="84" t="inlineStr">
        <x:is>
          <x:t xml:space="preserve">Switch playground scenario.</x:t>
        </x:is>
      </x:c>
      <x:c r="J35" s="84" t="n"/>
      <x:c r="K35" s="87" t="n">
        <x:v>0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form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</x:t>
        </x:is>
      </x:c>
      <x:c r="H36" s="86" t="inlineStr">
        <x:is>
          <x:t xml:space="preserve">covered</x:t>
        </x:is>
      </x:c>
      <x:c r="I36" s="84" t="inlineStr">
        <x:is>
          <x:t xml:space="preserve">Switch playground scenario.</x:t>
        </x:is>
      </x:c>
      <x:c r="J36" s="84" t="n"/>
      <x:c r="K36" s="87" t="n">
        <x:v>0</x:v>
      </x:c>
    </x:row>
    <x:row r="37" s="51" customFormat="1" ht="15" customHeight="1">
      <x:c r="A37" s="73" t="n">
        <x:v>29</x:v>
      </x:c>
      <x:c r="B37" s="84" t="inlineStr">
        <x:is>
          <x:t xml:space="preserve">Accessibility</x:t>
        </x:is>
      </x:c>
      <x:c r="C37" s="84" t="inlineStr">
        <x:is>
          <x:t xml:space="preserve">Root</x:t>
        </x:is>
      </x:c>
      <x:c r="D37" s="84" t="inlineStr">
        <x:is>
          <x:t xml:space="preserve">aria-label prop behavior</x:t>
        </x:is>
      </x:c>
      <x:c r="E37" s="76" t="inlineStr">
        <x:is>
          <x:t xml:space="preserve">yes</x:t>
        </x:is>
      </x:c>
      <x:c r="F37" s="85" t="inlineStr">
        <x:is>
          <x:t xml:space="preserve">no</x:t>
        </x:is>
      </x:c>
      <x:c r="G37" s="73" t="inlineStr">
        <x:is>
          <x:t xml:space="preserve">automated tests pass; manual pending</x:t>
        </x:is>
      </x:c>
      <x:c r="H37" s="86" t="inlineStr">
        <x:is>
          <x:t xml:space="preserve">untested</x:t>
        </x:is>
      </x:c>
      <x:c r="I37" s="84" t="inlineStr">
        <x:is>
          <x:t xml:space="preserve">Form &gt; Control: Foundation plus the component scenario and automated package tests.</x:t>
        </x:is>
      </x:c>
      <x:c r="J37" s="84" t="inlineStr">
        <x:is>
          <x:t xml:space="preserve">Run the form-foundation manual protocol.</x:t>
        </x:is>
      </x:c>
      <x:c r="K37" s="87" t="n">
        <x:v>0</x:v>
      </x:c>
    </x:row>
    <x:row r="38" s="51" customFormat="1" ht="15" customHeight="1">
      <x:c r="A38" s="73" t="n">
        <x:v>30</x:v>
      </x:c>
      <x:c r="B38" s="84" t="inlineStr">
        <x:is>
          <x:t xml:space="preserve">Composition</x:t>
        </x:is>
      </x:c>
      <x:c r="C38" s="84" t="inlineStr">
        <x:is>
          <x:t xml:space="preserve">Root</x:t>
        </x:is>
      </x:c>
      <x:c r="D38" s="84" t="inlineStr">
        <x:is>
          <x:t xml:space="preserve">asChild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</x:t>
        </x:is>
      </x:c>
      <x:c r="H38" s="86" t="inlineStr">
        <x:is>
          <x:t xml:space="preserve">covered</x:t>
        </x:is>
      </x:c>
      <x:c r="I38" s="84" t="inlineStr">
        <x:is>
          <x:t xml:space="preserve">Switch playground scenario.</x:t>
        </x:is>
      </x:c>
      <x:c r="J38" s="84" t="n"/>
      <x:c r="K38" s="87" t="n">
        <x:v>0</x:v>
      </x:c>
    </x:row>
    <x:row r="39" s="51" customFormat="1" ht="15" customHeight="1">
      <x:c r="A39" s="73" t="n">
        <x:v>31</x:v>
      </x:c>
      <x:c r="B39" s="84" t="inlineStr">
        <x:is>
          <x:t xml:space="preserve">Composition</x:t>
        </x:is>
      </x:c>
      <x:c r="C39" s="84" t="inlineStr">
        <x:is>
          <x:t xml:space="preserve">Root</x:t>
        </x:is>
      </x:c>
      <x:c r="D39" s="84" t="inlineStr">
        <x:is>
          <x:t xml:space="preserve">render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</x:t>
        </x:is>
      </x:c>
      <x:c r="H39" s="86" t="inlineStr">
        <x:is>
          <x:t xml:space="preserve">covered</x:t>
        </x:is>
      </x:c>
      <x:c r="I39" s="84" t="inlineStr">
        <x:is>
          <x:t xml:space="preserve">Switch playground scenario.</x:t>
        </x:is>
      </x:c>
      <x:c r="J39" s="84" t="n"/>
      <x:c r="K39" s="87" t="n">
        <x:v>0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[data-slot]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</x:t>
        </x:is>
      </x:c>
      <x:c r="H40" s="86" t="inlineStr">
        <x:is>
          <x:t xml:space="preserve">covered</x:t>
        </x:is>
      </x:c>
      <x:c r="I40" s="84" t="inlineStr">
        <x:is>
          <x:t xml:space="preserve">Switch playground scenario.</x:t>
        </x:is>
      </x:c>
      <x:c r="J40" s="84" t="n"/>
      <x:c r="K40" s="87" t="n">
        <x:v>0</x:v>
      </x:c>
    </x:row>
    <x:row r="41" s="51" customFormat="1" ht="15" customHeight="1">
      <x:c r="A41" s="73" t="n">
        <x:v>33</x:v>
      </x:c>
      <x:c r="B41" s="84" t="inlineStr">
        <x:is>
          <x:t xml:space="preserve">Public API</x:t>
        </x:is>
      </x:c>
      <x:c r="C41" s="84" t="inlineStr">
        <x:is>
          <x:t xml:space="preserve">Root</x:t>
        </x:is>
      </x:c>
      <x:c r="D41" s="84" t="inlineStr">
        <x:is>
          <x:t xml:space="preserve">[data-state]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</x:t>
        </x:is>
      </x:c>
      <x:c r="H41" s="86" t="inlineStr">
        <x:is>
          <x:t xml:space="preserve">covered</x:t>
        </x:is>
      </x:c>
      <x:c r="I41" s="84" t="inlineStr">
        <x:is>
          <x:t xml:space="preserve">Switch playground scenario.</x:t>
        </x:is>
      </x:c>
      <x:c r="J41" s="84" t="n"/>
      <x:c r="K41" s="87" t="n">
        <x:v>0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Root</x:t>
        </x:is>
      </x:c>
      <x:c r="D42" s="84" t="inlineStr">
        <x:is>
          <x:t xml:space="preserve">[data-disabled]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</x:t>
        </x:is>
      </x:c>
      <x:c r="H42" s="86" t="inlineStr">
        <x:is>
          <x:t xml:space="preserve">covered</x:t>
        </x:is>
      </x:c>
      <x:c r="I42" s="84" t="inlineStr">
        <x:is>
          <x:t xml:space="preserve">Switch playground scenario.</x:t>
        </x:is>
      </x:c>
      <x:c r="J42" s="84" t="n"/>
      <x:c r="K42" s="87" t="n">
        <x:v>0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Root</x:t>
        </x:is>
      </x:c>
      <x:c r="D43" s="84" t="inlineStr">
        <x:is>
          <x:t xml:space="preserve">[data-readonly]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</x:t>
        </x:is>
      </x:c>
      <x:c r="H43" s="86" t="inlineStr">
        <x:is>
          <x:t xml:space="preserve">covered</x:t>
        </x:is>
      </x:c>
      <x:c r="I43" s="84" t="inlineStr">
        <x:is>
          <x:t xml:space="preserve">Switch playground scenario.</x:t>
        </x:is>
      </x:c>
      <x:c r="J43" s="84" t="n"/>
      <x:c r="K43" s="87" t="n">
        <x:v>0</x:v>
      </x:c>
    </x:row>
    <x:row r="44" s="51" customFormat="1" ht="15" customHeight="1">
      <x:c r="A44" s="73" t="n">
        <x:v>36</x:v>
      </x:c>
      <x:c r="B44" s="84" t="inlineStr">
        <x:is>
          <x:t xml:space="preserve">State</x:t>
        </x:is>
      </x:c>
      <x:c r="C44" s="84" t="inlineStr">
        <x:is>
          <x:t xml:space="preserve">Root</x:t>
        </x:is>
      </x:c>
      <x:c r="D44" s="84" t="inlineStr">
        <x:is>
          <x:t xml:space="preserve">[data-required]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</x:t>
        </x:is>
      </x:c>
      <x:c r="H44" s="86" t="inlineStr">
        <x:is>
          <x:t xml:space="preserve">covered</x:t>
        </x:is>
      </x:c>
      <x:c r="I44" s="84" t="inlineStr">
        <x:is>
          <x:t xml:space="preserve">Switch playground scenario.</x:t>
        </x:is>
      </x:c>
      <x:c r="J44" s="84" t="n"/>
      <x:c r="K44" s="87" t="n">
        <x:v>0</x:v>
      </x:c>
    </x:row>
    <x:row r="45" s="51" customFormat="1" ht="15" customHeight="1">
      <x:c r="A45" s="73" t="n">
        <x:v>37</x:v>
      </x:c>
      <x:c r="B45" s="84" t="inlineStr">
        <x:is>
          <x:t xml:space="preserve">State</x:t>
        </x:is>
      </x:c>
      <x:c r="C45" s="84" t="inlineStr">
        <x:is>
          <x:t xml:space="preserve">Root</x:t>
        </x:is>
      </x:c>
      <x:c r="D45" s="84" t="inlineStr">
        <x:is>
          <x:t xml:space="preserve">[data-invalid]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</x:t>
        </x:is>
      </x:c>
      <x:c r="H45" s="86" t="inlineStr">
        <x:is>
          <x:t xml:space="preserve">covered</x:t>
        </x:is>
      </x:c>
      <x:c r="I45" s="84" t="inlineStr">
        <x:is>
          <x:t xml:space="preserve">Switch playground scenario.</x:t>
        </x:is>
      </x:c>
      <x:c r="J45" s="84" t="n"/>
      <x:c r="K45" s="87" t="n">
        <x:v>0</x:v>
      </x:c>
    </x:row>
    <x:row r="46" s="51" customFormat="1" ht="1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Thumb</x:t>
        </x:is>
      </x:c>
      <x:c r="D46" s="84" t="inlineStr">
        <x:is>
          <x:t xml:space="preserve">renders correct part when expected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</x:t>
        </x:is>
      </x:c>
      <x:c r="H46" s="86" t="inlineStr">
        <x:is>
          <x:t xml:space="preserve">covered</x:t>
        </x:is>
      </x:c>
      <x:c r="I46" s="84" t="inlineStr">
        <x:is>
          <x:t xml:space="preserve">Switch playground scenario.</x:t>
        </x:is>
      </x:c>
      <x:c r="J46" s="84" t="n"/>
      <x:c r="K46" s="87" t="n">
        <x:v>0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Thumb</x:t>
        </x:is>
      </x:c>
      <x:c r="D47" s="84" t="inlineStr">
        <x:is>
          <x:t xml:space="preserve">appears in documented order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</x:t>
        </x:is>
      </x:c>
      <x:c r="H47" s="86" t="inlineStr">
        <x:is>
          <x:t xml:space="preserve">covered</x:t>
        </x:is>
      </x:c>
      <x:c r="I47" s="84" t="inlineStr">
        <x:is>
          <x:t xml:space="preserve">Switch playground scenario.</x:t>
        </x:is>
      </x:c>
      <x:c r="J47" s="84" t="n"/>
      <x:c r="K47" s="87" t="n">
        <x:v>0</x:v>
      </x:c>
    </x:row>
    <x:row r="48" s="51" customFormat="1" ht="30" customHeight="1">
      <x:c r="A48" s="73" t="n">
        <x:v>40</x:v>
      </x:c>
      <x:c r="B48" s="84" t="inlineStr">
        <x:is>
          <x:t xml:space="preserve">Identity</x:t>
        </x:is>
      </x:c>
      <x:c r="C48" s="84" t="inlineStr">
        <x:is>
          <x:t xml:space="preserve">Thumb</x:t>
        </x:is>
      </x:c>
      <x:c r="D48" s="84" t="inlineStr">
        <x:is>
          <x:t xml:space="preserve">default tag is visible in Anatomy/Inspector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</x:t>
        </x:is>
      </x:c>
      <x:c r="H48" s="86" t="inlineStr">
        <x:is>
          <x:t xml:space="preserve">covered</x:t>
        </x:is>
      </x:c>
      <x:c r="I48" s="84" t="inlineStr">
        <x:is>
          <x:t xml:space="preserve">Switch playground scenario.</x:t>
        </x:is>
      </x:c>
      <x:c r="J48" s="84" t="n"/>
      <x:c r="K48" s="87" t="n">
        <x:v>0</x:v>
      </x:c>
    </x:row>
    <x:row r="49" s="51" customFormat="1" ht="45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Thumb</x:t>
        </x:is>
      </x:c>
      <x:c r="D49" s="84" t="inlineStr">
        <x:is>
          <x:t xml:space="preserve">data-slot is present and correct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</x:t>
        </x:is>
      </x:c>
      <x:c r="H49" s="86" t="inlineStr">
        <x:is>
          <x:t xml:space="preserve">covered</x:t>
        </x:is>
      </x:c>
      <x:c r="I49" s="84" t="inlineStr">
        <x:is>
          <x:t xml:space="preserve">Switch playground scenario.</x:t>
        </x:is>
      </x:c>
      <x:c r="J49" s="84" t="n"/>
      <x:c r="K49" s="87" t="n">
        <x:v>0</x:v>
      </x:c>
    </x:row>
    <x:row r="50" s="51" customFormat="1" ht="15" customHeight="1">
      <x:c r="A50" s="73" t="n">
        <x:v>42</x:v>
      </x:c>
      <x:c r="B50" s="84" t="inlineStr">
        <x:is>
          <x:t xml:space="preserve">Props</x:t>
        </x:is>
      </x:c>
      <x:c r="C50" s="84" t="inlineStr">
        <x:is>
          <x:t xml:space="preserve">Thumb</x:t>
        </x:is>
      </x:c>
      <x:c r="D50" s="84" t="inlineStr">
        <x:is>
          <x:t xml:space="preserve">non-Atom native props pass through with data-prop-check marker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</x:t>
        </x:is>
      </x:c>
      <x:c r="H50" s="86" t="inlineStr">
        <x:is>
          <x:t xml:space="preserve">covered</x:t>
        </x:is>
      </x:c>
      <x:c r="I50" s="84" t="inlineStr">
        <x:is>
          <x:t xml:space="preserve">Switch playground scenario.</x:t>
        </x:is>
      </x:c>
      <x:c r="J50" s="84" t="n"/>
      <x:c r="K50" s="87" t="n">
        <x:v>0</x:v>
      </x:c>
    </x:row>
    <x:row r="51" s="51" customFormat="1" ht="15" customHeight="1">
      <x:c r="A51" s="73" t="n">
        <x:v>43</x:v>
      </x:c>
      <x:c r="B51" s="84" t="inlineStr">
        <x:is>
          <x:t xml:space="preserve">Refs</x:t>
        </x:is>
      </x:c>
      <x:c r="C51" s="84" t="inlineStr">
        <x:is>
          <x:t xml:space="preserve">Thumb</x:t>
        </x:is>
      </x:c>
      <x:c r="D51" s="84" t="inlineStr">
        <x:is>
          <x:t xml:space="preserve">consumer ref receives the rendered element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</x:t>
        </x:is>
      </x:c>
      <x:c r="H51" s="86" t="inlineStr">
        <x:is>
          <x:t xml:space="preserve">covered</x:t>
        </x:is>
      </x:c>
      <x:c r="I51" s="84" t="inlineStr">
        <x:is>
          <x:t xml:space="preserve">Package tests/source review verify consumer ref plumbing for Switch; playground manual pass can inspect rendered DOM behavior.</x:t>
        </x:is>
      </x:c>
      <x:c r="J51" s="84" t="n"/>
      <x:c r="K51" s="87" t="n">
        <x:v>0</x:v>
      </x:c>
    </x:row>
    <x:row r="52" s="51" customFormat="1" ht="15" customHeight="1">
      <x:c r="A52" s="73" t="n">
        <x:v>44</x:v>
      </x:c>
      <x:c r="B52" s="84" t="inlineStr">
        <x:is>
          <x:t xml:space="preserve">Composition</x:t>
        </x:is>
      </x:c>
      <x:c r="C52" s="84" t="inlineStr">
        <x:is>
          <x:t xml:space="preserve">Thumb</x:t>
        </x:is>
      </x:c>
      <x:c r="D52" s="84" t="inlineStr">
        <x:is>
          <x:t xml:space="preserve">asChild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</x:t>
        </x:is>
      </x:c>
      <x:c r="H52" s="86" t="inlineStr">
        <x:is>
          <x:t xml:space="preserve">covered</x:t>
        </x:is>
      </x:c>
      <x:c r="I52" s="84" t="inlineStr">
        <x:is>
          <x:t xml:space="preserve">Switch playground scenario.</x:t>
        </x:is>
      </x:c>
      <x:c r="J52" s="84" t="n"/>
      <x:c r="K52" s="87" t="n">
        <x:v>0</x:v>
      </x:c>
    </x:row>
    <x:row r="53" s="51" customFormat="1" ht="15" customHeight="1">
      <x:c r="A53" s="73" t="n">
        <x:v>45</x:v>
      </x:c>
      <x:c r="B53" s="84" t="inlineStr">
        <x:is>
          <x:t xml:space="preserve">Composition</x:t>
        </x:is>
      </x:c>
      <x:c r="C53" s="84" t="inlineStr">
        <x:is>
          <x:t xml:space="preserve">Thumb</x:t>
        </x:is>
      </x:c>
      <x:c r="D53" s="84" t="inlineStr">
        <x:is>
          <x:t xml:space="preserve">render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</x:t>
        </x:is>
      </x:c>
      <x:c r="H53" s="86" t="inlineStr">
        <x:is>
          <x:t xml:space="preserve">covered</x:t>
        </x:is>
      </x:c>
      <x:c r="I53" s="84" t="inlineStr">
        <x:is>
          <x:t xml:space="preserve">Switch playground scenario.</x:t>
        </x:is>
      </x:c>
      <x:c r="J53" s="84" t="n"/>
      <x:c r="K53" s="87" t="n">
        <x:v>0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Thumb</x:t>
        </x:is>
      </x:c>
      <x:c r="D54" s="84" t="inlineStr">
        <x:is>
          <x:t xml:space="preserve">[data-slot]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</x:t>
        </x:is>
      </x:c>
      <x:c r="H54" s="86" t="inlineStr">
        <x:is>
          <x:t xml:space="preserve">covered</x:t>
        </x:is>
      </x:c>
      <x:c r="I54" s="84" t="inlineStr">
        <x:is>
          <x:t xml:space="preserve">Switch playground scenario.</x:t>
        </x:is>
      </x:c>
      <x:c r="J54" s="84" t="n"/>
      <x:c r="K54" s="87" t="n">
        <x:v>0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Thumb</x:t>
        </x:is>
      </x:c>
      <x:c r="D55" s="84" t="inlineStr">
        <x:is>
          <x:t xml:space="preserve">[data-state]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</x:t>
        </x:is>
      </x:c>
      <x:c r="H55" s="86" t="inlineStr">
        <x:is>
          <x:t xml:space="preserve">covered</x:t>
        </x:is>
      </x:c>
      <x:c r="I55" s="84" t="inlineStr">
        <x:is>
          <x:t xml:space="preserve">Switch playground scenario.</x:t>
        </x:is>
      </x:c>
      <x:c r="J55" s="84" t="n"/>
      <x:c r="K55" s="87" t="n">
        <x:v>0</x:v>
      </x:c>
    </x:row>
    <x:row r="56" s="51" customFormat="1" ht="15" customHeight="1">
      <x:c r="A56" s="73" t="n">
        <x:v>48</x:v>
      </x:c>
      <x:c r="B56" s="84" t="inlineStr">
        <x:is>
          <x:t xml:space="preserve">State</x:t>
        </x:is>
      </x:c>
      <x:c r="C56" s="84" t="inlineStr">
        <x:is>
          <x:t xml:space="preserve">Thumb</x:t>
        </x:is>
      </x:c>
      <x:c r="D56" s="84" t="inlineStr">
        <x:is>
          <x:t xml:space="preserve">[data-disabled]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</x:t>
        </x:is>
      </x:c>
      <x:c r="H56" s="86" t="inlineStr">
        <x:is>
          <x:t xml:space="preserve">covered</x:t>
        </x:is>
      </x:c>
      <x:c r="I56" s="84" t="inlineStr">
        <x:is>
          <x:t xml:space="preserve">Switch playground scenario.</x:t>
        </x:is>
      </x:c>
      <x:c r="J56" s="84" t="n"/>
      <x:c r="K56" s="87" t="n">
        <x:v>0</x:v>
      </x:c>
    </x:row>
    <x:row r="57" s="51" customFormat="1" ht="15" customHeight="1">
      <x:c r="A57" s="73" t="n">
        <x:v>49</x:v>
      </x:c>
      <x:c r="B57" s="84" t="inlineStr">
        <x:is>
          <x:t xml:space="preserve">State</x:t>
        </x:is>
      </x:c>
      <x:c r="C57" s="84" t="inlineStr">
        <x:is>
          <x:t xml:space="preserve">Thumb</x:t>
        </x:is>
      </x:c>
      <x:c r="D57" s="84" t="inlineStr">
        <x:is>
          <x:t xml:space="preserve">[data-readonly]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</x:t>
        </x:is>
      </x:c>
      <x:c r="H57" s="86" t="inlineStr">
        <x:is>
          <x:t xml:space="preserve">covered</x:t>
        </x:is>
      </x:c>
      <x:c r="I57" s="84" t="inlineStr">
        <x:is>
          <x:t xml:space="preserve">Switch playground scenario.</x:t>
        </x:is>
      </x:c>
      <x:c r="J57" s="84" t="n"/>
      <x:c r="K57" s="87" t="n">
        <x:v>0</x:v>
      </x:c>
    </x:row>
    <x:row r="58" s="51" customFormat="1" ht="15" customHeight="1">
      <x:c r="A58" s="73" t="n">
        <x:v>50</x:v>
      </x:c>
      <x:c r="B58" s="84" t="inlineStr">
        <x:is>
          <x:t xml:space="preserve">State</x:t>
        </x:is>
      </x:c>
      <x:c r="C58" s="84" t="inlineStr">
        <x:is>
          <x:t xml:space="preserve">Thumb</x:t>
        </x:is>
      </x:c>
      <x:c r="D58" s="84" t="inlineStr">
        <x:is>
          <x:t xml:space="preserve">[data-required]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</x:t>
        </x:is>
      </x:c>
      <x:c r="H58" s="86" t="inlineStr">
        <x:is>
          <x:t xml:space="preserve">covered</x:t>
        </x:is>
      </x:c>
      <x:c r="I58" s="84" t="inlineStr">
        <x:is>
          <x:t xml:space="preserve">Switch playground scenario.</x:t>
        </x:is>
      </x:c>
      <x:c r="J58" s="84" t="n"/>
      <x:c r="K58" s="87" t="n">
        <x:v>0</x:v>
      </x:c>
    </x:row>
    <x:row r="59" s="51" customFormat="1" ht="15" customHeight="1">
      <x:c r="A59" s="73" t="n">
        <x:v>51</x:v>
      </x:c>
      <x:c r="B59" s="84" t="inlineStr">
        <x:is>
          <x:t xml:space="preserve">State</x:t>
        </x:is>
      </x:c>
      <x:c r="C59" s="84" t="inlineStr">
        <x:is>
          <x:t xml:space="preserve">Thumb</x:t>
        </x:is>
      </x:c>
      <x:c r="D59" s="84" t="inlineStr">
        <x:is>
          <x:t xml:space="preserve">[data-invalid] prop behavior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</x:t>
        </x:is>
      </x:c>
      <x:c r="H59" s="86" t="inlineStr">
        <x:is>
          <x:t xml:space="preserve">covered</x:t>
        </x:is>
      </x:c>
      <x:c r="I59" s="84" t="inlineStr">
        <x:is>
          <x:t xml:space="preserve">Switch playground scenario.</x:t>
        </x:is>
      </x:c>
      <x:c r="J59" s="84" t="n"/>
      <x:c r="K59" s="87" t="n">
        <x:v>0</x:v>
      </x:c>
    </x:row>
    <x:row r="60" s="51" customFormat="1" ht="15" customHeight="1">
      <x:c r="A60" s="73" t="n">
        <x:v>52</x:v>
      </x:c>
      <x:c r="B60" s="84" t="inlineStr">
        <x:is>
          <x:t xml:space="preserve">ARIA</x:t>
        </x:is>
      </x:c>
      <x:c r="C60" s="84" t="inlineStr">
        <x:is>
          <x:t xml:space="preserve">Live DOM</x:t>
        </x:is>
      </x:c>
      <x:c r="D60" s="84" t="inlineStr">
        <x:is>
          <x:t xml:space="preserve">aria-checked is present at the correct time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</x:t>
        </x:is>
      </x:c>
      <x:c r="H60" s="86" t="inlineStr">
        <x:is>
          <x:t xml:space="preserve">covered</x:t>
        </x:is>
      </x:c>
      <x:c r="I60" s="84" t="inlineStr">
        <x:is>
          <x:t xml:space="preserve">Switch playground scenario.</x:t>
        </x:is>
      </x:c>
      <x:c r="J60" s="84" t="n"/>
      <x:c r="K60" s="87" t="n">
        <x:v>0</x:v>
      </x:c>
    </x:row>
    <x:row r="61" s="51" customFormat="1" ht="15" customHeight="1">
      <x:c r="A61" s="73" t="n">
        <x:v>53</x:v>
      </x:c>
      <x:c r="B61" s="84" t="inlineStr">
        <x:is>
          <x:t xml:space="preserve">ARIA</x:t>
        </x:is>
      </x:c>
      <x:c r="C61" s="84" t="inlineStr">
        <x:is>
          <x:t xml:space="preserve">Live DOM</x:t>
        </x:is>
      </x:c>
      <x:c r="D61" s="84" t="inlineStr">
        <x:is>
          <x:t xml:space="preserve">aria-hidden is present at the correct time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</x:t>
        </x:is>
      </x:c>
      <x:c r="H61" s="86" t="inlineStr">
        <x:is>
          <x:t xml:space="preserve">covered</x:t>
        </x:is>
      </x:c>
      <x:c r="I61" s="84" t="inlineStr">
        <x:is>
          <x:t xml:space="preserve">Switch playground scenario.</x:t>
        </x:is>
      </x:c>
      <x:c r="J61" s="84" t="n"/>
      <x:c r="K61" s="87" t="n">
        <x:v>0</x:v>
      </x:c>
    </x:row>
    <x:row r="62" s="51" customFormat="1" ht="15" customHeight="1">
      <x:c r="A62" s="73" t="n">
        <x:v>54</x:v>
      </x:c>
      <x:c r="B62" s="84" t="inlineStr">
        <x:is>
          <x:t xml:space="preserve">ARIA</x:t>
        </x:is>
      </x:c>
      <x:c r="C62" s="84" t="inlineStr">
        <x:is>
          <x:t xml:space="preserve">Live DOM</x:t>
        </x:is>
      </x:c>
      <x:c r="D62" s="84" t="inlineStr">
        <x:is>
          <x:t xml:space="preserve">aria-invalid is present at the correct time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</x:t>
        </x:is>
      </x:c>
      <x:c r="H62" s="86" t="inlineStr">
        <x:is>
          <x:t xml:space="preserve">covered</x:t>
        </x:is>
      </x:c>
      <x:c r="I62" s="84" t="inlineStr">
        <x:is>
          <x:t xml:space="preserve">Switch playground scenario.</x:t>
        </x:is>
      </x:c>
      <x:c r="J62" s="84" t="n"/>
      <x:c r="K62" s="87" t="n">
        <x:v>0</x:v>
      </x:c>
    </x:row>
    <x:row r="63" s="51" customFormat="1" ht="15" customHeight="1">
      <x:c r="A63" s="73" t="n">
        <x:v>55</x:v>
      </x:c>
      <x:c r="B63" s="84" t="inlineStr">
        <x:is>
          <x:t xml:space="preserve">ARIA</x:t>
        </x:is>
      </x:c>
      <x:c r="C63" s="84" t="inlineStr">
        <x:is>
          <x:t xml:space="preserve">Live DOM</x:t>
        </x:is>
      </x:c>
      <x:c r="D63" s="84" t="inlineStr">
        <x:is>
          <x:t xml:space="preserve">aria-label is present at the correct time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</x:t>
        </x:is>
      </x:c>
      <x:c r="H63" s="86" t="inlineStr">
        <x:is>
          <x:t xml:space="preserve">covered</x:t>
        </x:is>
      </x:c>
      <x:c r="I63" s="84" t="inlineStr">
        <x:is>
          <x:t xml:space="preserve">Switch playground scenario.</x:t>
        </x:is>
      </x:c>
      <x:c r="J63" s="84" t="n"/>
      <x:c r="K63" s="87" t="n">
        <x:v>0</x:v>
      </x:c>
    </x:row>
    <x:row r="64" s="51" customFormat="1" ht="15" customHeight="1">
      <x:c r="A64" s="73" t="n">
        <x:v>56</x:v>
      </x:c>
      <x:c r="B64" s="84" t="inlineStr">
        <x:is>
          <x:t xml:space="preserve">ARIA</x:t>
        </x:is>
      </x:c>
      <x:c r="C64" s="84" t="inlineStr">
        <x:is>
          <x:t xml:space="preserve">Live DOM</x:t>
        </x:is>
      </x:c>
      <x:c r="D64" s="84" t="inlineStr">
        <x:is>
          <x:t xml:space="preserve">aria-readonly is present at the correct time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</x:t>
        </x:is>
      </x:c>
      <x:c r="H64" s="86" t="inlineStr">
        <x:is>
          <x:t xml:space="preserve">covered</x:t>
        </x:is>
      </x:c>
      <x:c r="I64" s="84" t="inlineStr">
        <x:is>
          <x:t xml:space="preserve">Switch playground scenario.</x:t>
        </x:is>
      </x:c>
      <x:c r="J64" s="84" t="n"/>
      <x:c r="K64" s="87" t="n">
        <x:v>0</x:v>
      </x:c>
    </x:row>
    <x:row r="65" s="51" customFormat="1" ht="15" customHeight="1">
      <x:c r="A65" s="73" t="n">
        <x:v>57</x:v>
      </x:c>
      <x:c r="B65" s="84" t="inlineStr">
        <x:is>
          <x:t xml:space="preserve">ARIA</x:t>
        </x:is>
      </x:c>
      <x:c r="C65" s="84" t="inlineStr">
        <x:is>
          <x:t xml:space="preserve">Live DOM</x:t>
        </x:is>
      </x:c>
      <x:c r="D65" s="84" t="inlineStr">
        <x:is>
          <x:t xml:space="preserve">aria-required is present at the correct time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</x:t>
        </x:is>
      </x:c>
      <x:c r="H65" s="86" t="inlineStr">
        <x:is>
          <x:t xml:space="preserve">covered</x:t>
        </x:is>
      </x:c>
      <x:c r="I65" s="84" t="inlineStr">
        <x:is>
          <x:t xml:space="preserve">Switch playground scenario.</x:t>
        </x:is>
      </x:c>
      <x:c r="J65" s="84" t="n"/>
      <x:c r="K65" s="87" t="n">
        <x:v>0</x:v>
      </x:c>
    </x:row>
    <x:row r="66" s="51" customFormat="1" ht="15" customHeight="1">
      <x:c r="A66" s="73" t="n">
        <x:v>58</x:v>
      </x:c>
      <x:c r="B66" s="84" t="inlineStr">
        <x:is>
          <x:t xml:space="preserve">Data</x:t>
        </x:is>
      </x:c>
      <x:c r="C66" s="84" t="inlineStr">
        <x:is>
          <x:t xml:space="preserve">Live DOM</x:t>
        </x:is>
      </x:c>
      <x:c r="D66" s="84" t="inlineStr">
        <x:is>
          <x:t xml:space="preserve">data-disabled is present at the correct time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</x:t>
        </x:is>
      </x:c>
      <x:c r="H66" s="86" t="inlineStr">
        <x:is>
          <x:t xml:space="preserve">covered</x:t>
        </x:is>
      </x:c>
      <x:c r="I66" s="84" t="inlineStr">
        <x:is>
          <x:t xml:space="preserve">Switch playground scenario.</x:t>
        </x:is>
      </x:c>
      <x:c r="J66" s="84" t="n"/>
      <x:c r="K66" s="87" t="n">
        <x:v>0</x:v>
      </x:c>
    </x:row>
    <x:row r="67" s="51" customFormat="1" ht="15" customHeight="1">
      <x:c r="A67" s="73" t="n">
        <x:v>59</x:v>
      </x:c>
      <x:c r="B67" s="84" t="inlineStr">
        <x:is>
          <x:t xml:space="preserve">Data</x:t>
        </x:is>
      </x:c>
      <x:c r="C67" s="84" t="inlineStr">
        <x:is>
          <x:t xml:space="preserve">Live DOM</x:t>
        </x:is>
      </x:c>
      <x:c r="D67" s="84" t="inlineStr">
        <x:is>
          <x:t xml:space="preserve">data-invalid is present at the correct time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</x:t>
        </x:is>
      </x:c>
      <x:c r="H67" s="86" t="inlineStr">
        <x:is>
          <x:t xml:space="preserve">covered</x:t>
        </x:is>
      </x:c>
      <x:c r="I67" s="84" t="inlineStr">
        <x:is>
          <x:t xml:space="preserve">Switch playground scenario.</x:t>
        </x:is>
      </x:c>
      <x:c r="J67" s="84" t="n"/>
      <x:c r="K67" s="87" t="n">
        <x:v>0</x:v>
      </x:c>
    </x:row>
    <x:row r="68" s="51" customFormat="1" ht="15" customHeight="1">
      <x:c r="A68" s="73" t="n">
        <x:v>60</x:v>
      </x:c>
      <x:c r="B68" s="84" t="inlineStr">
        <x:is>
          <x:t xml:space="preserve">Data</x:t>
        </x:is>
      </x:c>
      <x:c r="C68" s="84" t="inlineStr">
        <x:is>
          <x:t xml:space="preserve">Live DOM</x:t>
        </x:is>
      </x:c>
      <x:c r="D68" s="84" t="inlineStr">
        <x:is>
          <x:t xml:space="preserve">data-readonly is present at the correct time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</x:t>
        </x:is>
      </x:c>
      <x:c r="H68" s="86" t="inlineStr">
        <x:is>
          <x:t xml:space="preserve">covered</x:t>
        </x:is>
      </x:c>
      <x:c r="I68" s="84" t="inlineStr">
        <x:is>
          <x:t xml:space="preserve">Switch playground scenario.</x:t>
        </x:is>
      </x:c>
      <x:c r="J68" s="84" t="n"/>
      <x:c r="K68" s="87" t="n">
        <x:v>0</x:v>
      </x:c>
    </x:row>
    <x:row r="69" s="51" customFormat="1" ht="15" customHeight="1">
      <x:c r="A69" s="73" t="n">
        <x:v>61</x:v>
      </x:c>
      <x:c r="B69" s="84" t="inlineStr">
        <x:is>
          <x:t xml:space="preserve">Data</x:t>
        </x:is>
      </x:c>
      <x:c r="C69" s="84" t="inlineStr">
        <x:is>
          <x:t xml:space="preserve">Live DOM</x:t>
        </x:is>
      </x:c>
      <x:c r="D69" s="84" t="inlineStr">
        <x:is>
          <x:t xml:space="preserve">data-required is present at the correct time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</x:t>
        </x:is>
      </x:c>
      <x:c r="H69" s="86" t="inlineStr">
        <x:is>
          <x:t xml:space="preserve">covered</x:t>
        </x:is>
      </x:c>
      <x:c r="I69" s="84" t="inlineStr">
        <x:is>
          <x:t xml:space="preserve">Switch playground scenario.</x:t>
        </x:is>
      </x:c>
      <x:c r="J69" s="84" t="n"/>
      <x:c r="K69" s="87" t="n">
        <x:v>0</x:v>
      </x:c>
    </x:row>
    <x:row r="70" s="51" customFormat="1" ht="15" customHeight="1">
      <x:c r="A70" s="73" t="n">
        <x:v>62</x:v>
      </x:c>
      <x:c r="B70" s="84" t="inlineStr">
        <x:is>
          <x:t xml:space="preserve">Data</x:t>
        </x:is>
      </x:c>
      <x:c r="C70" s="84" t="inlineStr">
        <x:is>
          <x:t xml:space="preserve">Live DOM</x:t>
        </x:is>
      </x:c>
      <x:c r="D70" s="84" t="inlineStr">
        <x:is>
          <x:t xml:space="preserve">data-slot is present at the correct time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</x:t>
        </x:is>
      </x:c>
      <x:c r="H70" s="86" t="inlineStr">
        <x:is>
          <x:t xml:space="preserve">covered</x:t>
        </x:is>
      </x:c>
      <x:c r="I70" s="84" t="inlineStr">
        <x:is>
          <x:t xml:space="preserve">Switch playground scenario.</x:t>
        </x:is>
      </x:c>
      <x:c r="J70" s="84" t="n"/>
      <x:c r="K70" s="87" t="n">
        <x:v>0</x:v>
      </x:c>
    </x:row>
    <x:row r="71" s="51" customFormat="1" ht="15" customHeight="1">
      <x:c r="A71" s="73" t="n">
        <x:v>63</x:v>
      </x:c>
      <x:c r="B71" s="84" t="inlineStr">
        <x:is>
          <x:t xml:space="preserve">Data</x:t>
        </x:is>
      </x:c>
      <x:c r="C71" s="84" t="inlineStr">
        <x:is>
          <x:t xml:space="preserve">Live DOM</x:t>
        </x:is>
      </x:c>
      <x:c r="D71" s="84" t="inlineStr">
        <x:is>
          <x:t xml:space="preserve">data-state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</x:t>
        </x:is>
      </x:c>
      <x:c r="H71" s="86" t="inlineStr">
        <x:is>
          <x:t xml:space="preserve">covered</x:t>
        </x:is>
      </x:c>
      <x:c r="I71" s="84" t="inlineStr">
        <x:is>
          <x:t xml:space="preserve">Switch playground scenario.</x:t>
        </x:is>
      </x:c>
      <x:c r="J71" s="84" t="n"/>
      <x:c r="K71" s="87" t="n">
        <x:v>0</x:v>
      </x:c>
    </x:row>
    <x:row r="72" s="51" customFormat="1" ht="30" customHeight="1">
      <x:c r="A72" s="73" t="n">
        <x:v>64</x:v>
      </x:c>
      <x:c r="B72" s="84" t="inlineStr">
        <x:is>
          <x:t xml:space="preserve">Composition</x:t>
        </x:is>
      </x:c>
      <x:c r="C72" s="84" t="inlineStr">
        <x:is>
          <x:t xml:space="preserve">Switch</x:t>
        </x:is>
      </x:c>
      <x:c r="D72" s="84" t="inlineStr">
        <x:is>
          <x:t xml:space="preserve">asChild preserves child content without double nesting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</x:t>
        </x:is>
      </x:c>
      <x:c r="H72" s="86" t="inlineStr">
        <x:is>
          <x:t xml:space="preserve">covered</x:t>
        </x:is>
      </x:c>
      <x:c r="I72" s="84" t="inlineStr">
        <x:is>
          <x:t xml:space="preserve">Switch playground scenario.</x:t>
        </x:is>
      </x:c>
      <x:c r="J72" s="84" t="n"/>
      <x:c r="K72" s="87" t="n">
        <x:v>0</x:v>
      </x:c>
    </x:row>
    <x:row r="73" s="51" customFormat="1" ht="15" customHeight="1">
      <x:c r="A73" s="73" t="n">
        <x:v>65</x:v>
      </x:c>
      <x:c r="B73" s="84" t="inlineStr">
        <x:is>
          <x:t xml:space="preserve">Composition</x:t>
        </x:is>
      </x:c>
      <x:c r="C73" s="84" t="inlineStr">
        <x:is>
          <x:t xml:space="preserve">Switch</x:t>
        </x:is>
      </x:c>
      <x:c r="D73" s="84" t="inlineStr">
        <x:is>
          <x:t xml:space="preserve">asChild merges Atom props and consumer props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</x:t>
        </x:is>
      </x:c>
      <x:c r="H73" s="86" t="inlineStr">
        <x:is>
          <x:t xml:space="preserve">covered</x:t>
        </x:is>
      </x:c>
      <x:c r="I73" s="84" t="inlineStr">
        <x:is>
          <x:t xml:space="preserve">Switch playground scenario.</x:t>
        </x:is>
      </x:c>
      <x:c r="J73" s="84" t="n"/>
      <x:c r="K73" s="87" t="n">
        <x:v>0</x:v>
      </x:c>
    </x:row>
    <x:row r="74" s="51" customFormat="1" ht="45" customHeight="1">
      <x:c r="A74" s="73" t="n">
        <x:v>66</x:v>
      </x:c>
      <x:c r="B74" s="84" t="inlineStr">
        <x:is>
          <x:t xml:space="preserve">Composition</x:t>
        </x:is>
      </x:c>
      <x:c r="C74" s="84" t="inlineStr">
        <x:is>
          <x:t xml:space="preserve">Switch</x:t>
        </x:is>
      </x:c>
      <x:c r="D74" s="84" t="inlineStr">
        <x:is>
          <x:t xml:space="preserve">asChild lets preventDefault block Atom behavior where supported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</x:t>
        </x:is>
      </x:c>
      <x:c r="H74" s="86" t="inlineStr">
        <x:is>
          <x:t xml:space="preserve">covered</x:t>
        </x:is>
      </x:c>
      <x:c r="I74" s="84" t="inlineStr">
        <x:is>
          <x:t xml:space="preserve">Switch playground scenario.</x:t>
        </x:is>
      </x:c>
      <x:c r="J74" s="84" t="n"/>
      <x:c r="K74" s="87" t="n">
        <x:v>0</x:v>
      </x:c>
    </x:row>
    <x:row r="75" s="51" customFormat="1" ht="15" customHeight="1">
      <x:c r="A75" s="73" t="n">
        <x:v>67</x:v>
      </x:c>
      <x:c r="B75" s="84" t="inlineStr">
        <x:is>
          <x:t xml:space="preserve">Composition</x:t>
        </x:is>
      </x:c>
      <x:c r="C75" s="84" t="inlineStr">
        <x:is>
          <x:t xml:space="preserve">Switch</x:t>
        </x:is>
      </x:c>
      <x:c r="D75" s="84" t="inlineStr">
        <x:is>
          <x:t xml:space="preserve">render prop renders custom element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</x:t>
        </x:is>
      </x:c>
      <x:c r="H75" s="86" t="inlineStr">
        <x:is>
          <x:t xml:space="preserve">covered</x:t>
        </x:is>
      </x:c>
      <x:c r="I75" s="84" t="inlineStr">
        <x:is>
          <x:t xml:space="preserve">Switch playground scenario.</x:t>
        </x:is>
      </x:c>
      <x:c r="J75" s="84" t="n"/>
      <x:c r="K75" s="87" t="n">
        <x:v>0</x:v>
      </x:c>
    </x:row>
    <x:row r="76" s="51" customFormat="1" ht="15" customHeight="1">
      <x:c r="A76" s="73" t="n">
        <x:v>68</x:v>
      </x:c>
      <x:c r="B76" s="84" t="inlineStr">
        <x:is>
          <x:t xml:space="preserve">Composition</x:t>
        </x:is>
      </x:c>
      <x:c r="C76" s="84" t="inlineStr">
        <x:is>
          <x:t xml:space="preserve">Switch</x:t>
        </x:is>
      </x:c>
      <x:c r="D76" s="84" t="inlineStr">
        <x:is>
          <x:t xml:space="preserve">render prop preserves refs and behavior props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</x:t>
        </x:is>
      </x:c>
      <x:c r="H76" s="86" t="inlineStr">
        <x:is>
          <x:t xml:space="preserve">covered</x:t>
        </x:is>
      </x:c>
      <x:c r="I76" s="84" t="inlineStr">
        <x:is>
          <x:t xml:space="preserve">Composition controls/package tests cover render/asChild behavior for Switch; ready for manual verification where exposed.</x:t>
        </x:is>
      </x:c>
      <x:c r="J76" s="84" t="n"/>
      <x:c r="K76" s="87" t="n">
        <x:v>0</x:v>
      </x:c>
    </x:row>
    <x:row r="77" s="51" customFormat="1" ht="15" customHeight="1">
      <x:c r="A77" s="73" t="n">
        <x:v>69</x:v>
      </x:c>
      <x:c r="B77" s="84" t="inlineStr">
        <x:is>
          <x:t xml:space="preserve">State</x:t>
        </x:is>
      </x:c>
      <x:c r="C77" s="84" t="inlineStr">
        <x:is>
          <x:t xml:space="preserve">Root</x:t>
        </x:is>
      </x:c>
      <x:c r="D77" s="84" t="inlineStr">
        <x:is>
          <x:t xml:space="preserve">controlled state path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</x:t>
        </x:is>
      </x:c>
      <x:c r="H77" s="86" t="inlineStr">
        <x:is>
          <x:t xml:space="preserve">covered</x:t>
        </x:is>
      </x:c>
      <x:c r="I77" s="84" t="inlineStr">
        <x:is>
          <x:t xml:space="preserve">Switch playground scenario.</x:t>
        </x:is>
      </x:c>
      <x:c r="J77" s="84" t="n"/>
      <x:c r="K77" s="87" t="n">
        <x:v>0</x:v>
      </x:c>
    </x:row>
    <x:row r="78" s="51" customFormat="1" ht="30" customHeight="1">
      <x:c r="A78" s="73" t="n">
        <x:v>70</x:v>
      </x:c>
      <x:c r="B78" s="84" t="inlineStr">
        <x:is>
          <x:t xml:space="preserve">State</x:t>
        </x:is>
      </x:c>
      <x:c r="C78" s="84" t="inlineStr">
        <x:is>
          <x:t xml:space="preserve">Root</x:t>
        </x:is>
      </x:c>
      <x:c r="D78" s="84" t="inlineStr">
        <x:is>
          <x:t xml:space="preserve">uncontrolled default state path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</x:t>
        </x:is>
      </x:c>
      <x:c r="H78" s="86" t="inlineStr">
        <x:is>
          <x:t xml:space="preserve">covered</x:t>
        </x:is>
      </x:c>
      <x:c r="I78" s="84" t="inlineStr">
        <x:is>
          <x:t xml:space="preserve">Switch playground scenario.</x:t>
        </x:is>
      </x:c>
      <x:c r="J78" s="84" t="n"/>
      <x:c r="K78" s="87" t="n">
        <x:v>0</x:v>
      </x:c>
    </x:row>
    <x:row r="79" s="51" customFormat="1" ht="30" customHeight="1">
      <x:c r="A79" s="73" t="n">
        <x:v>71</x:v>
      </x:c>
      <x:c r="B79" s="84" t="inlineStr">
        <x:is>
          <x:t xml:space="preserve">State</x:t>
        </x:is>
      </x:c>
      <x:c r="C79" s="84" t="inlineStr">
        <x:is>
          <x:t xml:space="preserve">Root</x:t>
        </x:is>
      </x:c>
      <x:c r="D79" s="84" t="inlineStr">
        <x:is>
          <x:t xml:space="preserve">state change callback fires once with correct value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</x:t>
        </x:is>
      </x:c>
      <x:c r="H79" s="86" t="inlineStr">
        <x:is>
          <x:t xml:space="preserve">covered</x:t>
        </x:is>
      </x:c>
      <x:c r="I79" s="84" t="inlineStr">
        <x:is>
          <x:t xml:space="preserve">Switch playground scenario.</x:t>
        </x:is>
      </x:c>
      <x:c r="J79" s="84" t="n"/>
      <x:c r="K79" s="87" t="n">
        <x:v>0</x:v>
      </x:c>
    </x:row>
    <x:row r="80" s="51" customFormat="1" ht="30" customHeight="1">
      <x:c r="A80" s="73" t="n">
        <x:v>72</x:v>
      </x:c>
      <x:c r="B80" s="84" t="inlineStr">
        <x:is>
          <x:t xml:space="preserve">State</x:t>
        </x:is>
      </x:c>
      <x:c r="C80" s="84" t="inlineStr">
        <x:is>
          <x:t xml:space="preserve">Switch</x:t>
        </x:is>
      </x:c>
      <x:c r="D80" s="84" t="inlineStr">
        <x:is>
          <x:t xml:space="preserve">disabled state blocks or exposes behavior correctly where supported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</x:t>
        </x:is>
      </x:c>
      <x:c r="H80" s="86" t="inlineStr">
        <x:is>
          <x:t xml:space="preserve">covered</x:t>
        </x:is>
      </x:c>
      <x:c r="I80" s="84" t="inlineStr">
        <x:is>
          <x:t xml:space="preserve">Switch playground scenario.</x:t>
        </x:is>
      </x:c>
      <x:c r="J80" s="84" t="n"/>
      <x:c r="K80" s="87" t="n">
        <x:v>0</x:v>
      </x:c>
    </x:row>
    <x:row r="81" s="51" customFormat="1" ht="30" customHeight="1">
      <x:c r="A81" s="73" t="n">
        <x:v>73</x:v>
      </x:c>
      <x:c r="B81" s="84" t="inlineStr">
        <x:is>
          <x:t xml:space="preserve">State</x:t>
        </x:is>
      </x:c>
      <x:c r="C81" s="84" t="inlineStr">
        <x:is>
          <x:t xml:space="preserve">Switch</x:t>
        </x:is>
      </x:c>
      <x:c r="D81" s="84" t="inlineStr">
        <x:is>
          <x:t xml:space="preserve">readonly/readOnly state blocks or exposes behavior correctly where supported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</x:t>
        </x:is>
      </x:c>
      <x:c r="H81" s="86" t="inlineStr">
        <x:is>
          <x:t xml:space="preserve">covered</x:t>
        </x:is>
      </x:c>
      <x:c r="I81" s="84" t="inlineStr">
        <x:is>
          <x:t xml:space="preserve">Switch playground scenario.</x:t>
        </x:is>
      </x:c>
      <x:c r="J81" s="84" t="n"/>
      <x:c r="K81" s="87" t="n">
        <x:v>0</x:v>
      </x:c>
    </x:row>
    <x:row r="82" s="51" customFormat="1" ht="15" customHeight="1">
      <x:c r="A82" s="73" t="n">
        <x:v>74</x:v>
      </x:c>
      <x:c r="B82" s="84" t="inlineStr">
        <x:is>
          <x:t xml:space="preserve">State</x:t>
        </x:is>
      </x:c>
      <x:c r="C82" s="84" t="inlineStr">
        <x:is>
          <x:t xml:space="preserve">Switch</x:t>
        </x:is>
      </x:c>
      <x:c r="D82" s="84" t="inlineStr">
        <x:is>
          <x:t xml:space="preserve">required state blocks or exposes behavior correctly where supported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</x:t>
        </x:is>
      </x:c>
      <x:c r="H82" s="86" t="inlineStr">
        <x:is>
          <x:t xml:space="preserve">covered</x:t>
        </x:is>
      </x:c>
      <x:c r="I82" s="84" t="inlineStr">
        <x:is>
          <x:t xml:space="preserve">Switch playground scenario.</x:t>
        </x:is>
      </x:c>
      <x:c r="J82" s="84" t="n"/>
      <x:c r="K82" s="87" t="n">
        <x:v>0</x:v>
      </x:c>
    </x:row>
    <x:row r="83" s="51" customFormat="1" ht="30" customHeight="1">
      <x:c r="A83" s="73" t="n">
        <x:v>75</x:v>
      </x:c>
      <x:c r="B83" s="84" t="inlineStr">
        <x:is>
          <x:t xml:space="preserve">State</x:t>
        </x:is>
      </x:c>
      <x:c r="C83" s="84" t="inlineStr">
        <x:is>
          <x:t xml:space="preserve">Switch</x:t>
        </x:is>
      </x:c>
      <x:c r="D83" s="84" t="inlineStr">
        <x:is>
          <x:t xml:space="preserve">invalid state blocks or exposes behavior correctly where supported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</x:t>
        </x:is>
      </x:c>
      <x:c r="H83" s="86" t="inlineStr">
        <x:is>
          <x:t xml:space="preserve">covered</x:t>
        </x:is>
      </x:c>
      <x:c r="I83" s="84" t="inlineStr">
        <x:is>
          <x:t xml:space="preserve">Switch playground scenario.</x:t>
        </x:is>
      </x:c>
      <x:c r="J83" s="84" t="n"/>
      <x:c r="K83" s="87" t="n">
        <x:v>0</x:v>
      </x:c>
    </x:row>
    <x:row r="84" s="51" customFormat="1" ht="15" customHeight="1">
      <x:c r="A84" s="73" t="n">
        <x:v>76</x:v>
      </x:c>
      <x:c r="B84" s="84" t="inlineStr">
        <x:is>
          <x:t xml:space="preserve">Forms</x:t>
        </x:is>
      </x:c>
      <x:c r="C84" s="84" t="inlineStr">
        <x:is>
          <x:t xml:space="preserve">Switch</x:t>
        </x:is>
      </x:c>
      <x:c r="D84" s="84" t="inlineStr">
        <x:is>
          <x:t xml:space="preserve">form value participates correctly where supported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</x:t>
        </x:is>
      </x:c>
      <x:c r="H84" s="86" t="inlineStr">
        <x:is>
          <x:t xml:space="preserve">covered</x:t>
        </x:is>
      </x:c>
      <x:c r="I84" s="84" t="inlineStr">
        <x:is>
          <x:t xml:space="preserve">Switch playground scenario.</x:t>
        </x:is>
      </x:c>
      <x:c r="J84" s="84" t="n"/>
      <x:c r="K84" s="87" t="n">
        <x:v>0</x:v>
      </x:c>
    </x:row>
    <x:row r="85" s="51" customFormat="1" ht="30" customHeight="1">
      <x:c r="A85" s="73" t="n">
        <x:v>77</x:v>
      </x:c>
      <x:c r="B85" s="84" t="inlineStr">
        <x:is>
          <x:t xml:space="preserve">Forms</x:t>
        </x:is>
      </x:c>
      <x:c r="C85" s="84" t="inlineStr">
        <x:is>
          <x:t xml:space="preserve">Switch</x:t>
        </x:is>
      </x:c>
      <x:c r="D85" s="84" t="inlineStr">
        <x:is>
          <x:t xml:space="preserve">hidden input mirrors value/checked/disabled where supported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</x:t>
        </x:is>
      </x:c>
      <x:c r="H85" s="86" t="inlineStr">
        <x:is>
          <x:t xml:space="preserve">covered</x:t>
        </x:is>
      </x:c>
      <x:c r="I85" s="84" t="inlineStr">
        <x:is>
          <x:t xml:space="preserve">Switch playground scenario.</x:t>
        </x:is>
      </x:c>
      <x:c r="J85" s="84" t="n"/>
      <x:c r="K85" s="87" t="n">
        <x:v>0</x:v>
      </x:c>
    </x:row>
    <x:row r="86" s="51" customFormat="1" ht="30" customHeight="1">
      <x:c r="A86" s="73" t="n">
        <x:v>78</x:v>
      </x:c>
      <x:c r="B86" s="84" t="inlineStr">
        <x:is>
          <x:t xml:space="preserve">Forms</x:t>
        </x:is>
      </x:c>
      <x:c r="C86" s="84" t="inlineStr">
        <x:is>
          <x:t xml:space="preserve">Root</x:t>
        </x:is>
      </x:c>
      <x:c r="D86" s="84" t="inlineStr">
        <x:is>
          <x:t xml:space="preserve">Field inheritance, checked-only FormData, required validity, and uncontrolled native reset</x:t>
        </x:is>
      </x:c>
      <x:c r="E86" s="76" t="inlineStr">
        <x:is>
          <x:t xml:space="preserve">yes</x:t>
        </x:is>
      </x:c>
      <x:c r="F86" s="85" t="inlineStr">
        <x:is>
          <x:t xml:space="preserve">no</x:t>
        </x:is>
      </x:c>
      <x:c r="G86" s="73" t="inlineStr">
        <x:is>
          <x:t xml:space="preserve">automated tests pass; manual pending</x:t>
        </x:is>
      </x:c>
      <x:c r="H86" s="86" t="inlineStr">
        <x:is>
          <x:t xml:space="preserve">untested</x:t>
        </x:is>
      </x:c>
      <x:c r="I86" s="84" t="inlineStr">
        <x:is>
          <x:t xml:space="preserve">Form &gt; Control: Foundation plus the component scenario and automated package tests.</x:t>
        </x:is>
      </x:c>
      <x:c r="J86" s="84" t="inlineStr">
        <x:is>
          <x:t xml:space="preserve">Run and review the form-foundation manual protocol.</x:t>
        </x:is>
      </x:c>
      <x:c r="K86" s="87" t="n">
        <x:f>IF(AND(E86="yes",F86="yes",H86="covered"),1,IF(H86="partial",0.5,0))</x:f>
        <x:v>0</x:v>
      </x:c>
    </x:row>
    <x:row r="87" s="51" customFormat="1" ht="30" customHeight="1">
      <x:c r="A87" s="73" t="n">
        <x:v>79</x:v>
      </x:c>
      <x:c r="B87" s="84" t="inlineStr">
        <x:is>
          <x:t xml:space="preserve">Validation</x:t>
        </x:is>
      </x:c>
      <x:c r="C87" s="84" t="inlineStr">
        <x:is>
          <x:t xml:space="preserve">Root</x:t>
        </x:is>
      </x:c>
      <x:c r="D87" s="84" t="inlineStr">
        <x:is>
          <x:t xml:space="preserve">aligned-proxy invalidity mirrors to the visible Switch, Field, Error, and Form</x:t>
        </x:is>
      </x:c>
      <x:c r="E87" s="76" t="inlineStr">
        <x:is>
          <x:t xml:space="preserve">yes</x:t>
        </x:is>
      </x:c>
      <x:c r="F87" s="85" t="inlineStr">
        <x:is>
          <x:t xml:space="preserve">no</x:t>
        </x:is>
      </x:c>
      <x:c r="G87" s="73" t="inlineStr">
        <x:is>
          <x:t xml:space="preserve">automated tests pass; manual pending</x:t>
        </x:is>
      </x:c>
      <x:c r="H87" s="86" t="inlineStr">
        <x:is>
          <x:t xml:space="preserve">untested</x:t>
        </x:is>
      </x:c>
      <x:c r="I87" s="84" t="inlineStr">
        <x:is>
          <x:t xml:space="preserve">Form &gt; Control: Foundation and automated Atom validation tests.</x:t>
        </x:is>
      </x:c>
      <x:c r="J87" s="84" t="inlineStr">
        <x:is>
          <x:t xml:space="preserve">Run and review the updated form-foundation validation steps.</x:t>
        </x:is>
      </x:c>
      <x:c r="K87" s="87" t="n">
        <x:f>IF(AND(E87="yes",F87="yes",H87="covered"),1,IF(H87="partial",0.5,0))</x:f>
        <x:v>0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Table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88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Table playground scenario; manual-tests/table.md draft executed.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Table playground scenario; manual-tests/table.md draft executed.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Table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Table playground scenario; manual-tests/table.md draft executed.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Table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Table playground scenario; manual-tests/table.md draft executed.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Table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Table playground scenario; manual-tests/table.md draft executed.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Table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Table playground scenario; manual-tests/table.md draft executed.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Table</x:t>
        </x:is>
      </x:c>
      <x:c r="D15" s="84" t="inlineStr">
        <x:is>
          <x:t xml:space="preserve">Renders native table semantics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Table playground scenario; manual-tests/table.md draft executed.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Table</x:t>
        </x:is>
      </x:c>
      <x:c r="D16" s="84" t="inlineStr">
        <x:is>
          <x:t xml:space="preserve">Provides all standard table structural parts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Table playground scenario; manual-tests/table.md draft executed.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Table</x:t>
        </x:is>
      </x:c>
      <x:c r="D17" s="84" t="inlineStr">
        <x:is>
          <x:t xml:space="preserve">Supports `aria-sort` and `data-sort` on header cells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Table playground scenario; manual-tests/table.md draft executed.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Table</x:t>
        </x:is>
      </x:c>
      <x:c r="D18" s="84" t="inlineStr">
        <x:is>
          <x:t xml:space="preserve">Leaves sorting, filtering, selection, and keyboard grid behavior to higher-level primitives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Table playground scenario; manual-tests/table.md draft executed.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Anatomy</x:t>
        </x:is>
      </x:c>
      <x:c r="C19" s="84" t="inlineStr">
        <x:is>
          <x:t xml:space="preserve">Root</x:t>
        </x:is>
      </x:c>
      <x:c r="D19" s="84" t="inlineStr">
        <x:is>
          <x:t xml:space="preserve">renders correct part when expected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Table playground scenario; manual-tests/table.md draft executed.</x:t>
        </x:is>
      </x:c>
      <x:c r="J19" s="84" t="n"/>
      <x:c r="K19" s="87" t="n">
        <x:f>IF(AND(E20="yes",F20="yes",H20="covered"),1,IF(H20="partial",0.5,0))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appears in documented order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Table playground scenario; manual-tests/table.md draft executed.</x:t>
        </x:is>
      </x:c>
      <x:c r="J20" s="84" t="n"/>
      <x:c r="K20" s="87" t="n">
        <x:f>IF(AND(E21="yes",F21="yes",H21="covered"),1,IF(H21="partial",0.5,0))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Identity</x:t>
        </x:is>
      </x:c>
      <x:c r="C21" s="84" t="inlineStr">
        <x:is>
          <x:t xml:space="preserve">Root</x:t>
        </x:is>
      </x:c>
      <x:c r="D21" s="84" t="inlineStr">
        <x:is>
          <x:t xml:space="preserve">default tag is visible in Anatomy/Inspector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Table playground scenario; manual-tests/table.md draft executed.</x:t>
        </x:is>
      </x:c>
      <x:c r="J21" s="84" t="n"/>
      <x:c r="K21" s="87" t="n">
        <x:f>IF(AND(E22="yes",F22="yes",H22="covered"),1,IF(H22="partial",0.5,0))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data-slot is present and correct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Table playground scenario; manual-tests/table.md draft executed.</x:t>
        </x:is>
      </x:c>
      <x:c r="J22" s="84" t="n"/>
      <x:c r="K22" s="87" t="n">
        <x:f>IF(AND(E23="yes",F23="yes",H23="covered"),1,IF(H23="partial",0.5,0))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Props</x:t>
        </x:is>
      </x:c>
      <x:c r="C23" s="84" t="inlineStr">
        <x:is>
          <x:t xml:space="preserve">Root</x:t>
        </x:is>
      </x:c>
      <x:c r="D23" s="84" t="inlineStr">
        <x:is>
          <x:t xml:space="preserve">non-Atom native props pass through with data-prop-check marker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Table playground scenario; manual-tests/table.md draft executed.</x:t>
        </x:is>
      </x:c>
      <x:c r="J23" s="84" t="n"/>
      <x:c r="K23" s="87" t="n">
        <x:f>IF(AND(E24="yes",F24="yes",H24="covered"),1,IF(H24="partial",0.5,0))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Refs</x:t>
        </x:is>
      </x:c>
      <x:c r="C24" s="84" t="inlineStr">
        <x:is>
          <x:t xml:space="preserve">Root</x:t>
        </x:is>
      </x:c>
      <x:c r="D24" s="84" t="inlineStr">
        <x:is>
          <x:t xml:space="preserve">consumer ref receives the rendered element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Table playground scenario; manual-tests/table.md draft executed.</x:t>
        </x:is>
      </x:c>
      <x:c r="J24" s="84" t="n"/>
      <x:c r="K24" s="87" t="n">
        <x:f>IF(AND(E25="yes",F25="yes",H25="covered"),1,IF(H25="partial",0.5,0))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Composition</x:t>
        </x:is>
      </x:c>
      <x:c r="C25" s="84" t="inlineStr">
        <x:is>
          <x:t xml:space="preserve">Root</x:t>
        </x:is>
      </x:c>
      <x:c r="D25" s="84" t="inlineStr">
        <x:is>
          <x:t xml:space="preserve">asChild prop behavior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Table playground scenario; manual-tests/table.md draft executed.</x:t>
        </x:is>
      </x:c>
      <x:c r="J25" s="84" t="n"/>
      <x:c r="K25" s="87" t="n">
        <x:f>IF(AND(E26="yes",F26="yes",H26="covered"),1,IF(H26="partial",0.5,0))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Composition</x:t>
        </x:is>
      </x:c>
      <x:c r="C26" s="84" t="inlineStr">
        <x:is>
          <x:t xml:space="preserve">Root</x:t>
        </x:is>
      </x:c>
      <x:c r="D26" s="84" t="inlineStr">
        <x:is>
          <x:t xml:space="preserve">render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Table playground scenario; manual-tests/table.md draft executed.</x:t>
        </x:is>
      </x:c>
      <x:c r="J26" s="84" t="n"/>
      <x:c r="K26" s="87" t="n">
        <x:f>IF(AND(E27="yes",F27="yes",H27="covered"),1,IF(H27="partial",0.5,0))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Public API</x:t>
        </x:is>
      </x:c>
      <x:c r="C27" s="84" t="inlineStr">
        <x:is>
          <x:t xml:space="preserve">Root</x:t>
        </x:is>
      </x:c>
      <x:c r="D27" s="84" t="inlineStr">
        <x:is>
          <x:t xml:space="preserve">[data-slot]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Table playground scenario; manual-tests/table.md draft executed.</x:t>
        </x:is>
      </x:c>
      <x:c r="J27" s="84" t="n"/>
      <x:c r="K27" s="87" t="n">
        <x:f>IF(AND(E28="yes",F28="yes",H28="covered"),1,IF(H28="partial",0.5,0))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Anatomy</x:t>
        </x:is>
      </x:c>
      <x:c r="C28" s="84" t="inlineStr">
        <x:is>
          <x:t xml:space="preserve">Body</x:t>
        </x:is>
      </x:c>
      <x:c r="D28" s="84" t="inlineStr">
        <x:is>
          <x:t xml:space="preserve">renders correct part when expected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Table playground scenario; manual-tests/table.md draft executed.</x:t>
        </x:is>
      </x:c>
      <x:c r="J28" s="84" t="n"/>
      <x:c r="K28" s="87" t="n">
        <x:f>IF(AND(E29="yes",F29="yes",H29="covered"),1,IF(H29="partial",0.5,0))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Anatomy</x:t>
        </x:is>
      </x:c>
      <x:c r="C29" s="84" t="inlineStr">
        <x:is>
          <x:t xml:space="preserve">Body</x:t>
        </x:is>
      </x:c>
      <x:c r="D29" s="84" t="inlineStr">
        <x:is>
          <x:t xml:space="preserve">appears in documented order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Table playground scenario; manual-tests/table.md draft executed.</x:t>
        </x:is>
      </x:c>
      <x:c r="J29" s="84" t="n"/>
      <x:c r="K29" s="87" t="n">
        <x:f>IF(AND(E30="yes",F30="yes",H30="covered"),1,IF(H30="partial",0.5,0))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Identity</x:t>
        </x:is>
      </x:c>
      <x:c r="C30" s="84" t="inlineStr">
        <x:is>
          <x:t xml:space="preserve">Body</x:t>
        </x:is>
      </x:c>
      <x:c r="D30" s="84" t="inlineStr">
        <x:is>
          <x:t xml:space="preserve">default tag is visible in Anatomy/Inspector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Table playground scenario; manual-tests/table.md draft executed.</x:t>
        </x:is>
      </x:c>
      <x:c r="J30" s="84" t="n"/>
      <x:c r="K30" s="87" t="n">
        <x:f>IF(AND(E31="yes",F31="yes",H31="covered"),1,IF(H31="partial",0.5,0))</x:f>
        <x:v>1</x:v>
      </x:c>
    </x:row>
    <x:row r="31" s="51" customFormat="1" ht="30" customHeight="1">
      <x:c r="A31" s="73" t="n">
        <x:v>23</x:v>
      </x:c>
      <x:c r="B31" s="84" t="inlineStr">
        <x:is>
          <x:t xml:space="preserve">Identity</x:t>
        </x:is>
      </x:c>
      <x:c r="C31" s="84" t="inlineStr">
        <x:is>
          <x:t xml:space="preserve">Body</x:t>
        </x:is>
      </x:c>
      <x:c r="D31" s="84" t="inlineStr">
        <x:is>
          <x:t xml:space="preserve">data-slot is present and correct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Table playground scenario; manual-tests/table.md draft executed.</x:t>
        </x:is>
      </x:c>
      <x:c r="J31" s="84" t="n"/>
      <x:c r="K31" s="87" t="n">
        <x:f>IF(AND(E32="yes",F32="yes",H32="covered"),1,IF(H32="partial",0.5,0))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Props</x:t>
        </x:is>
      </x:c>
      <x:c r="C32" s="84" t="inlineStr">
        <x:is>
          <x:t xml:space="preserve">Body</x:t>
        </x:is>
      </x:c>
      <x:c r="D32" s="84" t="inlineStr">
        <x:is>
          <x:t xml:space="preserve">non-Atom native props pass through with data-prop-check marker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Table playground scenario; manual-tests/table.md draft executed.</x:t>
        </x:is>
      </x:c>
      <x:c r="J32" s="84" t="n"/>
      <x:c r="K32" s="87" t="n">
        <x:f>IF(AND(E33="yes",F33="yes",H33="covered"),1,IF(H33="partial",0.5,0))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Refs</x:t>
        </x:is>
      </x:c>
      <x:c r="C33" s="84" t="inlineStr">
        <x:is>
          <x:t xml:space="preserve">Body</x:t>
        </x:is>
      </x:c>
      <x:c r="D33" s="84" t="inlineStr">
        <x:is>
          <x:t xml:space="preserve">consumer ref receives the rendered element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Table playground scenario; manual-tests/table.md draft executed.</x:t>
        </x:is>
      </x:c>
      <x:c r="J33" s="84" t="n"/>
      <x:c r="K33" s="87" t="n">
        <x:f>IF(AND(E34="yes",F34="yes",H34="covered"),1,IF(H34="partial",0.5,0))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Anatomy</x:t>
        </x:is>
      </x:c>
      <x:c r="C34" s="84" t="inlineStr">
        <x:is>
          <x:t xml:space="preserve">Caption</x:t>
        </x:is>
      </x:c>
      <x:c r="D34" s="84" t="inlineStr">
        <x:is>
          <x:t xml:space="preserve">renders correct part when expected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Table playground scenario; manual-tests/table.md draft executed.</x:t>
        </x:is>
      </x:c>
      <x:c r="J34" s="84" t="n"/>
      <x:c r="K34" s="87" t="n">
        <x:f>IF(AND(E35="yes",F35="yes",H35="covered"),1,IF(H35="partial",0.5,0))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Anatomy</x:t>
        </x:is>
      </x:c>
      <x:c r="C35" s="84" t="inlineStr">
        <x:is>
          <x:t xml:space="preserve">Caption</x:t>
        </x:is>
      </x:c>
      <x:c r="D35" s="84" t="inlineStr">
        <x:is>
          <x:t xml:space="preserve">appears in documented order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Table playground scenario; manual-tests/table.md draft executed.</x:t>
        </x:is>
      </x:c>
      <x:c r="J35" s="84" t="n"/>
      <x:c r="K35" s="87" t="n">
        <x:f>IF(AND(E36="yes",F36="yes",H36="covered"),1,IF(H36="partial",0.5,0))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Identity</x:t>
        </x:is>
      </x:c>
      <x:c r="C36" s="84" t="inlineStr">
        <x:is>
          <x:t xml:space="preserve">Caption</x:t>
        </x:is>
      </x:c>
      <x:c r="D36" s="84" t="inlineStr">
        <x:is>
          <x:t xml:space="preserve">default tag is visible in Anatomy/Inspector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Table playground scenario; manual-tests/table.md draft executed.</x:t>
        </x:is>
      </x:c>
      <x:c r="J36" s="84" t="n"/>
      <x:c r="K36" s="87" t="n">
        <x:f>IF(AND(E37="yes",F37="yes",H37="covered"),1,IF(H37="partial",0.5,0))</x:f>
        <x:v>1</x:v>
      </x:c>
    </x:row>
    <x:row r="37" s="51" customFormat="1" ht="30" customHeight="1">
      <x:c r="A37" s="73" t="n">
        <x:v>29</x:v>
      </x:c>
      <x:c r="B37" s="84" t="inlineStr">
        <x:is>
          <x:t xml:space="preserve">Identity</x:t>
        </x:is>
      </x:c>
      <x:c r="C37" s="84" t="inlineStr">
        <x:is>
          <x:t xml:space="preserve">Caption</x:t>
        </x:is>
      </x:c>
      <x:c r="D37" s="84" t="inlineStr">
        <x:is>
          <x:t xml:space="preserve">data-slot is present and correct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Table playground scenario; manual-tests/table.md draft executed.</x:t>
        </x:is>
      </x:c>
      <x:c r="J37" s="84" t="n"/>
      <x:c r="K37" s="87" t="n">
        <x:f>IF(AND(E38="yes",F38="yes",H38="covered"),1,IF(H38="partial",0.5,0))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Props</x:t>
        </x:is>
      </x:c>
      <x:c r="C38" s="84" t="inlineStr">
        <x:is>
          <x:t xml:space="preserve">Caption</x:t>
        </x:is>
      </x:c>
      <x:c r="D38" s="84" t="inlineStr">
        <x:is>
          <x:t xml:space="preserve">non-Atom native props pass through with data-prop-check marker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Table playground scenario; manual-tests/table.md draft executed.</x:t>
        </x:is>
      </x:c>
      <x:c r="J38" s="84" t="n"/>
      <x:c r="K38" s="87" t="n">
        <x:f>IF(AND(E39="yes",F39="yes",H39="covered"),1,IF(H39="partial",0.5,0))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Refs</x:t>
        </x:is>
      </x:c>
      <x:c r="C39" s="84" t="inlineStr">
        <x:is>
          <x:t xml:space="preserve">Caption</x:t>
        </x:is>
      </x:c>
      <x:c r="D39" s="84" t="inlineStr">
        <x:is>
          <x:t xml:space="preserve">consumer ref receives the rendered element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Table playground scenario; manual-tests/table.md draft executed.</x:t>
        </x:is>
      </x:c>
      <x:c r="J39" s="84" t="n"/>
      <x:c r="K39" s="87" t="n">
        <x:f>IF(AND(E40="yes",F40="yes",H40="covered"),1,IF(H40="partial",0.5,0))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Anatomy</x:t>
        </x:is>
      </x:c>
      <x:c r="C40" s="84" t="inlineStr">
        <x:is>
          <x:t xml:space="preserve">Cell</x:t>
        </x:is>
      </x:c>
      <x:c r="D40" s="84" t="inlineStr">
        <x:is>
          <x:t xml:space="preserve">renders correct part when expected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Table playground scenario; manual-tests/table.md draft executed.</x:t>
        </x:is>
      </x:c>
      <x:c r="J40" s="84" t="n"/>
      <x:c r="K40" s="87" t="n">
        <x:f>IF(AND(E41="yes",F41="yes",H41="covered"),1,IF(H41="partial",0.5,0))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Anatomy</x:t>
        </x:is>
      </x:c>
      <x:c r="C41" s="84" t="inlineStr">
        <x:is>
          <x:t xml:space="preserve">Cell</x:t>
        </x:is>
      </x:c>
      <x:c r="D41" s="84" t="inlineStr">
        <x:is>
          <x:t xml:space="preserve">appears in documented order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Table playground scenario; manual-tests/table.md draft executed.</x:t>
        </x:is>
      </x:c>
      <x:c r="J41" s="84" t="n"/>
      <x:c r="K41" s="87" t="n">
        <x:f>IF(AND(E42="yes",F42="yes",H42="covered"),1,IF(H42="partial",0.5,0))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Identity</x:t>
        </x:is>
      </x:c>
      <x:c r="C42" s="84" t="inlineStr">
        <x:is>
          <x:t xml:space="preserve">Cell</x:t>
        </x:is>
      </x:c>
      <x:c r="D42" s="84" t="inlineStr">
        <x:is>
          <x:t xml:space="preserve">default tag is visible in Anatomy/Inspector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Table playground scenario; manual-tests/table.md draft executed.</x:t>
        </x:is>
      </x:c>
      <x:c r="J42" s="84" t="n"/>
      <x:c r="K42" s="87" t="n">
        <x:f>IF(AND(E43="yes",F43="yes",H43="covered"),1,IF(H43="partial",0.5,0))</x:f>
        <x:v>1</x:v>
      </x:c>
    </x:row>
    <x:row r="43" s="51" customFormat="1" ht="30" customHeight="1">
      <x:c r="A43" s="73" t="n">
        <x:v>35</x:v>
      </x:c>
      <x:c r="B43" s="84" t="inlineStr">
        <x:is>
          <x:t xml:space="preserve">Identity</x:t>
        </x:is>
      </x:c>
      <x:c r="C43" s="84" t="inlineStr">
        <x:is>
          <x:t xml:space="preserve">Cell</x:t>
        </x:is>
      </x:c>
      <x:c r="D43" s="84" t="inlineStr">
        <x:is>
          <x:t xml:space="preserve">data-slot is present and correct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Table playground scenario; manual-tests/table.md draft executed.</x:t>
        </x:is>
      </x:c>
      <x:c r="J43" s="84" t="n"/>
      <x:c r="K43" s="87" t="n">
        <x:f>IF(AND(E44="yes",F44="yes",H44="covered"),1,IF(H44="partial",0.5,0))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Props</x:t>
        </x:is>
      </x:c>
      <x:c r="C44" s="84" t="inlineStr">
        <x:is>
          <x:t xml:space="preserve">Cell</x:t>
        </x:is>
      </x:c>
      <x:c r="D44" s="84" t="inlineStr">
        <x:is>
          <x:t xml:space="preserve">non-Atom native props pass through with data-prop-check marker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Table playground scenario; manual-tests/table.md draft executed.</x:t>
        </x:is>
      </x:c>
      <x:c r="J44" s="84" t="n"/>
      <x:c r="K44" s="87" t="n">
        <x:f>IF(AND(E45="yes",F45="yes",H45="covered"),1,IF(H45="partial",0.5,0))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Refs</x:t>
        </x:is>
      </x:c>
      <x:c r="C45" s="84" t="inlineStr">
        <x:is>
          <x:t xml:space="preserve">Cell</x:t>
        </x:is>
      </x:c>
      <x:c r="D45" s="84" t="inlineStr">
        <x:is>
          <x:t xml:space="preserve">consumer ref receives the rendered element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Table playground scenario; manual-tests/table.md draft executed.</x:t>
        </x:is>
      </x:c>
      <x:c r="J45" s="84" t="n"/>
      <x:c r="K45" s="87" t="n">
        <x:f>IF(AND(E46="yes",F46="yes",H46="covered"),1,IF(H46="partial",0.5,0))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Footer</x:t>
        </x:is>
      </x:c>
      <x:c r="D46" s="84" t="inlineStr">
        <x:is>
          <x:t xml:space="preserve">renders correct part when expected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Table playground scenario; manual-tests/table.md draft executed.</x:t>
        </x:is>
      </x:c>
      <x:c r="J46" s="84" t="n"/>
      <x:c r="K46" s="87" t="n">
        <x:f>IF(AND(E47="yes",F47="yes",H47="covered"),1,IF(H47="partial",0.5,0))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Footer</x:t>
        </x:is>
      </x:c>
      <x:c r="D47" s="84" t="inlineStr">
        <x:is>
          <x:t xml:space="preserve">appears in documented order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Table playground scenario; manual-tests/table.md draft executed.</x:t>
        </x:is>
      </x:c>
      <x:c r="J47" s="84" t="n"/>
      <x:c r="K47" s="87" t="n">
        <x:f>IF(AND(E48="yes",F48="yes",H48="covered"),1,IF(H48="partial",0.5,0))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Identity</x:t>
        </x:is>
      </x:c>
      <x:c r="C48" s="84" t="inlineStr">
        <x:is>
          <x:t xml:space="preserve">Footer</x:t>
        </x:is>
      </x:c>
      <x:c r="D48" s="84" t="inlineStr">
        <x:is>
          <x:t xml:space="preserve">default tag is visible in Anatomy/Inspector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Table playground scenario; manual-tests/table.md draft executed.</x:t>
        </x:is>
      </x:c>
      <x:c r="J48" s="84" t="n"/>
      <x:c r="K48" s="87" t="n">
        <x:f>IF(AND(E49="yes",F49="yes",H49="covered"),1,IF(H49="partial",0.5,0))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Footer</x:t>
        </x:is>
      </x:c>
      <x:c r="D49" s="84" t="inlineStr">
        <x:is>
          <x:t xml:space="preserve">data-slot is present and correct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Table playground scenario; manual-tests/table.md draft executed.</x:t>
        </x:is>
      </x:c>
      <x:c r="J49" s="84" t="n"/>
      <x:c r="K49" s="87" t="n">
        <x:f>IF(AND(E50="yes",F50="yes",H50="covered"),1,IF(H50="partial",0.5,0))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Props</x:t>
        </x:is>
      </x:c>
      <x:c r="C50" s="84" t="inlineStr">
        <x:is>
          <x:t xml:space="preserve">Footer</x:t>
        </x:is>
      </x:c>
      <x:c r="D50" s="84" t="inlineStr">
        <x:is>
          <x:t xml:space="preserve">non-Atom native props pass through with data-prop-check marker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Table playground scenario; manual-tests/table.md draft executed.</x:t>
        </x:is>
      </x:c>
      <x:c r="J50" s="84" t="n"/>
      <x:c r="K50" s="87" t="n">
        <x:f>IF(AND(E51="yes",F51="yes",H51="covered"),1,IF(H51="partial",0.5,0))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Refs</x:t>
        </x:is>
      </x:c>
      <x:c r="C51" s="84" t="inlineStr">
        <x:is>
          <x:t xml:space="preserve">Footer</x:t>
        </x:is>
      </x:c>
      <x:c r="D51" s="84" t="inlineStr">
        <x:is>
          <x:t xml:space="preserve">consumer ref receives the rendered element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Table playground scenario; manual-tests/table.md draft executed.</x:t>
        </x:is>
      </x:c>
      <x:c r="J51" s="84" t="n"/>
      <x:c r="K51" s="87" t="n">
        <x:f>IF(AND(E52="yes",F52="yes",H52="covered"),1,IF(H52="partial",0.5,0))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Anatomy</x:t>
        </x:is>
      </x:c>
      <x:c r="C52" s="84" t="inlineStr">
        <x:is>
          <x:t xml:space="preserve">Head</x:t>
        </x:is>
      </x:c>
      <x:c r="D52" s="84" t="inlineStr">
        <x:is>
          <x:t xml:space="preserve">renders correct part when expected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Table playground scenario; manual-tests/table.md draft executed.</x:t>
        </x:is>
      </x:c>
      <x:c r="J52" s="84" t="n"/>
      <x:c r="K52" s="87" t="n">
        <x:f>IF(AND(E53="yes",F53="yes",H53="covered"),1,IF(H53="partial",0.5,0))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Anatomy</x:t>
        </x:is>
      </x:c>
      <x:c r="C53" s="84" t="inlineStr">
        <x:is>
          <x:t xml:space="preserve">Head</x:t>
        </x:is>
      </x:c>
      <x:c r="D53" s="84" t="inlineStr">
        <x:is>
          <x:t xml:space="preserve">appears in documented order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Table playground scenario; manual-tests/table.md draft executed.</x:t>
        </x:is>
      </x:c>
      <x:c r="J53" s="84" t="n"/>
      <x:c r="K53" s="87" t="n">
        <x:f>IF(AND(E54="yes",F54="yes",H54="covered"),1,IF(H54="partial",0.5,0))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Identity</x:t>
        </x:is>
      </x:c>
      <x:c r="C54" s="84" t="inlineStr">
        <x:is>
          <x:t xml:space="preserve">Head</x:t>
        </x:is>
      </x:c>
      <x:c r="D54" s="84" t="inlineStr">
        <x:is>
          <x:t xml:space="preserve">default tag is visible in Anatomy/Inspector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Table playground scenario; manual-tests/table.md draft executed.</x:t>
        </x:is>
      </x:c>
      <x:c r="J54" s="84" t="n"/>
      <x:c r="K54" s="87" t="n">
        <x:f>IF(AND(E55="yes",F55="yes",H55="covered"),1,IF(H55="partial",0.5,0))</x:f>
        <x:v>1</x:v>
      </x:c>
    </x:row>
    <x:row r="55" s="51" customFormat="1" ht="30" customHeight="1">
      <x:c r="A55" s="73" t="n">
        <x:v>47</x:v>
      </x:c>
      <x:c r="B55" s="84" t="inlineStr">
        <x:is>
          <x:t xml:space="preserve">Identity</x:t>
        </x:is>
      </x:c>
      <x:c r="C55" s="84" t="inlineStr">
        <x:is>
          <x:t xml:space="preserve">Head</x:t>
        </x:is>
      </x:c>
      <x:c r="D55" s="84" t="inlineStr">
        <x:is>
          <x:t xml:space="preserve">data-slot is present and correct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Table playground scenario; manual-tests/table.md draft executed.</x:t>
        </x:is>
      </x:c>
      <x:c r="J55" s="84" t="n"/>
      <x:c r="K55" s="87" t="n">
        <x:f>IF(AND(E56="yes",F56="yes",H56="covered"),1,IF(H56="partial",0.5,0))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Props</x:t>
        </x:is>
      </x:c>
      <x:c r="C56" s="84" t="inlineStr">
        <x:is>
          <x:t xml:space="preserve">Head</x:t>
        </x:is>
      </x:c>
      <x:c r="D56" s="84" t="inlineStr">
        <x:is>
          <x:t xml:space="preserve">non-Atom native props pass through with data-prop-check marker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Table playground scenario; manual-tests/table.md draft executed.</x:t>
        </x:is>
      </x:c>
      <x:c r="J56" s="84" t="n"/>
      <x:c r="K56" s="87" t="n">
        <x:f>IF(AND(E57="yes",F57="yes",H57="covered"),1,IF(H57="partial",0.5,0))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Refs</x:t>
        </x:is>
      </x:c>
      <x:c r="C57" s="84" t="inlineStr">
        <x:is>
          <x:t xml:space="preserve">Head</x:t>
        </x:is>
      </x:c>
      <x:c r="D57" s="84" t="inlineStr">
        <x:is>
          <x:t xml:space="preserve">consumer ref receives the rendered element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Table playground scenario; manual-tests/table.md draft executed.</x:t>
        </x:is>
      </x:c>
      <x:c r="J57" s="84" t="n"/>
      <x:c r="K57" s="87" t="n">
        <x:f>IF(AND(E58="yes",F58="yes",H58="covered"),1,IF(H58="partial",0.5,0))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Public API</x:t>
        </x:is>
      </x:c>
      <x:c r="C58" s="84" t="inlineStr">
        <x:is>
          <x:t xml:space="preserve">Head</x:t>
        </x:is>
      </x:c>
      <x:c r="D58" s="84" t="inlineStr">
        <x:is>
          <x:t xml:space="preserve">scope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Table playground scenario; manual-tests/table.md draft executed.</x:t>
        </x:is>
      </x:c>
      <x:c r="J58" s="84" t="n"/>
      <x:c r="K58" s="87" t="n">
        <x:f>IF(AND(E59="yes",F59="yes",H59="covered"),1,IF(H59="partial",0.5,0))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Public API</x:t>
        </x:is>
      </x:c>
      <x:c r="C59" s="84" t="inlineStr">
        <x:is>
          <x:t xml:space="preserve">Head</x:t>
        </x:is>
      </x:c>
      <x:c r="D59" s="84" t="inlineStr">
        <x:is>
          <x:t xml:space="preserve">sortDirection prop behavior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Table playground scenario; manual-tests/table.md draft executed.</x:t>
        </x:is>
      </x:c>
      <x:c r="J59" s="84" t="n"/>
      <x:c r="K59" s="87" t="n">
        <x:f>IF(AND(E60="yes",F60="yes",H60="covered"),1,IF(H60="partial",0.5,0))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Composition</x:t>
        </x:is>
      </x:c>
      <x:c r="C60" s="84" t="inlineStr">
        <x:is>
          <x:t xml:space="preserve">Head</x:t>
        </x:is>
      </x:c>
      <x:c r="D60" s="84" t="inlineStr">
        <x:is>
          <x:t xml:space="preserve">asChild prop behavior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Table playground scenario; manual-tests/table.md draft executed.</x:t>
        </x:is>
      </x:c>
      <x:c r="J60" s="84" t="n"/>
      <x:c r="K60" s="87" t="n">
        <x:f>IF(AND(E61="yes",F61="yes",H61="covered"),1,IF(H61="partial",0.5,0))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Composition</x:t>
        </x:is>
      </x:c>
      <x:c r="C61" s="84" t="inlineStr">
        <x:is>
          <x:t xml:space="preserve">Head</x:t>
        </x:is>
      </x:c>
      <x:c r="D61" s="84" t="inlineStr">
        <x:is>
          <x:t xml:space="preserve">render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Table playground scenario; manual-tests/table.md draft executed.</x:t>
        </x:is>
      </x:c>
      <x:c r="J61" s="84" t="n"/>
      <x:c r="K61" s="87" t="n">
        <x:f>IF(AND(E62="yes",F62="yes",H62="covered"),1,IF(H62="partial",0.5,0))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Head</x:t>
        </x:is>
      </x:c>
      <x:c r="D62" s="84" t="inlineStr">
        <x:is>
          <x:t xml:space="preserve">[data-slot]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Table playground scenario; manual-tests/table.md draft executed.</x:t>
        </x:is>
      </x:c>
      <x:c r="J62" s="84" t="n"/>
      <x:c r="K62" s="87" t="n">
        <x:f>IF(AND(E63="yes",F63="yes",H63="covered"),1,IF(H63="partial",0.5,0))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Public API</x:t>
        </x:is>
      </x:c>
      <x:c r="C63" s="84" t="inlineStr">
        <x:is>
          <x:t xml:space="preserve">Head</x:t>
        </x:is>
      </x:c>
      <x:c r="D63" s="84" t="inlineStr">
        <x:is>
          <x:t xml:space="preserve">[data-sort]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Table playground scenario; manual-tests/table.md draft executed.</x:t>
        </x:is>
      </x:c>
      <x:c r="J63" s="84" t="n"/>
      <x:c r="K63" s="87" t="n">
        <x:f>IF(AND(E64="yes",F64="yes",H64="covered"),1,IF(H64="partial",0.5,0))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Anatomy</x:t>
        </x:is>
      </x:c>
      <x:c r="C64" s="84" t="inlineStr">
        <x:is>
          <x:t xml:space="preserve">Header</x:t>
        </x:is>
      </x:c>
      <x:c r="D64" s="84" t="inlineStr">
        <x:is>
          <x:t xml:space="preserve">renders correct part when expected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Table playground scenario; manual-tests/table.md draft executed.</x:t>
        </x:is>
      </x:c>
      <x:c r="J64" s="84" t="n"/>
      <x:c r="K64" s="87" t="n">
        <x:f>IF(AND(E65="yes",F65="yes",H65="covered"),1,IF(H65="partial",0.5,0))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Anatomy</x:t>
        </x:is>
      </x:c>
      <x:c r="C65" s="84" t="inlineStr">
        <x:is>
          <x:t xml:space="preserve">Header</x:t>
        </x:is>
      </x:c>
      <x:c r="D65" s="84" t="inlineStr">
        <x:is>
          <x:t xml:space="preserve">appears in documented order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Table playground scenario; manual-tests/table.md draft executed.</x:t>
        </x:is>
      </x:c>
      <x:c r="J65" s="84" t="n"/>
      <x:c r="K65" s="87" t="n">
        <x:f>IF(AND(E66="yes",F66="yes",H66="covered"),1,IF(H66="partial",0.5,0))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Identity</x:t>
        </x:is>
      </x:c>
      <x:c r="C66" s="84" t="inlineStr">
        <x:is>
          <x:t xml:space="preserve">Header</x:t>
        </x:is>
      </x:c>
      <x:c r="D66" s="84" t="inlineStr">
        <x:is>
          <x:t xml:space="preserve">default tag is visible in Anatomy/Inspector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Table playground scenario; manual-tests/table.md draft executed.</x:t>
        </x:is>
      </x:c>
      <x:c r="J66" s="84" t="n"/>
      <x:c r="K66" s="87" t="n">
        <x:f>IF(AND(E67="yes",F67="yes",H67="covered"),1,IF(H67="partial",0.5,0))</x:f>
        <x:v>1</x:v>
      </x:c>
    </x:row>
    <x:row r="67" s="51" customFormat="1" ht="30" customHeight="1">
      <x:c r="A67" s="73" t="n">
        <x:v>59</x:v>
      </x:c>
      <x:c r="B67" s="84" t="inlineStr">
        <x:is>
          <x:t xml:space="preserve">Identity</x:t>
        </x:is>
      </x:c>
      <x:c r="C67" s="84" t="inlineStr">
        <x:is>
          <x:t xml:space="preserve">Header</x:t>
        </x:is>
      </x:c>
      <x:c r="D67" s="84" t="inlineStr">
        <x:is>
          <x:t xml:space="preserve">data-slot is present and correct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Table playground scenario; manual-tests/table.md draft executed.</x:t>
        </x:is>
      </x:c>
      <x:c r="J67" s="84" t="n"/>
      <x:c r="K67" s="87" t="n">
        <x:f>IF(AND(E68="yes",F68="yes",H68="covered"),1,IF(H68="partial",0.5,0))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Props</x:t>
        </x:is>
      </x:c>
      <x:c r="C68" s="84" t="inlineStr">
        <x:is>
          <x:t xml:space="preserve">Header</x:t>
        </x:is>
      </x:c>
      <x:c r="D68" s="84" t="inlineStr">
        <x:is>
          <x:t xml:space="preserve">non-Atom native props pass through with data-prop-check marker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Table playground scenario; manual-tests/table.md draft executed.</x:t>
        </x:is>
      </x:c>
      <x:c r="J68" s="84" t="n"/>
      <x:c r="K68" s="87" t="n">
        <x:f>IF(AND(E69="yes",F69="yes",H69="covered"),1,IF(H69="partial",0.5,0))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Refs</x:t>
        </x:is>
      </x:c>
      <x:c r="C69" s="84" t="inlineStr">
        <x:is>
          <x:t xml:space="preserve">Header</x:t>
        </x:is>
      </x:c>
      <x:c r="D69" s="84" t="inlineStr">
        <x:is>
          <x:t xml:space="preserve">consumer ref receives the rendered element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Table playground scenario; manual-tests/table.md draft executed.</x:t>
        </x:is>
      </x:c>
      <x:c r="J69" s="84" t="n"/>
      <x:c r="K69" s="87" t="n">
        <x:f>IF(AND(E70="yes",F70="yes",H70="covered"),1,IF(H70="partial",0.5,0))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Anatomy</x:t>
        </x:is>
      </x:c>
      <x:c r="C70" s="84" t="inlineStr">
        <x:is>
          <x:t xml:space="preserve">Row</x:t>
        </x:is>
      </x:c>
      <x:c r="D70" s="84" t="inlineStr">
        <x:is>
          <x:t xml:space="preserve">renders correct part when expected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Table playground scenario; manual-tests/table.md draft executed.</x:t>
        </x:is>
      </x:c>
      <x:c r="J70" s="84" t="n"/>
      <x:c r="K70" s="87" t="n">
        <x:f>IF(AND(E71="yes",F71="yes",H71="covered"),1,IF(H71="partial",0.5,0))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Anatomy</x:t>
        </x:is>
      </x:c>
      <x:c r="C71" s="84" t="inlineStr">
        <x:is>
          <x:t xml:space="preserve">Row</x:t>
        </x:is>
      </x:c>
      <x:c r="D71" s="84" t="inlineStr">
        <x:is>
          <x:t xml:space="preserve">appears in documented order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Table playground scenario; manual-tests/table.md draft executed.</x:t>
        </x:is>
      </x:c>
      <x:c r="J71" s="84" t="n"/>
      <x:c r="K71" s="87" t="n">
        <x:f>IF(AND(E72="yes",F72="yes",H72="covered"),1,IF(H72="partial",0.5,0))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Identity</x:t>
        </x:is>
      </x:c>
      <x:c r="C72" s="84" t="inlineStr">
        <x:is>
          <x:t xml:space="preserve">Row</x:t>
        </x:is>
      </x:c>
      <x:c r="D72" s="84" t="inlineStr">
        <x:is>
          <x:t xml:space="preserve">default tag is visible in Anatomy/Inspector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Table playground scenario; manual-tests/table.md draft executed.</x:t>
        </x:is>
      </x:c>
      <x:c r="J72" s="84" t="n"/>
      <x:c r="K72" s="87" t="n">
        <x:f>IF(AND(E73="yes",F73="yes",H73="covered"),1,IF(H73="partial",0.5,0))</x:f>
        <x:v>1</x:v>
      </x:c>
    </x:row>
    <x:row r="73" s="51" customFormat="1" ht="30" customHeight="1">
      <x:c r="A73" s="73" t="n">
        <x:v>65</x:v>
      </x:c>
      <x:c r="B73" s="84" t="inlineStr">
        <x:is>
          <x:t xml:space="preserve">Identity</x:t>
        </x:is>
      </x:c>
      <x:c r="C73" s="84" t="inlineStr">
        <x:is>
          <x:t xml:space="preserve">Row</x:t>
        </x:is>
      </x:c>
      <x:c r="D73" s="84" t="inlineStr">
        <x:is>
          <x:t xml:space="preserve">data-slot is present and correct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Table playground scenario; manual-tests/table.md draft executed.</x:t>
        </x:is>
      </x:c>
      <x:c r="J73" s="84" t="n"/>
      <x:c r="K73" s="87" t="n">
        <x:f>IF(AND(E74="yes",F74="yes",H74="covered"),1,IF(H74="partial",0.5,0))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Props</x:t>
        </x:is>
      </x:c>
      <x:c r="C74" s="84" t="inlineStr">
        <x:is>
          <x:t xml:space="preserve">Row</x:t>
        </x:is>
      </x:c>
      <x:c r="D74" s="84" t="inlineStr">
        <x:is>
          <x:t xml:space="preserve">non-Atom native props pass through with data-prop-check marker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Table playground scenario; manual-tests/table.md draft executed.</x:t>
        </x:is>
      </x:c>
      <x:c r="J74" s="84" t="n"/>
      <x:c r="K74" s="87" t="n">
        <x:f>IF(AND(E75="yes",F75="yes",H75="covered"),1,IF(H75="partial",0.5,0))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Refs</x:t>
        </x:is>
      </x:c>
      <x:c r="C75" s="84" t="inlineStr">
        <x:is>
          <x:t xml:space="preserve">Row</x:t>
        </x:is>
      </x:c>
      <x:c r="D75" s="84" t="inlineStr">
        <x:is>
          <x:t xml:space="preserve">consumer ref receives the rendered element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Table playground scenario; manual-tests/table.md draft executed.</x:t>
        </x:is>
      </x:c>
      <x:c r="J75" s="84" t="n"/>
      <x:c r="K75" s="87" t="n">
        <x:f>IF(AND(E76="yes",F76="yes",H76="covered"),1,IF(H76="partial",0.5,0))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ARIA</x:t>
        </x:is>
      </x:c>
      <x:c r="C76" s="84" t="inlineStr">
        <x:is>
          <x:t xml:space="preserve">Live DOM</x:t>
        </x:is>
      </x:c>
      <x:c r="D76" s="84" t="inlineStr">
        <x:is>
          <x:t xml:space="preserve">aria-label is present at the correct time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Table playground scenario; manual-tests/table.md draft executed.</x:t>
        </x:is>
      </x:c>
      <x:c r="J76" s="84" t="n"/>
      <x:c r="K76" s="87" t="n">
        <x:f>IF(AND(E77="yes",F77="yes",H77="covered"),1,IF(H77="partial",0.5,0))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ARIA</x:t>
        </x:is>
      </x:c>
      <x:c r="C77" s="84" t="inlineStr">
        <x:is>
          <x:t xml:space="preserve">Live DOM</x:t>
        </x:is>
      </x:c>
      <x:c r="D77" s="84" t="inlineStr">
        <x:is>
          <x:t xml:space="preserve">aria-labelledby is present at the correct time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Table playground scenario; manual-tests/table.md draft executed.</x:t>
        </x:is>
      </x:c>
      <x:c r="J77" s="84" t="n"/>
      <x:c r="K77" s="87" t="n">
        <x:f>IF(AND(E78="yes",F78="yes",H78="covered"),1,IF(H78="partial",0.5,0))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ARIA</x:t>
        </x:is>
      </x:c>
      <x:c r="C78" s="84" t="inlineStr">
        <x:is>
          <x:t xml:space="preserve">Live DOM</x:t>
        </x:is>
      </x:c>
      <x:c r="D78" s="84" t="inlineStr">
        <x:is>
          <x:t xml:space="preserve">aria-sort is present at the correct time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Table playground scenario; manual-tests/table.md draft executed.</x:t>
        </x:is>
      </x:c>
      <x:c r="J78" s="84" t="n"/>
      <x:c r="K78" s="87" t="n">
        <x:f>IF(AND(E79="yes",F79="yes",H79="covered"),1,IF(H79="partial",0.5,0))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Data</x:t>
        </x:is>
      </x:c>
      <x:c r="C79" s="84" t="inlineStr">
        <x:is>
          <x:t xml:space="preserve">Live DOM</x:t>
        </x:is>
      </x:c>
      <x:c r="D79" s="84" t="inlineStr">
        <x:is>
          <x:t xml:space="preserve">data-slot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Table playground scenario; manual-tests/table.md draft executed.</x:t>
        </x:is>
      </x:c>
      <x:c r="J79" s="84" t="n"/>
      <x:c r="K79" s="87" t="n">
        <x:f>IF(AND(E80="yes",F80="yes",H80="covered"),1,IF(H80="partial",0.5,0))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Data</x:t>
        </x:is>
      </x:c>
      <x:c r="C80" s="84" t="inlineStr">
        <x:is>
          <x:t xml:space="preserve">Live DOM</x:t>
        </x:is>
      </x:c>
      <x:c r="D80" s="84" t="inlineStr">
        <x:is>
          <x:t xml:space="preserve">data-sort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Table playground scenario; manual-tests/table.md draft executed.</x:t>
        </x:is>
      </x:c>
      <x:c r="J80" s="84" t="n"/>
      <x:c r="K80" s="87" t="n">
        <x:f>IF(AND(E81="yes",F81="yes",H81="covered"),1,IF(H81="partial",0.5,0))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Composition</x:t>
        </x:is>
      </x:c>
      <x:c r="C81" s="84" t="inlineStr">
        <x:is>
          <x:t xml:space="preserve">Table</x:t>
        </x:is>
      </x:c>
      <x:c r="D81" s="84" t="inlineStr">
        <x:is>
          <x:t xml:space="preserve">asChild preserves child content without double nesting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Table playground scenario; manual-tests/table.md draft executed.</x:t>
        </x:is>
      </x:c>
      <x:c r="J81" s="84" t="n"/>
      <x:c r="K81" s="87" t="n">
        <x:f>IF(AND(E82="yes",F82="yes",H82="covered"),1,IF(H82="partial",0.5,0))</x:f>
        <x:v>1</x:v>
      </x:c>
    </x:row>
    <x:row r="82" s="51" customFormat="1" ht="30" customHeight="1">
      <x:c r="A82" s="73" t="n">
        <x:v>74</x:v>
      </x:c>
      <x:c r="B82" s="84" t="inlineStr">
        <x:is>
          <x:t xml:space="preserve">Composition</x:t>
        </x:is>
      </x:c>
      <x:c r="C82" s="84" t="inlineStr">
        <x:is>
          <x:t xml:space="preserve">Table</x:t>
        </x:is>
      </x:c>
      <x:c r="D82" s="84" t="inlineStr">
        <x:is>
          <x:t xml:space="preserve">asChild merges Atom props and consumer props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Table playground scenario; manual-tests/table.md draft executed.</x:t>
        </x:is>
      </x:c>
      <x:c r="J82" s="84" t="n"/>
      <x:c r="K82" s="87" t="n">
        <x:f>IF(AND(E83="yes",F83="yes",H83="covered"),1,IF(H83="partial",0.5,0))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Composition</x:t>
        </x:is>
      </x:c>
      <x:c r="C83" s="84" t="inlineStr">
        <x:is>
          <x:t xml:space="preserve">Table</x:t>
        </x:is>
      </x:c>
      <x:c r="D83" s="84" t="inlineStr">
        <x:is>
          <x:t xml:space="preserve">render prop renders custom element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Table playground scenario; manual-tests/table.md draft executed.</x:t>
        </x:is>
      </x:c>
      <x:c r="J83" s="84" t="n"/>
      <x:c r="K83" s="87" t="n">
        <x:f>IF(AND(E85="yes",F85="yes",H85="covered"),1,IF(H85="partial",0.5,0))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Composition</x:t>
        </x:is>
      </x:c>
      <x:c r="C84" s="84" t="inlineStr">
        <x:is>
          <x:t xml:space="preserve">Table</x:t>
        </x:is>
      </x:c>
      <x:c r="D84" s="84" t="inlineStr">
        <x:is>
          <x:t xml:space="preserve">render prop preserves refs and behavior props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Table playground scenario; manual-tests/table.md draft executed.</x:t>
        </x:is>
      </x:c>
      <x:c r="J84" s="84" t="n"/>
      <x:c r="K84" s="87" t="n">
        <x:f>IF(AND(E86="yes",F86="yes",H86="covered"),1,IF(H86="partial",0.5,0))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Composition</x:t>
        </x:is>
      </x:c>
      <x:c r="C85" s="84" t="inlineStr">
        <x:is>
          <x:t xml:space="preserve">Caption</x:t>
        </x:is>
      </x:c>
      <x:c r="D85" s="84" t="inlineStr">
        <x:is>
          <x:t xml:space="preserve">asChild prop behavior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Table playground scenario; manual-tests/table.md draft executed.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Composition</x:t>
        </x:is>
      </x:c>
      <x:c r="C86" s="84" t="inlineStr">
        <x:is>
          <x:t xml:space="preserve">Caption</x:t>
        </x:is>
      </x:c>
      <x:c r="D86" s="84" t="inlineStr">
        <x:is>
          <x:t xml:space="preserve">render prop behavior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Table playground scenario; manual-tests/table.md draft executed.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22.5" customHeight="1">
      <x:c r="A87" s="73" t="n">
        <x:v>79</x:v>
      </x:c>
      <x:c r="B87" s="84" t="inlineStr">
        <x:is>
          <x:t xml:space="preserve">Composition</x:t>
        </x:is>
      </x:c>
      <x:c r="C87" s="84" t="inlineStr">
        <x:is>
          <x:t xml:space="preserve">Header</x:t>
        </x:is>
      </x:c>
      <x:c r="D87" s="84" t="inlineStr">
        <x:is>
          <x:t xml:space="preserve">asChild prop behavior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Table playground scenario; manual-tests/table.md draft executed.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22.5" customHeight="1">
      <x:c r="A88" s="73" t="n">
        <x:v>80</x:v>
      </x:c>
      <x:c r="B88" s="84" t="inlineStr">
        <x:is>
          <x:t xml:space="preserve">Composition</x:t>
        </x:is>
      </x:c>
      <x:c r="C88" s="84" t="inlineStr">
        <x:is>
          <x:t xml:space="preserve">Header</x:t>
        </x:is>
      </x:c>
      <x:c r="D88" s="84" t="inlineStr">
        <x:is>
          <x:t xml:space="preserve">render prop behavior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Table playground scenario; manual-tests/table.md draft executed.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22.5" customHeight="1">
      <x:c r="A89" s="73" t="n">
        <x:v>81</x:v>
      </x:c>
      <x:c r="B89" s="84" t="inlineStr">
        <x:is>
          <x:t xml:space="preserve">Composition</x:t>
        </x:is>
      </x:c>
      <x:c r="C89" s="84" t="inlineStr">
        <x:is>
          <x:t xml:space="preserve">Body</x:t>
        </x:is>
      </x:c>
      <x:c r="D89" s="84" t="inlineStr">
        <x:is>
          <x:t xml:space="preserve">asChild prop behavior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Table playground scenario; manual-tests/table.md draft executed.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22.5" customHeight="1">
      <x:c r="A90" s="73" t="n">
        <x:v>82</x:v>
      </x:c>
      <x:c r="B90" s="84" t="inlineStr">
        <x:is>
          <x:t xml:space="preserve">Composition</x:t>
        </x:is>
      </x:c>
      <x:c r="C90" s="84" t="inlineStr">
        <x:is>
          <x:t xml:space="preserve">Body</x:t>
        </x:is>
      </x:c>
      <x:c r="D90" s="84" t="inlineStr">
        <x:is>
          <x:t xml:space="preserve">render prop behavior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Table playground scenario; manual-tests/table.md draft executed.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22.5" customHeight="1">
      <x:c r="A91" s="73" t="n">
        <x:v>83</x:v>
      </x:c>
      <x:c r="B91" s="84" t="inlineStr">
        <x:is>
          <x:t xml:space="preserve">Composition</x:t>
        </x:is>
      </x:c>
      <x:c r="C91" s="84" t="inlineStr">
        <x:is>
          <x:t xml:space="preserve">Footer</x:t>
        </x:is>
      </x:c>
      <x:c r="D91" s="84" t="inlineStr">
        <x:is>
          <x:t xml:space="preserve">asChild prop behavior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Table playground scenario; manual-tests/table.md draft executed.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22.5" customHeight="1">
      <x:c r="A92" s="73" t="n">
        <x:v>84</x:v>
      </x:c>
      <x:c r="B92" s="84" t="inlineStr">
        <x:is>
          <x:t xml:space="preserve">Composition</x:t>
        </x:is>
      </x:c>
      <x:c r="C92" s="84" t="inlineStr">
        <x:is>
          <x:t xml:space="preserve">Footer</x:t>
        </x:is>
      </x:c>
      <x:c r="D92" s="84" t="inlineStr">
        <x:is>
          <x:t xml:space="preserve">render prop behavior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Table playground scenario; manual-tests/table.md draft executed.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22.5" customHeight="1">
      <x:c r="A93" s="73" t="n">
        <x:v>85</x:v>
      </x:c>
      <x:c r="B93" s="84" t="inlineStr">
        <x:is>
          <x:t xml:space="preserve">Composition</x:t>
        </x:is>
      </x:c>
      <x:c r="C93" s="84" t="inlineStr">
        <x:is>
          <x:t xml:space="preserve">Row</x:t>
        </x:is>
      </x:c>
      <x:c r="D93" s="84" t="inlineStr">
        <x:is>
          <x:t xml:space="preserve">asChild prop behavior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Table playground scenario; manual-tests/table.md draft executed.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22.5" customHeight="1">
      <x:c r="A94" s="73" t="n">
        <x:v>86</x:v>
      </x:c>
      <x:c r="B94" s="84" t="inlineStr">
        <x:is>
          <x:t xml:space="preserve">Composition</x:t>
        </x:is>
      </x:c>
      <x:c r="C94" s="84" t="inlineStr">
        <x:is>
          <x:t xml:space="preserve">Row</x:t>
        </x:is>
      </x:c>
      <x:c r="D94" s="84" t="inlineStr">
        <x:is>
          <x:t xml:space="preserve">render prop behavior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Table playground scenario; manual-tests/table.md draft executed.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22.5" customHeight="1">
      <x:c r="A95" s="73" t="n">
        <x:v>87</x:v>
      </x:c>
      <x:c r="B95" s="84" t="inlineStr">
        <x:is>
          <x:t xml:space="preserve">Composition</x:t>
        </x:is>
      </x:c>
      <x:c r="C95" s="84" t="inlineStr">
        <x:is>
          <x:t xml:space="preserve">Cell</x:t>
        </x:is>
      </x:c>
      <x:c r="D95" s="84" t="inlineStr">
        <x:is>
          <x:t xml:space="preserve">asChild prop behavior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Table playground scenario; manual-tests/table.md draft executed.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22.5" customHeight="1">
      <x:c r="A96" s="73" t="n">
        <x:v>88</x:v>
      </x:c>
      <x:c r="B96" s="84" t="inlineStr">
        <x:is>
          <x:t xml:space="preserve">Composition</x:t>
        </x:is>
      </x:c>
      <x:c r="C96" s="84" t="inlineStr">
        <x:is>
          <x:t xml:space="preserve">Cell</x:t>
        </x:is>
      </x:c>
      <x:c r="D96" s="84" t="inlineStr">
        <x:is>
          <x:t xml:space="preserve">render prop behavior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Table playground scenario; manual-tests/table.md draft executed.</x:t>
        </x:is>
      </x:c>
      <x:c r="J96" s="84" t="n"/>
      <x:c r="K96" s="87" t="n">
        <x:f>IF(AND(E96="yes",F96="yes",H96="covered"),1,IF(H96="partial",0.5,0))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Tabs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0.9423076923076923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98</x:v>
      </x:c>
      <x:c r="E4" s="70" t="inlineStr">
        <x:is>
          <x:t xml:space="preserve">Partial</x:t>
        </x:is>
      </x:c>
      <x:c r="F4" s="82" t="n">
        <x:f>COUNTIFS(A9:A1000,"&lt;&gt;",H9:H1000,"partial")</x:f>
        <x:v>6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6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manual-tests/tabs.md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manual-tests/tabs.md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Tabs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manual-tests/tabs.md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Tabs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manual-tests/tabs.md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Tabs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manual-tests/tabs.md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Tabs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manual-tests/tabs.md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Tabs</x:t>
        </x:is>
      </x:c>
      <x:c r="D15" s="84" t="inlineStr">
        <x:is>
          <x:t xml:space="preserve">Implements linked tab and tabpanel ARIA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manual-tests/tabs.md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Tabs</x:t>
        </x:is>
      </x:c>
      <x:c r="D16" s="84" t="inlineStr">
        <x:is>
          <x:t xml:space="preserve">Supports controlled and uncontrolled selected value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manual-tests/tabs.md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Tabs</x:t>
        </x:is>
      </x:c>
      <x:c r="D17" s="84" t="inlineStr">
        <x:is>
          <x:t xml:space="preserve">Supports horizontal and vertical orientation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manual-tests/tabs.md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Tabs</x:t>
        </x:is>
      </x:c>
      <x:c r="D18" s="84" t="inlineStr">
        <x:is>
          <x:t xml:space="preserve">Supports automatic or manual activation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manual-tests/tabs.md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Tabs</x:t>
        </x:is>
      </x:c>
      <x:c r="D19" s="84" t="inlineStr">
        <x:is>
          <x:t xml:space="preserve">Supports disabled tabs, keep-mounted panels, focusable panels, and an optional indicator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manual-tests/tabs.md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Anatomy</x:t>
        </x:is>
      </x:c>
      <x:c r="C20" s="84" t="inlineStr">
        <x:is>
          <x:t xml:space="preserve">Root</x:t>
        </x:is>
      </x:c>
      <x:c r="D20" s="84" t="inlineStr">
        <x:is>
          <x:t xml:space="preserve">renders correct part when expected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manual-tests/tabs.md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appears in documented order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manual-tests/tabs.md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30" customHeight="1">
      <x:c r="A22" s="73" t="n">
        <x:v>14</x:v>
      </x:c>
      <x:c r="B22" s="84" t="inlineStr">
        <x:is>
          <x:t xml:space="preserve">Identity</x:t>
        </x:is>
      </x:c>
      <x:c r="C22" s="84" t="inlineStr">
        <x:is>
          <x:t xml:space="preserve">Root</x:t>
        </x:is>
      </x:c>
      <x:c r="D22" s="84" t="inlineStr">
        <x:is>
          <x:t xml:space="preserve">default tag is visible in Anatomy/Inspector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manual-tests/tabs.md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data-slot is present and correct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manual-tests/tabs.md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Props</x:t>
        </x:is>
      </x:c>
      <x:c r="C24" s="84" t="inlineStr">
        <x:is>
          <x:t xml:space="preserve">Root</x:t>
        </x:is>
      </x:c>
      <x:c r="D24" s="84" t="inlineStr">
        <x:is>
          <x:t xml:space="preserve">non-Atom native props pass through with data-prop-check marker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manual-tests/tabs.md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Refs</x:t>
        </x:is>
      </x:c>
      <x:c r="C25" s="84" t="inlineStr">
        <x:is>
          <x:t xml:space="preserve">Root</x:t>
        </x:is>
      </x:c>
      <x:c r="D25" s="84" t="inlineStr">
        <x:is>
          <x:t xml:space="preserve">consumer ref receives the rendered element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manual-tests/tabs.md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value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manual-tests/tabs.md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defaultValue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manual-tests/tabs.md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onValueChange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manual-tests/tabs.md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orientation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manual-tests/tabs.md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State</x:t>
        </x:is>
      </x:c>
      <x:c r="C30" s="84" t="inlineStr">
        <x:is>
          <x:t xml:space="preserve">Root</x:t>
        </x:is>
      </x:c>
      <x:c r="D30" s="84" t="inlineStr">
        <x:is>
          <x:t xml:space="preserve">activationMode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manual-tests/tabs.md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loop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manual-tests/tabs.md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[data-slot]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manual-tests/tabs.md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[data-orientation]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manual-tests/tabs.md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Anatomy</x:t>
        </x:is>
      </x:c>
      <x:c r="C34" s="84" t="inlineStr">
        <x:is>
          <x:t xml:space="preserve">Trigger</x:t>
        </x:is>
      </x:c>
      <x:c r="D34" s="84" t="inlineStr">
        <x:is>
          <x:t xml:space="preserve">renders correct part when expected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manual-tests/tabs.md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Anatomy</x:t>
        </x:is>
      </x:c>
      <x:c r="C35" s="84" t="inlineStr">
        <x:is>
          <x:t xml:space="preserve">Trigger</x:t>
        </x:is>
      </x:c>
      <x:c r="D35" s="84" t="inlineStr">
        <x:is>
          <x:t xml:space="preserve">appears in documented order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manual-tests/tabs.md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30" customHeight="1">
      <x:c r="A36" s="73" t="n">
        <x:v>28</x:v>
      </x:c>
      <x:c r="B36" s="84" t="inlineStr">
        <x:is>
          <x:t xml:space="preserve">Identity</x:t>
        </x:is>
      </x:c>
      <x:c r="C36" s="84" t="inlineStr">
        <x:is>
          <x:t xml:space="preserve">Trigger</x:t>
        </x:is>
      </x:c>
      <x:c r="D36" s="84" t="inlineStr">
        <x:is>
          <x:t xml:space="preserve">default tag is visible in Anatomy/Inspector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manual-tests/tabs.md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Identity</x:t>
        </x:is>
      </x:c>
      <x:c r="C37" s="84" t="inlineStr">
        <x:is>
          <x:t xml:space="preserve">Trigger</x:t>
        </x:is>
      </x:c>
      <x:c r="D37" s="84" t="inlineStr">
        <x:is>
          <x:t xml:space="preserve">data-slot is present and correct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manual-tests/tabs.md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Props</x:t>
        </x:is>
      </x:c>
      <x:c r="C38" s="84" t="inlineStr">
        <x:is>
          <x:t xml:space="preserve">Trigger</x:t>
        </x:is>
      </x:c>
      <x:c r="D38" s="84" t="inlineStr">
        <x:is>
          <x:t xml:space="preserve">non-Atom native props pass through with data-prop-check marker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manual-tests/tabs.md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Refs</x:t>
        </x:is>
      </x:c>
      <x:c r="C39" s="84" t="inlineStr">
        <x:is>
          <x:t xml:space="preserve">Trigger</x:t>
        </x:is>
      </x:c>
      <x:c r="D39" s="84" t="inlineStr">
        <x:is>
          <x:t xml:space="preserve">consumer ref receives the rendered element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manual-tests/tabs.md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State</x:t>
        </x:is>
      </x:c>
      <x:c r="C40" s="84" t="inlineStr">
        <x:is>
          <x:t xml:space="preserve">Trigger</x:t>
        </x:is>
      </x:c>
      <x:c r="D40" s="84" t="inlineStr">
        <x:is>
          <x:t xml:space="preserve">value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manual-tests/tabs.md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Trigger</x:t>
        </x:is>
      </x:c>
      <x:c r="D41" s="84" t="inlineStr">
        <x:is>
          <x:t xml:space="preserve">disabled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manual-tests/tabs.md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Composition</x:t>
        </x:is>
      </x:c>
      <x:c r="C42" s="84" t="inlineStr">
        <x:is>
          <x:t xml:space="preserve">Trigger</x:t>
        </x:is>
      </x:c>
      <x:c r="D42" s="84" t="inlineStr">
        <x:is>
          <x:t xml:space="preserve">asChild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manual-tests/tabs.md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Composition</x:t>
        </x:is>
      </x:c>
      <x:c r="C43" s="84" t="inlineStr">
        <x:is>
          <x:t xml:space="preserve">Trigger</x:t>
        </x:is>
      </x:c>
      <x:c r="D43" s="84" t="inlineStr">
        <x:is>
          <x:t xml:space="preserve">render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manual-tests/tabs.md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Trigger</x:t>
        </x:is>
      </x:c>
      <x:c r="D44" s="84" t="inlineStr">
        <x:is>
          <x:t xml:space="preserve">[data-slot]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manual-tests/tabs.md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Public API</x:t>
        </x:is>
      </x:c>
      <x:c r="C45" s="84" t="inlineStr">
        <x:is>
          <x:t xml:space="preserve">Trigger</x:t>
        </x:is>
      </x:c>
      <x:c r="D45" s="84" t="inlineStr">
        <x:is>
          <x:t xml:space="preserve">[data-state]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manual-tests/tabs.md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State</x:t>
        </x:is>
      </x:c>
      <x:c r="C46" s="84" t="inlineStr">
        <x:is>
          <x:t xml:space="preserve">Trigger</x:t>
        </x:is>
      </x:c>
      <x:c r="D46" s="84" t="inlineStr">
        <x:is>
          <x:t xml:space="preserve">[data-disabled]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manual-tests/tabs.md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Content</x:t>
        </x:is>
      </x:c>
      <x:c r="D47" s="84" t="inlineStr">
        <x:is>
          <x:t xml:space="preserve">renders correct part when expected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manual-tests/tabs.md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Content</x:t>
        </x:is>
      </x:c>
      <x:c r="D48" s="84" t="inlineStr">
        <x:is>
          <x:t xml:space="preserve">appears in documented order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manual-tests/tabs.md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Content</x:t>
        </x:is>
      </x:c>
      <x:c r="D49" s="84" t="inlineStr">
        <x:is>
          <x:t xml:space="preserve">default tag is visible in Anatomy/Inspector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manual-tests/tabs.md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Identity</x:t>
        </x:is>
      </x:c>
      <x:c r="C50" s="84" t="inlineStr">
        <x:is>
          <x:t xml:space="preserve">Content</x:t>
        </x:is>
      </x:c>
      <x:c r="D50" s="84" t="inlineStr">
        <x:is>
          <x:t xml:space="preserve">data-slot is present and correct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manual-tests/tabs.md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Props</x:t>
        </x:is>
      </x:c>
      <x:c r="C51" s="84" t="inlineStr">
        <x:is>
          <x:t xml:space="preserve">Content</x:t>
        </x:is>
      </x:c>
      <x:c r="D51" s="84" t="inlineStr">
        <x:is>
          <x:t xml:space="preserve">non-Atom native props pass through with data-prop-check marker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manual-tests/tabs.md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Refs</x:t>
        </x:is>
      </x:c>
      <x:c r="C52" s="84" t="inlineStr">
        <x:is>
          <x:t xml:space="preserve">Content</x:t>
        </x:is>
      </x:c>
      <x:c r="D52" s="84" t="inlineStr">
        <x:is>
          <x:t xml:space="preserve">consumer ref receives the rendered element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manual-tests/tabs.md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State</x:t>
        </x:is>
      </x:c>
      <x:c r="C53" s="84" t="inlineStr">
        <x:is>
          <x:t xml:space="preserve">Content</x:t>
        </x:is>
      </x:c>
      <x:c r="D53" s="84" t="inlineStr">
        <x:is>
          <x:t xml:space="preserve">value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manual-tests/tabs.md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Content</x:t>
        </x:is>
      </x:c>
      <x:c r="D54" s="84" t="inlineStr">
        <x:is>
          <x:t xml:space="preserve">keepMounted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manual-tests/tabs.md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Content</x:t>
        </x:is>
      </x:c>
      <x:c r="D55" s="84" t="inlineStr">
        <x:is>
          <x:t xml:space="preserve">focusable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manual-tests/tabs.md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Content</x:t>
        </x:is>
      </x:c>
      <x:c r="D56" s="84" t="inlineStr">
        <x:is>
          <x:t xml:space="preserve">[data-slot]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manual-tests/tabs.md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Public API</x:t>
        </x:is>
      </x:c>
      <x:c r="C57" s="84" t="inlineStr">
        <x:is>
          <x:t xml:space="preserve">Content</x:t>
        </x:is>
      </x:c>
      <x:c r="D57" s="84" t="inlineStr">
        <x:is>
          <x:t xml:space="preserve">[data-state]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manual-tests/tabs.md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Anatomy</x:t>
        </x:is>
      </x:c>
      <x:c r="C58" s="84" t="inlineStr">
        <x:is>
          <x:t xml:space="preserve">List</x:t>
        </x:is>
      </x:c>
      <x:c r="D58" s="84" t="inlineStr">
        <x:is>
          <x:t xml:space="preserve">renders correct part when expected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manual-tests/tabs.md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List</x:t>
        </x:is>
      </x:c>
      <x:c r="D59" s="84" t="inlineStr">
        <x:is>
          <x:t xml:space="preserve">appears in documented order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manual-tests/tabs.md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30" customHeight="1">
      <x:c r="A60" s="73" t="n">
        <x:v>52</x:v>
      </x:c>
      <x:c r="B60" s="84" t="inlineStr">
        <x:is>
          <x:t xml:space="preserve">Identity</x:t>
        </x:is>
      </x:c>
      <x:c r="C60" s="84" t="inlineStr">
        <x:is>
          <x:t xml:space="preserve">List</x:t>
        </x:is>
      </x:c>
      <x:c r="D60" s="84" t="inlineStr">
        <x:is>
          <x:t xml:space="preserve">default tag is visible in Anatomy/Inspector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manual-tests/tabs.md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List</x:t>
        </x:is>
      </x:c>
      <x:c r="D61" s="84" t="inlineStr">
        <x:is>
          <x:t xml:space="preserve">data-slot is present and correct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manual-tests/tabs.md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Props</x:t>
        </x:is>
      </x:c>
      <x:c r="C62" s="84" t="inlineStr">
        <x:is>
          <x:t xml:space="preserve">List</x:t>
        </x:is>
      </x:c>
      <x:c r="D62" s="84" t="inlineStr">
        <x:is>
          <x:t xml:space="preserve">non-Atom native props pass through with data-prop-check marker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manual-tests/tabs.md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Refs</x:t>
        </x:is>
      </x:c>
      <x:c r="C63" s="84" t="inlineStr">
        <x:is>
          <x:t xml:space="preserve">List</x:t>
        </x:is>
      </x:c>
      <x:c r="D63" s="84" t="inlineStr">
        <x:is>
          <x:t xml:space="preserve">consumer ref receives the rendered element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manual-tests/tabs.md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List</x:t>
        </x:is>
      </x:c>
      <x:c r="D64" s="84" t="inlineStr">
        <x:is>
          <x:t xml:space="preserve">[data-slot]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manual-tests/tabs.md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Public API</x:t>
        </x:is>
      </x:c>
      <x:c r="C65" s="84" t="inlineStr">
        <x:is>
          <x:t xml:space="preserve">List</x:t>
        </x:is>
      </x:c>
      <x:c r="D65" s="84" t="inlineStr">
        <x:is>
          <x:t xml:space="preserve">[data-orientation]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manual-tests/tabs.md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Anatomy</x:t>
        </x:is>
      </x:c>
      <x:c r="C66" s="84" t="inlineStr">
        <x:is>
          <x:t xml:space="preserve">Indicator</x:t>
        </x:is>
      </x:c>
      <x:c r="D66" s="84" t="inlineStr">
        <x:is>
          <x:t xml:space="preserve">renders correct part when expected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manual-tests/tabs.md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Anatomy</x:t>
        </x:is>
      </x:c>
      <x:c r="C67" s="84" t="inlineStr">
        <x:is>
          <x:t xml:space="preserve">Indicator</x:t>
        </x:is>
      </x:c>
      <x:c r="D67" s="84" t="inlineStr">
        <x:is>
          <x:t xml:space="preserve">appears in documented order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manual-tests/tabs.md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30" customHeight="1">
      <x:c r="A68" s="73" t="n">
        <x:v>60</x:v>
      </x:c>
      <x:c r="B68" s="84" t="inlineStr">
        <x:is>
          <x:t xml:space="preserve">Identity</x:t>
        </x:is>
      </x:c>
      <x:c r="C68" s="84" t="inlineStr">
        <x:is>
          <x:t xml:space="preserve">Indicator</x:t>
        </x:is>
      </x:c>
      <x:c r="D68" s="84" t="inlineStr">
        <x:is>
          <x:t xml:space="preserve">default tag is visible in Anatomy/Inspector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manual-tests/tabs.md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Identity</x:t>
        </x:is>
      </x:c>
      <x:c r="C69" s="84" t="inlineStr">
        <x:is>
          <x:t xml:space="preserve">Indicator</x:t>
        </x:is>
      </x:c>
      <x:c r="D69" s="84" t="inlineStr">
        <x:is>
          <x:t xml:space="preserve">data-slot is present and correct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manual-tests/tabs.md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Props</x:t>
        </x:is>
      </x:c>
      <x:c r="C70" s="84" t="inlineStr">
        <x:is>
          <x:t xml:space="preserve">Indicator</x:t>
        </x:is>
      </x:c>
      <x:c r="D70" s="84" t="inlineStr">
        <x:is>
          <x:t xml:space="preserve">non-Atom native props pass through with data-prop-check marker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manual-tests/tabs.md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Public API</x:t>
        </x:is>
      </x:c>
      <x:c r="C71" s="84" t="inlineStr">
        <x:is>
          <x:t xml:space="preserve">Indicator</x:t>
        </x:is>
      </x:c>
      <x:c r="D71" s="84" t="inlineStr">
        <x:is>
          <x:t xml:space="preserve">[data-slot] prop behavior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manual-tests/tabs.md</x:t>
        </x:is>
      </x:c>
      <x:c r="J71" s="84" t="n"/>
      <x:c r="K71" s="87" t="n">
        <x:f>IF(AND(E73="yes",F73="yes",H73="covered"),1,IF(H73="partial",0.5,0))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ARIA</x:t>
        </x:is>
      </x:c>
      <x:c r="C72" s="84" t="inlineStr">
        <x:is>
          <x:t xml:space="preserve">Live DOM</x:t>
        </x:is>
      </x:c>
      <x:c r="D72" s="84" t="inlineStr">
        <x:is>
          <x:t xml:space="preserve">aria-controls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manual-tests/tabs.md</x:t>
        </x:is>
      </x:c>
      <x:c r="J72" s="84" t="n"/>
      <x:c r="K72" s="87" t="n">
        <x:f>IF(AND(E75="yes",F75="yes",H75="covered"),1,IF(H75="partial",0.5,0))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ARIA</x:t>
        </x:is>
      </x:c>
      <x:c r="C73" s="84" t="inlineStr">
        <x:is>
          <x:t xml:space="preserve">Live DOM</x:t>
        </x:is>
      </x:c>
      <x:c r="D73" s="84" t="inlineStr">
        <x:is>
          <x:t xml:space="preserve">aria-disabled is present at the correct time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manual-tests/tabs.md</x:t>
        </x:is>
      </x:c>
      <x:c r="J73" s="84" t="n"/>
      <x:c r="K73" s="87" t="n">
        <x:f>IF(AND(E76="yes",F76="yes",H76="covered"),1,IF(H76="partial",0.5,0))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ARIA</x:t>
        </x:is>
      </x:c>
      <x:c r="C74" s="84" t="inlineStr">
        <x:is>
          <x:t xml:space="preserve">Live DOM</x:t>
        </x:is>
      </x:c>
      <x:c r="D74" s="84" t="inlineStr">
        <x:is>
          <x:t xml:space="preserve">aria-label is present at the correct time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manual-tests/tabs.md</x:t>
        </x:is>
      </x:c>
      <x:c r="J74" s="84" t="n"/>
      <x:c r="K74" s="87" t="n">
        <x:f>IF(AND(E77="yes",F77="yes",H77="covered"),1,IF(H77="partial",0.5,0))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ARIA</x:t>
        </x:is>
      </x:c>
      <x:c r="C75" s="84" t="inlineStr">
        <x:is>
          <x:t xml:space="preserve">Live DOM</x:t>
        </x:is>
      </x:c>
      <x:c r="D75" s="84" t="inlineStr">
        <x:is>
          <x:t xml:space="preserve">aria-labelledby is present at the correct time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manual-tests/tabs.md</x:t>
        </x:is>
      </x:c>
      <x:c r="J75" s="84" t="n"/>
      <x:c r="K75" s="87" t="n">
        <x:f>IF(AND(E78="yes",F78="yes",H78="covered"),1,IF(H78="partial",0.5,0))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ARIA</x:t>
        </x:is>
      </x:c>
      <x:c r="C76" s="84" t="inlineStr">
        <x:is>
          <x:t xml:space="preserve">Live DOM</x:t>
        </x:is>
      </x:c>
      <x:c r="D76" s="84" t="inlineStr">
        <x:is>
          <x:t xml:space="preserve">aria-orientation is present at the correct time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manual-tests/tabs.md</x:t>
        </x:is>
      </x:c>
      <x:c r="J76" s="84" t="n"/>
      <x:c r="K76" s="87" t="n">
        <x:f>IF(AND(E79="yes",F79="yes",H79="covered"),1,IF(H79="partial",0.5,0))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ARIA</x:t>
        </x:is>
      </x:c>
      <x:c r="C77" s="84" t="inlineStr">
        <x:is>
          <x:t xml:space="preserve">Live DOM</x:t>
        </x:is>
      </x:c>
      <x:c r="D77" s="84" t="inlineStr">
        <x:is>
          <x:t xml:space="preserve">aria-selected is present at the correct time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manual-tests/tabs.md</x:t>
        </x:is>
      </x:c>
      <x:c r="J77" s="84" t="n"/>
      <x:c r="K77" s="87" t="n">
        <x:f>IF(AND(E80="yes",F80="yes",H80="covered"),1,IF(H80="partial",0.5,0))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Data</x:t>
        </x:is>
      </x:c>
      <x:c r="C78" s="84" t="inlineStr">
        <x:is>
          <x:t xml:space="preserve">Live DOM</x:t>
        </x:is>
      </x:c>
      <x:c r="D78" s="84" t="inlineStr">
        <x:is>
          <x:t xml:space="preserve">data-disabled is present at the correct time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manual-tests/tabs.md</x:t>
        </x:is>
      </x:c>
      <x:c r="J78" s="84" t="n"/>
      <x:c r="K78" s="87" t="n">
        <x:f>IF(AND(E81="yes",F81="yes",H81="covered"),1,IF(H81="partial",0.5,0))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Data</x:t>
        </x:is>
      </x:c>
      <x:c r="C79" s="84" t="inlineStr">
        <x:is>
          <x:t xml:space="preserve">Live DOM</x:t>
        </x:is>
      </x:c>
      <x:c r="D79" s="84" t="inlineStr">
        <x:is>
          <x:t xml:space="preserve">data-orientation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manual-tests/tabs.md</x:t>
        </x:is>
      </x:c>
      <x:c r="J79" s="84" t="n"/>
      <x:c r="K79" s="87" t="n">
        <x:f>IF(AND(E82="yes",F82="yes",H82="covered"),1,IF(H82="partial",0.5,0))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Data</x:t>
        </x:is>
      </x:c>
      <x:c r="C80" s="84" t="inlineStr">
        <x:is>
          <x:t xml:space="preserve">Live DOM</x:t>
        </x:is>
      </x:c>
      <x:c r="D80" s="84" t="inlineStr">
        <x:is>
          <x:t xml:space="preserve">data-slot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manual-tests/tabs.md</x:t>
        </x:is>
      </x:c>
      <x:c r="J80" s="84" t="n"/>
      <x:c r="K80" s="87" t="n">
        <x:f>IF(AND(E83="yes",F83="yes",H83="covered"),1,IF(H83="partial",0.5,0))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Data</x:t>
        </x:is>
      </x:c>
      <x:c r="C81" s="84" t="inlineStr">
        <x:is>
          <x:t xml:space="preserve">Live DOM</x:t>
        </x:is>
      </x:c>
      <x:c r="D81" s="84" t="inlineStr">
        <x:is>
          <x:t xml:space="preserve">data-state is present at the correct time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manual-tests/tabs.md</x:t>
        </x:is>
      </x:c>
      <x:c r="J81" s="84" t="n"/>
      <x:c r="K81" s="87" t="n">
        <x:f>IF(AND(E84="yes",F84="yes",H84="covered"),1,IF(H84="partial",0.5,0))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Data</x:t>
        </x:is>
      </x:c>
      <x:c r="C82" s="84" t="inlineStr">
        <x:is>
          <x:t xml:space="preserve">Live DOM</x:t>
        </x:is>
      </x:c>
      <x:c r="D82" s="84" t="inlineStr">
        <x:is>
          <x:t xml:space="preserve">data-value is present at the correct time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manual-tests/tabs.md</x:t>
        </x:is>
      </x:c>
      <x:c r="J82" s="84" t="n"/>
      <x:c r="K82" s="87" t="n">
        <x:f>IF(AND(E85="yes",F85="yes",H85="covered"),1,IF(H85="partial",0.5,0))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Composition</x:t>
        </x:is>
      </x:c>
      <x:c r="C83" s="84" t="inlineStr">
        <x:is>
          <x:t xml:space="preserve">Tabs</x:t>
        </x:is>
      </x:c>
      <x:c r="D83" s="84" t="inlineStr">
        <x:is>
          <x:t xml:space="preserve">asChild preserves child content without double nesting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manual-tests/tabs.md</x:t>
        </x:is>
      </x:c>
      <x:c r="J83" s="84" t="n"/>
      <x:c r="K83" s="87" t="n">
        <x:f>IF(AND(E86="yes",F86="yes",H86="covered"),1,IF(H86="partial",0.5,0))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Composition</x:t>
        </x:is>
      </x:c>
      <x:c r="C84" s="84" t="inlineStr">
        <x:is>
          <x:t xml:space="preserve">Tabs</x:t>
        </x:is>
      </x:c>
      <x:c r="D84" s="84" t="inlineStr">
        <x:is>
          <x:t xml:space="preserve">asChild merges Atom props and consumer props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manual-tests/tabs.md</x:t>
        </x:is>
      </x:c>
      <x:c r="J84" s="84" t="n"/>
      <x:c r="K84" s="87" t="n">
        <x:f>IF(AND(E87="yes",F87="yes",H87="covered"),1,IF(H87="partial",0.5,0))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Composition</x:t>
        </x:is>
      </x:c>
      <x:c r="C85" s="84" t="inlineStr">
        <x:is>
          <x:t xml:space="preserve">Tabs</x:t>
        </x:is>
      </x:c>
      <x:c r="D85" s="84" t="inlineStr">
        <x:is>
          <x:t xml:space="preserve">asChild lets preventDefault block Atom behavior where supported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manual-tests/tabs.md</x:t>
        </x:is>
      </x:c>
      <x:c r="J85" s="84" t="n"/>
      <x:c r="K85" s="87" t="n">
        <x:f>IF(AND(E88="yes",F88="yes",H88="covered"),1,IF(H88="partial",0.5,0))</x:f>
        <x:v>1</x:v>
      </x:c>
    </x:row>
    <x:row r="86" s="51" customFormat="1" ht="30" customHeight="1">
      <x:c r="A86" s="73" t="n">
        <x:v>78</x:v>
      </x:c>
      <x:c r="B86" s="84" t="inlineStr">
        <x:is>
          <x:t xml:space="preserve">Composition</x:t>
        </x:is>
      </x:c>
      <x:c r="C86" s="84" t="inlineStr">
        <x:is>
          <x:t xml:space="preserve">Tabs</x:t>
        </x:is>
      </x:c>
      <x:c r="D86" s="84" t="inlineStr">
        <x:is>
          <x:t xml:space="preserve">render prop renders custom element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manual-tests/tabs.md</x:t>
        </x:is>
      </x:c>
      <x:c r="J86" s="84" t="n"/>
      <x:c r="K86" s="87" t="n">
        <x:f>IF(AND(E89="yes",F89="yes",H89="covered"),1,IF(H89="partial",0.5,0))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Composition</x:t>
        </x:is>
      </x:c>
      <x:c r="C87" s="84" t="inlineStr">
        <x:is>
          <x:t xml:space="preserve">Tabs</x:t>
        </x:is>
      </x:c>
      <x:c r="D87" s="84" t="inlineStr">
        <x:is>
          <x:t xml:space="preserve">render prop preserves refs and behavior props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manual-tests/tabs.md</x:t>
        </x:is>
      </x:c>
      <x:c r="J87" s="84" t="n"/>
      <x:c r="K87" s="87" t="n">
        <x:f>IF(AND(E90="yes",F90="yes",H90="covered"),1,IF(H90="partial",0.5,0))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State</x:t>
        </x:is>
      </x:c>
      <x:c r="C88" s="84" t="inlineStr">
        <x:is>
          <x:t xml:space="preserve">Root</x:t>
        </x:is>
      </x:c>
      <x:c r="D88" s="84" t="inlineStr">
        <x:is>
          <x:t xml:space="preserve">controlled state path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manual-tests/tabs.md</x:t>
        </x:is>
      </x:c>
      <x:c r="J88" s="84" t="n"/>
      <x:c r="K88" s="87" t="n">
        <x:f>IF(AND(E91="yes",F91="yes",H91="covered"),1,IF(H91="partial",0.5,0))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State</x:t>
        </x:is>
      </x:c>
      <x:c r="C89" s="84" t="inlineStr">
        <x:is>
          <x:t xml:space="preserve">Root</x:t>
        </x:is>
      </x:c>
      <x:c r="D89" s="84" t="inlineStr">
        <x:is>
          <x:t xml:space="preserve">uncontrolled default state path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manual-tests/tabs.md</x:t>
        </x:is>
      </x:c>
      <x:c r="J89" s="84" t="n"/>
      <x:c r="K89" s="87" t="n">
        <x:f>IF(AND(E92="yes",F92="yes",H92="covered"),1,IF(H92="partial",0.5,0))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State</x:t>
        </x:is>
      </x:c>
      <x:c r="C90" s="84" t="inlineStr">
        <x:is>
          <x:t xml:space="preserve">Root</x:t>
        </x:is>
      </x:c>
      <x:c r="D90" s="84" t="inlineStr">
        <x:is>
          <x:t xml:space="preserve">state change callback fires once with correct value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manual-tests/tabs.md</x:t>
        </x:is>
      </x:c>
      <x:c r="J90" s="84" t="n"/>
      <x:c r="K90" s="87" t="n">
        <x:f>IF(AND(E93="yes",F93="yes",H93="covered"),1,IF(H93="partial",0.5,0))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Interaction</x:t>
        </x:is>
      </x:c>
      <x:c r="C91" s="84" t="inlineStr">
        <x:is>
          <x:t xml:space="preserve">Trigger</x:t>
        </x:is>
      </x:c>
      <x:c r="D91" s="84" t="inlineStr">
        <x:is>
          <x:t xml:space="preserve">mouse click or pointer activation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manual-tests/tabs.md</x:t>
        </x:is>
      </x:c>
      <x:c r="J91" s="84" t="n"/>
      <x:c r="K91" s="87" t="n">
        <x:f>IF(AND(E94="yes",F94="yes",H94="covered"),1,IF(H94="partial",0.5,0))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Interaction</x:t>
        </x:is>
      </x:c>
      <x:c r="C92" s="84" t="inlineStr">
        <x:is>
          <x:t xml:space="preserve">Trigger</x:t>
        </x:is>
      </x:c>
      <x:c r="D92" s="84" t="inlineStr">
        <x:is>
          <x:t xml:space="preserve">Enter key activation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manual-tests/tabs.md</x:t>
        </x:is>
      </x:c>
      <x:c r="J92" s="84" t="n"/>
      <x:c r="K92" s="87" t="n">
        <x:f>IF(AND(E95="yes",F95="yes",H95="covered"),1,IF(H95="partial",0.5,0))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Interaction</x:t>
        </x:is>
      </x:c>
      <x:c r="C93" s="84" t="inlineStr">
        <x:is>
          <x:t xml:space="preserve">Trigger</x:t>
        </x:is>
      </x:c>
      <x:c r="D93" s="84" t="inlineStr">
        <x:is>
          <x:t xml:space="preserve">Space key activation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manual-tests/tabs.md</x:t>
        </x:is>
      </x:c>
      <x:c r="J93" s="84" t="n"/>
      <x:c r="K93" s="87" t="n">
        <x:f>IF(AND(E96="yes",F96="yes",H96="covered"),1,IF(H96="partial",0.5,0))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Interaction</x:t>
        </x:is>
      </x:c>
      <x:c r="C94" s="84" t="inlineStr">
        <x:is>
          <x:t xml:space="preserve">Trigger</x:t>
        </x:is>
      </x:c>
      <x:c r="D94" s="84" t="inlineStr">
        <x:is>
          <x:t xml:space="preserve">disabled trigger blocks pointer and keyboard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manual-tests/tabs.md</x:t>
        </x:is>
      </x:c>
      <x:c r="J94" s="84" t="n"/>
      <x:c r="K94" s="87" t="n">
        <x:f>IF(AND(E97="yes",F97="yes",H97="covered"),1,IF(H97="partial",0.5,0))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Focus</x:t>
        </x:is>
      </x:c>
      <x:c r="C95" s="84" t="inlineStr">
        <x:is>
          <x:t xml:space="preserve">Trigger</x:t>
        </x:is>
      </x:c>
      <x:c r="D95" s="84" t="inlineStr">
        <x:is>
          <x:t xml:space="preserve">roving focus and tab stop state are visible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manual-tests/tabs.md</x:t>
        </x:is>
      </x:c>
      <x:c r="J95" s="84" t="n"/>
      <x:c r="K95" s="87" t="n">
        <x:f>IF(AND(E98="yes",F98="yes",H98="covered"),1,IF(H98="partial",0.5,0))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Keyboard</x:t>
        </x:is>
      </x:c>
      <x:c r="C96" s="84" t="inlineStr">
        <x:is>
          <x:t xml:space="preserve">Tabs</x:t>
        </x:is>
      </x:c>
      <x:c r="D96" s="84" t="inlineStr">
        <x:is>
          <x:t xml:space="preserve">ArrowLeft behavior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manual-tests/tabs.md</x:t>
        </x:is>
      </x:c>
      <x:c r="J96" s="84" t="n"/>
      <x:c r="K96" s="87" t="n">
        <x:f>IF(AND(E99="yes",F99="yes",H99="covered"),1,IF(H99="partial",0.5,0))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Keyboard</x:t>
        </x:is>
      </x:c>
      <x:c r="C97" s="84" t="inlineStr">
        <x:is>
          <x:t xml:space="preserve">Tabs</x:t>
        </x:is>
      </x:c>
      <x:c r="D97" s="84" t="inlineStr">
        <x:is>
          <x:t xml:space="preserve">End behavior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manual-tests/tabs.md</x:t>
        </x:is>
      </x:c>
      <x:c r="J97" s="84" t="n"/>
      <x:c r="K97" s="87" t="n">
        <x:f>IF(AND(E100="yes",F100="yes",H100="covered"),1,IF(H100="partial",0.5,0))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Keyboard</x:t>
        </x:is>
      </x:c>
      <x:c r="C98" s="84" t="inlineStr">
        <x:is>
          <x:t xml:space="preserve">Tabs</x:t>
        </x:is>
      </x:c>
      <x:c r="D98" s="84" t="inlineStr">
        <x:is>
          <x:t xml:space="preserve">Enter behavior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manual-tests/tabs.md</x:t>
        </x:is>
      </x:c>
      <x:c r="J98" s="84" t="n"/>
      <x:c r="K98" s="87" t="n">
        <x:f>IF(AND(E101="yes",F101="yes",H101="covered"),1,IF(H101="partial",0.5,0))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Keyboard</x:t>
        </x:is>
      </x:c>
      <x:c r="C99" s="84" t="inlineStr">
        <x:is>
          <x:t xml:space="preserve">Tabs</x:t>
        </x:is>
      </x:c>
      <x:c r="D99" s="84" t="inlineStr">
        <x:is>
          <x:t xml:space="preserve">Home behavior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manual-tests/tabs.md</x:t>
        </x:is>
      </x:c>
      <x:c r="J99" s="84" t="n"/>
      <x:c r="K99" s="87" t="n">
        <x:f>IF(AND(E102="yes",F102="yes",H102="covered"),1,IF(H102="partial",0.5,0))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Keyboard</x:t>
        </x:is>
      </x:c>
      <x:c r="C100" s="84" t="inlineStr">
        <x:is>
          <x:t xml:space="preserve">Tabs</x:t>
        </x:is>
      </x:c>
      <x:c r="D100" s="84" t="inlineStr">
        <x:is>
          <x:t xml:space="preserve">Arrow key navigation follows documented orientation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manual-tests/tabs.md</x:t>
        </x:is>
      </x:c>
      <x:c r="J100" s="84" t="n"/>
      <x:c r="K100" s="87" t="n">
        <x:f>IF(AND(E103="yes",F103="yes",H103="covered"),1,IF(H103="partial",0.5,0))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Keyboard</x:t>
        </x:is>
      </x:c>
      <x:c r="C101" s="84" t="inlineStr">
        <x:is>
          <x:t xml:space="preserve">Tabs</x:t>
        </x:is>
      </x:c>
      <x:c r="D101" s="84" t="inlineStr">
        <x:is>
          <x:t xml:space="preserve">Home and End navigation where supported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manual-tests/tabs.md</x:t>
        </x:is>
      </x:c>
      <x:c r="J101" s="84" t="n"/>
      <x:c r="K101" s="87" t="n">
        <x:f>IF(AND(E104="yes",F104="yes",H104="covered"),1,IF(H104="partial",0.5,0))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Keyboard</x:t>
        </x:is>
      </x:c>
      <x:c r="C102" s="84" t="inlineStr">
        <x:is>
          <x:t xml:space="preserve">Tabs</x:t>
        </x:is>
      </x:c>
      <x:c r="D102" s="84" t="inlineStr">
        <x:is>
          <x:t xml:space="preserve">disabled items are skipped or exposed according to pattern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manual-tests/tabs.md</x:t>
        </x:is>
      </x:c>
      <x:c r="J102" s="84" t="n"/>
      <x:c r="K102" s="87" t="n">
        <x:f>IF(AND(E105="yes",F105="yes",H105="covered"),1,IF(H105="partial",0.5,0))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Focus</x:t>
        </x:is>
      </x:c>
      <x:c r="C103" s="84" t="inlineStr">
        <x:is>
          <x:t xml:space="preserve">Tabs</x:t>
        </x:is>
      </x:c>
      <x:c r="D103" s="84" t="inlineStr">
        <x:is>
          <x:t xml:space="preserve">roving focus or active descendant state is visible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manual-tests/tabs.md</x:t>
        </x:is>
      </x:c>
      <x:c r="J103" s="84" t="n"/>
      <x:c r="K103" s="87" t="n">
        <x:f>IF(AND(E107="yes",F107="yes",H107="covered"),1,IF(H107="partial",0.5,0))</x:f>
        <x:v>0.5</x:v>
      </x:c>
    </x:row>
    <x:row r="104" s="51" customFormat="1" ht="15" customHeight="1">
      <x:c r="A104" s="73" t="n">
        <x:v>96</x:v>
      </x:c>
      <x:c r="B104" s="84" t="inlineStr">
        <x:is>
          <x:t xml:space="preserve">Direction</x:t>
        </x:is>
      </x:c>
      <x:c r="C104" s="84" t="inlineStr">
        <x:is>
          <x:t xml:space="preserve">List</x:t>
        </x:is>
      </x:c>
      <x:c r="D104" s="84" t="inlineStr">
        <x:is>
          <x:t xml:space="preserve">reads Direction.Provider context for horizontal keyboard navigation</x:t>
        </x:is>
      </x:c>
      <x:c r="E104" s="88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8" t="inlineStr">
        <x:is>
          <x:t xml:space="preserve">covered</x:t>
        </x:is>
      </x:c>
      <x:c r="I104" s="84" t="inlineStr">
        <x:is>
          <x:t xml:space="preserve">manual-tests/tabs.md</x:t>
        </x:is>
      </x:c>
      <x:c r="J104" s="84" t="n"/>
      <x:c r="K104" s="87" t="n">
        <x:f>IF(AND(E108="yes",F108="yes",H108="covered"),1,IF(H108="partial",0.5,0))</x:f>
        <x:v>0.5</x:v>
      </x:c>
    </x:row>
    <x:row r="105" s="51" customFormat="1" ht="15" customHeight="1">
      <x:c r="A105" s="73" t="n">
        <x:v>97</x:v>
      </x:c>
      <x:c r="B105" s="84" t="inlineStr">
        <x:is>
          <x:t xml:space="preserve">Direction</x:t>
        </x:is>
      </x:c>
      <x:c r="C105" s="84" t="inlineStr">
        <x:is>
          <x:t xml:space="preserve">List</x:t>
        </x:is>
      </x:c>
      <x:c r="D105" s="84" t="inlineStr">
        <x:is>
          <x:t xml:space="preserve">RTL mirrors horizontal ArrowLeft and ArrowRight navigation</x:t>
        </x:is>
      </x:c>
      <x:c r="E105" s="88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8" t="inlineStr">
        <x:is>
          <x:t xml:space="preserve">covered</x:t>
        </x:is>
      </x:c>
      <x:c r="I105" s="84" t="inlineStr">
        <x:is>
          <x:t xml:space="preserve">manual-tests/tabs.md</x:t>
        </x:is>
      </x:c>
      <x:c r="J105" s="84" t="n"/>
      <x:c r="K105" s="87" t="n">
        <x:f>IF(AND(E109="yes",F109="yes",H109="covered"),1,IF(H109="partial",0.5,0))</x:f>
        <x:v>0.5</x:v>
      </x:c>
    </x:row>
    <x:row r="106" s="51" customFormat="1" ht="30" customHeight="1">
      <x:c r="A106" s="73" t="n">
        <x:v>98</x:v>
      </x:c>
      <x:c r="B106" s="84" t="inlineStr">
        <x:is>
          <x:t xml:space="preserve">Playground</x:t>
        </x:is>
      </x:c>
      <x:c r="C106" s="84" t="inlineStr">
        <x:is>
          <x:t xml:space="preserve">Direction controls</x:t>
        </x:is>
      </x:c>
      <x:c r="D106" s="84" t="inlineStr">
        <x:is>
          <x:t xml:space="preserve">scenario exposes provider direction controls</x:t>
        </x:is>
      </x:c>
      <x:c r="E106" s="88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8" t="inlineStr">
        <x:is>
          <x:t xml:space="preserve">covered</x:t>
        </x:is>
      </x:c>
      <x:c r="I106" s="84" t="inlineStr">
        <x:is>
          <x:t xml:space="preserve">manual-tests/tabs.md</x:t>
        </x:is>
      </x:c>
      <x:c r="J106" s="84" t="n"/>
      <x:c r="K106" s="87" t="n">
        <x:f>IF(AND(E110="yes",F110="yes",H110="covered"),1,IF(H110="partial",0.5,0))</x:f>
        <x:v>0.5</x:v>
      </x:c>
    </x:row>
    <x:row r="107" s="51" customFormat="1" ht="30" customHeight="1">
      <x:c r="A107" s="73" t="n">
        <x:v>99</x:v>
      </x:c>
      <x:c r="B107" s="84" t="inlineStr">
        <x:is>
          <x:t xml:space="preserve">Controller</x:t>
        </x:is>
      </x:c>
      <x:c r="C107" s="84" t="inlineStr">
        <x:is>
          <x:t xml:space="preserve">RootProvider</x:t>
        </x:is>
      </x:c>
      <x:c r="D107" s="84" t="inlineStr">
        <x:is>
          <x:t xml:space="preserve">Shared controller, focus callback and deselection</x:t>
        </x:is>
      </x:c>
      <x:c r="E107" s="88" t="inlineStr">
        <x:is>
          <x:t xml:space="preserve">yes</x:t>
        </x:is>
      </x:c>
      <x:c r="F107" s="85" t="inlineStr">
        <x:is>
          <x:t xml:space="preserve">no</x:t>
        </x:is>
      </x:c>
      <x:c r="G107" s="73" t="inlineStr">
        <x:is>
          <x:t xml:space="preserve">Automated tests passed</x:t>
        </x:is>
      </x:c>
      <x:c r="H107" s="88" t="inlineStr">
        <x:is>
          <x:t xml:space="preserve">partial</x:t>
        </x:is>
      </x:c>
      <x:c r="I107" s="84" t="inlineStr">
        <x:is>
          <x:t xml:space="preserve">../test/primitives/tabs-interaction.test.mjs</x:t>
        </x:is>
      </x:c>
      <x:c r="J107" s="84" t="inlineStr">
        <x:is>
          <x:t xml:space="preserve">Human AT/device qualification unperformed</x:t>
        </x:is>
      </x:c>
      <x:c r="K107" s="87" t="n">
        <x:f>IF(AND(E107="yes",F107="yes",H107="covered"),1,IF(H107="partial",0.5,0))</x:f>
        <x:v>0.5</x:v>
      </x:c>
    </x:row>
    <x:row r="108" s="51" customFormat="1" ht="30" customHeight="1">
      <x:c r="A108" s="73" t="n">
        <x:v>100</x:v>
      </x:c>
      <x:c r="B108" s="84" t="inlineStr">
        <x:is>
          <x:t xml:space="preserve">Composition</x:t>
        </x:is>
      </x:c>
      <x:c r="C108" s="84" t="inlineStr">
        <x:is>
          <x:t xml:space="preserve">Trigger</x:t>
        </x:is>
      </x:c>
      <x:c r="D108" s="84" t="inlineStr">
        <x:is>
          <x:t xml:space="preserve">Disabled anchors, safe IDs and native links</x:t>
        </x:is>
      </x:c>
      <x:c r="E108" s="88" t="inlineStr">
        <x:is>
          <x:t xml:space="preserve">yes</x:t>
        </x:is>
      </x:c>
      <x:c r="F108" s="85" t="inlineStr">
        <x:is>
          <x:t xml:space="preserve">no</x:t>
        </x:is>
      </x:c>
      <x:c r="G108" s="73" t="inlineStr">
        <x:is>
          <x:t xml:space="preserve">Automated tests passed</x:t>
        </x:is>
      </x:c>
      <x:c r="H108" s="88" t="inlineStr">
        <x:is>
          <x:t xml:space="preserve">partial</x:t>
        </x:is>
      </x:c>
      <x:c r="I108" s="84" t="inlineStr">
        <x:is>
          <x:t xml:space="preserve">../test/primitives/tabs-interaction.test.mjs</x:t>
        </x:is>
      </x:c>
      <x:c r="J108" s="84" t="inlineStr">
        <x:is>
          <x:t xml:space="preserve">Human AT/device qualification unperformed</x:t>
        </x:is>
      </x:c>
      <x:c r="K108" s="87" t="n">
        <x:f>IF(AND(E108="yes",F108="yes",H108="covered"),1,IF(H108="partial",0.5,0))</x:f>
        <x:v>0.5</x:v>
      </x:c>
    </x:row>
    <x:row r="109" s="51" customFormat="1" ht="30" customHeight="1">
      <x:c r="A109" s="73" t="n">
        <x:v>101</x:v>
      </x:c>
      <x:c r="B109" s="84" t="inlineStr">
        <x:is>
          <x:t xml:space="preserve">Keyboard</x:t>
        </x:is>
      </x:c>
      <x:c r="C109" s="84" t="inlineStr">
        <x:is>
          <x:t xml:space="preserve">List</x:t>
        </x:is>
      </x:c>
      <x:c r="D109" s="84" t="inlineStr">
        <x:is>
          <x:t xml:space="preserve">Nested and iframe owner-document isolation</x:t>
        </x:is>
      </x:c>
      <x:c r="E109" s="88" t="inlineStr">
        <x:is>
          <x:t xml:space="preserve">yes</x:t>
        </x:is>
      </x:c>
      <x:c r="F109" s="85" t="inlineStr">
        <x:is>
          <x:t xml:space="preserve">no</x:t>
        </x:is>
      </x:c>
      <x:c r="G109" s="73" t="inlineStr">
        <x:is>
          <x:t xml:space="preserve">Automated tests passed</x:t>
        </x:is>
      </x:c>
      <x:c r="H109" s="88" t="inlineStr">
        <x:is>
          <x:t xml:space="preserve">partial</x:t>
        </x:is>
      </x:c>
      <x:c r="I109" s="84" t="inlineStr">
        <x:is>
          <x:t xml:space="preserve">../test/primitives/tabs-interaction.test.mjs</x:t>
        </x:is>
      </x:c>
      <x:c r="J109" s="84" t="inlineStr">
        <x:is>
          <x:t xml:space="preserve">Human AT/device qualification unperformed</x:t>
        </x:is>
      </x:c>
      <x:c r="K109" s="87" t="n">
        <x:f>IF(AND(E109="yes",F109="yes",H109="covered"),1,IF(H109="partial",0.5,0))</x:f>
        <x:v>0.5</x:v>
      </x:c>
    </x:row>
    <x:row r="110" s="51" customFormat="1" ht="30" customHeight="1">
      <x:c r="A110" s="73" t="n">
        <x:v>102</x:v>
      </x:c>
      <x:c r="B110" s="84" t="inlineStr">
        <x:is>
          <x:t xml:space="preserve">Lifecycle</x:t>
        </x:is>
      </x:c>
      <x:c r="C110" s="84" t="inlineStr">
        <x:is>
          <x:t xml:space="preserve">Content</x:t>
        </x:is>
      </x:c>
      <x:c r="D110" s="84" t="inlineStr">
        <x:is>
          <x:t xml:space="preserve">Lazy retention and text-only panel tabstop</x:t>
        </x:is>
      </x:c>
      <x:c r="E110" s="88" t="inlineStr">
        <x:is>
          <x:t xml:space="preserve">yes</x:t>
        </x:is>
      </x:c>
      <x:c r="F110" s="85" t="inlineStr">
        <x:is>
          <x:t xml:space="preserve">no</x:t>
        </x:is>
      </x:c>
      <x:c r="G110" s="73" t="inlineStr">
        <x:is>
          <x:t xml:space="preserve">Automated tests passed</x:t>
        </x:is>
      </x:c>
      <x:c r="H110" s="88" t="inlineStr">
        <x:is>
          <x:t xml:space="preserve">partial</x:t>
        </x:is>
      </x:c>
      <x:c r="I110" s="84" t="inlineStr">
        <x:is>
          <x:t xml:space="preserve">../test/primitives/tabs-interaction.test.mjs</x:t>
        </x:is>
      </x:c>
      <x:c r="J110" s="84" t="inlineStr">
        <x:is>
          <x:t xml:space="preserve">Human AT/device qualification unperformed</x:t>
        </x:is>
      </x:c>
      <x:c r="K110" s="87" t="n">
        <x:f>IF(AND(E110="yes",F110="yes",H110="covered"),1,IF(H110="partial",0.5,0))</x:f>
        <x:v>0.5</x:v>
      </x:c>
    </x:row>
    <x:row r="111" s="51" customFormat="1" ht="30" customHeight="1">
      <x:c r="A111" s="73" t="n">
        <x:v>103</x:v>
      </x:c>
      <x:c r="B111" s="84" t="inlineStr">
        <x:is>
          <x:t xml:space="preserve">Geometry</x:t>
        </x:is>
      </x:c>
      <x:c r="C111" s="84" t="inlineStr">
        <x:is>
          <x:t xml:space="preserve">Indicator</x:t>
        </x:is>
      </x:c>
      <x:c r="D111" s="84" t="inlineStr">
        <x:is>
          <x:t xml:space="preserve">List-local offsets, readiness and composed refs</x:t>
        </x:is>
      </x:c>
      <x:c r="E111" s="88" t="inlineStr">
        <x:is>
          <x:t xml:space="preserve">yes</x:t>
        </x:is>
      </x:c>
      <x:c r="F111" s="85" t="inlineStr">
        <x:is>
          <x:t xml:space="preserve">no</x:t>
        </x:is>
      </x:c>
      <x:c r="G111" s="73" t="inlineStr">
        <x:is>
          <x:t xml:space="preserve">Automated tests passed</x:t>
        </x:is>
      </x:c>
      <x:c r="H111" s="88" t="inlineStr">
        <x:is>
          <x:t xml:space="preserve">partial</x:t>
        </x:is>
      </x:c>
      <x:c r="I111" s="84" t="inlineStr">
        <x:is>
          <x:t xml:space="preserve">../test/primitives/tabs-interaction.test.mjs</x:t>
        </x:is>
      </x:c>
      <x:c r="J111" s="84" t="inlineStr">
        <x:is>
          <x:t xml:space="preserve">Human AT/device qualification unperformed</x:t>
        </x:is>
      </x:c>
      <x:c r="K111" s="87" t="n">
        <x:f>IF(AND(E111="yes",F111="yes",H111="covered"),1,IF(H111="partial",0.5,0))</x:f>
        <x:v>0.5</x:v>
      </x:c>
    </x:row>
    <x:row r="112" s="51" customFormat="1" ht="30" customHeight="1">
      <x:c r="A112" s="73" t="n">
        <x:v>104</x:v>
      </x:c>
      <x:c r="B112" s="84" t="inlineStr">
        <x:is>
          <x:t xml:space="preserve">Collection</x:t>
        </x:is>
      </x:c>
      <x:c r="C112" s="84" t="inlineStr">
        <x:is>
          <x:t xml:space="preserve">Trigger</x:t>
        </x:is>
      </x:c>
      <x:c r="D112" s="84" t="inlineStr">
        <x:is>
          <x:t xml:space="preserve">Keyboard entry after active removal or disable</x:t>
        </x:is>
      </x:c>
      <x:c r="E112" s="88" t="inlineStr">
        <x:is>
          <x:t xml:space="preserve">yes</x:t>
        </x:is>
      </x:c>
      <x:c r="F112" s="85" t="inlineStr">
        <x:is>
          <x:t xml:space="preserve">no</x:t>
        </x:is>
      </x:c>
      <x:c r="G112" s="73" t="inlineStr">
        <x:is>
          <x:t xml:space="preserve">Automated tests passed</x:t>
        </x:is>
      </x:c>
      <x:c r="H112" s="88" t="inlineStr">
        <x:is>
          <x:t xml:space="preserve">partial</x:t>
        </x:is>
      </x:c>
      <x:c r="I112" s="84" t="inlineStr">
        <x:is>
          <x:t xml:space="preserve">../test/primitives/tabs-interaction.test.mjs</x:t>
        </x:is>
      </x:c>
      <x:c r="J112" s="84" t="inlineStr">
        <x:is>
          <x:t xml:space="preserve">Human AT/device qualification unperformed</x:t>
        </x:is>
      </x:c>
      <x:c r="K112" s="87" t="n">
        <x:f>IF(AND(E112="yes",F112="yes",H112="covered"),1,IF(H112="partial",0.5,0))</x:f>
        <x:v>0.5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Textarea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0.9726027397260274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71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2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</x:t>
        </x:is>
      </x:c>
      <x:c r="H9" s="86" t="inlineStr">
        <x:is>
          <x:t xml:space="preserve">covered</x:t>
        </x:is>
      </x:c>
      <x:c r="I9" s="84" t="inlineStr">
        <x:is>
          <x:t xml:space="preserve">Textarea playground manual verification.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</x:t>
        </x:is>
      </x:c>
      <x:c r="H10" s="86" t="inlineStr">
        <x:is>
          <x:t xml:space="preserve">covered</x:t>
        </x:is>
      </x:c>
      <x:c r="I10" s="84" t="inlineStr">
        <x:is>
          <x:t xml:space="preserve">Textarea playground manual verification.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4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Textarea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</x:t>
        </x:is>
      </x:c>
      <x:c r="H11" s="86" t="inlineStr">
        <x:is>
          <x:t xml:space="preserve">covered</x:t>
        </x:is>
      </x:c>
      <x:c r="I11" s="84" t="inlineStr">
        <x:is>
          <x:t xml:space="preserve">Textarea playground manual verification.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Textarea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</x:t>
        </x:is>
      </x:c>
      <x:c r="H12" s="86" t="inlineStr">
        <x:is>
          <x:t xml:space="preserve">covered</x:t>
        </x:is>
      </x:c>
      <x:c r="I12" s="84" t="inlineStr">
        <x:is>
          <x:t xml:space="preserve">Textarea playground manual verification.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Textarea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</x:t>
        </x:is>
      </x:c>
      <x:c r="H13" s="86" t="inlineStr">
        <x:is>
          <x:t xml:space="preserve">covered</x:t>
        </x:is>
      </x:c>
      <x:c r="I13" s="84" t="inlineStr">
        <x:is>
          <x:t xml:space="preserve">Textarea playground manual verification.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Textarea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</x:t>
        </x:is>
      </x:c>
      <x:c r="H14" s="86" t="inlineStr">
        <x:is>
          <x:t xml:space="preserve">covered</x:t>
        </x:is>
      </x:c>
      <x:c r="I14" s="84" t="inlineStr">
        <x:is>
          <x:t xml:space="preserve">Textarea playground manual verification.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30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Textarea</x:t>
        </x:is>
      </x:c>
      <x:c r="D15" s="84" t="inlineStr">
        <x:is>
          <x:t xml:space="preserve">Renders a native `&lt;textarea&gt;`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</x:t>
        </x:is>
      </x:c>
      <x:c r="H15" s="86" t="inlineStr">
        <x:is>
          <x:t xml:space="preserve">covered</x:t>
        </x:is>
      </x:c>
      <x:c r="I15" s="84" t="inlineStr">
        <x:is>
          <x:t xml:space="preserve">Textarea playground manual verification.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Textarea</x:t>
        </x:is>
      </x:c>
      <x:c r="D16" s="84" t="inlineStr">
        <x:is>
          <x:t xml:space="preserve">Supports controlled and uncontrolled value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</x:t>
        </x:is>
      </x:c>
      <x:c r="H16" s="86" t="inlineStr">
        <x:is>
          <x:t xml:space="preserve">covered</x:t>
        </x:is>
      </x:c>
      <x:c r="I16" s="84" t="inlineStr">
        <x:is>
          <x:t xml:space="preserve">Textarea playground manual verification.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Textarea</x:t>
        </x:is>
      </x:c>
      <x:c r="D17" s="84" t="inlineStr">
        <x:is>
          <x:t xml:space="preserve">Integrates with `Field.Root` for IDs, descriptions, errors, and state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</x:t>
        </x:is>
      </x:c>
      <x:c r="H17" s="86" t="inlineStr">
        <x:is>
          <x:t xml:space="preserve">covered</x:t>
        </x:is>
      </x:c>
      <x:c r="I17" s="84" t="inlineStr">
        <x:is>
          <x:t xml:space="preserve">Textarea playground manual verification.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Textarea</x:t>
        </x:is>
      </x:c>
      <x:c r="D18" s="84" t="inlineStr">
        <x:is>
          <x:t xml:space="preserve">Supports optional auto-resize with `minRows` and `maxRows`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</x:t>
        </x:is>
      </x:c>
      <x:c r="H18" s="86" t="inlineStr">
        <x:is>
          <x:t xml:space="preserve">covered</x:t>
        </x:is>
      </x:c>
      <x:c r="I18" s="84" t="inlineStr">
        <x:is>
          <x:t xml:space="preserve">Textarea playground manual verification.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Textarea</x:t>
        </x:is>
      </x:c>
      <x:c r="D19" s="84" t="inlineStr">
        <x:is>
          <x:t xml:space="preserve">Includes an optional character count part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</x:t>
        </x:is>
      </x:c>
      <x:c r="H19" s="86" t="inlineStr">
        <x:is>
          <x:t xml:space="preserve">covered</x:t>
        </x:is>
      </x:c>
      <x:c r="I19" s="84" t="inlineStr">
        <x:is>
          <x:t xml:space="preserve">Textarea playground manual verification.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4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Textarea</x:t>
        </x:is>
      </x:c>
      <x:c r="D20" s="84" t="inlineStr">
        <x:is>
          <x:t xml:space="preserve">Exposes filled, focused, disabled, readonly, invalid, and over-limit state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</x:t>
        </x:is>
      </x:c>
      <x:c r="H20" s="86" t="inlineStr">
        <x:is>
          <x:t xml:space="preserve">covered</x:t>
        </x:is>
      </x:c>
      <x:c r="I20" s="84" t="inlineStr">
        <x:is>
          <x:t xml:space="preserve">Textarea playground manual verification.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4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</x:t>
        </x:is>
      </x:c>
      <x:c r="H21" s="86" t="inlineStr">
        <x:is>
          <x:t xml:space="preserve">covered</x:t>
        </x:is>
      </x:c>
      <x:c r="I21" s="84" t="inlineStr">
        <x:is>
          <x:t xml:space="preserve">Textarea playground manual verification.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</x:t>
        </x:is>
      </x:c>
      <x:c r="H22" s="86" t="inlineStr">
        <x:is>
          <x:t xml:space="preserve">covered</x:t>
        </x:is>
      </x:c>
      <x:c r="I22" s="84" t="inlineStr">
        <x:is>
          <x:t xml:space="preserve">Textarea playground manual verification.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</x:t>
        </x:is>
      </x:c>
      <x:c r="H23" s="86" t="inlineStr">
        <x:is>
          <x:t xml:space="preserve">covered</x:t>
        </x:is>
      </x:c>
      <x:c r="I23" s="84" t="inlineStr">
        <x:is>
          <x:t xml:space="preserve">Textarea playground manual verification.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</x:t>
        </x:is>
      </x:c>
      <x:c r="H24" s="86" t="inlineStr">
        <x:is>
          <x:t xml:space="preserve">covered</x:t>
        </x:is>
      </x:c>
      <x:c r="I24" s="84" t="inlineStr">
        <x:is>
          <x:t xml:space="preserve">Textarea playground manual verification.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</x:t>
        </x:is>
      </x:c>
      <x:c r="H25" s="86" t="inlineStr">
        <x:is>
          <x:t xml:space="preserve">covered</x:t>
        </x:is>
      </x:c>
      <x:c r="I25" s="84" t="inlineStr">
        <x:is>
          <x:t xml:space="preserve">Textarea playground manual verification.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</x:t>
        </x:is>
      </x:c>
      <x:c r="H26" s="86" t="inlineStr">
        <x:is>
          <x:t xml:space="preserve">covered</x:t>
        </x:is>
      </x:c>
      <x:c r="I26" s="84" t="inlineStr">
        <x:is>
          <x:t xml:space="preserve">Textarea playground manual verification.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</x:t>
        </x:is>
      </x:c>
      <x:c r="H27" s="86" t="inlineStr">
        <x:is>
          <x:t xml:space="preserve">covered</x:t>
        </x:is>
      </x:c>
      <x:c r="I27" s="84" t="inlineStr">
        <x:is>
          <x:t xml:space="preserve">Textarea playground manual verification.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</x:t>
        </x:is>
      </x:c>
      <x:c r="H28" s="86" t="inlineStr">
        <x:is>
          <x:t xml:space="preserve">covered</x:t>
        </x:is>
      </x:c>
      <x:c r="I28" s="84" t="inlineStr">
        <x:is>
          <x:t xml:space="preserve">Textarea playground manual verification.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</x:t>
        </x:is>
      </x:c>
      <x:c r="H29" s="86" t="inlineStr">
        <x:is>
          <x:t xml:space="preserve">covered</x:t>
        </x:is>
      </x:c>
      <x:c r="I29" s="84" t="inlineStr">
        <x:is>
          <x:t xml:space="preserve">Textarea playground manual verification.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autoResize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</x:t>
        </x:is>
      </x:c>
      <x:c r="H30" s="86" t="inlineStr">
        <x:is>
          <x:t xml:space="preserve">covered</x:t>
        </x:is>
      </x:c>
      <x:c r="I30" s="84" t="inlineStr">
        <x:is>
          <x:t xml:space="preserve">Textarea playground manual verification.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minRows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</x:t>
        </x:is>
      </x:c>
      <x:c r="H31" s="86" t="inlineStr">
        <x:is>
          <x:t xml:space="preserve">covered</x:t>
        </x:is>
      </x:c>
      <x:c r="I31" s="84" t="inlineStr">
        <x:is>
          <x:t xml:space="preserve">Textarea playground manual verification.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maxRows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</x:t>
        </x:is>
      </x:c>
      <x:c r="H32" s="86" t="inlineStr">
        <x:is>
          <x:t xml:space="preserve">covered</x:t>
        </x:is>
      </x:c>
      <x:c r="I32" s="84" t="inlineStr">
        <x:is>
          <x:t xml:space="preserve">Textarea playground manual verification.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State</x:t>
        </x:is>
      </x:c>
      <x:c r="C33" s="84" t="inlineStr">
        <x:is>
          <x:t xml:space="preserve">Root</x:t>
        </x:is>
      </x:c>
      <x:c r="D33" s="84" t="inlineStr">
        <x:is>
          <x:t xml:space="preserve">disabled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</x:t>
        </x:is>
      </x:c>
      <x:c r="H33" s="86" t="inlineStr">
        <x:is>
          <x:t xml:space="preserve">covered</x:t>
        </x:is>
      </x:c>
      <x:c r="I33" s="84" t="inlineStr">
        <x:is>
          <x:t xml:space="preserve">Textarea playground manual verification.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required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</x:t>
        </x:is>
      </x:c>
      <x:c r="H34" s="86" t="inlineStr">
        <x:is>
          <x:t xml:space="preserve">covered</x:t>
        </x:is>
      </x:c>
      <x:c r="I34" s="84" t="inlineStr">
        <x:is>
          <x:t xml:space="preserve">Textarea playground manual verification.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4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Root</x:t>
        </x:is>
      </x:c>
      <x:c r="D35" s="84" t="inlineStr">
        <x:is>
          <x:t xml:space="preserve">readOnly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</x:t>
        </x:is>
      </x:c>
      <x:c r="H35" s="86" t="inlineStr">
        <x:is>
          <x:t xml:space="preserve">covered</x:t>
        </x:is>
      </x:c>
      <x:c r="I35" s="84" t="inlineStr">
        <x:is>
          <x:t xml:space="preserve">Textarea playground manual verification.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State</x:t>
        </x:is>
      </x:c>
      <x:c r="C36" s="84" t="inlineStr">
        <x:is>
          <x:t xml:space="preserve">Root</x:t>
        </x:is>
      </x:c>
      <x:c r="D36" s="84" t="inlineStr">
        <x:is>
          <x:t xml:space="preserve">invalid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</x:t>
        </x:is>
      </x:c>
      <x:c r="H36" s="86" t="inlineStr">
        <x:is>
          <x:t xml:space="preserve">covered</x:t>
        </x:is>
      </x:c>
      <x:c r="I36" s="84" t="inlineStr">
        <x:is>
          <x:t xml:space="preserve">Textarea playground manual verification.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Root</x:t>
        </x:is>
      </x:c>
      <x:c r="D37" s="84" t="inlineStr">
        <x:is>
          <x:t xml:space="preserve">id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</x:t>
        </x:is>
      </x:c>
      <x:c r="H37" s="86" t="inlineStr">
        <x:is>
          <x:t xml:space="preserve">covered</x:t>
        </x:is>
      </x:c>
      <x:c r="I37" s="84" t="inlineStr">
        <x:is>
          <x:t xml:space="preserve">Textarea playground manual verification.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[data-slot]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</x:t>
        </x:is>
      </x:c>
      <x:c r="H38" s="86" t="inlineStr">
        <x:is>
          <x:t xml:space="preserve">covered</x:t>
        </x:is>
      </x:c>
      <x:c r="I38" s="84" t="inlineStr">
        <x:is>
          <x:t xml:space="preserve">Textarea playground manual verification.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4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[data-filled]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</x:t>
        </x:is>
      </x:c>
      <x:c r="H39" s="86" t="inlineStr">
        <x:is>
          <x:t xml:space="preserve">covered</x:t>
        </x:is>
      </x:c>
      <x:c r="I39" s="84" t="inlineStr">
        <x:is>
          <x:t xml:space="preserve">Textarea playground manual verification.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4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[data-focused]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</x:t>
        </x:is>
      </x:c>
      <x:c r="H40" s="86" t="inlineStr">
        <x:is>
          <x:t xml:space="preserve">covered</x:t>
        </x:is>
      </x:c>
      <x:c r="I40" s="84" t="inlineStr">
        <x:is>
          <x:t xml:space="preserve">Textarea playground manual verification.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Root</x:t>
        </x:is>
      </x:c>
      <x:c r="D41" s="84" t="inlineStr">
        <x:is>
          <x:t xml:space="preserve">[data-disabled]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</x:t>
        </x:is>
      </x:c>
      <x:c r="H41" s="86" t="inlineStr">
        <x:is>
          <x:t xml:space="preserve">covered</x:t>
        </x:is>
      </x:c>
      <x:c r="I41" s="84" t="inlineStr">
        <x:is>
          <x:t xml:space="preserve">Textarea playground manual verification.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Root</x:t>
        </x:is>
      </x:c>
      <x:c r="D42" s="84" t="inlineStr">
        <x:is>
          <x:t xml:space="preserve">[data-readonly]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</x:t>
        </x:is>
      </x:c>
      <x:c r="H42" s="86" t="inlineStr">
        <x:is>
          <x:t xml:space="preserve">covered</x:t>
        </x:is>
      </x:c>
      <x:c r="I42" s="84" t="inlineStr">
        <x:is>
          <x:t xml:space="preserve">Textarea playground manual verification.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State</x:t>
        </x:is>
      </x:c>
      <x:c r="C43" s="84" t="inlineStr">
        <x:is>
          <x:t xml:space="preserve">Root</x:t>
        </x:is>
      </x:c>
      <x:c r="D43" s="84" t="inlineStr">
        <x:is>
          <x:t xml:space="preserve">[data-invalid]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</x:t>
        </x:is>
      </x:c>
      <x:c r="H43" s="86" t="inlineStr">
        <x:is>
          <x:t xml:space="preserve">covered</x:t>
        </x:is>
      </x:c>
      <x:c r="I43" s="84" t="inlineStr">
        <x:is>
          <x:t xml:space="preserve">Textarea playground manual verification.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Root</x:t>
        </x:is>
      </x:c>
      <x:c r="D44" s="84" t="inlineStr">
        <x:is>
          <x:t xml:space="preserve">[data-autoresize]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</x:t>
        </x:is>
      </x:c>
      <x:c r="H44" s="86" t="inlineStr">
        <x:is>
          <x:t xml:space="preserve">covered</x:t>
        </x:is>
      </x:c>
      <x:c r="I44" s="84" t="inlineStr">
        <x:is>
          <x:t xml:space="preserve">Textarea playground manual verification.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Count</x:t>
        </x:is>
      </x:c>
      <x:c r="D45" s="84" t="inlineStr">
        <x:is>
          <x:t xml:space="preserve">renders correct part when expected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</x:t>
        </x:is>
      </x:c>
      <x:c r="H45" s="86" t="inlineStr">
        <x:is>
          <x:t xml:space="preserve">covered</x:t>
        </x:is>
      </x:c>
      <x:c r="I45" s="84" t="inlineStr">
        <x:is>
          <x:t xml:space="preserve">Textarea playground manual verification.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4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Count</x:t>
        </x:is>
      </x:c>
      <x:c r="D46" s="84" t="inlineStr">
        <x:is>
          <x:t xml:space="preserve">appears in documented order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</x:t>
        </x:is>
      </x:c>
      <x:c r="H46" s="86" t="inlineStr">
        <x:is>
          <x:t xml:space="preserve">covered</x:t>
        </x:is>
      </x:c>
      <x:c r="I46" s="84" t="inlineStr">
        <x:is>
          <x:t xml:space="preserve">Textarea playground manual verification.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45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Count</x:t>
        </x:is>
      </x:c>
      <x:c r="D47" s="84" t="inlineStr">
        <x:is>
          <x:t xml:space="preserve">default tag is visible in Anatomy/Inspector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</x:t>
        </x:is>
      </x:c>
      <x:c r="H47" s="86" t="inlineStr">
        <x:is>
          <x:t xml:space="preserve">covered</x:t>
        </x:is>
      </x:c>
      <x:c r="I47" s="84" t="inlineStr">
        <x:is>
          <x:t xml:space="preserve">Textarea playground manual verification.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Identity</x:t>
        </x:is>
      </x:c>
      <x:c r="C48" s="84" t="inlineStr">
        <x:is>
          <x:t xml:space="preserve">Count</x:t>
        </x:is>
      </x:c>
      <x:c r="D48" s="84" t="inlineStr">
        <x:is>
          <x:t xml:space="preserve">data-slot is present and correct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</x:t>
        </x:is>
      </x:c>
      <x:c r="H48" s="86" t="inlineStr">
        <x:is>
          <x:t xml:space="preserve">covered</x:t>
        </x:is>
      </x:c>
      <x:c r="I48" s="84" t="inlineStr">
        <x:is>
          <x:t xml:space="preserve">Textarea playground manual verification.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Props</x:t>
        </x:is>
      </x:c>
      <x:c r="C49" s="84" t="inlineStr">
        <x:is>
          <x:t xml:space="preserve">Count</x:t>
        </x:is>
      </x:c>
      <x:c r="D49" s="84" t="inlineStr">
        <x:is>
          <x:t xml:space="preserve">non-Atom native props pass through with data-prop-check marker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</x:t>
        </x:is>
      </x:c>
      <x:c r="H49" s="86" t="inlineStr">
        <x:is>
          <x:t xml:space="preserve">covered</x:t>
        </x:is>
      </x:c>
      <x:c r="I49" s="84" t="inlineStr">
        <x:is>
          <x:t xml:space="preserve">Textarea playground manual verification.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Refs</x:t>
        </x:is>
      </x:c>
      <x:c r="C50" s="84" t="inlineStr">
        <x:is>
          <x:t xml:space="preserve">Count</x:t>
        </x:is>
      </x:c>
      <x:c r="D50" s="84" t="inlineStr">
        <x:is>
          <x:t xml:space="preserve">consumer ref receives the rendered element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</x:t>
        </x:is>
      </x:c>
      <x:c r="H50" s="86" t="inlineStr">
        <x:is>
          <x:t xml:space="preserve">covered</x:t>
        </x:is>
      </x:c>
      <x:c r="I50" s="84" t="inlineStr">
        <x:is>
          <x:t xml:space="preserve">Textarea playground manual verification.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Composition</x:t>
        </x:is>
      </x:c>
      <x:c r="C51" s="84" t="inlineStr">
        <x:is>
          <x:t xml:space="preserve">Count</x:t>
        </x:is>
      </x:c>
      <x:c r="D51" s="84" t="inlineStr">
        <x:is>
          <x:t xml:space="preserve">asChild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</x:t>
        </x:is>
      </x:c>
      <x:c r="H51" s="86" t="inlineStr">
        <x:is>
          <x:t xml:space="preserve">covered</x:t>
        </x:is>
      </x:c>
      <x:c r="I51" s="84" t="inlineStr">
        <x:is>
          <x:t xml:space="preserve">Textarea playground manual verification.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Composition</x:t>
        </x:is>
      </x:c>
      <x:c r="C52" s="84" t="inlineStr">
        <x:is>
          <x:t xml:space="preserve">Count</x:t>
        </x:is>
      </x:c>
      <x:c r="D52" s="84" t="inlineStr">
        <x:is>
          <x:t xml:space="preserve">render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</x:t>
        </x:is>
      </x:c>
      <x:c r="H52" s="86" t="inlineStr">
        <x:is>
          <x:t xml:space="preserve">covered</x:t>
        </x:is>
      </x:c>
      <x:c r="I52" s="84" t="inlineStr">
        <x:is>
          <x:t xml:space="preserve">Textarea playground manual verification.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Count</x:t>
        </x:is>
      </x:c>
      <x:c r="D53" s="84" t="inlineStr">
        <x:is>
          <x:t xml:space="preserve">[data-slot]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</x:t>
        </x:is>
      </x:c>
      <x:c r="H53" s="86" t="inlineStr">
        <x:is>
          <x:t xml:space="preserve">covered</x:t>
        </x:is>
      </x:c>
      <x:c r="I53" s="84" t="inlineStr">
        <x:is>
          <x:t xml:space="preserve">Textarea playground manual verification.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Count</x:t>
        </x:is>
      </x:c>
      <x:c r="D54" s="84" t="inlineStr">
        <x:is>
          <x:t xml:space="preserve">[data-count]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</x:t>
        </x:is>
      </x:c>
      <x:c r="H54" s="86" t="inlineStr">
        <x:is>
          <x:t xml:space="preserve">covered</x:t>
        </x:is>
      </x:c>
      <x:c r="I54" s="84" t="inlineStr">
        <x:is>
          <x:t xml:space="preserve">Textarea playground manual verification.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Count</x:t>
        </x:is>
      </x:c>
      <x:c r="D55" s="84" t="inlineStr">
        <x:is>
          <x:t xml:space="preserve">[data-max]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</x:t>
        </x:is>
      </x:c>
      <x:c r="H55" s="86" t="inlineStr">
        <x:is>
          <x:t xml:space="preserve">covered</x:t>
        </x:is>
      </x:c>
      <x:c r="I55" s="84" t="inlineStr">
        <x:is>
          <x:t xml:space="preserve">Textarea playground manual verification.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4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Count</x:t>
        </x:is>
      </x:c>
      <x:c r="D56" s="84" t="inlineStr">
        <x:is>
          <x:t xml:space="preserve">[data-over-limit]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</x:t>
        </x:is>
      </x:c>
      <x:c r="H56" s="86" t="inlineStr">
        <x:is>
          <x:t xml:space="preserve">covered</x:t>
        </x:is>
      </x:c>
      <x:c r="I56" s="84" t="inlineStr">
        <x:is>
          <x:t xml:space="preserve">Textarea playground manual verification.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30" customHeight="1">
      <x:c r="A57" s="73" t="n">
        <x:v>49</x:v>
      </x:c>
      <x:c r="B57" s="84" t="inlineStr">
        <x:is>
          <x:t xml:space="preserve">ARIA</x:t>
        </x:is>
      </x:c>
      <x:c r="C57" s="84" t="inlineStr">
        <x:is>
          <x:t xml:space="preserve">Live DOM</x:t>
        </x:is>
      </x:c>
      <x:c r="D57" s="84" t="inlineStr">
        <x:is>
          <x:t xml:space="preserve">aria-describedby is present at the correct time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</x:t>
        </x:is>
      </x:c>
      <x:c r="H57" s="86" t="inlineStr">
        <x:is>
          <x:t xml:space="preserve">covered</x:t>
        </x:is>
      </x:c>
      <x:c r="I57" s="84" t="inlineStr">
        <x:is>
          <x:t xml:space="preserve">Textarea playground manual verification.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ARIA</x:t>
        </x:is>
      </x:c>
      <x:c r="C58" s="84" t="inlineStr">
        <x:is>
          <x:t xml:space="preserve">Live DOM</x:t>
        </x:is>
      </x:c>
      <x:c r="D58" s="84" t="inlineStr">
        <x:is>
          <x:t xml:space="preserve">aria-invalid is present at the correct time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</x:t>
        </x:is>
      </x:c>
      <x:c r="H58" s="86" t="inlineStr">
        <x:is>
          <x:t xml:space="preserve">covered</x:t>
        </x:is>
      </x:c>
      <x:c r="I58" s="84" t="inlineStr">
        <x:is>
          <x:t xml:space="preserve">Textarea playground manual verification.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ARIA</x:t>
        </x:is>
      </x:c>
      <x:c r="C59" s="84" t="inlineStr">
        <x:is>
          <x:t xml:space="preserve">Live DOM</x:t>
        </x:is>
      </x:c>
      <x:c r="D59" s="84" t="inlineStr">
        <x:is>
          <x:t xml:space="preserve">aria-live is present at the correct time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</x:t>
        </x:is>
      </x:c>
      <x:c r="H59" s="86" t="inlineStr">
        <x:is>
          <x:t xml:space="preserve">covered</x:t>
        </x:is>
      </x:c>
      <x:c r="I59" s="84" t="inlineStr">
        <x:is>
          <x:t xml:space="preserve">Textarea playground manual verification.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ARIA</x:t>
        </x:is>
      </x:c>
      <x:c r="C60" s="84" t="inlineStr">
        <x:is>
          <x:t xml:space="preserve">Live DOM</x:t>
        </x:is>
      </x:c>
      <x:c r="D60" s="84" t="inlineStr">
        <x:is>
          <x:t xml:space="preserve">aria-readonly is present at the correct time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</x:t>
        </x:is>
      </x:c>
      <x:c r="H60" s="86" t="inlineStr">
        <x:is>
          <x:t xml:space="preserve">covered</x:t>
        </x:is>
      </x:c>
      <x:c r="I60" s="84" t="inlineStr">
        <x:is>
          <x:t xml:space="preserve">Textarea playground manual verification.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ARIA</x:t>
        </x:is>
      </x:c>
      <x:c r="C61" s="84" t="inlineStr">
        <x:is>
          <x:t xml:space="preserve">Live DOM</x:t>
        </x:is>
      </x:c>
      <x:c r="D61" s="84" t="inlineStr">
        <x:is>
          <x:t xml:space="preserve">aria-required is present at the correct time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</x:t>
        </x:is>
      </x:c>
      <x:c r="H61" s="86" t="inlineStr">
        <x:is>
          <x:t xml:space="preserve">covered</x:t>
        </x:is>
      </x:c>
      <x:c r="I61" s="84" t="inlineStr">
        <x:is>
          <x:t xml:space="preserve">Textarea playground manual verification.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Data</x:t>
        </x:is>
      </x:c>
      <x:c r="C62" s="84" t="inlineStr">
        <x:is>
          <x:t xml:space="preserve">Live DOM</x:t>
        </x:is>
      </x:c>
      <x:c r="D62" s="84" t="inlineStr">
        <x:is>
          <x:t xml:space="preserve">data-autoresize is present at the correct time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</x:t>
        </x:is>
      </x:c>
      <x:c r="H62" s="86" t="inlineStr">
        <x:is>
          <x:t xml:space="preserve">covered</x:t>
        </x:is>
      </x:c>
      <x:c r="I62" s="84" t="inlineStr">
        <x:is>
          <x:t xml:space="preserve">Textarea playground manual verification.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Data</x:t>
        </x:is>
      </x:c>
      <x:c r="C63" s="84" t="inlineStr">
        <x:is>
          <x:t xml:space="preserve">Live DOM</x:t>
        </x:is>
      </x:c>
      <x:c r="D63" s="84" t="inlineStr">
        <x:is>
          <x:t xml:space="preserve">data-count is present at the correct time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</x:t>
        </x:is>
      </x:c>
      <x:c r="H63" s="86" t="inlineStr">
        <x:is>
          <x:t xml:space="preserve">covered</x:t>
        </x:is>
      </x:c>
      <x:c r="I63" s="84" t="inlineStr">
        <x:is>
          <x:t xml:space="preserve">Textarea playground manual verification.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Data</x:t>
        </x:is>
      </x:c>
      <x:c r="C64" s="84" t="inlineStr">
        <x:is>
          <x:t xml:space="preserve">Live DOM</x:t>
        </x:is>
      </x:c>
      <x:c r="D64" s="84" t="inlineStr">
        <x:is>
          <x:t xml:space="preserve">data-disabled is present at the correct time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</x:t>
        </x:is>
      </x:c>
      <x:c r="H64" s="86" t="inlineStr">
        <x:is>
          <x:t xml:space="preserve">covered</x:t>
        </x:is>
      </x:c>
      <x:c r="I64" s="84" t="inlineStr">
        <x:is>
          <x:t xml:space="preserve">Textarea playground manual verification.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30" customHeight="1">
      <x:c r="A65" s="73" t="n">
        <x:v>57</x:v>
      </x:c>
      <x:c r="B65" s="84" t="inlineStr">
        <x:is>
          <x:t xml:space="preserve">Data</x:t>
        </x:is>
      </x:c>
      <x:c r="C65" s="84" t="inlineStr">
        <x:is>
          <x:t xml:space="preserve">Live DOM</x:t>
        </x:is>
      </x:c>
      <x:c r="D65" s="84" t="inlineStr">
        <x:is>
          <x:t xml:space="preserve">data-filled is present at the correct time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</x:t>
        </x:is>
      </x:c>
      <x:c r="H65" s="86" t="inlineStr">
        <x:is>
          <x:t xml:space="preserve">covered</x:t>
        </x:is>
      </x:c>
      <x:c r="I65" s="84" t="inlineStr">
        <x:is>
          <x:t xml:space="preserve">Textarea playground manual verification.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30" customHeight="1">
      <x:c r="A66" s="73" t="n">
        <x:v>58</x:v>
      </x:c>
      <x:c r="B66" s="84" t="inlineStr">
        <x:is>
          <x:t xml:space="preserve">Data</x:t>
        </x:is>
      </x:c>
      <x:c r="C66" s="84" t="inlineStr">
        <x:is>
          <x:t xml:space="preserve">Live DOM</x:t>
        </x:is>
      </x:c>
      <x:c r="D66" s="84" t="inlineStr">
        <x:is>
          <x:t xml:space="preserve">data-focused is present at the correct time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</x:t>
        </x:is>
      </x:c>
      <x:c r="H66" s="86" t="inlineStr">
        <x:is>
          <x:t xml:space="preserve">covered</x:t>
        </x:is>
      </x:c>
      <x:c r="I66" s="84" t="inlineStr">
        <x:is>
          <x:t xml:space="preserve">Textarea playground manual verification.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Data</x:t>
        </x:is>
      </x:c>
      <x:c r="C67" s="84" t="inlineStr">
        <x:is>
          <x:t xml:space="preserve">Live DOM</x:t>
        </x:is>
      </x:c>
      <x:c r="D67" s="84" t="inlineStr">
        <x:is>
          <x:t xml:space="preserve">data-invalid is present at the correct time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</x:t>
        </x:is>
      </x:c>
      <x:c r="H67" s="86" t="inlineStr">
        <x:is>
          <x:t xml:space="preserve">covered</x:t>
        </x:is>
      </x:c>
      <x:c r="I67" s="84" t="inlineStr">
        <x:is>
          <x:t xml:space="preserve">Textarea playground manual verification.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Data</x:t>
        </x:is>
      </x:c>
      <x:c r="C68" s="84" t="inlineStr">
        <x:is>
          <x:t xml:space="preserve">Live DOM</x:t>
        </x:is>
      </x:c>
      <x:c r="D68" s="84" t="inlineStr">
        <x:is>
          <x:t xml:space="preserve">data-max is present at the correct time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</x:t>
        </x:is>
      </x:c>
      <x:c r="H68" s="86" t="inlineStr">
        <x:is>
          <x:t xml:space="preserve">covered</x:t>
        </x:is>
      </x:c>
      <x:c r="I68" s="84" t="inlineStr">
        <x:is>
          <x:t xml:space="preserve">Textarea playground manual verification.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30" customHeight="1">
      <x:c r="A69" s="73" t="n">
        <x:v>61</x:v>
      </x:c>
      <x:c r="B69" s="84" t="inlineStr">
        <x:is>
          <x:t xml:space="preserve">Data</x:t>
        </x:is>
      </x:c>
      <x:c r="C69" s="84" t="inlineStr">
        <x:is>
          <x:t xml:space="preserve">Live DOM</x:t>
        </x:is>
      </x:c>
      <x:c r="D69" s="84" t="inlineStr">
        <x:is>
          <x:t xml:space="preserve">data-over-limit is present at the correct time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</x:t>
        </x:is>
      </x:c>
      <x:c r="H69" s="86" t="inlineStr">
        <x:is>
          <x:t xml:space="preserve">covered</x:t>
        </x:is>
      </x:c>
      <x:c r="I69" s="84" t="inlineStr">
        <x:is>
          <x:t xml:space="preserve">Textarea playground manual verification.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Data</x:t>
        </x:is>
      </x:c>
      <x:c r="C70" s="84" t="inlineStr">
        <x:is>
          <x:t xml:space="preserve">Live DOM</x:t>
        </x:is>
      </x:c>
      <x:c r="D70" s="84" t="inlineStr">
        <x:is>
          <x:t xml:space="preserve">data-readonly is present at the correct time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</x:t>
        </x:is>
      </x:c>
      <x:c r="H70" s="86" t="inlineStr">
        <x:is>
          <x:t xml:space="preserve">covered</x:t>
        </x:is>
      </x:c>
      <x:c r="I70" s="84" t="inlineStr">
        <x:is>
          <x:t xml:space="preserve">Textarea playground manual verification.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Data</x:t>
        </x:is>
      </x:c>
      <x:c r="C71" s="84" t="inlineStr">
        <x:is>
          <x:t xml:space="preserve">Live DOM</x:t>
        </x:is>
      </x:c>
      <x:c r="D71" s="84" t="inlineStr">
        <x:is>
          <x:t xml:space="preserve">data-slot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</x:t>
        </x:is>
      </x:c>
      <x:c r="H71" s="86" t="inlineStr">
        <x:is>
          <x:t xml:space="preserve">covered</x:t>
        </x:is>
      </x:c>
      <x:c r="I71" s="84" t="inlineStr">
        <x:is>
          <x:t xml:space="preserve">Textarea playground manual verification.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State</x:t>
        </x:is>
      </x:c>
      <x:c r="C72" s="84" t="inlineStr">
        <x:is>
          <x:t xml:space="preserve">Root</x:t>
        </x:is>
      </x:c>
      <x:c r="D72" s="84" t="inlineStr">
        <x:is>
          <x:t xml:space="preserve">controlled state path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</x:t>
        </x:is>
      </x:c>
      <x:c r="H72" s="86" t="inlineStr">
        <x:is>
          <x:t xml:space="preserve">covered</x:t>
        </x:is>
      </x:c>
      <x:c r="I72" s="84" t="inlineStr">
        <x:is>
          <x:t xml:space="preserve">Textarea playground manual verification.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State</x:t>
        </x:is>
      </x:c>
      <x:c r="C73" s="84" t="inlineStr">
        <x:is>
          <x:t xml:space="preserve">Root</x:t>
        </x:is>
      </x:c>
      <x:c r="D73" s="84" t="inlineStr">
        <x:is>
          <x:t xml:space="preserve">uncontrolled default state path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</x:t>
        </x:is>
      </x:c>
      <x:c r="H73" s="86" t="inlineStr">
        <x:is>
          <x:t xml:space="preserve">covered</x:t>
        </x:is>
      </x:c>
      <x:c r="I73" s="84" t="inlineStr">
        <x:is>
          <x:t xml:space="preserve">Textarea playground manual verification.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30" customHeight="1">
      <x:c r="A74" s="73" t="n">
        <x:v>66</x:v>
      </x:c>
      <x:c r="B74" s="84" t="inlineStr">
        <x:is>
          <x:t xml:space="preserve">State</x:t>
        </x:is>
      </x:c>
      <x:c r="C74" s="84" t="inlineStr">
        <x:is>
          <x:t xml:space="preserve">Root</x:t>
        </x:is>
      </x:c>
      <x:c r="D74" s="84" t="inlineStr">
        <x:is>
          <x:t xml:space="preserve">state change callback fires once with correct value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</x:t>
        </x:is>
      </x:c>
      <x:c r="H74" s="86" t="inlineStr">
        <x:is>
          <x:t xml:space="preserve">covered</x:t>
        </x:is>
      </x:c>
      <x:c r="I74" s="84" t="inlineStr">
        <x:is>
          <x:t xml:space="preserve">Textarea playground manual verification.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State</x:t>
        </x:is>
      </x:c>
      <x:c r="C75" s="84" t="inlineStr">
        <x:is>
          <x:t xml:space="preserve">Textarea</x:t>
        </x:is>
      </x:c>
      <x:c r="D75" s="84" t="inlineStr">
        <x:is>
          <x:t xml:space="preserve">disabled state blocks or exposes behavior correctly where supported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</x:t>
        </x:is>
      </x:c>
      <x:c r="H75" s="86" t="inlineStr">
        <x:is>
          <x:t xml:space="preserve">covered</x:t>
        </x:is>
      </x:c>
      <x:c r="I75" s="84" t="inlineStr">
        <x:is>
          <x:t xml:space="preserve">Textarea playground manual verification.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State</x:t>
        </x:is>
      </x:c>
      <x:c r="C76" s="84" t="inlineStr">
        <x:is>
          <x:t xml:space="preserve">Textarea</x:t>
        </x:is>
      </x:c>
      <x:c r="D76" s="84" t="inlineStr">
        <x:is>
          <x:t xml:space="preserve">readonly/readOnly state blocks or exposes behavior correctly where supported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</x:t>
        </x:is>
      </x:c>
      <x:c r="H76" s="86" t="inlineStr">
        <x:is>
          <x:t xml:space="preserve">covered</x:t>
        </x:is>
      </x:c>
      <x:c r="I76" s="84" t="inlineStr">
        <x:is>
          <x:t xml:space="preserve">Textarea playground manual verification.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State</x:t>
        </x:is>
      </x:c>
      <x:c r="C77" s="84" t="inlineStr">
        <x:is>
          <x:t xml:space="preserve">Textarea</x:t>
        </x:is>
      </x:c>
      <x:c r="D77" s="84" t="inlineStr">
        <x:is>
          <x:t xml:space="preserve">required state blocks or exposes behavior correctly where supported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</x:t>
        </x:is>
      </x:c>
      <x:c r="H77" s="86" t="inlineStr">
        <x:is>
          <x:t xml:space="preserve">covered</x:t>
        </x:is>
      </x:c>
      <x:c r="I77" s="84" t="inlineStr">
        <x:is>
          <x:t xml:space="preserve">Textarea playground manual verification.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State</x:t>
        </x:is>
      </x:c>
      <x:c r="C78" s="84" t="inlineStr">
        <x:is>
          <x:t xml:space="preserve">Textarea</x:t>
        </x:is>
      </x:c>
      <x:c r="D78" s="84" t="inlineStr">
        <x:is>
          <x:t xml:space="preserve">invalid state blocks or exposes behavior correctly where supported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</x:t>
        </x:is>
      </x:c>
      <x:c r="H78" s="86" t="inlineStr">
        <x:is>
          <x:t xml:space="preserve">covered</x:t>
        </x:is>
      </x:c>
      <x:c r="I78" s="84" t="inlineStr">
        <x:is>
          <x:t xml:space="preserve">Textarea playground manual verification.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Forms</x:t>
        </x:is>
      </x:c>
      <x:c r="C79" s="84" t="inlineStr">
        <x:is>
          <x:t xml:space="preserve">Textarea</x:t>
        </x:is>
      </x:c>
      <x:c r="D79" s="84" t="inlineStr">
        <x:is>
          <x:t xml:space="preserve">form value participates correctly where supported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</x:t>
        </x:is>
      </x:c>
      <x:c r="H79" s="86" t="inlineStr">
        <x:is>
          <x:t xml:space="preserve">covered</x:t>
        </x:is>
      </x:c>
      <x:c r="I79" s="84" t="inlineStr">
        <x:is>
          <x:t xml:space="preserve">Textarea playground manual verification.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Forms</x:t>
        </x:is>
      </x:c>
      <x:c r="C80" s="84" t="inlineStr">
        <x:is>
          <x:t xml:space="preserve">Root</x:t>
        </x:is>
      </x:c>
      <x:c r="D80" s="84" t="inlineStr">
        <x:is>
          <x:t xml:space="preserve">Field relationships and uncontrolled value follow native form reset</x:t>
        </x:is>
      </x:c>
      <x:c r="E80" s="76" t="inlineStr">
        <x:is>
          <x:t xml:space="preserve">yes</x:t>
        </x:is>
      </x:c>
      <x:c r="F80" s="85" t="inlineStr">
        <x:is>
          <x:t xml:space="preserve">no</x:t>
        </x:is>
      </x:c>
      <x:c r="G80" s="73" t="inlineStr">
        <x:is>
          <x:t xml:space="preserve">automated tests pass; manual pending</x:t>
        </x:is>
      </x:c>
      <x:c r="H80" s="86" t="inlineStr">
        <x:is>
          <x:t xml:space="preserve">untested</x:t>
        </x:is>
      </x:c>
      <x:c r="I80" s="84" t="inlineStr">
        <x:is>
          <x:t xml:space="preserve">Form &gt; Control: Foundation plus the component scenario and automated package tests.</x:t>
        </x:is>
      </x:c>
      <x:c r="J80" s="84" t="inlineStr">
        <x:is>
          <x:t xml:space="preserve">Run and review the form-foundation manual protocol.</x:t>
        </x:is>
      </x:c>
      <x:c r="K80" s="87" t="n">
        <x:f>IF(AND(E80="yes",F80="yes",H80="covered"),1,IF(H80="partial",0.5,0))</x:f>
        <x:v>0</x:v>
      </x:c>
    </x:row>
    <x:row r="81" s="51" customFormat="1" ht="15" customHeight="1">
      <x:c r="A81" s="73" t="n">
        <x:v>73</x:v>
      </x:c>
      <x:c r="B81" s="84" t="inlineStr">
        <x:is>
          <x:t xml:space="preserve">Validation</x:t>
        </x:is>
      </x:c>
      <x:c r="C81" s="84" t="inlineStr">
        <x:is>
          <x:t xml:space="preserve">Root</x:t>
        </x:is>
      </x:c>
      <x:c r="D81" s="84" t="inlineStr">
        <x:is>
          <x:t xml:space="preserve">validationBehavior mirrors attempted native invalidity to Textarea, Field, and Form</x:t>
        </x:is>
      </x:c>
      <x:c r="E81" s="76" t="inlineStr">
        <x:is>
          <x:t xml:space="preserve">yes</x:t>
        </x:is>
      </x:c>
      <x:c r="F81" s="85" t="inlineStr">
        <x:is>
          <x:t xml:space="preserve">no</x:t>
        </x:is>
      </x:c>
      <x:c r="G81" s="73" t="inlineStr">
        <x:is>
          <x:t xml:space="preserve">automated tests pass; manual pending</x:t>
        </x:is>
      </x:c>
      <x:c r="H81" s="86" t="inlineStr">
        <x:is>
          <x:t xml:space="preserve">untested</x:t>
        </x:is>
      </x:c>
      <x:c r="I81" s="84" t="inlineStr">
        <x:is>
          <x:t xml:space="preserve">Form &gt; Control: Foundation and automated Atom validation tests.</x:t>
        </x:is>
      </x:c>
      <x:c r="J81" s="84" t="inlineStr">
        <x:is>
          <x:t xml:space="preserve">Run and review the updated form-foundation validation steps.</x:t>
        </x:is>
      </x:c>
      <x:c r="K81" s="87" t="n">
        <x:f>IF(AND(E81="yes",F81="yes",H81="covered"),1,IF(H81="partial",0.5,0))</x:f>
        <x:v>0</x:v>
      </x:c>
    </x:row>
    <x:row r="82" s="51" customFormat="1" ht="30" customHeight="1"/>
    <x:row r="83" s="51" customFormat="1" ht="30" customHeight="1"/>
    <x:row r="84" s="51" customFormat="1" ht="15" customHeight="1"/>
    <x:row r="85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Toast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121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protocol</x:t>
        </x:is>
      </x:c>
      <x:c r="H9" s="86" t="inlineStr">
        <x:is>
          <x:t xml:space="preserve">covered</x:t>
        </x:is>
      </x:c>
      <x:c r="I9" s="84" t="inlineStr">
        <x:is>
          <x:t xml:space="preserve">manual-tests/toast.md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protocol</x:t>
        </x:is>
      </x:c>
      <x:c r="H10" s="86" t="inlineStr">
        <x:is>
          <x:t xml:space="preserve">covered</x:t>
        </x:is>
      </x:c>
      <x:c r="I10" s="84" t="inlineStr">
        <x:is>
          <x:t xml:space="preserve">manual-tests/toast.md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Toast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protocol</x:t>
        </x:is>
      </x:c>
      <x:c r="H11" s="86" t="inlineStr">
        <x:is>
          <x:t xml:space="preserve">covered</x:t>
        </x:is>
      </x:c>
      <x:c r="I11" s="84" t="inlineStr">
        <x:is>
          <x:t xml:space="preserve">manual-tests/toast.md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Toast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protocol</x:t>
        </x:is>
      </x:c>
      <x:c r="H12" s="86" t="inlineStr">
        <x:is>
          <x:t xml:space="preserve">covered</x:t>
        </x:is>
      </x:c>
      <x:c r="I12" s="84" t="inlineStr">
        <x:is>
          <x:t xml:space="preserve">manual-tests/toast.md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Toast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protocol</x:t>
        </x:is>
      </x:c>
      <x:c r="H13" s="86" t="inlineStr">
        <x:is>
          <x:t xml:space="preserve">covered</x:t>
        </x:is>
      </x:c>
      <x:c r="I13" s="84" t="inlineStr">
        <x:is>
          <x:t xml:space="preserve">manual-tests/toast.md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Toast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protocol</x:t>
        </x:is>
      </x:c>
      <x:c r="H14" s="86" t="inlineStr">
        <x:is>
          <x:t xml:space="preserve">covered</x:t>
        </x:is>
      </x:c>
      <x:c r="I14" s="84" t="inlineStr">
        <x:is>
          <x:t xml:space="preserve">manual-tests/toast.md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Toast</x:t>
        </x:is>
      </x:c>
      <x:c r="D15" s="84" t="inlineStr">
        <x:is>
          <x:t xml:space="preserve">Supports declarative and imperative toast rendering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protocol</x:t>
        </x:is>
      </x:c>
      <x:c r="H15" s="86" t="inlineStr">
        <x:is>
          <x:t xml:space="preserve">covered</x:t>
        </x:is>
      </x:c>
      <x:c r="I15" s="84" t="inlineStr">
        <x:is>
          <x:t xml:space="preserve">manual-tests/toast.md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30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Toast</x:t>
        </x:is>
      </x:c>
      <x:c r="D16" s="84" t="inlineStr">
        <x:is>
          <x:t xml:space="preserve">Includes a global toast store and `toast.*` helpers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protocol</x:t>
        </x:is>
      </x:c>
      <x:c r="H16" s="86" t="inlineStr">
        <x:is>
          <x:t xml:space="preserve">covered</x:t>
        </x:is>
      </x:c>
      <x:c r="I16" s="84" t="inlineStr">
        <x:is>
          <x:t xml:space="preserve">manual-tests/toast.md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Toast</x:t>
        </x:is>
      </x:c>
      <x:c r="D17" s="84" t="inlineStr">
        <x:is>
          <x:t xml:space="preserve">Supports queueing with a maximum visible count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protocol</x:t>
        </x:is>
      </x:c>
      <x:c r="H17" s="86" t="inlineStr">
        <x:is>
          <x:t xml:space="preserve">covered</x:t>
        </x:is>
      </x:c>
      <x:c r="I17" s="84" t="inlineStr">
        <x:is>
          <x:t xml:space="preserve">manual-tests/toast.md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Toast</x:t>
        </x:is>
      </x:c>
      <x:c r="D18" s="84" t="inlineStr">
        <x:is>
          <x:t xml:space="preserve">Announces toast titles/descriptions through persistent live regions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protocol</x:t>
        </x:is>
      </x:c>
      <x:c r="H18" s="86" t="inlineStr">
        <x:is>
          <x:t xml:space="preserve">covered</x:t>
        </x:is>
      </x:c>
      <x:c r="I18" s="84" t="inlineStr">
        <x:is>
          <x:t xml:space="preserve">manual-tests/toast.md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Toast</x:t>
        </x:is>
      </x:c>
      <x:c r="D19" s="84" t="inlineStr">
        <x:is>
          <x:t xml:space="preserve">Supports hover/focus-loss pause behavior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protocol</x:t>
        </x:is>
      </x:c>
      <x:c r="H19" s="86" t="inlineStr">
        <x:is>
          <x:t xml:space="preserve">covered</x:t>
        </x:is>
      </x:c>
      <x:c r="I19" s="84" t="inlineStr">
        <x:is>
          <x:t xml:space="preserve">manual-tests/toast.md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Toast</x:t>
        </x:is>
      </x:c>
      <x:c r="D20" s="84" t="inlineStr">
        <x:is>
          <x:t xml:space="preserve">Supports custom viewport rendering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protocol</x:t>
        </x:is>
      </x:c>
      <x:c r="H20" s="86" t="inlineStr">
        <x:is>
          <x:t xml:space="preserve">covered</x:t>
        </x:is>
      </x:c>
      <x:c r="I20" s="84" t="inlineStr">
        <x:is>
          <x:t xml:space="preserve">manual-tests/toast.md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Feature</x:t>
        </x:is>
      </x:c>
      <x:c r="C21" s="84" t="inlineStr">
        <x:is>
          <x:t xml:space="preserve">Toast</x:t>
        </x:is>
      </x:c>
      <x:c r="D21" s="84" t="inlineStr">
        <x:is>
          <x:t xml:space="preserve">Supports `asChild` and `render` on visual parts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protocol</x:t>
        </x:is>
      </x:c>
      <x:c r="H21" s="86" t="inlineStr">
        <x:is>
          <x:t xml:space="preserve">covered</x:t>
        </x:is>
      </x:c>
      <x:c r="I21" s="84" t="inlineStr">
        <x:is>
          <x:t xml:space="preserve">manual-tests/toast.md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renders correct part when expected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protocol</x:t>
        </x:is>
      </x:c>
      <x:c r="H22" s="86" t="inlineStr">
        <x:is>
          <x:t xml:space="preserve">covered</x:t>
        </x:is>
      </x:c>
      <x:c r="I22" s="84" t="inlineStr">
        <x:is>
          <x:t xml:space="preserve">manual-tests/toast.md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15" customHeight="1">
      <x:c r="A23" s="73" t="n">
        <x:v>15</x:v>
      </x:c>
      <x:c r="B23" s="84" t="inlineStr">
        <x:is>
          <x:t xml:space="preserve">Anatomy</x:t>
        </x:is>
      </x:c>
      <x:c r="C23" s="84" t="inlineStr">
        <x:is>
          <x:t xml:space="preserve">Root</x:t>
        </x:is>
      </x:c>
      <x:c r="D23" s="84" t="inlineStr">
        <x:is>
          <x:t xml:space="preserve">appears in documented order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protocol</x:t>
        </x:is>
      </x:c>
      <x:c r="H23" s="86" t="inlineStr">
        <x:is>
          <x:t xml:space="preserve">covered</x:t>
        </x:is>
      </x:c>
      <x:c r="I23" s="84" t="inlineStr">
        <x:is>
          <x:t xml:space="preserve">manual-tests/toast.md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30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default tag is visible in Anatomy/Inspector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protocol</x:t>
        </x:is>
      </x:c>
      <x:c r="H24" s="86" t="inlineStr">
        <x:is>
          <x:t xml:space="preserve">covered</x:t>
        </x:is>
      </x:c>
      <x:c r="I24" s="84" t="inlineStr">
        <x:is>
          <x:t xml:space="preserve">manual-tests/toast.md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Identity</x:t>
        </x:is>
      </x:c>
      <x:c r="C25" s="84" t="inlineStr">
        <x:is>
          <x:t xml:space="preserve">Root</x:t>
        </x:is>
      </x:c>
      <x:c r="D25" s="84" t="inlineStr">
        <x:is>
          <x:t xml:space="preserve">data-slot is present and correct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protocol</x:t>
        </x:is>
      </x:c>
      <x:c r="H25" s="86" t="inlineStr">
        <x:is>
          <x:t xml:space="preserve">covered</x:t>
        </x:is>
      </x:c>
      <x:c r="I25" s="84" t="inlineStr">
        <x:is>
          <x:t xml:space="preserve">manual-tests/toast.md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Props</x:t>
        </x:is>
      </x:c>
      <x:c r="C26" s="84" t="inlineStr">
        <x:is>
          <x:t xml:space="preserve">Root</x:t>
        </x:is>
      </x:c>
      <x:c r="D26" s="84" t="inlineStr">
        <x:is>
          <x:t xml:space="preserve">non-Atom native props pass through with data-prop-check marker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protocol</x:t>
        </x:is>
      </x:c>
      <x:c r="H26" s="86" t="inlineStr">
        <x:is>
          <x:t xml:space="preserve">covered</x:t>
        </x:is>
      </x:c>
      <x:c r="I26" s="84" t="inlineStr">
        <x:is>
          <x:t xml:space="preserve">manual-tests/toast.md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Refs</x:t>
        </x:is>
      </x:c>
      <x:c r="C27" s="84" t="inlineStr">
        <x:is>
          <x:t xml:space="preserve">Root</x:t>
        </x:is>
      </x:c>
      <x:c r="D27" s="84" t="inlineStr">
        <x:is>
          <x:t xml:space="preserve">consumer ref receives the rendered element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protocol</x:t>
        </x:is>
      </x:c>
      <x:c r="H27" s="86" t="inlineStr">
        <x:is>
          <x:t xml:space="preserve">covered</x:t>
        </x:is>
      </x:c>
      <x:c r="I27" s="84" t="inlineStr">
        <x:is>
          <x:t xml:space="preserve">manual-tests/toast.md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Composition</x:t>
        </x:is>
      </x:c>
      <x:c r="C28" s="84" t="inlineStr">
        <x:is>
          <x:t xml:space="preserve">Root</x:t>
        </x:is>
      </x:c>
      <x:c r="D28" s="84" t="inlineStr">
        <x:is>
          <x:t xml:space="preserve">asChild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protocol</x:t>
        </x:is>
      </x:c>
      <x:c r="H28" s="86" t="inlineStr">
        <x:is>
          <x:t xml:space="preserve">covered</x:t>
        </x:is>
      </x:c>
      <x:c r="I28" s="84" t="inlineStr">
        <x:is>
          <x:t xml:space="preserve">manual-tests/toast.md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Composition</x:t>
        </x:is>
      </x:c>
      <x:c r="C29" s="84" t="inlineStr">
        <x:is>
          <x:t xml:space="preserve">Root</x:t>
        </x:is>
      </x:c>
      <x:c r="D29" s="84" t="inlineStr">
        <x:is>
          <x:t xml:space="preserve">render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protocol</x:t>
        </x:is>
      </x:c>
      <x:c r="H29" s="86" t="inlineStr">
        <x:is>
          <x:t xml:space="preserve">covered</x:t>
        </x:is>
      </x:c>
      <x:c r="I29" s="84" t="inlineStr">
        <x:is>
          <x:t xml:space="preserve">manual-tests/toast.md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toast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protocol</x:t>
        </x:is>
      </x:c>
      <x:c r="H30" s="86" t="inlineStr">
        <x:is>
          <x:t xml:space="preserve">covered</x:t>
        </x:is>
      </x:c>
      <x:c r="I30" s="84" t="inlineStr">
        <x:is>
          <x:t xml:space="preserve">manual-tests/toast.md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type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protocol</x:t>
        </x:is>
      </x:c>
      <x:c r="H31" s="86" t="inlineStr">
        <x:is>
          <x:t xml:space="preserve">covered</x:t>
        </x:is>
      </x:c>
      <x:c r="I31" s="84" t="inlineStr">
        <x:is>
          <x:t xml:space="preserve">manual-tests/toast.md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duration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protocol</x:t>
        </x:is>
      </x:c>
      <x:c r="H32" s="86" t="inlineStr">
        <x:is>
          <x:t xml:space="preserve">covered</x:t>
        </x:is>
      </x:c>
      <x:c r="I32" s="84" t="inlineStr">
        <x:is>
          <x:t xml:space="preserve">manual-tests/toast.md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paused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protocol</x:t>
        </x:is>
      </x:c>
      <x:c r="H33" s="86" t="inlineStr">
        <x:is>
          <x:t xml:space="preserve">covered</x:t>
        </x:is>
      </x:c>
      <x:c r="I33" s="84" t="inlineStr">
        <x:is>
          <x:t xml:space="preserve">manual-tests/toast.md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Public API</x:t>
        </x:is>
      </x:c>
      <x:c r="C34" s="84" t="inlineStr">
        <x:is>
          <x:t xml:space="preserve">Root</x:t>
        </x:is>
      </x:c>
      <x:c r="D34" s="84" t="inlineStr">
        <x:is>
          <x:t xml:space="preserve">dismissible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protocol</x:t>
        </x:is>
      </x:c>
      <x:c r="H34" s="86" t="inlineStr">
        <x:is>
          <x:t xml:space="preserve">covered</x:t>
        </x:is>
      </x:c>
      <x:c r="I34" s="84" t="inlineStr">
        <x:is>
          <x:t xml:space="preserve">manual-tests/toast.md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Public API</x:t>
        </x:is>
      </x:c>
      <x:c r="C35" s="84" t="inlineStr">
        <x:is>
          <x:t xml:space="preserve">Root</x:t>
        </x:is>
      </x:c>
      <x:c r="D35" s="84" t="inlineStr">
        <x:is>
          <x:t xml:space="preserve">closeButton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protocol</x:t>
        </x:is>
      </x:c>
      <x:c r="H35" s="86" t="inlineStr">
        <x:is>
          <x:t xml:space="preserve">covered</x:t>
        </x:is>
      </x:c>
      <x:c r="I35" s="84" t="inlineStr">
        <x:is>
          <x:t xml:space="preserve">manual-tests/toast.md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Root</x:t>
        </x:is>
      </x:c>
      <x:c r="D36" s="84" t="inlineStr">
        <x:is>
          <x:t xml:space="preserve">index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protocol</x:t>
        </x:is>
      </x:c>
      <x:c r="H36" s="86" t="inlineStr">
        <x:is>
          <x:t xml:space="preserve">covered</x:t>
        </x:is>
      </x:c>
      <x:c r="I36" s="84" t="inlineStr">
        <x:is>
          <x:t xml:space="preserve">manual-tests/toast.md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Root</x:t>
        </x:is>
      </x:c>
      <x:c r="D37" s="84" t="inlineStr">
        <x:is>
          <x:t xml:space="preserve">expanded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protocol</x:t>
        </x:is>
      </x:c>
      <x:c r="H37" s="86" t="inlineStr">
        <x:is>
          <x:t xml:space="preserve">covered</x:t>
        </x:is>
      </x:c>
      <x:c r="I37" s="84" t="inlineStr">
        <x:is>
          <x:t xml:space="preserve">manual-tests/toast.md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removeDelay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protocol</x:t>
        </x:is>
      </x:c>
      <x:c r="H38" s="86" t="inlineStr">
        <x:is>
          <x:t xml:space="preserve">covered</x:t>
        </x:is>
      </x:c>
      <x:c r="I38" s="84" t="inlineStr">
        <x:is>
          <x:t xml:space="preserve">manual-tests/toast.md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forceMount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protocol</x:t>
        </x:is>
      </x:c>
      <x:c r="H39" s="86" t="inlineStr">
        <x:is>
          <x:t xml:space="preserve">covered</x:t>
        </x:is>
      </x:c>
      <x:c r="I39" s="84" t="inlineStr">
        <x:is>
          <x:t xml:space="preserve">manual-tests/toast.md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State</x:t>
        </x:is>
      </x:c>
      <x:c r="C40" s="84" t="inlineStr">
        <x:is>
          <x:t xml:space="preserve">Root</x:t>
        </x:is>
      </x:c>
      <x:c r="D40" s="84" t="inlineStr">
        <x:is>
          <x:t xml:space="preserve">onAutoClose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protocol</x:t>
        </x:is>
      </x:c>
      <x:c r="H40" s="86" t="inlineStr">
        <x:is>
          <x:t xml:space="preserve">covered</x:t>
        </x:is>
      </x:c>
      <x:c r="I40" s="84" t="inlineStr">
        <x:is>
          <x:t xml:space="preserve">manual-tests/toast.md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State</x:t>
        </x:is>
      </x:c>
      <x:c r="C41" s="84" t="inlineStr">
        <x:is>
          <x:t xml:space="preserve">Root</x:t>
        </x:is>
      </x:c>
      <x:c r="D41" s="84" t="inlineStr">
        <x:is>
          <x:t xml:space="preserve">onDismiss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protocol</x:t>
        </x:is>
      </x:c>
      <x:c r="H41" s="86" t="inlineStr">
        <x:is>
          <x:t xml:space="preserve">covered</x:t>
        </x:is>
      </x:c>
      <x:c r="I41" s="84" t="inlineStr">
        <x:is>
          <x:t xml:space="preserve">manual-tests/toast.md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Public API</x:t>
        </x:is>
      </x:c>
      <x:c r="C42" s="84" t="inlineStr">
        <x:is>
          <x:t xml:space="preserve">Root</x:t>
        </x:is>
      </x:c>
      <x:c r="D42" s="84" t="inlineStr">
        <x:is>
          <x:t xml:space="preserve">[data-slot]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protocol</x:t>
        </x:is>
      </x:c>
      <x:c r="H42" s="86" t="inlineStr">
        <x:is>
          <x:t xml:space="preserve">covered</x:t>
        </x:is>
      </x:c>
      <x:c r="I42" s="84" t="inlineStr">
        <x:is>
          <x:t xml:space="preserve">manual-tests/toast.md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Root</x:t>
        </x:is>
      </x:c>
      <x:c r="D43" s="84" t="inlineStr">
        <x:is>
          <x:t xml:space="preserve">[data-state]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protocol</x:t>
        </x:is>
      </x:c>
      <x:c r="H43" s="86" t="inlineStr">
        <x:is>
          <x:t xml:space="preserve">covered</x:t>
        </x:is>
      </x:c>
      <x:c r="I43" s="84" t="inlineStr">
        <x:is>
          <x:t xml:space="preserve">manual-tests/toast.md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Root</x:t>
        </x:is>
      </x:c>
      <x:c r="D44" s="84" t="inlineStr">
        <x:is>
          <x:t xml:space="preserve">[data-type]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protocol</x:t>
        </x:is>
      </x:c>
      <x:c r="H44" s="86" t="inlineStr">
        <x:is>
          <x:t xml:space="preserve">covered</x:t>
        </x:is>
      </x:c>
      <x:c r="I44" s="84" t="inlineStr">
        <x:is>
          <x:t xml:space="preserve">manual-tests/toast.md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Public API</x:t>
        </x:is>
      </x:c>
      <x:c r="C45" s="84" t="inlineStr">
        <x:is>
          <x:t xml:space="preserve">Root</x:t>
        </x:is>
      </x:c>
      <x:c r="D45" s="84" t="inlineStr">
        <x:is>
          <x:t xml:space="preserve">[data-index] prop behavior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protocol</x:t>
        </x:is>
      </x:c>
      <x:c r="H45" s="86" t="inlineStr">
        <x:is>
          <x:t xml:space="preserve">covered</x:t>
        </x:is>
      </x:c>
      <x:c r="I45" s="84" t="inlineStr">
        <x:is>
          <x:t xml:space="preserve">manual-tests/toast.md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Root</x:t>
        </x:is>
      </x:c>
      <x:c r="D46" s="84" t="inlineStr">
        <x:is>
          <x:t xml:space="preserve">[data-expanded]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protocol</x:t>
        </x:is>
      </x:c>
      <x:c r="H46" s="86" t="inlineStr">
        <x:is>
          <x:t xml:space="preserve">covered</x:t>
        </x:is>
      </x:c>
      <x:c r="I46" s="84" t="inlineStr">
        <x:is>
          <x:t xml:space="preserve">manual-tests/toast.md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Provider</x:t>
        </x:is>
      </x:c>
      <x:c r="D47" s="84" t="inlineStr">
        <x:is>
          <x:t xml:space="preserve">renders correct part when expected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protocol</x:t>
        </x:is>
      </x:c>
      <x:c r="H47" s="86" t="inlineStr">
        <x:is>
          <x:t xml:space="preserve">covered</x:t>
        </x:is>
      </x:c>
      <x:c r="I47" s="84" t="inlineStr">
        <x:is>
          <x:t xml:space="preserve">manual-tests/toast.md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Provider</x:t>
        </x:is>
      </x:c>
      <x:c r="D48" s="84" t="inlineStr">
        <x:is>
          <x:t xml:space="preserve">appears in documented order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protocol</x:t>
        </x:is>
      </x:c>
      <x:c r="H48" s="86" t="inlineStr">
        <x:is>
          <x:t xml:space="preserve">covered</x:t>
        </x:is>
      </x:c>
      <x:c r="I48" s="84" t="inlineStr">
        <x:is>
          <x:t xml:space="preserve">manual-tests/toast.md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Public API</x:t>
        </x:is>
      </x:c>
      <x:c r="C49" s="84" t="inlineStr">
        <x:is>
          <x:t xml:space="preserve">Provider</x:t>
        </x:is>
      </x:c>
      <x:c r="D49" s="84" t="inlineStr">
        <x:is>
          <x:t xml:space="preserve">maxVisible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protocol</x:t>
        </x:is>
      </x:c>
      <x:c r="H49" s="86" t="inlineStr">
        <x:is>
          <x:t xml:space="preserve">covered</x:t>
        </x:is>
      </x:c>
      <x:c r="I49" s="84" t="inlineStr">
        <x:is>
          <x:t xml:space="preserve">manual-tests/toast.md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Provider</x:t>
        </x:is>
      </x:c>
      <x:c r="D50" s="84" t="inlineStr">
        <x:is>
          <x:t xml:space="preserve">expandOnHover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protocol</x:t>
        </x:is>
      </x:c>
      <x:c r="H50" s="86" t="inlineStr">
        <x:is>
          <x:t xml:space="preserve">covered</x:t>
        </x:is>
      </x:c>
      <x:c r="I50" s="84" t="inlineStr">
        <x:is>
          <x:t xml:space="preserve">manual-tests/toast.md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Public API</x:t>
        </x:is>
      </x:c>
      <x:c r="C51" s="84" t="inlineStr">
        <x:is>
          <x:t xml:space="preserve">Provider</x:t>
        </x:is>
      </x:c>
      <x:c r="D51" s="84" t="inlineStr">
        <x:is>
          <x:t xml:space="preserve">closeButton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protocol</x:t>
        </x:is>
      </x:c>
      <x:c r="H51" s="86" t="inlineStr">
        <x:is>
          <x:t xml:space="preserve">covered</x:t>
        </x:is>
      </x:c>
      <x:c r="I51" s="84" t="inlineStr">
        <x:is>
          <x:t xml:space="preserve">manual-tests/toast.md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Public API</x:t>
        </x:is>
      </x:c>
      <x:c r="C52" s="84" t="inlineStr">
        <x:is>
          <x:t xml:space="preserve">Provider</x:t>
        </x:is>
      </x:c>
      <x:c r="D52" s="84" t="inlineStr">
        <x:is>
          <x:t xml:space="preserve">pauseOnHover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protocol</x:t>
        </x:is>
      </x:c>
      <x:c r="H52" s="86" t="inlineStr">
        <x:is>
          <x:t xml:space="preserve">covered</x:t>
        </x:is>
      </x:c>
      <x:c r="I52" s="84" t="inlineStr">
        <x:is>
          <x:t xml:space="preserve">manual-tests/toast.md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Public API</x:t>
        </x:is>
      </x:c>
      <x:c r="C53" s="84" t="inlineStr">
        <x:is>
          <x:t xml:space="preserve">Provider</x:t>
        </x:is>
      </x:c>
      <x:c r="D53" s="84" t="inlineStr">
        <x:is>
          <x:t xml:space="preserve">pauseOnFocusLoss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protocol</x:t>
        </x:is>
      </x:c>
      <x:c r="H53" s="86" t="inlineStr">
        <x:is>
          <x:t xml:space="preserve">covered</x:t>
        </x:is>
      </x:c>
      <x:c r="I53" s="84" t="inlineStr">
        <x:is>
          <x:t xml:space="preserve">manual-tests/toast.md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Anatomy</x:t>
        </x:is>
      </x:c>
      <x:c r="C54" s="84" t="inlineStr">
        <x:is>
          <x:t xml:space="preserve">Viewport</x:t>
        </x:is>
      </x:c>
      <x:c r="D54" s="84" t="inlineStr">
        <x:is>
          <x:t xml:space="preserve">renders correct part when expected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protocol</x:t>
        </x:is>
      </x:c>
      <x:c r="H54" s="86" t="inlineStr">
        <x:is>
          <x:t xml:space="preserve">covered</x:t>
        </x:is>
      </x:c>
      <x:c r="I54" s="84" t="inlineStr">
        <x:is>
          <x:t xml:space="preserve">manual-tests/toast.md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Anatomy</x:t>
        </x:is>
      </x:c>
      <x:c r="C55" s="84" t="inlineStr">
        <x:is>
          <x:t xml:space="preserve">Viewport</x:t>
        </x:is>
      </x:c>
      <x:c r="D55" s="84" t="inlineStr">
        <x:is>
          <x:t xml:space="preserve">appears in documented order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protocol</x:t>
        </x:is>
      </x:c>
      <x:c r="H55" s="86" t="inlineStr">
        <x:is>
          <x:t xml:space="preserve">covered</x:t>
        </x:is>
      </x:c>
      <x:c r="I55" s="84" t="inlineStr">
        <x:is>
          <x:t xml:space="preserve">manual-tests/toast.md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Identity</x:t>
        </x:is>
      </x:c>
      <x:c r="C56" s="84" t="inlineStr">
        <x:is>
          <x:t xml:space="preserve">Viewport</x:t>
        </x:is>
      </x:c>
      <x:c r="D56" s="84" t="inlineStr">
        <x:is>
          <x:t xml:space="preserve">default tag is visible in Anatomy/Inspector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protocol</x:t>
        </x:is>
      </x:c>
      <x:c r="H56" s="86" t="inlineStr">
        <x:is>
          <x:t xml:space="preserve">covered</x:t>
        </x:is>
      </x:c>
      <x:c r="I56" s="84" t="inlineStr">
        <x:is>
          <x:t xml:space="preserve">manual-tests/toast.md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Identity</x:t>
        </x:is>
      </x:c>
      <x:c r="C57" s="84" t="inlineStr">
        <x:is>
          <x:t xml:space="preserve">Viewport</x:t>
        </x:is>
      </x:c>
      <x:c r="D57" s="84" t="inlineStr">
        <x:is>
          <x:t xml:space="preserve">data-slot is present and correct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protocol</x:t>
        </x:is>
      </x:c>
      <x:c r="H57" s="86" t="inlineStr">
        <x:is>
          <x:t xml:space="preserve">covered</x:t>
        </x:is>
      </x:c>
      <x:c r="I57" s="84" t="inlineStr">
        <x:is>
          <x:t xml:space="preserve">manual-tests/toast.md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Props</x:t>
        </x:is>
      </x:c>
      <x:c r="C58" s="84" t="inlineStr">
        <x:is>
          <x:t xml:space="preserve">Viewport</x:t>
        </x:is>
      </x:c>
      <x:c r="D58" s="84" t="inlineStr">
        <x:is>
          <x:t xml:space="preserve">non-Atom native props pass through with data-prop-check marker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protocol</x:t>
        </x:is>
      </x:c>
      <x:c r="H58" s="86" t="inlineStr">
        <x:is>
          <x:t xml:space="preserve">covered</x:t>
        </x:is>
      </x:c>
      <x:c r="I58" s="84" t="inlineStr">
        <x:is>
          <x:t xml:space="preserve">manual-tests/toast.md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Refs</x:t>
        </x:is>
      </x:c>
      <x:c r="C59" s="84" t="inlineStr">
        <x:is>
          <x:t xml:space="preserve">Viewport</x:t>
        </x:is>
      </x:c>
      <x:c r="D59" s="84" t="inlineStr">
        <x:is>
          <x:t xml:space="preserve">consumer ref receives the rendered element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protocol</x:t>
        </x:is>
      </x:c>
      <x:c r="H59" s="86" t="inlineStr">
        <x:is>
          <x:t xml:space="preserve">covered</x:t>
        </x:is>
      </x:c>
      <x:c r="I59" s="84" t="inlineStr">
        <x:is>
          <x:t xml:space="preserve">manual-tests/toast.md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30" customHeight="1">
      <x:c r="A60" s="73" t="n">
        <x:v>52</x:v>
      </x:c>
      <x:c r="B60" s="84" t="inlineStr">
        <x:is>
          <x:t xml:space="preserve">Composition</x:t>
        </x:is>
      </x:c>
      <x:c r="C60" s="84" t="inlineStr">
        <x:is>
          <x:t xml:space="preserve">Viewport</x:t>
        </x:is>
      </x:c>
      <x:c r="D60" s="84" t="inlineStr">
        <x:is>
          <x:t xml:space="preserve">asChild prop behavior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protocol</x:t>
        </x:is>
      </x:c>
      <x:c r="H60" s="86" t="inlineStr">
        <x:is>
          <x:t xml:space="preserve">covered</x:t>
        </x:is>
      </x:c>
      <x:c r="I60" s="84" t="inlineStr">
        <x:is>
          <x:t xml:space="preserve">manual-tests/toast.md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Composition</x:t>
        </x:is>
      </x:c>
      <x:c r="C61" s="84" t="inlineStr">
        <x:is>
          <x:t xml:space="preserve">Viewport</x:t>
        </x:is>
      </x:c>
      <x:c r="D61" s="84" t="inlineStr">
        <x:is>
          <x:t xml:space="preserve">render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protocol</x:t>
        </x:is>
      </x:c>
      <x:c r="H61" s="86" t="inlineStr">
        <x:is>
          <x:t xml:space="preserve">covered</x:t>
        </x:is>
      </x:c>
      <x:c r="I61" s="84" t="inlineStr">
        <x:is>
          <x:t xml:space="preserve">manual-tests/toast.md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Viewport</x:t>
        </x:is>
      </x:c>
      <x:c r="D62" s="84" t="inlineStr">
        <x:is>
          <x:t xml:space="preserve">position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protocol</x:t>
        </x:is>
      </x:c>
      <x:c r="H62" s="86" t="inlineStr">
        <x:is>
          <x:t xml:space="preserve">covered</x:t>
        </x:is>
      </x:c>
      <x:c r="I62" s="84" t="inlineStr">
        <x:is>
          <x:t xml:space="preserve">manual-tests/toast.md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Positioning</x:t>
        </x:is>
      </x:c>
      <x:c r="C63" s="84" t="inlineStr">
        <x:is>
          <x:t xml:space="preserve">Viewport</x:t>
        </x:is>
      </x:c>
      <x:c r="D63" s="84" t="inlineStr">
        <x:is>
          <x:t xml:space="preserve">container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protocol</x:t>
        </x:is>
      </x:c>
      <x:c r="H63" s="86" t="inlineStr">
        <x:is>
          <x:t xml:space="preserve">covered</x:t>
        </x:is>
      </x:c>
      <x:c r="I63" s="84" t="inlineStr">
        <x:is>
          <x:t xml:space="preserve">manual-tests/toast.md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Positioning</x:t>
        </x:is>
      </x:c>
      <x:c r="C64" s="84" t="inlineStr">
        <x:is>
          <x:t xml:space="preserve">Viewport</x:t>
        </x:is>
      </x:c>
      <x:c r="D64" s="84" t="inlineStr">
        <x:is>
          <x:t xml:space="preserve">portalDisabled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protocol</x:t>
        </x:is>
      </x:c>
      <x:c r="H64" s="86" t="inlineStr">
        <x:is>
          <x:t xml:space="preserve">covered</x:t>
        </x:is>
      </x:c>
      <x:c r="I64" s="84" t="inlineStr">
        <x:is>
          <x:t xml:space="preserve">manual-tests/toast.md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Public API</x:t>
        </x:is>
      </x:c>
      <x:c r="C65" s="84" t="inlineStr">
        <x:is>
          <x:t xml:space="preserve">Viewport</x:t>
        </x:is>
      </x:c>
      <x:c r="D65" s="84" t="inlineStr">
        <x:is>
          <x:t xml:space="preserve">renderToast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protocol</x:t>
        </x:is>
      </x:c>
      <x:c r="H65" s="86" t="inlineStr">
        <x:is>
          <x:t xml:space="preserve">covered</x:t>
        </x:is>
      </x:c>
      <x:c r="I65" s="84" t="inlineStr">
        <x:is>
          <x:t xml:space="preserve">manual-tests/toast.md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Public API</x:t>
        </x:is>
      </x:c>
      <x:c r="C66" s="84" t="inlineStr">
        <x:is>
          <x:t xml:space="preserve">Viewport</x:t>
        </x:is>
      </x:c>
      <x:c r="D66" s="84" t="inlineStr">
        <x:is>
          <x:t xml:space="preserve">[data-slot]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protocol</x:t>
        </x:is>
      </x:c>
      <x:c r="H66" s="86" t="inlineStr">
        <x:is>
          <x:t xml:space="preserve">covered</x:t>
        </x:is>
      </x:c>
      <x:c r="I66" s="84" t="inlineStr">
        <x:is>
          <x:t xml:space="preserve">manual-tests/toast.md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Viewport</x:t>
        </x:is>
      </x:c>
      <x:c r="D67" s="84" t="inlineStr">
        <x:is>
          <x:t xml:space="preserve">[data-position]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protocol</x:t>
        </x:is>
      </x:c>
      <x:c r="H67" s="86" t="inlineStr">
        <x:is>
          <x:t xml:space="preserve">covered</x:t>
        </x:is>
      </x:c>
      <x:c r="I67" s="84" t="inlineStr">
        <x:is>
          <x:t xml:space="preserve">manual-tests/toast.md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Public API</x:t>
        </x:is>
      </x:c>
      <x:c r="C68" s="84" t="inlineStr">
        <x:is>
          <x:t xml:space="preserve">Viewport</x:t>
        </x:is>
      </x:c>
      <x:c r="D68" s="84" t="inlineStr">
        <x:is>
          <x:t xml:space="preserve">[data-expanded]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protocol</x:t>
        </x:is>
      </x:c>
      <x:c r="H68" s="86" t="inlineStr">
        <x:is>
          <x:t xml:space="preserve">covered</x:t>
        </x:is>
      </x:c>
      <x:c r="I68" s="84" t="inlineStr">
        <x:is>
          <x:t xml:space="preserve">manual-tests/toast.md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Public API</x:t>
        </x:is>
      </x:c>
      <x:c r="C69" s="84" t="inlineStr">
        <x:is>
          <x:t xml:space="preserve">Viewport</x:t>
        </x:is>
      </x:c>
      <x:c r="D69" s="84" t="inlineStr">
        <x:is>
          <x:t xml:space="preserve">[data-slot="toast-announcer-polite"]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protocol</x:t>
        </x:is>
      </x:c>
      <x:c r="H69" s="86" t="inlineStr">
        <x:is>
          <x:t xml:space="preserve">covered</x:t>
        </x:is>
      </x:c>
      <x:c r="I69" s="84" t="inlineStr">
        <x:is>
          <x:t xml:space="preserve">manual-tests/toast.md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Public API</x:t>
        </x:is>
      </x:c>
      <x:c r="C70" s="84" t="inlineStr">
        <x:is>
          <x:t xml:space="preserve">Viewport</x:t>
        </x:is>
      </x:c>
      <x:c r="D70" s="84" t="inlineStr">
        <x:is>
          <x:t xml:space="preserve">[data-slot="toast-announcer-assertive"] prop behavior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protocol</x:t>
        </x:is>
      </x:c>
      <x:c r="H70" s="86" t="inlineStr">
        <x:is>
          <x:t xml:space="preserve">covered</x:t>
        </x:is>
      </x:c>
      <x:c r="I70" s="84" t="inlineStr">
        <x:is>
          <x:t xml:space="preserve">manual-tests/toast.md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Anatomy</x:t>
        </x:is>
      </x:c>
      <x:c r="C71" s="84" t="inlineStr">
        <x:is>
          <x:t xml:space="preserve">Title</x:t>
        </x:is>
      </x:c>
      <x:c r="D71" s="84" t="inlineStr">
        <x:is>
          <x:t xml:space="preserve">renders correct part when expected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protocol</x:t>
        </x:is>
      </x:c>
      <x:c r="H71" s="86" t="inlineStr">
        <x:is>
          <x:t xml:space="preserve">covered</x:t>
        </x:is>
      </x:c>
      <x:c r="I71" s="84" t="inlineStr">
        <x:is>
          <x:t xml:space="preserve">manual-tests/toast.md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Anatomy</x:t>
        </x:is>
      </x:c>
      <x:c r="C72" s="84" t="inlineStr">
        <x:is>
          <x:t xml:space="preserve">Title</x:t>
        </x:is>
      </x:c>
      <x:c r="D72" s="84" t="inlineStr">
        <x:is>
          <x:t xml:space="preserve">appears in documented order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protocol</x:t>
        </x:is>
      </x:c>
      <x:c r="H72" s="86" t="inlineStr">
        <x:is>
          <x:t xml:space="preserve">covered</x:t>
        </x:is>
      </x:c>
      <x:c r="I72" s="84" t="inlineStr">
        <x:is>
          <x:t xml:space="preserve">manual-tests/toast.md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Identity</x:t>
        </x:is>
      </x:c>
      <x:c r="C73" s="84" t="inlineStr">
        <x:is>
          <x:t xml:space="preserve">Title</x:t>
        </x:is>
      </x:c>
      <x:c r="D73" s="84" t="inlineStr">
        <x:is>
          <x:t xml:space="preserve">default tag is visible in Anatomy/Inspector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protocol</x:t>
        </x:is>
      </x:c>
      <x:c r="H73" s="86" t="inlineStr">
        <x:is>
          <x:t xml:space="preserve">covered</x:t>
        </x:is>
      </x:c>
      <x:c r="I73" s="84" t="inlineStr">
        <x:is>
          <x:t xml:space="preserve">manual-tests/toast.md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Identity</x:t>
        </x:is>
      </x:c>
      <x:c r="C74" s="84" t="inlineStr">
        <x:is>
          <x:t xml:space="preserve">Title</x:t>
        </x:is>
      </x:c>
      <x:c r="D74" s="84" t="inlineStr">
        <x:is>
          <x:t xml:space="preserve">data-slot is present and correct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protocol</x:t>
        </x:is>
      </x:c>
      <x:c r="H74" s="86" t="inlineStr">
        <x:is>
          <x:t xml:space="preserve">covered</x:t>
        </x:is>
      </x:c>
      <x:c r="I74" s="84" t="inlineStr">
        <x:is>
          <x:t xml:space="preserve">manual-tests/toast.md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Props</x:t>
        </x:is>
      </x:c>
      <x:c r="C75" s="84" t="inlineStr">
        <x:is>
          <x:t xml:space="preserve">Title</x:t>
        </x:is>
      </x:c>
      <x:c r="D75" s="84" t="inlineStr">
        <x:is>
          <x:t xml:space="preserve">non-Atom native props pass through with data-prop-check marker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protocol</x:t>
        </x:is>
      </x:c>
      <x:c r="H75" s="86" t="inlineStr">
        <x:is>
          <x:t xml:space="preserve">covered</x:t>
        </x:is>
      </x:c>
      <x:c r="I75" s="84" t="inlineStr">
        <x:is>
          <x:t xml:space="preserve">manual-tests/toast.md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Refs</x:t>
        </x:is>
      </x:c>
      <x:c r="C76" s="84" t="inlineStr">
        <x:is>
          <x:t xml:space="preserve">Title</x:t>
        </x:is>
      </x:c>
      <x:c r="D76" s="84" t="inlineStr">
        <x:is>
          <x:t xml:space="preserve">consumer ref receives the rendered element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protocol</x:t>
        </x:is>
      </x:c>
      <x:c r="H76" s="86" t="inlineStr">
        <x:is>
          <x:t xml:space="preserve">covered</x:t>
        </x:is>
      </x:c>
      <x:c r="I76" s="84" t="inlineStr">
        <x:is>
          <x:t xml:space="preserve">manual-tests/toast.md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30" customHeight="1">
      <x:c r="A77" s="73" t="n">
        <x:v>69</x:v>
      </x:c>
      <x:c r="B77" s="84" t="inlineStr">
        <x:is>
          <x:t xml:space="preserve">Composition</x:t>
        </x:is>
      </x:c>
      <x:c r="C77" s="84" t="inlineStr">
        <x:is>
          <x:t xml:space="preserve">Title</x:t>
        </x:is>
      </x:c>
      <x:c r="D77" s="84" t="inlineStr">
        <x:is>
          <x:t xml:space="preserve">asChild prop behavior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protocol</x:t>
        </x:is>
      </x:c>
      <x:c r="H77" s="86" t="inlineStr">
        <x:is>
          <x:t xml:space="preserve">covered</x:t>
        </x:is>
      </x:c>
      <x:c r="I77" s="84" t="inlineStr">
        <x:is>
          <x:t xml:space="preserve">manual-tests/toast.md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Composition</x:t>
        </x:is>
      </x:c>
      <x:c r="C78" s="84" t="inlineStr">
        <x:is>
          <x:t xml:space="preserve">Title</x:t>
        </x:is>
      </x:c>
      <x:c r="D78" s="84" t="inlineStr">
        <x:is>
          <x:t xml:space="preserve">render prop behavior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protocol</x:t>
        </x:is>
      </x:c>
      <x:c r="H78" s="86" t="inlineStr">
        <x:is>
          <x:t xml:space="preserve">covered</x:t>
        </x:is>
      </x:c>
      <x:c r="I78" s="84" t="inlineStr">
        <x:is>
          <x:t xml:space="preserve">manual-tests/toast.md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Public API</x:t>
        </x:is>
      </x:c>
      <x:c r="C79" s="84" t="inlineStr">
        <x:is>
          <x:t xml:space="preserve">Title</x:t>
        </x:is>
      </x:c>
      <x:c r="D79" s="84" t="inlineStr">
        <x:is>
          <x:t xml:space="preserve">[data-slot] prop behavior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protocol</x:t>
        </x:is>
      </x:c>
      <x:c r="H79" s="86" t="inlineStr">
        <x:is>
          <x:t xml:space="preserve">covered</x:t>
        </x:is>
      </x:c>
      <x:c r="I79" s="84" t="inlineStr">
        <x:is>
          <x:t xml:space="preserve">manual-tests/toast.md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Anatomy</x:t>
        </x:is>
      </x:c>
      <x:c r="C80" s="84" t="inlineStr">
        <x:is>
          <x:t xml:space="preserve">Description</x:t>
        </x:is>
      </x:c>
      <x:c r="D80" s="84" t="inlineStr">
        <x:is>
          <x:t xml:space="preserve">renders correct part when expected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protocol</x:t>
        </x:is>
      </x:c>
      <x:c r="H80" s="86" t="inlineStr">
        <x:is>
          <x:t xml:space="preserve">covered</x:t>
        </x:is>
      </x:c>
      <x:c r="I80" s="84" t="inlineStr">
        <x:is>
          <x:t xml:space="preserve">manual-tests/toast.md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Anatomy</x:t>
        </x:is>
      </x:c>
      <x:c r="C81" s="84" t="inlineStr">
        <x:is>
          <x:t xml:space="preserve">Description</x:t>
        </x:is>
      </x:c>
      <x:c r="D81" s="84" t="inlineStr">
        <x:is>
          <x:t xml:space="preserve">appears in documented order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protocol</x:t>
        </x:is>
      </x:c>
      <x:c r="H81" s="86" t="inlineStr">
        <x:is>
          <x:t xml:space="preserve">covered</x:t>
        </x:is>
      </x:c>
      <x:c r="I81" s="84" t="inlineStr">
        <x:is>
          <x:t xml:space="preserve">manual-tests/toast.md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Identity</x:t>
        </x:is>
      </x:c>
      <x:c r="C82" s="84" t="inlineStr">
        <x:is>
          <x:t xml:space="preserve">Description</x:t>
        </x:is>
      </x:c>
      <x:c r="D82" s="84" t="inlineStr">
        <x:is>
          <x:t xml:space="preserve">default tag is visible in Anatomy/Inspector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protocol</x:t>
        </x:is>
      </x:c>
      <x:c r="H82" s="86" t="inlineStr">
        <x:is>
          <x:t xml:space="preserve">covered</x:t>
        </x:is>
      </x:c>
      <x:c r="I82" s="84" t="inlineStr">
        <x:is>
          <x:t xml:space="preserve">manual-tests/toast.md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Identity</x:t>
        </x:is>
      </x:c>
      <x:c r="C83" s="84" t="inlineStr">
        <x:is>
          <x:t xml:space="preserve">Description</x:t>
        </x:is>
      </x:c>
      <x:c r="D83" s="84" t="inlineStr">
        <x:is>
          <x:t xml:space="preserve">data-slot is present and correct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protocol</x:t>
        </x:is>
      </x:c>
      <x:c r="H83" s="86" t="inlineStr">
        <x:is>
          <x:t xml:space="preserve">covered</x:t>
        </x:is>
      </x:c>
      <x:c r="I83" s="84" t="inlineStr">
        <x:is>
          <x:t xml:space="preserve">manual-tests/toast.md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Props</x:t>
        </x:is>
      </x:c>
      <x:c r="C84" s="84" t="inlineStr">
        <x:is>
          <x:t xml:space="preserve">Description</x:t>
        </x:is>
      </x:c>
      <x:c r="D84" s="84" t="inlineStr">
        <x:is>
          <x:t xml:space="preserve">non-Atom native props pass through with data-prop-check marker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protocol</x:t>
        </x:is>
      </x:c>
      <x:c r="H84" s="86" t="inlineStr">
        <x:is>
          <x:t xml:space="preserve">covered</x:t>
        </x:is>
      </x:c>
      <x:c r="I84" s="84" t="inlineStr">
        <x:is>
          <x:t xml:space="preserve">manual-tests/toast.md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Refs</x:t>
        </x:is>
      </x:c>
      <x:c r="C85" s="84" t="inlineStr">
        <x:is>
          <x:t xml:space="preserve">Description</x:t>
        </x:is>
      </x:c>
      <x:c r="D85" s="84" t="inlineStr">
        <x:is>
          <x:t xml:space="preserve">consumer ref receives the rendered element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protocol</x:t>
        </x:is>
      </x:c>
      <x:c r="H85" s="86" t="inlineStr">
        <x:is>
          <x:t xml:space="preserve">covered</x:t>
        </x:is>
      </x:c>
      <x:c r="I85" s="84" t="inlineStr">
        <x:is>
          <x:t xml:space="preserve">manual-tests/toast.md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30" customHeight="1">
      <x:c r="A86" s="73" t="n">
        <x:v>78</x:v>
      </x:c>
      <x:c r="B86" s="84" t="inlineStr">
        <x:is>
          <x:t xml:space="preserve">Composition</x:t>
        </x:is>
      </x:c>
      <x:c r="C86" s="84" t="inlineStr">
        <x:is>
          <x:t xml:space="preserve">Description</x:t>
        </x:is>
      </x:c>
      <x:c r="D86" s="84" t="inlineStr">
        <x:is>
          <x:t xml:space="preserve">asChild prop behavior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protocol</x:t>
        </x:is>
      </x:c>
      <x:c r="H86" s="86" t="inlineStr">
        <x:is>
          <x:t xml:space="preserve">covered</x:t>
        </x:is>
      </x:c>
      <x:c r="I86" s="84" t="inlineStr">
        <x:is>
          <x:t xml:space="preserve">manual-tests/toast.md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Composition</x:t>
        </x:is>
      </x:c>
      <x:c r="C87" s="84" t="inlineStr">
        <x:is>
          <x:t xml:space="preserve">Description</x:t>
        </x:is>
      </x:c>
      <x:c r="D87" s="84" t="inlineStr">
        <x:is>
          <x:t xml:space="preserve">render prop behavior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protocol</x:t>
        </x:is>
      </x:c>
      <x:c r="H87" s="86" t="inlineStr">
        <x:is>
          <x:t xml:space="preserve">covered</x:t>
        </x:is>
      </x:c>
      <x:c r="I87" s="84" t="inlineStr">
        <x:is>
          <x:t xml:space="preserve">manual-tests/toast.md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Public API</x:t>
        </x:is>
      </x:c>
      <x:c r="C88" s="84" t="inlineStr">
        <x:is>
          <x:t xml:space="preserve">Description</x:t>
        </x:is>
      </x:c>
      <x:c r="D88" s="84" t="inlineStr">
        <x:is>
          <x:t xml:space="preserve">[data-slot] prop behavior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protocol</x:t>
        </x:is>
      </x:c>
      <x:c r="H88" s="86" t="inlineStr">
        <x:is>
          <x:t xml:space="preserve">covered</x:t>
        </x:is>
      </x:c>
      <x:c r="I88" s="84" t="inlineStr">
        <x:is>
          <x:t xml:space="preserve">manual-tests/toast.md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Anatomy</x:t>
        </x:is>
      </x:c>
      <x:c r="C89" s="84" t="inlineStr">
        <x:is>
          <x:t xml:space="preserve">Close</x:t>
        </x:is>
      </x:c>
      <x:c r="D89" s="84" t="inlineStr">
        <x:is>
          <x:t xml:space="preserve">renders correct part when expected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protocol</x:t>
        </x:is>
      </x:c>
      <x:c r="H89" s="86" t="inlineStr">
        <x:is>
          <x:t xml:space="preserve">covered</x:t>
        </x:is>
      </x:c>
      <x:c r="I89" s="84" t="inlineStr">
        <x:is>
          <x:t xml:space="preserve">manual-tests/toast.md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Anatomy</x:t>
        </x:is>
      </x:c>
      <x:c r="C90" s="84" t="inlineStr">
        <x:is>
          <x:t xml:space="preserve">Close</x:t>
        </x:is>
      </x:c>
      <x:c r="D90" s="84" t="inlineStr">
        <x:is>
          <x:t xml:space="preserve">appears in documented order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protocol</x:t>
        </x:is>
      </x:c>
      <x:c r="H90" s="86" t="inlineStr">
        <x:is>
          <x:t xml:space="preserve">covered</x:t>
        </x:is>
      </x:c>
      <x:c r="I90" s="84" t="inlineStr">
        <x:is>
          <x:t xml:space="preserve">manual-tests/toast.md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Identity</x:t>
        </x:is>
      </x:c>
      <x:c r="C91" s="84" t="inlineStr">
        <x:is>
          <x:t xml:space="preserve">Close</x:t>
        </x:is>
      </x:c>
      <x:c r="D91" s="84" t="inlineStr">
        <x:is>
          <x:t xml:space="preserve">default tag is visible in Anatomy/Inspector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protocol</x:t>
        </x:is>
      </x:c>
      <x:c r="H91" s="86" t="inlineStr">
        <x:is>
          <x:t xml:space="preserve">covered</x:t>
        </x:is>
      </x:c>
      <x:c r="I91" s="84" t="inlineStr">
        <x:is>
          <x:t xml:space="preserve">manual-tests/toast.md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Identity</x:t>
        </x:is>
      </x:c>
      <x:c r="C92" s="84" t="inlineStr">
        <x:is>
          <x:t xml:space="preserve">Close</x:t>
        </x:is>
      </x:c>
      <x:c r="D92" s="84" t="inlineStr">
        <x:is>
          <x:t xml:space="preserve">data-slot is present and correct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protocol</x:t>
        </x:is>
      </x:c>
      <x:c r="H92" s="86" t="inlineStr">
        <x:is>
          <x:t xml:space="preserve">covered</x:t>
        </x:is>
      </x:c>
      <x:c r="I92" s="84" t="inlineStr">
        <x:is>
          <x:t xml:space="preserve">manual-tests/toast.md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Props</x:t>
        </x:is>
      </x:c>
      <x:c r="C93" s="84" t="inlineStr">
        <x:is>
          <x:t xml:space="preserve">Close</x:t>
        </x:is>
      </x:c>
      <x:c r="D93" s="84" t="inlineStr">
        <x:is>
          <x:t xml:space="preserve">non-Atom native props pass through with data-prop-check marker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protocol</x:t>
        </x:is>
      </x:c>
      <x:c r="H93" s="86" t="inlineStr">
        <x:is>
          <x:t xml:space="preserve">covered</x:t>
        </x:is>
      </x:c>
      <x:c r="I93" s="84" t="inlineStr">
        <x:is>
          <x:t xml:space="preserve">manual-tests/toast.md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Refs</x:t>
        </x:is>
      </x:c>
      <x:c r="C94" s="84" t="inlineStr">
        <x:is>
          <x:t xml:space="preserve">Close</x:t>
        </x:is>
      </x:c>
      <x:c r="D94" s="84" t="inlineStr">
        <x:is>
          <x:t xml:space="preserve">consumer ref receives the rendered element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protocol</x:t>
        </x:is>
      </x:c>
      <x:c r="H94" s="86" t="inlineStr">
        <x:is>
          <x:t xml:space="preserve">covered</x:t>
        </x:is>
      </x:c>
      <x:c r="I94" s="84" t="inlineStr">
        <x:is>
          <x:t xml:space="preserve">manual-tests/toast.md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30" customHeight="1">
      <x:c r="A95" s="73" t="n">
        <x:v>87</x:v>
      </x:c>
      <x:c r="B95" s="84" t="inlineStr">
        <x:is>
          <x:t xml:space="preserve">Composition</x:t>
        </x:is>
      </x:c>
      <x:c r="C95" s="84" t="inlineStr">
        <x:is>
          <x:t xml:space="preserve">Close</x:t>
        </x:is>
      </x:c>
      <x:c r="D95" s="84" t="inlineStr">
        <x:is>
          <x:t xml:space="preserve">asChild prop behavior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protocol</x:t>
        </x:is>
      </x:c>
      <x:c r="H95" s="86" t="inlineStr">
        <x:is>
          <x:t xml:space="preserve">covered</x:t>
        </x:is>
      </x:c>
      <x:c r="I95" s="84" t="inlineStr">
        <x:is>
          <x:t xml:space="preserve">manual-tests/toast.md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Composition</x:t>
        </x:is>
      </x:c>
      <x:c r="C96" s="84" t="inlineStr">
        <x:is>
          <x:t xml:space="preserve">Close</x:t>
        </x:is>
      </x:c>
      <x:c r="D96" s="84" t="inlineStr">
        <x:is>
          <x:t xml:space="preserve">render prop behavior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protocol</x:t>
        </x:is>
      </x:c>
      <x:c r="H96" s="86" t="inlineStr">
        <x:is>
          <x:t xml:space="preserve">covered</x:t>
        </x:is>
      </x:c>
      <x:c r="I96" s="84" t="inlineStr">
        <x:is>
          <x:t xml:space="preserve">manual-tests/toast.md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Accessibility</x:t>
        </x:is>
      </x:c>
      <x:c r="C97" s="84" t="inlineStr">
        <x:is>
          <x:t xml:space="preserve">Close</x:t>
        </x:is>
      </x:c>
      <x:c r="D97" s="84" t="inlineStr">
        <x:is>
          <x:t xml:space="preserve">aria-label prop behavior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protocol</x:t>
        </x:is>
      </x:c>
      <x:c r="H97" s="86" t="inlineStr">
        <x:is>
          <x:t xml:space="preserve">covered</x:t>
        </x:is>
      </x:c>
      <x:c r="I97" s="84" t="inlineStr">
        <x:is>
          <x:t xml:space="preserve">manual-tests/toast.md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Public API</x:t>
        </x:is>
      </x:c>
      <x:c r="C98" s="84" t="inlineStr">
        <x:is>
          <x:t xml:space="preserve">Close</x:t>
        </x:is>
      </x:c>
      <x:c r="D98" s="84" t="inlineStr">
        <x:is>
          <x:t xml:space="preserve">[data-slot] prop behavior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protocol</x:t>
        </x:is>
      </x:c>
      <x:c r="H98" s="86" t="inlineStr">
        <x:is>
          <x:t xml:space="preserve">covered</x:t>
        </x:is>
      </x:c>
      <x:c r="I98" s="84" t="inlineStr">
        <x:is>
          <x:t xml:space="preserve">manual-tests/toast.md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Anatomy</x:t>
        </x:is>
      </x:c>
      <x:c r="C99" s="84" t="inlineStr">
        <x:is>
          <x:t xml:space="preserve">Action</x:t>
        </x:is>
      </x:c>
      <x:c r="D99" s="84" t="inlineStr">
        <x:is>
          <x:t xml:space="preserve">renders correct part when expected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protocol</x:t>
        </x:is>
      </x:c>
      <x:c r="H99" s="86" t="inlineStr">
        <x:is>
          <x:t xml:space="preserve">covered</x:t>
        </x:is>
      </x:c>
      <x:c r="I99" s="84" t="inlineStr">
        <x:is>
          <x:t xml:space="preserve">manual-tests/toast.md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Anatomy</x:t>
        </x:is>
      </x:c>
      <x:c r="C100" s="84" t="inlineStr">
        <x:is>
          <x:t xml:space="preserve">Action</x:t>
        </x:is>
      </x:c>
      <x:c r="D100" s="84" t="inlineStr">
        <x:is>
          <x:t xml:space="preserve">appears in documented order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protocol</x:t>
        </x:is>
      </x:c>
      <x:c r="H100" s="86" t="inlineStr">
        <x:is>
          <x:t xml:space="preserve">covered</x:t>
        </x:is>
      </x:c>
      <x:c r="I100" s="84" t="inlineStr">
        <x:is>
          <x:t xml:space="preserve">manual-tests/toast.md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Identity</x:t>
        </x:is>
      </x:c>
      <x:c r="C101" s="84" t="inlineStr">
        <x:is>
          <x:t xml:space="preserve">Action</x:t>
        </x:is>
      </x:c>
      <x:c r="D101" s="84" t="inlineStr">
        <x:is>
          <x:t xml:space="preserve">default tag is visible in Anatomy/Inspector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protocol</x:t>
        </x:is>
      </x:c>
      <x:c r="H101" s="86" t="inlineStr">
        <x:is>
          <x:t xml:space="preserve">covered</x:t>
        </x:is>
      </x:c>
      <x:c r="I101" s="84" t="inlineStr">
        <x:is>
          <x:t xml:space="preserve">manual-tests/toast.md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Identity</x:t>
        </x:is>
      </x:c>
      <x:c r="C102" s="84" t="inlineStr">
        <x:is>
          <x:t xml:space="preserve">Action</x:t>
        </x:is>
      </x:c>
      <x:c r="D102" s="84" t="inlineStr">
        <x:is>
          <x:t xml:space="preserve">data-slot is present and correct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protocol</x:t>
        </x:is>
      </x:c>
      <x:c r="H102" s="86" t="inlineStr">
        <x:is>
          <x:t xml:space="preserve">covered</x:t>
        </x:is>
      </x:c>
      <x:c r="I102" s="84" t="inlineStr">
        <x:is>
          <x:t xml:space="preserve">manual-tests/toast.md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Props</x:t>
        </x:is>
      </x:c>
      <x:c r="C103" s="84" t="inlineStr">
        <x:is>
          <x:t xml:space="preserve">Action</x:t>
        </x:is>
      </x:c>
      <x:c r="D103" s="84" t="inlineStr">
        <x:is>
          <x:t xml:space="preserve">non-Atom native props pass through with data-prop-check marker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protocol</x:t>
        </x:is>
      </x:c>
      <x:c r="H103" s="86" t="inlineStr">
        <x:is>
          <x:t xml:space="preserve">covered</x:t>
        </x:is>
      </x:c>
      <x:c r="I103" s="84" t="inlineStr">
        <x:is>
          <x:t xml:space="preserve">manual-tests/toast.md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Refs</x:t>
        </x:is>
      </x:c>
      <x:c r="C104" s="84" t="inlineStr">
        <x:is>
          <x:t xml:space="preserve">Action</x:t>
        </x:is>
      </x:c>
      <x:c r="D104" s="84" t="inlineStr">
        <x:is>
          <x:t xml:space="preserve">consumer ref receives the rendered element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protocol</x:t>
        </x:is>
      </x:c>
      <x:c r="H104" s="86" t="inlineStr">
        <x:is>
          <x:t xml:space="preserve">covered</x:t>
        </x:is>
      </x:c>
      <x:c r="I104" s="84" t="inlineStr">
        <x:is>
          <x:t xml:space="preserve">manual-tests/toast.md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30" customHeight="1">
      <x:c r="A105" s="73" t="n">
        <x:v>97</x:v>
      </x:c>
      <x:c r="B105" s="84" t="inlineStr">
        <x:is>
          <x:t xml:space="preserve">Composition</x:t>
        </x:is>
      </x:c>
      <x:c r="C105" s="84" t="inlineStr">
        <x:is>
          <x:t xml:space="preserve">Action</x:t>
        </x:is>
      </x:c>
      <x:c r="D105" s="84" t="inlineStr">
        <x:is>
          <x:t xml:space="preserve">asChild prop behavior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protocol</x:t>
        </x:is>
      </x:c>
      <x:c r="H105" s="86" t="inlineStr">
        <x:is>
          <x:t xml:space="preserve">covered</x:t>
        </x:is>
      </x:c>
      <x:c r="I105" s="84" t="inlineStr">
        <x:is>
          <x:t xml:space="preserve">manual-tests/toast.md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Composition</x:t>
        </x:is>
      </x:c>
      <x:c r="C106" s="84" t="inlineStr">
        <x:is>
          <x:t xml:space="preserve">Action</x:t>
        </x:is>
      </x:c>
      <x:c r="D106" s="84" t="inlineStr">
        <x:is>
          <x:t xml:space="preserve">render prop behavior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protocol</x:t>
        </x:is>
      </x:c>
      <x:c r="H106" s="86" t="inlineStr">
        <x:is>
          <x:t xml:space="preserve">covered</x:t>
        </x:is>
      </x:c>
      <x:c r="I106" s="84" t="inlineStr">
        <x:is>
          <x:t xml:space="preserve">manual-tests/toast.md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Public API</x:t>
        </x:is>
      </x:c>
      <x:c r="C107" s="84" t="inlineStr">
        <x:is>
          <x:t xml:space="preserve">Action</x:t>
        </x:is>
      </x:c>
      <x:c r="D107" s="84" t="inlineStr">
        <x:is>
          <x:t xml:space="preserve">altText prop behavior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protocol</x:t>
        </x:is>
      </x:c>
      <x:c r="H107" s="86" t="inlineStr">
        <x:is>
          <x:t xml:space="preserve">covered</x:t>
        </x:is>
      </x:c>
      <x:c r="I107" s="84" t="inlineStr">
        <x:is>
          <x:t xml:space="preserve">manual-tests/toast.md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Public API</x:t>
        </x:is>
      </x:c>
      <x:c r="C108" s="84" t="inlineStr">
        <x:is>
          <x:t xml:space="preserve">Action</x:t>
        </x:is>
      </x:c>
      <x:c r="D108" s="84" t="inlineStr">
        <x:is>
          <x:t xml:space="preserve">[data-slot] prop behavior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protocol</x:t>
        </x:is>
      </x:c>
      <x:c r="H108" s="86" t="inlineStr">
        <x:is>
          <x:t xml:space="preserve">covered</x:t>
        </x:is>
      </x:c>
      <x:c r="I108" s="84" t="inlineStr">
        <x:is>
          <x:t xml:space="preserve">manual-tests/toast.md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Anatomy</x:t>
        </x:is>
      </x:c>
      <x:c r="C109" s="84" t="inlineStr">
        <x:is>
          <x:t xml:space="preserve">Cancel</x:t>
        </x:is>
      </x:c>
      <x:c r="D109" s="84" t="inlineStr">
        <x:is>
          <x:t xml:space="preserve">renders correct part when expected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protocol</x:t>
        </x:is>
      </x:c>
      <x:c r="H109" s="86" t="inlineStr">
        <x:is>
          <x:t xml:space="preserve">covered</x:t>
        </x:is>
      </x:c>
      <x:c r="I109" s="84" t="inlineStr">
        <x:is>
          <x:t xml:space="preserve">manual-tests/toast.md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Anatomy</x:t>
        </x:is>
      </x:c>
      <x:c r="C110" s="84" t="inlineStr">
        <x:is>
          <x:t xml:space="preserve">Cancel</x:t>
        </x:is>
      </x:c>
      <x:c r="D110" s="84" t="inlineStr">
        <x:is>
          <x:t xml:space="preserve">appears in documented order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manual protocol</x:t>
        </x:is>
      </x:c>
      <x:c r="H110" s="86" t="inlineStr">
        <x:is>
          <x:t xml:space="preserve">covered</x:t>
        </x:is>
      </x:c>
      <x:c r="I110" s="84" t="inlineStr">
        <x:is>
          <x:t xml:space="preserve">manual-tests/toast.md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Identity</x:t>
        </x:is>
      </x:c>
      <x:c r="C111" s="84" t="inlineStr">
        <x:is>
          <x:t xml:space="preserve">Cancel</x:t>
        </x:is>
      </x:c>
      <x:c r="D111" s="84" t="inlineStr">
        <x:is>
          <x:t xml:space="preserve">default tag is visible in Anatomy/Inspector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 manual protocol</x:t>
        </x:is>
      </x:c>
      <x:c r="H111" s="86" t="inlineStr">
        <x:is>
          <x:t xml:space="preserve">covered</x:t>
        </x:is>
      </x:c>
      <x:c r="I111" s="84" t="inlineStr">
        <x:is>
          <x:t xml:space="preserve">manual-tests/toast.md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Identity</x:t>
        </x:is>
      </x:c>
      <x:c r="C112" s="84" t="inlineStr">
        <x:is>
          <x:t xml:space="preserve">Cancel</x:t>
        </x:is>
      </x:c>
      <x:c r="D112" s="84" t="inlineStr">
        <x:is>
          <x:t xml:space="preserve">data-slot is present and correct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 manual protocol</x:t>
        </x:is>
      </x:c>
      <x:c r="H112" s="86" t="inlineStr">
        <x:is>
          <x:t xml:space="preserve">covered</x:t>
        </x:is>
      </x:c>
      <x:c r="I112" s="84" t="inlineStr">
        <x:is>
          <x:t xml:space="preserve">manual-tests/toast.md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15" customHeight="1">
      <x:c r="A113" s="73" t="n">
        <x:v>105</x:v>
      </x:c>
      <x:c r="B113" s="84" t="inlineStr">
        <x:is>
          <x:t xml:space="preserve">Props</x:t>
        </x:is>
      </x:c>
      <x:c r="C113" s="84" t="inlineStr">
        <x:is>
          <x:t xml:space="preserve">Cancel</x:t>
        </x:is>
      </x:c>
      <x:c r="D113" s="84" t="inlineStr">
        <x:is>
          <x:t xml:space="preserve">non-Atom native props pass through with data-prop-check marker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 manual protocol</x:t>
        </x:is>
      </x:c>
      <x:c r="H113" s="86" t="inlineStr">
        <x:is>
          <x:t xml:space="preserve">covered</x:t>
        </x:is>
      </x:c>
      <x:c r="I113" s="84" t="inlineStr">
        <x:is>
          <x:t xml:space="preserve">manual-tests/toast.md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15" customHeight="1">
      <x:c r="A114" s="73" t="n">
        <x:v>106</x:v>
      </x:c>
      <x:c r="B114" s="84" t="inlineStr">
        <x:is>
          <x:t xml:space="preserve">Refs</x:t>
        </x:is>
      </x:c>
      <x:c r="C114" s="84" t="inlineStr">
        <x:is>
          <x:t xml:space="preserve">Cancel</x:t>
        </x:is>
      </x:c>
      <x:c r="D114" s="84" t="inlineStr">
        <x:is>
          <x:t xml:space="preserve">consumer ref receives the rendered element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 manual protocol</x:t>
        </x:is>
      </x:c>
      <x:c r="H114" s="86" t="inlineStr">
        <x:is>
          <x:t xml:space="preserve">covered</x:t>
        </x:is>
      </x:c>
      <x:c r="I114" s="84" t="inlineStr">
        <x:is>
          <x:t xml:space="preserve">manual-tests/toast.md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30" customHeight="1">
      <x:c r="A115" s="73" t="n">
        <x:v>107</x:v>
      </x:c>
      <x:c r="B115" s="84" t="inlineStr">
        <x:is>
          <x:t xml:space="preserve">Composition</x:t>
        </x:is>
      </x:c>
      <x:c r="C115" s="84" t="inlineStr">
        <x:is>
          <x:t xml:space="preserve">Cancel</x:t>
        </x:is>
      </x:c>
      <x:c r="D115" s="84" t="inlineStr">
        <x:is>
          <x:t xml:space="preserve">asChild prop behavior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 manual protocol</x:t>
        </x:is>
      </x:c>
      <x:c r="H115" s="86" t="inlineStr">
        <x:is>
          <x:t xml:space="preserve">covered</x:t>
        </x:is>
      </x:c>
      <x:c r="I115" s="84" t="inlineStr">
        <x:is>
          <x:t xml:space="preserve">manual-tests/toast.md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Composition</x:t>
        </x:is>
      </x:c>
      <x:c r="C116" s="84" t="inlineStr">
        <x:is>
          <x:t xml:space="preserve">Cancel</x:t>
        </x:is>
      </x:c>
      <x:c r="D116" s="84" t="inlineStr">
        <x:is>
          <x:t xml:space="preserve">render prop behavior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 manual protocol</x:t>
        </x:is>
      </x:c>
      <x:c r="H116" s="86" t="inlineStr">
        <x:is>
          <x:t xml:space="preserve">covered</x:t>
        </x:is>
      </x:c>
      <x:c r="I116" s="84" t="inlineStr">
        <x:is>
          <x:t xml:space="preserve">manual-tests/toast.md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Public API</x:t>
        </x:is>
      </x:c>
      <x:c r="C117" s="84" t="inlineStr">
        <x:is>
          <x:t xml:space="preserve">Cancel</x:t>
        </x:is>
      </x:c>
      <x:c r="D117" s="84" t="inlineStr">
        <x:is>
          <x:t xml:space="preserve">altText prop behavior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 manual protocol</x:t>
        </x:is>
      </x:c>
      <x:c r="H117" s="86" t="inlineStr">
        <x:is>
          <x:t xml:space="preserve">covered</x:t>
        </x:is>
      </x:c>
      <x:c r="I117" s="84" t="inlineStr">
        <x:is>
          <x:t xml:space="preserve">manual-tests/toast.md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15" customHeight="1">
      <x:c r="A118" s="73" t="n">
        <x:v>110</x:v>
      </x:c>
      <x:c r="B118" s="84" t="inlineStr">
        <x:is>
          <x:t xml:space="preserve">Public API</x:t>
        </x:is>
      </x:c>
      <x:c r="C118" s="84" t="inlineStr">
        <x:is>
          <x:t xml:space="preserve">Cancel</x:t>
        </x:is>
      </x:c>
      <x:c r="D118" s="84" t="inlineStr">
        <x:is>
          <x:t xml:space="preserve">[data-slot] prop behavior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 manual protocol</x:t>
        </x:is>
      </x:c>
      <x:c r="H118" s="86" t="inlineStr">
        <x:is>
          <x:t xml:space="preserve">covered</x:t>
        </x:is>
      </x:c>
      <x:c r="I118" s="84" t="inlineStr">
        <x:is>
          <x:t xml:space="preserve">manual-tests/toast.md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15" customHeight="1">
      <x:c r="A119" s="73" t="n">
        <x:v>111</x:v>
      </x:c>
      <x:c r="B119" s="84" t="inlineStr">
        <x:is>
          <x:t xml:space="preserve">ARIA</x:t>
        </x:is>
      </x:c>
      <x:c r="C119" s="84" t="inlineStr">
        <x:is>
          <x:t xml:space="preserve">Live DOM</x:t>
        </x:is>
      </x:c>
      <x:c r="D119" s="84" t="inlineStr">
        <x:is>
          <x:t xml:space="preserve">aria-atomic is present at the correct time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 manual protocol</x:t>
        </x:is>
      </x:c>
      <x:c r="H119" s="86" t="inlineStr">
        <x:is>
          <x:t xml:space="preserve">covered</x:t>
        </x:is>
      </x:c>
      <x:c r="I119" s="84" t="inlineStr">
        <x:is>
          <x:t xml:space="preserve">manual-tests/toast.md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15" customHeight="1">
      <x:c r="A120" s="73" t="n">
        <x:v>112</x:v>
      </x:c>
      <x:c r="B120" s="84" t="inlineStr">
        <x:is>
          <x:t xml:space="preserve">ARIA</x:t>
        </x:is>
      </x:c>
      <x:c r="C120" s="84" t="inlineStr">
        <x:is>
          <x:t xml:space="preserve">Live DOM</x:t>
        </x:is>
      </x:c>
      <x:c r="D120" s="84" t="inlineStr">
        <x:is>
          <x:t xml:space="preserve">aria-label is present at the correct time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 manual protocol</x:t>
        </x:is>
      </x:c>
      <x:c r="H120" s="86" t="inlineStr">
        <x:is>
          <x:t xml:space="preserve">covered</x:t>
        </x:is>
      </x:c>
      <x:c r="I120" s="84" t="inlineStr">
        <x:is>
          <x:t xml:space="preserve">manual-tests/toast.md</x:t>
        </x:is>
      </x:c>
      <x:c r="J120" s="84" t="n"/>
      <x:c r="K120" s="87" t="n">
        <x:f>IF(AND(E120="yes",F120="yes",H120="covered"),1,IF(H120="partial",0.5,0))</x:f>
        <x:v>1</x:v>
      </x:c>
    </x:row>
    <x:row r="121" s="51" customFormat="1" ht="15" customHeight="1">
      <x:c r="A121" s="73" t="n">
        <x:v>113</x:v>
      </x:c>
      <x:c r="B121" s="84" t="inlineStr">
        <x:is>
          <x:t xml:space="preserve">ARIA</x:t>
        </x:is>
      </x:c>
      <x:c r="C121" s="84" t="inlineStr">
        <x:is>
          <x:t xml:space="preserve">Live DOM</x:t>
        </x:is>
      </x:c>
      <x:c r="D121" s="84" t="inlineStr">
        <x:is>
          <x:t xml:space="preserve">aria-live is present at the correct time</x:t>
        </x:is>
      </x:c>
      <x:c r="E121" s="76" t="inlineStr">
        <x:is>
          <x:t xml:space="preserve">yes</x:t>
        </x:is>
      </x:c>
      <x:c r="F121" s="85" t="inlineStr">
        <x:is>
          <x:t xml:space="preserve">yes</x:t>
        </x:is>
      </x:c>
      <x:c r="G121" s="73" t="inlineStr">
        <x:is>
          <x:t xml:space="preserve">passed manual protocol</x:t>
        </x:is>
      </x:c>
      <x:c r="H121" s="86" t="inlineStr">
        <x:is>
          <x:t xml:space="preserve">covered</x:t>
        </x:is>
      </x:c>
      <x:c r="I121" s="84" t="inlineStr">
        <x:is>
          <x:t xml:space="preserve">manual-tests/toast.md</x:t>
        </x:is>
      </x:c>
      <x:c r="J121" s="84" t="n"/>
      <x:c r="K121" s="87" t="n">
        <x:f>IF(AND(E121="yes",F121="yes",H121="covered"),1,IF(H121="partial",0.5,0))</x:f>
        <x:v>1</x:v>
      </x:c>
    </x:row>
    <x:row r="122" s="51" customFormat="1" ht="15" customHeight="1">
      <x:c r="A122" s="73" t="n">
        <x:v>114</x:v>
      </x:c>
      <x:c r="B122" s="84" t="inlineStr">
        <x:is>
          <x:t xml:space="preserve">Data</x:t>
        </x:is>
      </x:c>
      <x:c r="C122" s="84" t="inlineStr">
        <x:is>
          <x:t xml:space="preserve">Live DOM</x:t>
        </x:is>
      </x:c>
      <x:c r="D122" s="84" t="inlineStr">
        <x:is>
          <x:t xml:space="preserve">data-expanded is present at the correct time</x:t>
        </x:is>
      </x:c>
      <x:c r="E122" s="76" t="inlineStr">
        <x:is>
          <x:t xml:space="preserve">yes</x:t>
        </x:is>
      </x:c>
      <x:c r="F122" s="85" t="inlineStr">
        <x:is>
          <x:t xml:space="preserve">yes</x:t>
        </x:is>
      </x:c>
      <x:c r="G122" s="73" t="inlineStr">
        <x:is>
          <x:t xml:space="preserve">passed manual protocol</x:t>
        </x:is>
      </x:c>
      <x:c r="H122" s="86" t="inlineStr">
        <x:is>
          <x:t xml:space="preserve">covered</x:t>
        </x:is>
      </x:c>
      <x:c r="I122" s="84" t="inlineStr">
        <x:is>
          <x:t xml:space="preserve">manual-tests/toast.md</x:t>
        </x:is>
      </x:c>
      <x:c r="J122" s="84" t="n"/>
      <x:c r="K122" s="87" t="n">
        <x:f>IF(AND(E122="yes",F122="yes",H122="covered"),1,IF(H122="partial",0.5,0))</x:f>
        <x:v>1</x:v>
      </x:c>
    </x:row>
    <x:row r="123" s="51" customFormat="1" ht="15" customHeight="1">
      <x:c r="A123" s="73" t="n">
        <x:v>115</x:v>
      </x:c>
      <x:c r="B123" s="84" t="inlineStr">
        <x:is>
          <x:t xml:space="preserve">Data</x:t>
        </x:is>
      </x:c>
      <x:c r="C123" s="84" t="inlineStr">
        <x:is>
          <x:t xml:space="preserve">Live DOM</x:t>
        </x:is>
      </x:c>
      <x:c r="D123" s="84" t="inlineStr">
        <x:is>
          <x:t xml:space="preserve">data-index is present at the correct time</x:t>
        </x:is>
      </x:c>
      <x:c r="E123" s="76" t="inlineStr">
        <x:is>
          <x:t xml:space="preserve">yes</x:t>
        </x:is>
      </x:c>
      <x:c r="F123" s="85" t="inlineStr">
        <x:is>
          <x:t xml:space="preserve">yes</x:t>
        </x:is>
      </x:c>
      <x:c r="G123" s="73" t="inlineStr">
        <x:is>
          <x:t xml:space="preserve">passed manual protocol</x:t>
        </x:is>
      </x:c>
      <x:c r="H123" s="86" t="inlineStr">
        <x:is>
          <x:t xml:space="preserve">covered</x:t>
        </x:is>
      </x:c>
      <x:c r="I123" s="84" t="inlineStr">
        <x:is>
          <x:t xml:space="preserve">manual-tests/toast.md</x:t>
        </x:is>
      </x:c>
      <x:c r="J123" s="84" t="n"/>
      <x:c r="K123" s="87" t="n">
        <x:f>IF(AND(E123="yes",F123="yes",H123="covered"),1,IF(H123="partial",0.5,0))</x:f>
        <x:v>1</x:v>
      </x:c>
    </x:row>
    <x:row r="124" s="51" customFormat="1" ht="15" customHeight="1">
      <x:c r="A124" s="73" t="n">
        <x:v>116</x:v>
      </x:c>
      <x:c r="B124" s="84" t="inlineStr">
        <x:is>
          <x:t xml:space="preserve">Data</x:t>
        </x:is>
      </x:c>
      <x:c r="C124" s="84" t="inlineStr">
        <x:is>
          <x:t xml:space="preserve">Live DOM</x:t>
        </x:is>
      </x:c>
      <x:c r="D124" s="84" t="inlineStr">
        <x:is>
          <x:t xml:space="preserve">data-position is present at the correct time</x:t>
        </x:is>
      </x:c>
      <x:c r="E124" s="76" t="inlineStr">
        <x:is>
          <x:t xml:space="preserve">yes</x:t>
        </x:is>
      </x:c>
      <x:c r="F124" s="85" t="inlineStr">
        <x:is>
          <x:t xml:space="preserve">yes</x:t>
        </x:is>
      </x:c>
      <x:c r="G124" s="73" t="inlineStr">
        <x:is>
          <x:t xml:space="preserve">passed manual protocol</x:t>
        </x:is>
      </x:c>
      <x:c r="H124" s="86" t="inlineStr">
        <x:is>
          <x:t xml:space="preserve">covered</x:t>
        </x:is>
      </x:c>
      <x:c r="I124" s="84" t="inlineStr">
        <x:is>
          <x:t xml:space="preserve">manual-tests/toast.md</x:t>
        </x:is>
      </x:c>
      <x:c r="J124" s="84" t="n"/>
      <x:c r="K124" s="87" t="n">
        <x:f>IF(AND(E124="yes",F124="yes",H124="covered"),1,IF(H124="partial",0.5,0))</x:f>
        <x:v>1</x:v>
      </x:c>
    </x:row>
    <x:row r="125" s="51" customFormat="1" ht="15" customHeight="1">
      <x:c r="A125" s="73" t="n">
        <x:v>117</x:v>
      </x:c>
      <x:c r="B125" s="84" t="inlineStr">
        <x:is>
          <x:t xml:space="preserve">Data</x:t>
        </x:is>
      </x:c>
      <x:c r="C125" s="84" t="inlineStr">
        <x:is>
          <x:t xml:space="preserve">Live DOM</x:t>
        </x:is>
      </x:c>
      <x:c r="D125" s="84" t="inlineStr">
        <x:is>
          <x:t xml:space="preserve">data-slot is present at the correct time</x:t>
        </x:is>
      </x:c>
      <x:c r="E125" s="76" t="inlineStr">
        <x:is>
          <x:t xml:space="preserve">yes</x:t>
        </x:is>
      </x:c>
      <x:c r="F125" s="85" t="inlineStr">
        <x:is>
          <x:t xml:space="preserve">yes</x:t>
        </x:is>
      </x:c>
      <x:c r="G125" s="73" t="inlineStr">
        <x:is>
          <x:t xml:space="preserve">passed manual protocol</x:t>
        </x:is>
      </x:c>
      <x:c r="H125" s="86" t="inlineStr">
        <x:is>
          <x:t xml:space="preserve">covered</x:t>
        </x:is>
      </x:c>
      <x:c r="I125" s="84" t="inlineStr">
        <x:is>
          <x:t xml:space="preserve">manual-tests/toast.md</x:t>
        </x:is>
      </x:c>
      <x:c r="J125" s="84" t="n"/>
      <x:c r="K125" s="87" t="n">
        <x:f>IF(AND(E125="yes",F125="yes",H125="covered"),1,IF(H125="partial",0.5,0))</x:f>
        <x:v>1</x:v>
      </x:c>
    </x:row>
    <x:row r="126" s="51" customFormat="1" ht="15" customHeight="1">
      <x:c r="A126" s="73" t="n">
        <x:v>118</x:v>
      </x:c>
      <x:c r="B126" s="84" t="inlineStr">
        <x:is>
          <x:t xml:space="preserve">Data</x:t>
        </x:is>
      </x:c>
      <x:c r="C126" s="84" t="inlineStr">
        <x:is>
          <x:t xml:space="preserve">Live DOM</x:t>
        </x:is>
      </x:c>
      <x:c r="D126" s="84" t="inlineStr">
        <x:is>
          <x:t xml:space="preserve">data-state is present at the correct time</x:t>
        </x:is>
      </x:c>
      <x:c r="E126" s="76" t="inlineStr">
        <x:is>
          <x:t xml:space="preserve">yes</x:t>
        </x:is>
      </x:c>
      <x:c r="F126" s="85" t="inlineStr">
        <x:is>
          <x:t xml:space="preserve">yes</x:t>
        </x:is>
      </x:c>
      <x:c r="G126" s="73" t="inlineStr">
        <x:is>
          <x:t xml:space="preserve">passed manual protocol</x:t>
        </x:is>
      </x:c>
      <x:c r="H126" s="86" t="inlineStr">
        <x:is>
          <x:t xml:space="preserve">covered</x:t>
        </x:is>
      </x:c>
      <x:c r="I126" s="84" t="inlineStr">
        <x:is>
          <x:t xml:space="preserve">manual-tests/toast.md</x:t>
        </x:is>
      </x:c>
      <x:c r="J126" s="84" t="n"/>
      <x:c r="K126" s="87" t="n">
        <x:f>IF(AND(E126="yes",F126="yes",H126="covered"),1,IF(H126="partial",0.5,0))</x:f>
        <x:v>1</x:v>
      </x:c>
    </x:row>
    <x:row r="127" s="51" customFormat="1" ht="15" customHeight="1">
      <x:c r="A127" s="73" t="n">
        <x:v>119</x:v>
      </x:c>
      <x:c r="B127" s="84" t="inlineStr">
        <x:is>
          <x:t xml:space="preserve">Data</x:t>
        </x:is>
      </x:c>
      <x:c r="C127" s="84" t="inlineStr">
        <x:is>
          <x:t xml:space="preserve">Live DOM</x:t>
        </x:is>
      </x:c>
      <x:c r="D127" s="84" t="inlineStr">
        <x:is>
          <x:t xml:space="preserve">data-type is present at the correct time</x:t>
        </x:is>
      </x:c>
      <x:c r="E127" s="76" t="inlineStr">
        <x:is>
          <x:t xml:space="preserve">yes</x:t>
        </x:is>
      </x:c>
      <x:c r="F127" s="85" t="inlineStr">
        <x:is>
          <x:t xml:space="preserve">yes</x:t>
        </x:is>
      </x:c>
      <x:c r="G127" s="73" t="inlineStr">
        <x:is>
          <x:t xml:space="preserve">passed manual protocol</x:t>
        </x:is>
      </x:c>
      <x:c r="H127" s="86" t="inlineStr">
        <x:is>
          <x:t xml:space="preserve">covered</x:t>
        </x:is>
      </x:c>
      <x:c r="I127" s="84" t="inlineStr">
        <x:is>
          <x:t xml:space="preserve">manual-tests/toast.md</x:t>
        </x:is>
      </x:c>
      <x:c r="J127" s="84" t="n"/>
      <x:c r="K127" s="87" t="n">
        <x:f>IF(AND(E127="yes",F127="yes",H127="covered"),1,IF(H127="partial",0.5,0))</x:f>
        <x:v>1</x:v>
      </x:c>
    </x:row>
    <x:row r="128" s="51" customFormat="1" ht="15" customHeight="1">
      <x:c r="A128" s="73" t="n">
        <x:v>120</x:v>
      </x:c>
      <x:c r="B128" s="84" t="inlineStr">
        <x:is>
          <x:t xml:space="preserve">Portal</x:t>
        </x:is>
      </x:c>
      <x:c r="C128" s="84" t="inlineStr">
        <x:is>
          <x:t xml:space="preserve">Toast</x:t>
        </x:is>
      </x:c>
      <x:c r="D128" s="84" t="inlineStr">
        <x:is>
          <x:t xml:space="preserve">portal renders in body by default</x:t>
        </x:is>
      </x:c>
      <x:c r="E128" s="76" t="inlineStr">
        <x:is>
          <x:t xml:space="preserve">yes</x:t>
        </x:is>
      </x:c>
      <x:c r="F128" s="85" t="inlineStr">
        <x:is>
          <x:t xml:space="preserve">yes</x:t>
        </x:is>
      </x:c>
      <x:c r="G128" s="73" t="inlineStr">
        <x:is>
          <x:t xml:space="preserve">passed manual protocol</x:t>
        </x:is>
      </x:c>
      <x:c r="H128" s="86" t="inlineStr">
        <x:is>
          <x:t xml:space="preserve">covered</x:t>
        </x:is>
      </x:c>
      <x:c r="I128" s="84" t="inlineStr">
        <x:is>
          <x:t xml:space="preserve">manual-tests/toast.md</x:t>
        </x:is>
      </x:c>
      <x:c r="J128" s="84" t="n"/>
      <x:c r="K128" s="87" t="n">
        <x:f>IF(AND(E128="yes",F128="yes",H128="covered"),1,IF(H128="partial",0.5,0))</x:f>
        <x:v>1</x:v>
      </x:c>
    </x:row>
    <x:row r="129" s="51" customFormat="1" ht="15" customHeight="1">
      <x:c r="A129" s="73" t="n">
        <x:v>121</x:v>
      </x:c>
      <x:c r="B129" s="84" t="inlineStr">
        <x:is>
          <x:t xml:space="preserve">Portal</x:t>
        </x:is>
      </x:c>
      <x:c r="C129" s="84" t="inlineStr">
        <x:is>
          <x:t xml:space="preserve">Toast</x:t>
        </x:is>
      </x:c>
      <x:c r="D129" s="84" t="inlineStr">
        <x:is>
          <x:t xml:space="preserve">custom/disabled portal path works where supported</x:t>
        </x:is>
      </x:c>
      <x:c r="E129" s="76" t="inlineStr">
        <x:is>
          <x:t xml:space="preserve">yes</x:t>
        </x:is>
      </x:c>
      <x:c r="F129" s="85" t="inlineStr">
        <x:is>
          <x:t xml:space="preserve">yes</x:t>
        </x:is>
      </x:c>
      <x:c r="G129" s="73" t="inlineStr">
        <x:is>
          <x:t xml:space="preserve">passed manual protocol</x:t>
        </x:is>
      </x:c>
      <x:c r="H129" s="86" t="inlineStr">
        <x:is>
          <x:t xml:space="preserve">covered</x:t>
        </x:is>
      </x:c>
      <x:c r="I129" s="84" t="inlineStr">
        <x:is>
          <x:t xml:space="preserve">manual-tests/toast.md</x:t>
        </x:is>
      </x:c>
      <x:c r="J129" s="84" t="n"/>
      <x:c r="K129" s="87" t="n">
        <x:f>IF(AND(E129="yes",F129="yes",H129="covered"),1,IF(H129="partial",0.5,0))</x:f>
        <x:v>1</x:v>
      </x:c>
    </x:row>
    <x:row r="130" s="51" customFormat="1" ht="15" customHeight="1"/>
    <x:row r="131" s="51" customFormat="1" ht="15" customHeight="1"/>
    <x:row r="132" s="51" customFormat="1" ht="30" customHeight="1"/>
    <x:row r="133" s="51" customFormat="1" ht="15" customHeight="1"/>
    <x:row r="134" s="51" customFormat="1" ht="15" customHeight="1"/>
    <x:row r="135" s="51" customFormat="1" ht="15" customHeight="1"/>
    <x:row r="136" s="51" customFormat="1" ht="15" customHeight="1"/>
    <x:row r="137" s="51" customFormat="1" ht="15" customHeight="1"/>
    <x:row r="138" s="51" customFormat="1" ht="15" customHeight="1"/>
    <x:row r="139" s="51" customFormat="1" ht="15" customHeight="1"/>
    <x:row r="140" s="51" customFormat="1" ht="15" customHeight="1"/>
    <x:row r="141" s="51" customFormat="1" ht="15" customHeight="1"/>
    <x:row r="142" s="51" customFormat="1" ht="15" customHeight="1"/>
    <x:row r="143" s="51" customFormat="1" ht="15" customHeight="1"/>
    <x:row r="144" s="51" customFormat="1" ht="1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Toggle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37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93" t="n">
        <x:v>1</x:v>
      </x:c>
      <x:c r="B9" s="94" t="inlineStr">
        <x:is>
          <x:t xml:space="preserve">Playground</x:t>
        </x:is>
      </x:c>
      <x:c r="C9" s="94" t="inlineStr">
        <x:is>
          <x:t xml:space="preserve">Props</x:t>
        </x:is>
      </x:c>
      <x:c r="D9" s="94" t="inlineStr">
        <x:is>
          <x:t xml:space="preserve">Props toolbar exposes Prop Check and keeps data-prop-check off by default</x:t>
        </x:is>
      </x:c>
      <x:c r="E9" s="93" t="inlineStr">
        <x:is>
          <x:t xml:space="preserve">yes</x:t>
        </x:is>
      </x:c>
      <x:c r="F9" s="93" t="inlineStr">
        <x:is>
          <x:t xml:space="preserve">yes</x:t>
        </x:is>
      </x:c>
      <x:c r="G9" s="93" t="inlineStr">
        <x:is>
          <x:t xml:space="preserve">pass</x:t>
        </x:is>
      </x:c>
      <x:c r="H9" s="93" t="inlineStr">
        <x:is>
          <x:t xml:space="preserve">covered</x:t>
        </x:is>
      </x:c>
      <x:c r="I9" s="94" t="inlineStr">
        <x:is>
          <x:t xml:space="preserve">Toggle playground manual verification.</x:t>
        </x:is>
      </x:c>
      <x:c r="J9" s="94" t="n"/>
      <x:c r="K9" s="95" t="n">
        <x:f>IF(AND(E9="yes",F9="yes",H9="covered"),1,IF(H9="partial",0.5,0))</x:f>
        <x:v>1</x:v>
      </x:c>
    </x:row>
    <x:row r="10" s="51" customFormat="1" ht="45" customHeight="1">
      <x:c r="A10" s="93" t="n">
        <x:v>2</x:v>
      </x:c>
      <x:c r="B10" s="94" t="inlineStr">
        <x:is>
          <x:t xml:space="preserve">Playground</x:t>
        </x:is>
      </x:c>
      <x:c r="C10" s="94" t="inlineStr">
        <x:is>
          <x:t xml:space="preserve">Props</x:t>
        </x:is>
      </x:c>
      <x:c r="D10" s="94" t="inlineStr">
        <x:is>
          <x:t xml:space="preserve">custom data-slot override is available for every slot-owning anatomy part</x:t>
        </x:is>
      </x:c>
      <x:c r="E10" s="93" t="inlineStr">
        <x:is>
          <x:t xml:space="preserve">yes</x:t>
        </x:is>
      </x:c>
      <x:c r="F10" s="93" t="inlineStr">
        <x:is>
          <x:t xml:space="preserve">yes</x:t>
        </x:is>
      </x:c>
      <x:c r="G10" s="93" t="inlineStr">
        <x:is>
          <x:t xml:space="preserve">pass</x:t>
        </x:is>
      </x:c>
      <x:c r="H10" s="93" t="inlineStr">
        <x:is>
          <x:t xml:space="preserve">covered</x:t>
        </x:is>
      </x:c>
      <x:c r="I10" s="94" t="inlineStr">
        <x:is>
          <x:t xml:space="preserve">Toggle playground manual verification.</x:t>
        </x:is>
      </x:c>
      <x:c r="J10" s="94" t="n"/>
      <x:c r="K10" s="95" t="n">
        <x:f>IF(AND(E10="yes",F10="yes",H10="covered"),1,IF(H10="partial",0.5,0))</x:f>
        <x:v>1</x:v>
      </x:c>
    </x:row>
    <x:row r="11" s="51" customFormat="1" ht="15" customHeight="1">
      <x:c r="A11" s="93" t="n">
        <x:v>3</x:v>
      </x:c>
      <x:c r="B11" s="94" t="inlineStr">
        <x:is>
          <x:t xml:space="preserve">Playground</x:t>
        </x:is>
      </x:c>
      <x:c r="C11" s="94" t="inlineStr">
        <x:is>
          <x:t xml:space="preserve">Toggle</x:t>
        </x:is>
      </x:c>
      <x:c r="D11" s="94" t="inlineStr">
        <x:is>
          <x:t xml:space="preserve">scenario is reachable from top menu</x:t>
        </x:is>
      </x:c>
      <x:c r="E11" s="93" t="inlineStr">
        <x:is>
          <x:t xml:space="preserve">yes</x:t>
        </x:is>
      </x:c>
      <x:c r="F11" s="93" t="inlineStr">
        <x:is>
          <x:t xml:space="preserve">yes</x:t>
        </x:is>
      </x:c>
      <x:c r="G11" s="93" t="inlineStr">
        <x:is>
          <x:t xml:space="preserve">pass</x:t>
        </x:is>
      </x:c>
      <x:c r="H11" s="93" t="inlineStr">
        <x:is>
          <x:t xml:space="preserve">covered</x:t>
        </x:is>
      </x:c>
      <x:c r="I11" s="94" t="inlineStr">
        <x:is>
          <x:t xml:space="preserve">Toggle playground manual verification.</x:t>
        </x:is>
      </x:c>
      <x:c r="J11" s="94" t="n"/>
      <x:c r="K11" s="95" t="n">
        <x:f>IF(AND(E11="yes",F11="yes",H11="covered"),1,IF(H11="partial",0.5,0))</x:f>
        <x:v>1</x:v>
      </x:c>
    </x:row>
    <x:row r="12" s="51" customFormat="1" ht="15" customHeight="1">
      <x:c r="A12" s="93" t="n">
        <x:v>4</x:v>
      </x:c>
      <x:c r="B12" s="94" t="inlineStr">
        <x:is>
          <x:t xml:space="preserve">Playground</x:t>
        </x:is>
      </x:c>
      <x:c r="C12" s="94" t="inlineStr">
        <x:is>
          <x:t xml:space="preserve">Toggle</x:t>
        </x:is>
      </x:c>
      <x:c r="D12" s="94" t="inlineStr">
        <x:is>
          <x:t xml:space="preserve">canvas source reflects controlled, pressed, disabled, events, and composition</x:t>
        </x:is>
      </x:c>
      <x:c r="E12" s="93" t="inlineStr">
        <x:is>
          <x:t xml:space="preserve">yes</x:t>
        </x:is>
      </x:c>
      <x:c r="F12" s="93" t="inlineStr">
        <x:is>
          <x:t xml:space="preserve">yes</x:t>
        </x:is>
      </x:c>
      <x:c r="G12" s="93" t="inlineStr">
        <x:is>
          <x:t xml:space="preserve">pass</x:t>
        </x:is>
      </x:c>
      <x:c r="H12" s="93" t="inlineStr">
        <x:is>
          <x:t xml:space="preserve">covered</x:t>
        </x:is>
      </x:c>
      <x:c r="I12" s="94" t="inlineStr">
        <x:is>
          <x:t xml:space="preserve">Toggle playground manual verification.</x:t>
        </x:is>
      </x:c>
      <x:c r="J12" s="94" t="n"/>
      <x:c r="K12" s="95" t="n">
        <x:f>IF(AND(E12="yes",F12="yes",H12="covered"),1,IF(H12="partial",0.5,0))</x:f>
        <x:v>1</x:v>
      </x:c>
    </x:row>
    <x:row r="13" s="51" customFormat="1" ht="15" customHeight="1">
      <x:c r="A13" s="93" t="n">
        <x:v>5</x:v>
      </x:c>
      <x:c r="B13" s="94" t="inlineStr">
        <x:is>
          <x:t xml:space="preserve">Playground</x:t>
        </x:is>
      </x:c>
      <x:c r="C13" s="94" t="inlineStr">
        <x:is>
          <x:t xml:space="preserve">Toggle</x:t>
        </x:is>
      </x:c>
      <x:c r="D13" s="94" t="inlineStr">
        <x:is>
          <x:t xml:space="preserve">anatomy uses live DOM attributes, ARIA, data, text, and ref evidence</x:t>
        </x:is>
      </x:c>
      <x:c r="E13" s="93" t="inlineStr">
        <x:is>
          <x:t xml:space="preserve">yes</x:t>
        </x:is>
      </x:c>
      <x:c r="F13" s="93" t="inlineStr">
        <x:is>
          <x:t xml:space="preserve">yes</x:t>
        </x:is>
      </x:c>
      <x:c r="G13" s="93" t="inlineStr">
        <x:is>
          <x:t xml:space="preserve">pass</x:t>
        </x:is>
      </x:c>
      <x:c r="H13" s="93" t="inlineStr">
        <x:is>
          <x:t xml:space="preserve">covered</x:t>
        </x:is>
      </x:c>
      <x:c r="I13" s="94" t="inlineStr">
        <x:is>
          <x:t xml:space="preserve">Toggle playground manual verification.</x:t>
        </x:is>
      </x:c>
      <x:c r="J13" s="94" t="n"/>
      <x:c r="K13" s="95" t="n">
        <x:f>IF(AND(E13="yes",F13="yes",H13="covered"),1,IF(H13="partial",0.5,0))</x:f>
        <x:v>1</x:v>
      </x:c>
    </x:row>
    <x:row r="14" s="51" customFormat="1" ht="15" customHeight="1">
      <x:c r="A14" s="93" t="n">
        <x:v>6</x:v>
      </x:c>
      <x:c r="B14" s="94" t="inlineStr">
        <x:is>
          <x:t xml:space="preserve">Playground</x:t>
        </x:is>
      </x:c>
      <x:c r="C14" s="94" t="inlineStr">
        <x:is>
          <x:t xml:space="preserve">Toggle</x:t>
        </x:is>
      </x:c>
      <x:c r="D14" s="94" t="inlineStr">
        <x:is>
          <x:t xml:space="preserve">inspector selected/focused/logs update for this scenario</x:t>
        </x:is>
      </x:c>
      <x:c r="E14" s="93" t="inlineStr">
        <x:is>
          <x:t xml:space="preserve">yes</x:t>
        </x:is>
      </x:c>
      <x:c r="F14" s="93" t="inlineStr">
        <x:is>
          <x:t xml:space="preserve">yes</x:t>
        </x:is>
      </x:c>
      <x:c r="G14" s="93" t="inlineStr">
        <x:is>
          <x:t xml:space="preserve">pass</x:t>
        </x:is>
      </x:c>
      <x:c r="H14" s="93" t="inlineStr">
        <x:is>
          <x:t xml:space="preserve">covered</x:t>
        </x:is>
      </x:c>
      <x:c r="I14" s="94" t="inlineStr">
        <x:is>
          <x:t xml:space="preserve">Toggle playground manual verification.</x:t>
        </x:is>
      </x:c>
      <x:c r="J14" s="94" t="n"/>
      <x:c r="K14" s="95" t="n">
        <x:f>IF(AND(E14="yes",F14="yes",H14="covered"),1,IF(H14="partial",0.5,0))</x:f>
        <x:v>1</x:v>
      </x:c>
    </x:row>
    <x:row r="15" s="51" customFormat="1" ht="15" customHeight="1">
      <x:c r="A15" s="93" t="n">
        <x:v>7</x:v>
      </x:c>
      <x:c r="B15" s="94" t="inlineStr">
        <x:is>
          <x:t xml:space="preserve">Anatomy</x:t>
        </x:is>
      </x:c>
      <x:c r="C15" s="94" t="inlineStr">
        <x:is>
          <x:t xml:space="preserve">Root</x:t>
        </x:is>
      </x:c>
      <x:c r="D15" s="94" t="inlineStr">
        <x:is>
          <x:t xml:space="preserve">Root is the only anatomy part</x:t>
        </x:is>
      </x:c>
      <x:c r="E15" s="93" t="inlineStr">
        <x:is>
          <x:t xml:space="preserve">yes</x:t>
        </x:is>
      </x:c>
      <x:c r="F15" s="93" t="inlineStr">
        <x:is>
          <x:t xml:space="preserve">yes</x:t>
        </x:is>
      </x:c>
      <x:c r="G15" s="93" t="inlineStr">
        <x:is>
          <x:t xml:space="preserve">pass</x:t>
        </x:is>
      </x:c>
      <x:c r="H15" s="93" t="inlineStr">
        <x:is>
          <x:t xml:space="preserve">covered</x:t>
        </x:is>
      </x:c>
      <x:c r="I15" s="94" t="inlineStr">
        <x:is>
          <x:t xml:space="preserve">Toggle playground manual verification.</x:t>
        </x:is>
      </x:c>
      <x:c r="J15" s="94" t="n"/>
      <x:c r="K15" s="95" t="n">
        <x:f>IF(AND(E15="yes",F15="yes",H15="covered"),1,IF(H15="partial",0.5,0))</x:f>
        <x:v>1</x:v>
      </x:c>
    </x:row>
    <x:row r="16" s="51" customFormat="1" ht="15" customHeight="1">
      <x:c r="A16" s="93" t="n">
        <x:v>8</x:v>
      </x:c>
      <x:c r="B16" s="94" t="inlineStr">
        <x:is>
          <x:t xml:space="preserve">Anatomy</x:t>
        </x:is>
      </x:c>
      <x:c r="C16" s="94" t="inlineStr">
        <x:is>
          <x:t xml:space="preserve">Root</x:t>
        </x:is>
      </x:c>
      <x:c r="D16" s="94" t="inlineStr">
        <x:is>
          <x:t xml:space="preserve">Root summary follows data-state on/off</x:t>
        </x:is>
      </x:c>
      <x:c r="E16" s="93" t="inlineStr">
        <x:is>
          <x:t xml:space="preserve">yes</x:t>
        </x:is>
      </x:c>
      <x:c r="F16" s="93" t="inlineStr">
        <x:is>
          <x:t xml:space="preserve">yes</x:t>
        </x:is>
      </x:c>
      <x:c r="G16" s="93" t="inlineStr">
        <x:is>
          <x:t xml:space="preserve">pass</x:t>
        </x:is>
      </x:c>
      <x:c r="H16" s="93" t="inlineStr">
        <x:is>
          <x:t xml:space="preserve">covered</x:t>
        </x:is>
      </x:c>
      <x:c r="I16" s="94" t="inlineStr">
        <x:is>
          <x:t xml:space="preserve">Toggle playground manual verification.</x:t>
        </x:is>
      </x:c>
      <x:c r="J16" s="94" t="n"/>
      <x:c r="K16" s="95" t="n">
        <x:f>IF(AND(E16="yes",F16="yes",H16="covered"),1,IF(H16="partial",0.5,0))</x:f>
        <x:v>1</x:v>
      </x:c>
    </x:row>
    <x:row r="17" s="51" customFormat="1" ht="15" customHeight="1">
      <x:c r="A17" s="93" t="n">
        <x:v>9</x:v>
      </x:c>
      <x:c r="B17" s="94" t="inlineStr">
        <x:is>
          <x:t xml:space="preserve">Identity</x:t>
        </x:is>
      </x:c>
      <x:c r="C17" s="94" t="inlineStr">
        <x:is>
          <x:t xml:space="preserve">Root</x:t>
        </x:is>
      </x:c>
      <x:c r="D17" s="94" t="inlineStr">
        <x:is>
          <x:t xml:space="preserve">default render is native button</x:t>
        </x:is>
      </x:c>
      <x:c r="E17" s="93" t="inlineStr">
        <x:is>
          <x:t xml:space="preserve">yes</x:t>
        </x:is>
      </x:c>
      <x:c r="F17" s="93" t="inlineStr">
        <x:is>
          <x:t xml:space="preserve">yes</x:t>
        </x:is>
      </x:c>
      <x:c r="G17" s="93" t="inlineStr">
        <x:is>
          <x:t xml:space="preserve">pass</x:t>
        </x:is>
      </x:c>
      <x:c r="H17" s="93" t="inlineStr">
        <x:is>
          <x:t xml:space="preserve">covered</x:t>
        </x:is>
      </x:c>
      <x:c r="I17" s="94" t="inlineStr">
        <x:is>
          <x:t xml:space="preserve">Toggle playground manual verification.</x:t>
        </x:is>
      </x:c>
      <x:c r="J17" s="94" t="n"/>
      <x:c r="K17" s="95" t="n">
        <x:f>IF(AND(E17="yes",F17="yes",H17="covered"),1,IF(H17="partial",0.5,0))</x:f>
        <x:v>1</x:v>
      </x:c>
    </x:row>
    <x:row r="18" s="51" customFormat="1" ht="15" customHeight="1">
      <x:c r="A18" s="93" t="n">
        <x:v>10</x:v>
      </x:c>
      <x:c r="B18" s="94" t="inlineStr">
        <x:is>
          <x:t xml:space="preserve">Identity</x:t>
        </x:is>
      </x:c>
      <x:c r="C18" s="94" t="inlineStr">
        <x:is>
          <x:t xml:space="preserve">Root</x:t>
        </x:is>
      </x:c>
      <x:c r="D18" s="94" t="inlineStr">
        <x:is>
          <x:t xml:space="preserve">consumer ref receives rendered element</x:t>
        </x:is>
      </x:c>
      <x:c r="E18" s="93" t="inlineStr">
        <x:is>
          <x:t xml:space="preserve">yes</x:t>
        </x:is>
      </x:c>
      <x:c r="F18" s="93" t="inlineStr">
        <x:is>
          <x:t xml:space="preserve">yes</x:t>
        </x:is>
      </x:c>
      <x:c r="G18" s="93" t="inlineStr">
        <x:is>
          <x:t xml:space="preserve">pass</x:t>
        </x:is>
      </x:c>
      <x:c r="H18" s="93" t="inlineStr">
        <x:is>
          <x:t xml:space="preserve">covered</x:t>
        </x:is>
      </x:c>
      <x:c r="I18" s="94" t="inlineStr">
        <x:is>
          <x:t xml:space="preserve">Toggle playground manual verification.</x:t>
        </x:is>
      </x:c>
      <x:c r="J18" s="94" t="n"/>
      <x:c r="K18" s="95" t="n">
        <x:f>IF(AND(E18="yes",F18="yes",H18="covered"),1,IF(H18="partial",0.5,0))</x:f>
        <x:v>1</x:v>
      </x:c>
    </x:row>
    <x:row r="19" s="51" customFormat="1" ht="15" customHeight="1">
      <x:c r="A19" s="93" t="n">
        <x:v>11</x:v>
      </x:c>
      <x:c r="B19" s="94" t="inlineStr">
        <x:is>
          <x:t xml:space="preserve">Identity</x:t>
        </x:is>
      </x:c>
      <x:c r="C19" s="94" t="inlineStr">
        <x:is>
          <x:t xml:space="preserve">Root</x:t>
        </x:is>
      </x:c>
      <x:c r="D19" s="94" t="inlineStr">
        <x:is>
          <x:t xml:space="preserve">visible text is Bold</x:t>
        </x:is>
      </x:c>
      <x:c r="E19" s="93" t="inlineStr">
        <x:is>
          <x:t xml:space="preserve">yes</x:t>
        </x:is>
      </x:c>
      <x:c r="F19" s="93" t="inlineStr">
        <x:is>
          <x:t xml:space="preserve">yes</x:t>
        </x:is>
      </x:c>
      <x:c r="G19" s="93" t="inlineStr">
        <x:is>
          <x:t xml:space="preserve">pass</x:t>
        </x:is>
      </x:c>
      <x:c r="H19" s="93" t="inlineStr">
        <x:is>
          <x:t xml:space="preserve">covered</x:t>
        </x:is>
      </x:c>
      <x:c r="I19" s="94" t="inlineStr">
        <x:is>
          <x:t xml:space="preserve">Toggle playground manual verification.</x:t>
        </x:is>
      </x:c>
      <x:c r="J19" s="94" t="n"/>
      <x:c r="K19" s="95" t="n">
        <x:f>IF(AND(E19="yes",F19="yes",H19="covered"),1,IF(H19="partial",0.5,0))</x:f>
        <x:v>1</x:v>
      </x:c>
    </x:row>
    <x:row r="20" s="51" customFormat="1" ht="15" customHeight="1">
      <x:c r="A20" s="93" t="n">
        <x:v>12</x:v>
      </x:c>
      <x:c r="B20" s="94" t="inlineStr">
        <x:is>
          <x:t xml:space="preserve">Props</x:t>
        </x:is>
      </x:c>
      <x:c r="C20" s="94" t="inlineStr">
        <x:is>
          <x:t xml:space="preserve">Root</x:t>
        </x:is>
      </x:c>
      <x:c r="D20" s="94" t="inlineStr">
        <x:is>
          <x:t xml:space="preserve">non-Atom native/data props pass through with data-prop-check marker</x:t>
        </x:is>
      </x:c>
      <x:c r="E20" s="93" t="inlineStr">
        <x:is>
          <x:t xml:space="preserve">yes</x:t>
        </x:is>
      </x:c>
      <x:c r="F20" s="93" t="inlineStr">
        <x:is>
          <x:t xml:space="preserve">yes</x:t>
        </x:is>
      </x:c>
      <x:c r="G20" s="93" t="inlineStr">
        <x:is>
          <x:t xml:space="preserve">pass</x:t>
        </x:is>
      </x:c>
      <x:c r="H20" s="93" t="inlineStr">
        <x:is>
          <x:t xml:space="preserve">covered</x:t>
        </x:is>
      </x:c>
      <x:c r="I20" s="94" t="inlineStr">
        <x:is>
          <x:t xml:space="preserve">Toggle playground manual verification.</x:t>
        </x:is>
      </x:c>
      <x:c r="J20" s="94" t="n"/>
      <x:c r="K20" s="95" t="n">
        <x:f>IF(AND(E20="yes",F20="yes",H20="covered"),1,IF(H20="partial",0.5,0))</x:f>
        <x:v>1</x:v>
      </x:c>
    </x:row>
    <x:row r="21" s="51" customFormat="1" ht="15" customHeight="1">
      <x:c r="A21" s="93" t="n">
        <x:v>13</x:v>
      </x:c>
      <x:c r="B21" s="94" t="inlineStr">
        <x:is>
          <x:t xml:space="preserve">Props</x:t>
        </x:is>
      </x:c>
      <x:c r="C21" s="94" t="inlineStr">
        <x:is>
          <x:t xml:space="preserve">Root</x:t>
        </x:is>
      </x:c>
      <x:c r="D21" s="94" t="inlineStr">
        <x:is>
          <x:t xml:space="preserve">value prop appears as data-value</x:t>
        </x:is>
      </x:c>
      <x:c r="E21" s="93" t="inlineStr">
        <x:is>
          <x:t xml:space="preserve">yes</x:t>
        </x:is>
      </x:c>
      <x:c r="F21" s="93" t="inlineStr">
        <x:is>
          <x:t xml:space="preserve">yes</x:t>
        </x:is>
      </x:c>
      <x:c r="G21" s="93" t="inlineStr">
        <x:is>
          <x:t xml:space="preserve">pass</x:t>
        </x:is>
      </x:c>
      <x:c r="H21" s="93" t="inlineStr">
        <x:is>
          <x:t xml:space="preserve">covered</x:t>
        </x:is>
      </x:c>
      <x:c r="I21" s="94" t="inlineStr">
        <x:is>
          <x:t xml:space="preserve">Toggle playground manual verification.</x:t>
        </x:is>
      </x:c>
      <x:c r="J21" s="94" t="n"/>
      <x:c r="K21" s="95" t="n">
        <x:f>IF(AND(E21="yes",F21="yes",H21="covered"),1,IF(H21="partial",0.5,0))</x:f>
        <x:v>1</x:v>
      </x:c>
    </x:row>
    <x:row r="22" s="51" customFormat="1" ht="30" customHeight="1">
      <x:c r="A22" s="93" t="n">
        <x:v>14</x:v>
      </x:c>
      <x:c r="B22" s="94" t="inlineStr">
        <x:is>
          <x:t xml:space="preserve">Accessibility</x:t>
        </x:is>
      </x:c>
      <x:c r="C22" s="94" t="inlineStr">
        <x:is>
          <x:t xml:space="preserve">Root</x:t>
        </x:is>
      </x:c>
      <x:c r="D22" s="94" t="inlineStr">
        <x:is>
          <x:t xml:space="preserve">aria-label comes from ariaLabel</x:t>
        </x:is>
      </x:c>
      <x:c r="E22" s="93" t="inlineStr">
        <x:is>
          <x:t xml:space="preserve">yes</x:t>
        </x:is>
      </x:c>
      <x:c r="F22" s="93" t="inlineStr">
        <x:is>
          <x:t xml:space="preserve">yes</x:t>
        </x:is>
      </x:c>
      <x:c r="G22" s="93" t="inlineStr">
        <x:is>
          <x:t xml:space="preserve">pass</x:t>
        </x:is>
      </x:c>
      <x:c r="H22" s="93" t="inlineStr">
        <x:is>
          <x:t xml:space="preserve">covered</x:t>
        </x:is>
      </x:c>
      <x:c r="I22" s="94" t="inlineStr">
        <x:is>
          <x:t xml:space="preserve">Toggle playground manual verification.</x:t>
        </x:is>
      </x:c>
      <x:c r="J22" s="94" t="n"/>
      <x:c r="K22" s="95" t="n">
        <x:f>IF(AND(E22="yes",F22="yes",H22="covered"),1,IF(H22="partial",0.5,0))</x:f>
        <x:v>1</x:v>
      </x:c>
    </x:row>
    <x:row r="23" s="51" customFormat="1" ht="45" customHeight="1">
      <x:c r="A23" s="93" t="n">
        <x:v>15</x:v>
      </x:c>
      <x:c r="B23" s="94" t="inlineStr">
        <x:is>
          <x:t xml:space="preserve">Accessibility</x:t>
        </x:is>
      </x:c>
      <x:c r="C23" s="94" t="inlineStr">
        <x:is>
          <x:t xml:space="preserve">Root</x:t>
        </x:is>
      </x:c>
      <x:c r="D23" s="94" t="inlineStr">
        <x:is>
          <x:t xml:space="preserve">aria-pressed reflects pressed state</x:t>
        </x:is>
      </x:c>
      <x:c r="E23" s="93" t="inlineStr">
        <x:is>
          <x:t xml:space="preserve">yes</x:t>
        </x:is>
      </x:c>
      <x:c r="F23" s="93" t="inlineStr">
        <x:is>
          <x:t xml:space="preserve">yes</x:t>
        </x:is>
      </x:c>
      <x:c r="G23" s="93" t="inlineStr">
        <x:is>
          <x:t xml:space="preserve">pass</x:t>
        </x:is>
      </x:c>
      <x:c r="H23" s="93" t="inlineStr">
        <x:is>
          <x:t xml:space="preserve">covered</x:t>
        </x:is>
      </x:c>
      <x:c r="I23" s="94" t="inlineStr">
        <x:is>
          <x:t xml:space="preserve">Toggle playground manual verification.</x:t>
        </x:is>
      </x:c>
      <x:c r="J23" s="94" t="n"/>
      <x:c r="K23" s="95" t="n">
        <x:f>IF(AND(E23="yes",F23="yes",H23="covered"),1,IF(H23="partial",0.5,0))</x:f>
        <x:v>1</x:v>
      </x:c>
    </x:row>
    <x:row r="24" s="51" customFormat="1" ht="15" customHeight="1">
      <x:c r="A24" s="93" t="n">
        <x:v>16</x:v>
      </x:c>
      <x:c r="B24" s="94" t="inlineStr">
        <x:is>
          <x:t xml:space="preserve">State</x:t>
        </x:is>
      </x:c>
      <x:c r="C24" s="94" t="inlineStr">
        <x:is>
          <x:t xml:space="preserve">Root</x:t>
        </x:is>
      </x:c>
      <x:c r="D24" s="94" t="inlineStr">
        <x:is>
          <x:t xml:space="preserve">uncontrolled defaultPressed path starts from toolbar state</x:t>
        </x:is>
      </x:c>
      <x:c r="E24" s="93" t="inlineStr">
        <x:is>
          <x:t xml:space="preserve">yes</x:t>
        </x:is>
      </x:c>
      <x:c r="F24" s="93" t="inlineStr">
        <x:is>
          <x:t xml:space="preserve">yes</x:t>
        </x:is>
      </x:c>
      <x:c r="G24" s="93" t="inlineStr">
        <x:is>
          <x:t xml:space="preserve">pass</x:t>
        </x:is>
      </x:c>
      <x:c r="H24" s="93" t="inlineStr">
        <x:is>
          <x:t xml:space="preserve">covered</x:t>
        </x:is>
      </x:c>
      <x:c r="I24" s="94" t="inlineStr">
        <x:is>
          <x:t xml:space="preserve">Toggle playground manual verification.</x:t>
        </x:is>
      </x:c>
      <x:c r="J24" s="94" t="n"/>
      <x:c r="K24" s="95" t="n">
        <x:f>IF(AND(E24="yes",F24="yes",H24="covered"),1,IF(H24="partial",0.5,0))</x:f>
        <x:v>1</x:v>
      </x:c>
    </x:row>
    <x:row r="25" s="51" customFormat="1" ht="15" customHeight="1">
      <x:c r="A25" s="93" t="n">
        <x:v>17</x:v>
      </x:c>
      <x:c r="B25" s="94" t="inlineStr">
        <x:is>
          <x:t xml:space="preserve">State</x:t>
        </x:is>
      </x:c>
      <x:c r="C25" s="94" t="inlineStr">
        <x:is>
          <x:t xml:space="preserve">Root</x:t>
        </x:is>
      </x:c>
      <x:c r="D25" s="94" t="inlineStr">
        <x:is>
          <x:t xml:space="preserve">controlled pressed path follows toolbar state</x:t>
        </x:is>
      </x:c>
      <x:c r="E25" s="93" t="inlineStr">
        <x:is>
          <x:t xml:space="preserve">yes</x:t>
        </x:is>
      </x:c>
      <x:c r="F25" s="93" t="inlineStr">
        <x:is>
          <x:t xml:space="preserve">yes</x:t>
        </x:is>
      </x:c>
      <x:c r="G25" s="93" t="inlineStr">
        <x:is>
          <x:t xml:space="preserve">pass</x:t>
        </x:is>
      </x:c>
      <x:c r="H25" s="93" t="inlineStr">
        <x:is>
          <x:t xml:space="preserve">covered</x:t>
        </x:is>
      </x:c>
      <x:c r="I25" s="94" t="inlineStr">
        <x:is>
          <x:t xml:space="preserve">Toggle playground manual verification.</x:t>
        </x:is>
      </x:c>
      <x:c r="J25" s="94" t="n"/>
      <x:c r="K25" s="95" t="n">
        <x:f>IF(AND(E25="yes",F25="yes",H25="covered"),1,IF(H25="partial",0.5,0))</x:f>
        <x:v>1</x:v>
      </x:c>
    </x:row>
    <x:row r="26" s="51" customFormat="1" ht="15" customHeight="1">
      <x:c r="A26" s="93" t="n">
        <x:v>18</x:v>
      </x:c>
      <x:c r="B26" s="94" t="inlineStr">
        <x:is>
          <x:t xml:space="preserve">State</x:t>
        </x:is>
      </x:c>
      <x:c r="C26" s="94" t="inlineStr">
        <x:is>
          <x:t xml:space="preserve">Root</x:t>
        </x:is>
      </x:c>
      <x:c r="D26" s="94" t="inlineStr">
        <x:is>
          <x:t xml:space="preserve">click toggles pressed state</x:t>
        </x:is>
      </x:c>
      <x:c r="E26" s="93" t="inlineStr">
        <x:is>
          <x:t xml:space="preserve">yes</x:t>
        </x:is>
      </x:c>
      <x:c r="F26" s="93" t="inlineStr">
        <x:is>
          <x:t xml:space="preserve">yes</x:t>
        </x:is>
      </x:c>
      <x:c r="G26" s="93" t="inlineStr">
        <x:is>
          <x:t xml:space="preserve">pass</x:t>
        </x:is>
      </x:c>
      <x:c r="H26" s="93" t="inlineStr">
        <x:is>
          <x:t xml:space="preserve">covered</x:t>
        </x:is>
      </x:c>
      <x:c r="I26" s="94" t="inlineStr">
        <x:is>
          <x:t xml:space="preserve">Toggle playground manual verification.</x:t>
        </x:is>
      </x:c>
      <x:c r="J26" s="94" t="n"/>
      <x:c r="K26" s="95" t="n">
        <x:f>IF(AND(E26="yes",F26="yes",H26="covered"),1,IF(H26="partial",0.5,0))</x:f>
        <x:v>1</x:v>
      </x:c>
    </x:row>
    <x:row r="27" s="51" customFormat="1" ht="15" customHeight="1">
      <x:c r="A27" s="93" t="n">
        <x:v>19</x:v>
      </x:c>
      <x:c r="B27" s="94" t="inlineStr">
        <x:is>
          <x:t xml:space="preserve">State</x:t>
        </x:is>
      </x:c>
      <x:c r="C27" s="94" t="inlineStr">
        <x:is>
          <x:t xml:space="preserve">Root</x:t>
        </x:is>
      </x:c>
      <x:c r="D27" s="94" t="inlineStr">
        <x:is>
          <x:t xml:space="preserve">Enter toggles pressed state</x:t>
        </x:is>
      </x:c>
      <x:c r="E27" s="93" t="inlineStr">
        <x:is>
          <x:t xml:space="preserve">yes</x:t>
        </x:is>
      </x:c>
      <x:c r="F27" s="93" t="inlineStr">
        <x:is>
          <x:t xml:space="preserve">yes</x:t>
        </x:is>
      </x:c>
      <x:c r="G27" s="93" t="inlineStr">
        <x:is>
          <x:t xml:space="preserve">pass</x:t>
        </x:is>
      </x:c>
      <x:c r="H27" s="93" t="inlineStr">
        <x:is>
          <x:t xml:space="preserve">covered</x:t>
        </x:is>
      </x:c>
      <x:c r="I27" s="94" t="inlineStr">
        <x:is>
          <x:t xml:space="preserve">Toggle playground manual verification.</x:t>
        </x:is>
      </x:c>
      <x:c r="J27" s="94" t="n"/>
      <x:c r="K27" s="95" t="n">
        <x:f>IF(AND(E27="yes",F27="yes",H27="covered"),1,IF(H27="partial",0.5,0))</x:f>
        <x:v>1</x:v>
      </x:c>
    </x:row>
    <x:row r="28" s="51" customFormat="1" ht="15" customHeight="1">
      <x:c r="A28" s="93" t="n">
        <x:v>20</x:v>
      </x:c>
      <x:c r="B28" s="94" t="inlineStr">
        <x:is>
          <x:t xml:space="preserve">State</x:t>
        </x:is>
      </x:c>
      <x:c r="C28" s="94" t="inlineStr">
        <x:is>
          <x:t xml:space="preserve">Root</x:t>
        </x:is>
      </x:c>
      <x:c r="D28" s="94" t="inlineStr">
        <x:is>
          <x:t xml:space="preserve">Space toggles pressed state</x:t>
        </x:is>
      </x:c>
      <x:c r="E28" s="93" t="inlineStr">
        <x:is>
          <x:t xml:space="preserve">yes</x:t>
        </x:is>
      </x:c>
      <x:c r="F28" s="93" t="inlineStr">
        <x:is>
          <x:t xml:space="preserve">yes</x:t>
        </x:is>
      </x:c>
      <x:c r="G28" s="93" t="inlineStr">
        <x:is>
          <x:t xml:space="preserve">pass</x:t>
        </x:is>
      </x:c>
      <x:c r="H28" s="93" t="inlineStr">
        <x:is>
          <x:t xml:space="preserve">covered</x:t>
        </x:is>
      </x:c>
      <x:c r="I28" s="94" t="inlineStr">
        <x:is>
          <x:t xml:space="preserve">Toggle playground manual verification.</x:t>
        </x:is>
      </x:c>
      <x:c r="J28" s="94" t="n"/>
      <x:c r="K28" s="95" t="n">
        <x:f>IF(AND(E28="yes",F28="yes",H28="covered"),1,IF(H28="partial",0.5,0))</x:f>
        <x:v>1</x:v>
      </x:c>
    </x:row>
    <x:row r="29" s="51" customFormat="1" ht="15" customHeight="1">
      <x:c r="A29" s="93" t="n">
        <x:v>21</x:v>
      </x:c>
      <x:c r="B29" s="94" t="inlineStr">
        <x:is>
          <x:t xml:space="preserve">State</x:t>
        </x:is>
      </x:c>
      <x:c r="C29" s="94" t="inlineStr">
        <x:is>
          <x:t xml:space="preserve">Root</x:t>
        </x:is>
      </x:c>
      <x:c r="D29" s="94" t="inlineStr">
        <x:is>
          <x:t xml:space="preserve">onPressedChange fires with the next value</x:t>
        </x:is>
      </x:c>
      <x:c r="E29" s="93" t="inlineStr">
        <x:is>
          <x:t xml:space="preserve">yes</x:t>
        </x:is>
      </x:c>
      <x:c r="F29" s="93" t="inlineStr">
        <x:is>
          <x:t xml:space="preserve">yes</x:t>
        </x:is>
      </x:c>
      <x:c r="G29" s="93" t="inlineStr">
        <x:is>
          <x:t xml:space="preserve">pass</x:t>
        </x:is>
      </x:c>
      <x:c r="H29" s="93" t="inlineStr">
        <x:is>
          <x:t xml:space="preserve">covered</x:t>
        </x:is>
      </x:c>
      <x:c r="I29" s="94" t="inlineStr">
        <x:is>
          <x:t xml:space="preserve">Toggle playground manual verification.</x:t>
        </x:is>
      </x:c>
      <x:c r="J29" s="94" t="n"/>
      <x:c r="K29" s="95" t="n">
        <x:f>IF(AND(E29="yes",F29="yes",H29="covered"),1,IF(H29="partial",0.5,0))</x:f>
        <x:v>1</x:v>
      </x:c>
    </x:row>
    <x:row r="30" s="51" customFormat="1" ht="15" customHeight="1">
      <x:c r="A30" s="93" t="n">
        <x:v>22</x:v>
      </x:c>
      <x:c r="B30" s="94" t="inlineStr">
        <x:is>
          <x:t xml:space="preserve">State</x:t>
        </x:is>
      </x:c>
      <x:c r="C30" s="94" t="inlineStr">
        <x:is>
          <x:t xml:space="preserve">Root</x:t>
        </x:is>
      </x:c>
      <x:c r="D30" s="94" t="inlineStr">
        <x:is>
          <x:t xml:space="preserve">disabled blocks click and keyboard toggling</x:t>
        </x:is>
      </x:c>
      <x:c r="E30" s="93" t="inlineStr">
        <x:is>
          <x:t xml:space="preserve">yes</x:t>
        </x:is>
      </x:c>
      <x:c r="F30" s="93" t="inlineStr">
        <x:is>
          <x:t xml:space="preserve">yes</x:t>
        </x:is>
      </x:c>
      <x:c r="G30" s="93" t="inlineStr">
        <x:is>
          <x:t xml:space="preserve">pass</x:t>
        </x:is>
      </x:c>
      <x:c r="H30" s="93" t="inlineStr">
        <x:is>
          <x:t xml:space="preserve">covered</x:t>
        </x:is>
      </x:c>
      <x:c r="I30" s="94" t="inlineStr">
        <x:is>
          <x:t xml:space="preserve">Toggle playground manual verification.</x:t>
        </x:is>
      </x:c>
      <x:c r="J30" s="94" t="n"/>
      <x:c r="K30" s="95" t="n">
        <x:f>IF(AND(E30="yes",F30="yes",H30="covered"),1,IF(H30="partial",0.5,0))</x:f>
        <x:v>1</x:v>
      </x:c>
    </x:row>
    <x:row r="31" s="51" customFormat="1" ht="15" customHeight="1">
      <x:c r="A31" s="93" t="n">
        <x:v>23</x:v>
      </x:c>
      <x:c r="B31" s="94" t="inlineStr">
        <x:is>
          <x:t xml:space="preserve">Attributes</x:t>
        </x:is>
      </x:c>
      <x:c r="C31" s="94" t="inlineStr">
        <x:is>
          <x:t xml:space="preserve">Root</x:t>
        </x:is>
      </x:c>
      <x:c r="D31" s="94" t="inlineStr">
        <x:is>
          <x:t xml:space="preserve">type button is present for native button</x:t>
        </x:is>
      </x:c>
      <x:c r="E31" s="93" t="inlineStr">
        <x:is>
          <x:t xml:space="preserve">yes</x:t>
        </x:is>
      </x:c>
      <x:c r="F31" s="93" t="inlineStr">
        <x:is>
          <x:t xml:space="preserve">yes</x:t>
        </x:is>
      </x:c>
      <x:c r="G31" s="93" t="inlineStr">
        <x:is>
          <x:t xml:space="preserve">pass</x:t>
        </x:is>
      </x:c>
      <x:c r="H31" s="93" t="inlineStr">
        <x:is>
          <x:t xml:space="preserve">covered</x:t>
        </x:is>
      </x:c>
      <x:c r="I31" s="94" t="inlineStr">
        <x:is>
          <x:t xml:space="preserve">Toggle playground manual verification.</x:t>
        </x:is>
      </x:c>
      <x:c r="J31" s="94" t="n"/>
      <x:c r="K31" s="95" t="n">
        <x:f>IF(AND(E31="yes",F31="yes",H31="covered"),1,IF(H31="partial",0.5,0))</x:f>
        <x:v>1</x:v>
      </x:c>
    </x:row>
    <x:row r="32" s="51" customFormat="1" ht="15" customHeight="1">
      <x:c r="A32" s="93" t="n">
        <x:v>24</x:v>
      </x:c>
      <x:c r="B32" s="94" t="inlineStr">
        <x:is>
          <x:t xml:space="preserve">Attributes</x:t>
        </x:is>
      </x:c>
      <x:c r="C32" s="94" t="inlineStr">
        <x:is>
          <x:t xml:space="preserve">Root</x:t>
        </x:is>
      </x:c>
      <x:c r="D32" s="94" t="inlineStr">
        <x:is>
          <x:t xml:space="preserve">native disabled attribute appears when disabled</x:t>
        </x:is>
      </x:c>
      <x:c r="E32" s="93" t="inlineStr">
        <x:is>
          <x:t xml:space="preserve">yes</x:t>
        </x:is>
      </x:c>
      <x:c r="F32" s="93" t="inlineStr">
        <x:is>
          <x:t xml:space="preserve">yes</x:t>
        </x:is>
      </x:c>
      <x:c r="G32" s="93" t="inlineStr">
        <x:is>
          <x:t xml:space="preserve">pass</x:t>
        </x:is>
      </x:c>
      <x:c r="H32" s="93" t="inlineStr">
        <x:is>
          <x:t xml:space="preserve">covered</x:t>
        </x:is>
      </x:c>
      <x:c r="I32" s="94" t="inlineStr">
        <x:is>
          <x:t xml:space="preserve">Toggle playground manual verification.</x:t>
        </x:is>
      </x:c>
      <x:c r="J32" s="94" t="n"/>
      <x:c r="K32" s="95" t="n">
        <x:f>IF(AND(E32="yes",F32="yes",H32="covered"),1,IF(H32="partial",0.5,0))</x:f>
        <x:v>1</x:v>
      </x:c>
    </x:row>
    <x:row r="33" s="51" customFormat="1" ht="15" customHeight="1">
      <x:c r="A33" s="93" t="n">
        <x:v>25</x:v>
      </x:c>
      <x:c r="B33" s="94" t="inlineStr">
        <x:is>
          <x:t xml:space="preserve">Data</x:t>
        </x:is>
      </x:c>
      <x:c r="C33" s="94" t="inlineStr">
        <x:is>
          <x:t xml:space="preserve">Root</x:t>
        </x:is>
      </x:c>
      <x:c r="D33" s="94" t="inlineStr">
        <x:is>
          <x:t xml:space="preserve">data-slot is toggle</x:t>
        </x:is>
      </x:c>
      <x:c r="E33" s="93" t="inlineStr">
        <x:is>
          <x:t xml:space="preserve">yes</x:t>
        </x:is>
      </x:c>
      <x:c r="F33" s="93" t="inlineStr">
        <x:is>
          <x:t xml:space="preserve">yes</x:t>
        </x:is>
      </x:c>
      <x:c r="G33" s="93" t="inlineStr">
        <x:is>
          <x:t xml:space="preserve">pass</x:t>
        </x:is>
      </x:c>
      <x:c r="H33" s="93" t="inlineStr">
        <x:is>
          <x:t xml:space="preserve">covered</x:t>
        </x:is>
      </x:c>
      <x:c r="I33" s="94" t="inlineStr">
        <x:is>
          <x:t xml:space="preserve">Toggle playground manual verification.</x:t>
        </x:is>
      </x:c>
      <x:c r="J33" s="94" t="n"/>
      <x:c r="K33" s="95" t="n">
        <x:f>IF(AND(E33="yes",F33="yes",H33="covered"),1,IF(H33="partial",0.5,0))</x:f>
        <x:v>1</x:v>
      </x:c>
    </x:row>
    <x:row r="34" s="51" customFormat="1" ht="15" customHeight="1">
      <x:c r="A34" s="93" t="n">
        <x:v>26</x:v>
      </x:c>
      <x:c r="B34" s="94" t="inlineStr">
        <x:is>
          <x:t xml:space="preserve">Data</x:t>
        </x:is>
      </x:c>
      <x:c r="C34" s="94" t="inlineStr">
        <x:is>
          <x:t xml:space="preserve">Root</x:t>
        </x:is>
      </x:c>
      <x:c r="D34" s="94" t="inlineStr">
        <x:is>
          <x:t xml:space="preserve">data-state is on or off</x:t>
        </x:is>
      </x:c>
      <x:c r="E34" s="93" t="inlineStr">
        <x:is>
          <x:t xml:space="preserve">yes</x:t>
        </x:is>
      </x:c>
      <x:c r="F34" s="93" t="inlineStr">
        <x:is>
          <x:t xml:space="preserve">yes</x:t>
        </x:is>
      </x:c>
      <x:c r="G34" s="93" t="inlineStr">
        <x:is>
          <x:t xml:space="preserve">pass</x:t>
        </x:is>
      </x:c>
      <x:c r="H34" s="93" t="inlineStr">
        <x:is>
          <x:t xml:space="preserve">covered</x:t>
        </x:is>
      </x:c>
      <x:c r="I34" s="94" t="inlineStr">
        <x:is>
          <x:t xml:space="preserve">Toggle playground manual verification.</x:t>
        </x:is>
      </x:c>
      <x:c r="J34" s="94" t="n"/>
      <x:c r="K34" s="95" t="n">
        <x:f>IF(AND(E34="yes",F34="yes",H34="covered"),1,IF(H34="partial",0.5,0))</x:f>
        <x:v>1</x:v>
      </x:c>
    </x:row>
    <x:row r="35" s="51" customFormat="1" ht="15" customHeight="1">
      <x:c r="A35" s="93" t="n">
        <x:v>27</x:v>
      </x:c>
      <x:c r="B35" s="94" t="inlineStr">
        <x:is>
          <x:t xml:space="preserve">Data</x:t>
        </x:is>
      </x:c>
      <x:c r="C35" s="94" t="inlineStr">
        <x:is>
          <x:t xml:space="preserve">Root</x:t>
        </x:is>
      </x:c>
      <x:c r="D35" s="94" t="inlineStr">
        <x:is>
          <x:t xml:space="preserve">data-disabled appears only when disabled</x:t>
        </x:is>
      </x:c>
      <x:c r="E35" s="93" t="inlineStr">
        <x:is>
          <x:t xml:space="preserve">yes</x:t>
        </x:is>
      </x:c>
      <x:c r="F35" s="93" t="inlineStr">
        <x:is>
          <x:t xml:space="preserve">yes</x:t>
        </x:is>
      </x:c>
      <x:c r="G35" s="93" t="inlineStr">
        <x:is>
          <x:t xml:space="preserve">pass</x:t>
        </x:is>
      </x:c>
      <x:c r="H35" s="93" t="inlineStr">
        <x:is>
          <x:t xml:space="preserve">covered</x:t>
        </x:is>
      </x:c>
      <x:c r="I35" s="94" t="inlineStr">
        <x:is>
          <x:t xml:space="preserve">Toggle playground manual verification.</x:t>
        </x:is>
      </x:c>
      <x:c r="J35" s="94" t="n"/>
      <x:c r="K35" s="95" t="n">
        <x:f>IF(AND(E35="yes",F35="yes",H35="covered"),1,IF(H35="partial",0.5,0))</x:f>
        <x:v>1</x:v>
      </x:c>
    </x:row>
    <x:row r="36" s="51" customFormat="1" ht="15" customHeight="1">
      <x:c r="A36" s="93" t="n">
        <x:v>28</x:v>
      </x:c>
      <x:c r="B36" s="94" t="inlineStr">
        <x:is>
          <x:t xml:space="preserve">Data</x:t>
        </x:is>
      </x:c>
      <x:c r="C36" s="94" t="inlineStr">
        <x:is>
          <x:t xml:space="preserve">Root</x:t>
        </x:is>
      </x:c>
      <x:c r="D36" s="94" t="inlineStr">
        <x:is>
          <x:t xml:space="preserve">data-value is bold</x:t>
        </x:is>
      </x:c>
      <x:c r="E36" s="93" t="inlineStr">
        <x:is>
          <x:t xml:space="preserve">yes</x:t>
        </x:is>
      </x:c>
      <x:c r="F36" s="93" t="inlineStr">
        <x:is>
          <x:t xml:space="preserve">yes</x:t>
        </x:is>
      </x:c>
      <x:c r="G36" s="93" t="inlineStr">
        <x:is>
          <x:t xml:space="preserve">pass</x:t>
        </x:is>
      </x:c>
      <x:c r="H36" s="93" t="inlineStr">
        <x:is>
          <x:t xml:space="preserve">covered</x:t>
        </x:is>
      </x:c>
      <x:c r="I36" s="94" t="inlineStr">
        <x:is>
          <x:t xml:space="preserve">Toggle playground manual verification.</x:t>
        </x:is>
      </x:c>
      <x:c r="J36" s="94" t="n"/>
      <x:c r="K36" s="95" t="n">
        <x:f>IF(AND(E36="yes",F36="yes",H36="covered"),1,IF(H36="partial",0.5,0))</x:f>
        <x:v>1</x:v>
      </x:c>
    </x:row>
    <x:row r="37" s="51" customFormat="1" ht="15" customHeight="1">
      <x:c r="A37" s="93" t="n">
        <x:v>29</x:v>
      </x:c>
      <x:c r="B37" s="94" t="inlineStr">
        <x:is>
          <x:t xml:space="preserve">Composition</x:t>
        </x:is>
      </x:c>
      <x:c r="C37" s="94" t="inlineStr">
        <x:is>
          <x:t xml:space="preserve">Root</x:t>
        </x:is>
      </x:c>
      <x:c r="D37" s="94" t="inlineStr">
        <x:is>
          <x:t xml:space="preserve">asChild renders the provided child element</x:t>
        </x:is>
      </x:c>
      <x:c r="E37" s="93" t="inlineStr">
        <x:is>
          <x:t xml:space="preserve">yes</x:t>
        </x:is>
      </x:c>
      <x:c r="F37" s="93" t="inlineStr">
        <x:is>
          <x:t xml:space="preserve">yes</x:t>
        </x:is>
      </x:c>
      <x:c r="G37" s="93" t="inlineStr">
        <x:is>
          <x:t xml:space="preserve">pass</x:t>
        </x:is>
      </x:c>
      <x:c r="H37" s="93" t="inlineStr">
        <x:is>
          <x:t xml:space="preserve">covered</x:t>
        </x:is>
      </x:c>
      <x:c r="I37" s="94" t="inlineStr">
        <x:is>
          <x:t xml:space="preserve">Toggle playground manual verification.</x:t>
        </x:is>
      </x:c>
      <x:c r="J37" s="94" t="n"/>
      <x:c r="K37" s="95" t="n">
        <x:f>IF(AND(E37="yes",F37="yes",H37="covered"),1,IF(H37="partial",0.5,0))</x:f>
        <x:v>1</x:v>
      </x:c>
    </x:row>
    <x:row r="38" s="51" customFormat="1" ht="15" customHeight="1">
      <x:c r="A38" s="93" t="n">
        <x:v>30</x:v>
      </x:c>
      <x:c r="B38" s="94" t="inlineStr">
        <x:is>
          <x:t xml:space="preserve">Composition</x:t>
        </x:is>
      </x:c>
      <x:c r="C38" s="94" t="inlineStr">
        <x:is>
          <x:t xml:space="preserve">Root</x:t>
        </x:is>
      </x:c>
      <x:c r="D38" s="94" t="inlineStr">
        <x:is>
          <x:t xml:space="preserve">asChild keeps behavior, ARIA, data, and text</x:t>
        </x:is>
      </x:c>
      <x:c r="E38" s="93" t="inlineStr">
        <x:is>
          <x:t xml:space="preserve">yes</x:t>
        </x:is>
      </x:c>
      <x:c r="F38" s="93" t="inlineStr">
        <x:is>
          <x:t xml:space="preserve">yes</x:t>
        </x:is>
      </x:c>
      <x:c r="G38" s="93" t="inlineStr">
        <x:is>
          <x:t xml:space="preserve">pass</x:t>
        </x:is>
      </x:c>
      <x:c r="H38" s="93" t="inlineStr">
        <x:is>
          <x:t xml:space="preserve">covered</x:t>
        </x:is>
      </x:c>
      <x:c r="I38" s="94" t="inlineStr">
        <x:is>
          <x:t xml:space="preserve">Toggle playground manual verification.</x:t>
        </x:is>
      </x:c>
      <x:c r="J38" s="94" t="n"/>
      <x:c r="K38" s="95" t="n">
        <x:f>IF(AND(E38="yes",F38="yes",H38="covered"),1,IF(H38="partial",0.5,0))</x:f>
        <x:v>1</x:v>
      </x:c>
    </x:row>
    <x:row r="39" s="51" customFormat="1" ht="15" customHeight="1">
      <x:c r="A39" s="93" t="n">
        <x:v>31</x:v>
      </x:c>
      <x:c r="B39" s="94" t="inlineStr">
        <x:is>
          <x:t xml:space="preserve">Composition</x:t>
        </x:is>
      </x:c>
      <x:c r="C39" s="94" t="inlineStr">
        <x:is>
          <x:t xml:space="preserve">Root</x:t>
        </x:is>
      </x:c>
      <x:c r="D39" s="94" t="inlineStr">
        <x:is>
          <x:t xml:space="preserve">render renders the custom element</x:t>
        </x:is>
      </x:c>
      <x:c r="E39" s="93" t="inlineStr">
        <x:is>
          <x:t xml:space="preserve">yes</x:t>
        </x:is>
      </x:c>
      <x:c r="F39" s="93" t="inlineStr">
        <x:is>
          <x:t xml:space="preserve">yes</x:t>
        </x:is>
      </x:c>
      <x:c r="G39" s="93" t="inlineStr">
        <x:is>
          <x:t xml:space="preserve">pass</x:t>
        </x:is>
      </x:c>
      <x:c r="H39" s="93" t="inlineStr">
        <x:is>
          <x:t xml:space="preserve">covered</x:t>
        </x:is>
      </x:c>
      <x:c r="I39" s="94" t="inlineStr">
        <x:is>
          <x:t xml:space="preserve">Toggle playground manual verification.</x:t>
        </x:is>
      </x:c>
      <x:c r="J39" s="94" t="n"/>
      <x:c r="K39" s="95" t="n">
        <x:f>IF(AND(E39="yes",F39="yes",H39="covered"),1,IF(H39="partial",0.5,0))</x:f>
        <x:v>1</x:v>
      </x:c>
    </x:row>
    <x:row r="40" s="51" customFormat="1" ht="15" customHeight="1">
      <x:c r="A40" s="93" t="n">
        <x:v>32</x:v>
      </x:c>
      <x:c r="B40" s="94" t="inlineStr">
        <x:is>
          <x:t xml:space="preserve">Composition</x:t>
        </x:is>
      </x:c>
      <x:c r="C40" s="94" t="inlineStr">
        <x:is>
          <x:t xml:space="preserve">Root</x:t>
        </x:is>
      </x:c>
      <x:c r="D40" s="94" t="inlineStr">
        <x:is>
          <x:t xml:space="preserve">render keeps behavior, ARIA, data, and text</x:t>
        </x:is>
      </x:c>
      <x:c r="E40" s="93" t="inlineStr">
        <x:is>
          <x:t xml:space="preserve">yes</x:t>
        </x:is>
      </x:c>
      <x:c r="F40" s="93" t="inlineStr">
        <x:is>
          <x:t xml:space="preserve">yes</x:t>
        </x:is>
      </x:c>
      <x:c r="G40" s="93" t="inlineStr">
        <x:is>
          <x:t xml:space="preserve">pass</x:t>
        </x:is>
      </x:c>
      <x:c r="H40" s="93" t="inlineStr">
        <x:is>
          <x:t xml:space="preserve">covered</x:t>
        </x:is>
      </x:c>
      <x:c r="I40" s="94" t="inlineStr">
        <x:is>
          <x:t xml:space="preserve">Toggle playground manual verification.</x:t>
        </x:is>
      </x:c>
      <x:c r="J40" s="94" t="n"/>
      <x:c r="K40" s="95" t="n">
        <x:f>IF(AND(E40="yes",F40="yes",H40="covered"),1,IF(H40="partial",0.5,0))</x:f>
        <x:v>1</x:v>
      </x:c>
    </x:row>
    <x:row r="41" s="51" customFormat="1" ht="15" customHeight="1">
      <x:c r="A41" s="93" t="n">
        <x:v>33</x:v>
      </x:c>
      <x:c r="B41" s="94" t="inlineStr">
        <x:is>
          <x:t xml:space="preserve">Events</x:t>
        </x:is>
      </x:c>
      <x:c r="C41" s="94" t="inlineStr">
        <x:is>
          <x:t xml:space="preserve">Root</x:t>
        </x:is>
      </x:c>
      <x:c r="D41" s="94" t="inlineStr">
        <x:is>
          <x:t xml:space="preserve">consumer onClick logs before Atom state change</x:t>
        </x:is>
      </x:c>
      <x:c r="E41" s="93" t="inlineStr">
        <x:is>
          <x:t xml:space="preserve">yes</x:t>
        </x:is>
      </x:c>
      <x:c r="F41" s="93" t="inlineStr">
        <x:is>
          <x:t xml:space="preserve">yes</x:t>
        </x:is>
      </x:c>
      <x:c r="G41" s="93" t="inlineStr">
        <x:is>
          <x:t xml:space="preserve">pass</x:t>
        </x:is>
      </x:c>
      <x:c r="H41" s="93" t="inlineStr">
        <x:is>
          <x:t xml:space="preserve">covered</x:t>
        </x:is>
      </x:c>
      <x:c r="I41" s="94" t="inlineStr">
        <x:is>
          <x:t xml:space="preserve">Toggle playground manual verification.</x:t>
        </x:is>
      </x:c>
      <x:c r="J41" s="94" t="n"/>
      <x:c r="K41" s="95" t="n">
        <x:f>IF(AND(E41="yes",F41="yes",H41="covered"),1,IF(H41="partial",0.5,0))</x:f>
        <x:v>1</x:v>
      </x:c>
    </x:row>
    <x:row r="42" s="51" customFormat="1" ht="15" customHeight="1">
      <x:c r="A42" s="93" t="n">
        <x:v>34</x:v>
      </x:c>
      <x:c r="B42" s="94" t="inlineStr">
        <x:is>
          <x:t xml:space="preserve">Events</x:t>
        </x:is>
      </x:c>
      <x:c r="C42" s="94" t="inlineStr">
        <x:is>
          <x:t xml:space="preserve">Root</x:t>
        </x:is>
      </x:c>
      <x:c r="D42" s="94" t="inlineStr">
        <x:is>
          <x:t xml:space="preserve">consumer onKeyDown logs Enter and Space</x:t>
        </x:is>
      </x:c>
      <x:c r="E42" s="93" t="inlineStr">
        <x:is>
          <x:t xml:space="preserve">yes</x:t>
        </x:is>
      </x:c>
      <x:c r="F42" s="93" t="inlineStr">
        <x:is>
          <x:t xml:space="preserve">yes</x:t>
        </x:is>
      </x:c>
      <x:c r="G42" s="93" t="inlineStr">
        <x:is>
          <x:t xml:space="preserve">pass</x:t>
        </x:is>
      </x:c>
      <x:c r="H42" s="93" t="inlineStr">
        <x:is>
          <x:t xml:space="preserve">covered</x:t>
        </x:is>
      </x:c>
      <x:c r="I42" s="94" t="inlineStr">
        <x:is>
          <x:t xml:space="preserve">Toggle playground manual verification.</x:t>
        </x:is>
      </x:c>
      <x:c r="J42" s="94" t="n"/>
      <x:c r="K42" s="95" t="n">
        <x:f>IF(AND(E42="yes",F42="yes",H42="covered"),1,IF(H42="partial",0.5,0))</x:f>
        <x:v>1</x:v>
      </x:c>
    </x:row>
    <x:row r="43" s="51" customFormat="1" ht="15" customHeight="1">
      <x:c r="A43" s="93" t="n">
        <x:v>35</x:v>
      </x:c>
      <x:c r="B43" s="94" t="inlineStr">
        <x:is>
          <x:t xml:space="preserve">Events</x:t>
        </x:is>
      </x:c>
      <x:c r="C43" s="94" t="inlineStr">
        <x:is>
          <x:t xml:space="preserve">Root</x:t>
        </x:is>
      </x:c>
      <x:c r="D43" s="94" t="inlineStr">
        <x:is>
          <x:t xml:space="preserve">preventDefault on click blocks Atom toggle</x:t>
        </x:is>
      </x:c>
      <x:c r="E43" s="93" t="inlineStr">
        <x:is>
          <x:t xml:space="preserve">yes</x:t>
        </x:is>
      </x:c>
      <x:c r="F43" s="93" t="inlineStr">
        <x:is>
          <x:t xml:space="preserve">yes</x:t>
        </x:is>
      </x:c>
      <x:c r="G43" s="93" t="inlineStr">
        <x:is>
          <x:t xml:space="preserve">pass</x:t>
        </x:is>
      </x:c>
      <x:c r="H43" s="93" t="inlineStr">
        <x:is>
          <x:t xml:space="preserve">covered</x:t>
        </x:is>
      </x:c>
      <x:c r="I43" s="94" t="inlineStr">
        <x:is>
          <x:t xml:space="preserve">Toggle playground manual verification.</x:t>
        </x:is>
      </x:c>
      <x:c r="J43" s="94" t="n"/>
      <x:c r="K43" s="95" t="n">
        <x:f>IF(AND(E43="yes",F43="yes",H43="covered"),1,IF(H43="partial",0.5,0))</x:f>
        <x:v>1</x:v>
      </x:c>
    </x:row>
    <x:row r="44" s="51" customFormat="1" ht="15" customHeight="1">
      <x:c r="A44" s="93" t="n">
        <x:v>36</x:v>
      </x:c>
      <x:c r="B44" s="94" t="inlineStr">
        <x:is>
          <x:t xml:space="preserve">Events</x:t>
        </x:is>
      </x:c>
      <x:c r="C44" s="94" t="inlineStr">
        <x:is>
          <x:t xml:space="preserve">Root</x:t>
        </x:is>
      </x:c>
      <x:c r="D44" s="94" t="inlineStr">
        <x:is>
          <x:t xml:space="preserve">preventDefault on keyboard blocks Atom toggle</x:t>
        </x:is>
      </x:c>
      <x:c r="E44" s="93" t="inlineStr">
        <x:is>
          <x:t xml:space="preserve">yes</x:t>
        </x:is>
      </x:c>
      <x:c r="F44" s="93" t="inlineStr">
        <x:is>
          <x:t xml:space="preserve">yes</x:t>
        </x:is>
      </x:c>
      <x:c r="G44" s="93" t="inlineStr">
        <x:is>
          <x:t xml:space="preserve">pass</x:t>
        </x:is>
      </x:c>
      <x:c r="H44" s="93" t="inlineStr">
        <x:is>
          <x:t xml:space="preserve">covered</x:t>
        </x:is>
      </x:c>
      <x:c r="I44" s="94" t="inlineStr">
        <x:is>
          <x:t xml:space="preserve">Toggle playground manual verification.</x:t>
        </x:is>
      </x:c>
      <x:c r="J44" s="94" t="n"/>
      <x:c r="K44" s="95" t="n">
        <x:f>IF(AND(E44="yes",F44="yes",H44="covered"),1,IF(H44="partial",0.5,0))</x:f>
        <x:v>1</x:v>
      </x:c>
    </x:row>
    <x:row r="45" s="51" customFormat="1" ht="30" customHeight="1">
      <x:c r="A45" s="93" t="n">
        <x:v>37</x:v>
      </x:c>
      <x:c r="B45" s="94" t="inlineStr">
        <x:is>
          <x:t xml:space="preserve">Source</x:t>
        </x:is>
      </x:c>
      <x:c r="C45" s="94" t="inlineStr">
        <x:is>
          <x:t xml:space="preserve">Root</x:t>
        </x:is>
      </x:c>
      <x:c r="D45" s="94" t="inlineStr">
        <x:is>
          <x:t xml:space="preserve">Source hides false booleans and uses shorthand true booleans</x:t>
        </x:is>
      </x:c>
      <x:c r="E45" s="93" t="inlineStr">
        <x:is>
          <x:t xml:space="preserve">yes</x:t>
        </x:is>
      </x:c>
      <x:c r="F45" s="93" t="inlineStr">
        <x:is>
          <x:t xml:space="preserve">yes</x:t>
        </x:is>
      </x:c>
      <x:c r="G45" s="93" t="inlineStr">
        <x:is>
          <x:t xml:space="preserve">pass</x:t>
        </x:is>
      </x:c>
      <x:c r="H45" s="93" t="inlineStr">
        <x:is>
          <x:t xml:space="preserve">covered</x:t>
        </x:is>
      </x:c>
      <x:c r="I45" s="94" t="inlineStr">
        <x:is>
          <x:t xml:space="preserve">Toggle playground manual verification.</x:t>
        </x:is>
      </x:c>
      <x:c r="J45" s="94" t="n"/>
      <x:c r="K45" s="95" t="n">
        <x:f>IF(AND(E45="yes",F45="yes",H45="covered"),1,IF(H45="partial",0.5,0))</x:f>
        <x:v>1</x:v>
      </x:c>
    </x:row>
    <x:row r="46" s="51" customFormat="1" ht="15" customHeight="1"/>
    <x:row r="47" s="51" customFormat="1" ht="45" customHeight="1"/>
    <x:row r="48" s="51" customFormat="1" ht="15" customHeight="1"/>
    <x:row r="49" s="51" customFormat="1" ht="15" customHeight="1"/>
    <x:row r="50" s="51" customFormat="1" ht="15" customHeight="1"/>
    <x:row r="51" s="51" customFormat="1" ht="30" customHeight="1"/>
    <x:row r="52" s="51" customFormat="1" ht="30" customHeight="1"/>
    <x:row r="53" s="51" customFormat="1" ht="30" customHeight="1"/>
    <x:row r="54" s="51" customFormat="1" ht="30" customHeight="1"/>
    <x:row r="55" s="51" customFormat="1" ht="15" customHeight="1"/>
    <x:row r="56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ToggleGroup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15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54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45" customHeight="1">
      <x:c r="A9" s="93" t="n">
        <x:v>1</x:v>
      </x:c>
      <x:c r="B9" s="94" t="inlineStr">
        <x:is>
          <x:t xml:space="preserve">Playground</x:t>
        </x:is>
      </x:c>
      <x:c r="C9" s="94" t="inlineStr">
        <x:is>
          <x:t xml:space="preserve">Props</x:t>
        </x:is>
      </x:c>
      <x:c r="D9" s="94" t="inlineStr">
        <x:is>
          <x:t xml:space="preserve">Props toolbar exposes Prop Check and keeps data-prop-check off by default</x:t>
        </x:is>
      </x:c>
      <x:c r="E9" s="93" t="inlineStr">
        <x:is>
          <x:t xml:space="preserve">yes</x:t>
        </x:is>
      </x:c>
      <x:c r="F9" s="93" t="inlineStr">
        <x:is>
          <x:t xml:space="preserve">yes</x:t>
        </x:is>
      </x:c>
      <x:c r="G9" s="93" t="inlineStr">
        <x:is>
          <x:t xml:space="preserve">pass</x:t>
        </x:is>
      </x:c>
      <x:c r="H9" s="93" t="inlineStr">
        <x:is>
          <x:t xml:space="preserve">covered</x:t>
        </x:is>
      </x:c>
      <x:c r="I9" s="94" t="inlineStr">
        <x:is>
          <x:t xml:space="preserve">ToggleGroup playground manual verification.</x:t>
        </x:is>
      </x:c>
      <x:c r="J9" s="94" t="n"/>
      <x:c r="K9" s="95" t="n">
        <x:f>IF(AND(E9="yes",F9="yes",H9="covered"),1,IF(H9="partial",0.5,0))</x:f>
        <x:v>1</x:v>
      </x:c>
    </x:row>
    <x:row r="10" s="51" customFormat="1" ht="45" customHeight="1">
      <x:c r="A10" s="93" t="n">
        <x:v>2</x:v>
      </x:c>
      <x:c r="B10" s="94" t="inlineStr">
        <x:is>
          <x:t xml:space="preserve">Playground</x:t>
        </x:is>
      </x:c>
      <x:c r="C10" s="94" t="inlineStr">
        <x:is>
          <x:t xml:space="preserve">Props</x:t>
        </x:is>
      </x:c>
      <x:c r="D10" s="94" t="inlineStr">
        <x:is>
          <x:t xml:space="preserve">custom data-slot override is available for every slot-owning anatomy part</x:t>
        </x:is>
      </x:c>
      <x:c r="E10" s="93" t="inlineStr">
        <x:is>
          <x:t xml:space="preserve">yes</x:t>
        </x:is>
      </x:c>
      <x:c r="F10" s="93" t="inlineStr">
        <x:is>
          <x:t xml:space="preserve">yes</x:t>
        </x:is>
      </x:c>
      <x:c r="G10" s="93" t="inlineStr">
        <x:is>
          <x:t xml:space="preserve">pass</x:t>
        </x:is>
      </x:c>
      <x:c r="H10" s="93" t="inlineStr">
        <x:is>
          <x:t xml:space="preserve">covered</x:t>
        </x:is>
      </x:c>
      <x:c r="I10" s="94" t="inlineStr">
        <x:is>
          <x:t xml:space="preserve">ToggleGroup playground manual verification.</x:t>
        </x:is>
      </x:c>
      <x:c r="J10" s="94" t="n"/>
      <x:c r="K10" s="95" t="n">
        <x:f>IF(AND(E10="yes",F10="yes",H10="covered"),1,IF(H10="partial",0.5,0))</x:f>
        <x:v>1</x:v>
      </x:c>
    </x:row>
    <x:row r="11" s="51" customFormat="1" ht="15" customHeight="1">
      <x:c r="A11" s="93" t="n">
        <x:v>3</x:v>
      </x:c>
      <x:c r="B11" s="94" t="inlineStr">
        <x:is>
          <x:t xml:space="preserve">Playground</x:t>
        </x:is>
      </x:c>
      <x:c r="C11" s="94" t="inlineStr">
        <x:is>
          <x:t xml:space="preserve">ToggleGroup</x:t>
        </x:is>
      </x:c>
      <x:c r="D11" s="94" t="inlineStr">
        <x:is>
          <x:t xml:space="preserve">scenario is reachable from top menu</x:t>
        </x:is>
      </x:c>
      <x:c r="E11" s="93" t="inlineStr">
        <x:is>
          <x:t xml:space="preserve">yes</x:t>
        </x:is>
      </x:c>
      <x:c r="F11" s="93" t="inlineStr">
        <x:is>
          <x:t xml:space="preserve">yes</x:t>
        </x:is>
      </x:c>
      <x:c r="G11" s="93" t="inlineStr">
        <x:is>
          <x:t xml:space="preserve">pass</x:t>
        </x:is>
      </x:c>
      <x:c r="H11" s="93" t="inlineStr">
        <x:is>
          <x:t xml:space="preserve">covered</x:t>
        </x:is>
      </x:c>
      <x:c r="I11" s="94" t="inlineStr">
        <x:is>
          <x:t xml:space="preserve">ToggleGroup playground manual verification.</x:t>
        </x:is>
      </x:c>
      <x:c r="J11" s="94" t="n"/>
      <x:c r="K11" s="95" t="n">
        <x:f>IF(AND(E11="yes",F11="yes",H11="covered"),1,IF(H11="partial",0.5,0))</x:f>
        <x:v>1</x:v>
      </x:c>
    </x:row>
    <x:row r="12" s="51" customFormat="1" ht="30" customHeight="1">
      <x:c r="A12" s="93" t="n">
        <x:v>4</x:v>
      </x:c>
      <x:c r="B12" s="94" t="inlineStr">
        <x:is>
          <x:t xml:space="preserve">Playground</x:t>
        </x:is>
      </x:c>
      <x:c r="C12" s="94" t="inlineStr">
        <x:is>
          <x:t xml:space="preserve">ToggleGroup</x:t>
        </x:is>
      </x:c>
      <x:c r="D12" s="94" t="inlineStr">
        <x:is>
          <x:t xml:space="preserve">canvas source reflects current state, direction, and composition</x:t>
        </x:is>
      </x:c>
      <x:c r="E12" s="93" t="inlineStr">
        <x:is>
          <x:t xml:space="preserve">yes</x:t>
        </x:is>
      </x:c>
      <x:c r="F12" s="93" t="inlineStr">
        <x:is>
          <x:t xml:space="preserve">yes</x:t>
        </x:is>
      </x:c>
      <x:c r="G12" s="93" t="inlineStr">
        <x:is>
          <x:t xml:space="preserve">pass</x:t>
        </x:is>
      </x:c>
      <x:c r="H12" s="93" t="inlineStr">
        <x:is>
          <x:t xml:space="preserve">covered</x:t>
        </x:is>
      </x:c>
      <x:c r="I12" s="94" t="inlineStr">
        <x:is>
          <x:t xml:space="preserve">ToggleGroup playground manual verification.</x:t>
        </x:is>
      </x:c>
      <x:c r="J12" s="94" t="n"/>
      <x:c r="K12" s="95" t="n">
        <x:f>IF(AND(E12="yes",F12="yes",H12="covered"),1,IF(H12="partial",0.5,0))</x:f>
        <x:v>1</x:v>
      </x:c>
    </x:row>
    <x:row r="13" s="51" customFormat="1" ht="15" customHeight="1">
      <x:c r="A13" s="93" t="n">
        <x:v>5</x:v>
      </x:c>
      <x:c r="B13" s="94" t="inlineStr">
        <x:is>
          <x:t xml:space="preserve">Playground</x:t>
        </x:is>
      </x:c>
      <x:c r="C13" s="94" t="inlineStr">
        <x:is>
          <x:t xml:space="preserve">ToggleGroup</x:t>
        </x:is>
      </x:c>
      <x:c r="D13" s="94" t="inlineStr">
        <x:is>
          <x:t xml:space="preserve">anatomy uses live DOM Attributes, ARIA, and Data groups</x:t>
        </x:is>
      </x:c>
      <x:c r="E13" s="93" t="inlineStr">
        <x:is>
          <x:t xml:space="preserve">yes</x:t>
        </x:is>
      </x:c>
      <x:c r="F13" s="93" t="inlineStr">
        <x:is>
          <x:t xml:space="preserve">yes</x:t>
        </x:is>
      </x:c>
      <x:c r="G13" s="93" t="inlineStr">
        <x:is>
          <x:t xml:space="preserve">pass</x:t>
        </x:is>
      </x:c>
      <x:c r="H13" s="93" t="inlineStr">
        <x:is>
          <x:t xml:space="preserve">covered</x:t>
        </x:is>
      </x:c>
      <x:c r="I13" s="94" t="inlineStr">
        <x:is>
          <x:t xml:space="preserve">ToggleGroup playground manual verification.</x:t>
        </x:is>
      </x:c>
      <x:c r="J13" s="94" t="n"/>
      <x:c r="K13" s="95" t="n">
        <x:f>IF(AND(E13="yes",F13="yes",H13="covered"),1,IF(H13="partial",0.5,0))</x:f>
        <x:v>1</x:v>
      </x:c>
    </x:row>
    <x:row r="14" s="51" customFormat="1" ht="15" customHeight="1">
      <x:c r="A14" s="93" t="n">
        <x:v>6</x:v>
      </x:c>
      <x:c r="B14" s="94" t="inlineStr">
        <x:is>
          <x:t xml:space="preserve">Playground</x:t>
        </x:is>
      </x:c>
      <x:c r="C14" s="94" t="inlineStr">
        <x:is>
          <x:t xml:space="preserve">ToggleGroup</x:t>
        </x:is>
      </x:c>
      <x:c r="D14" s="94" t="inlineStr">
        <x:is>
          <x:t xml:space="preserve">inspector selected, focused, and logs work for this scenario</x:t>
        </x:is>
      </x:c>
      <x:c r="E14" s="93" t="inlineStr">
        <x:is>
          <x:t xml:space="preserve">yes</x:t>
        </x:is>
      </x:c>
      <x:c r="F14" s="93" t="inlineStr">
        <x:is>
          <x:t xml:space="preserve">yes</x:t>
        </x:is>
      </x:c>
      <x:c r="G14" s="93" t="inlineStr">
        <x:is>
          <x:t xml:space="preserve">pass</x:t>
        </x:is>
      </x:c>
      <x:c r="H14" s="93" t="inlineStr">
        <x:is>
          <x:t xml:space="preserve">covered</x:t>
        </x:is>
      </x:c>
      <x:c r="I14" s="94" t="inlineStr">
        <x:is>
          <x:t xml:space="preserve">ToggleGroup playground manual verification.</x:t>
        </x:is>
      </x:c>
      <x:c r="J14" s="94" t="n"/>
      <x:c r="K14" s="95" t="n">
        <x:f>IF(AND(E14="yes",F14="yes",H14="covered"),1,IF(H14="partial",0.5,0))</x:f>
        <x:v>1</x:v>
      </x:c>
    </x:row>
    <x:row r="15" s="51" customFormat="1" ht="15" customHeight="1">
      <x:c r="A15" s="93" t="n">
        <x:v>7</x:v>
      </x:c>
      <x:c r="B15" s="94" t="inlineStr">
        <x:is>
          <x:t xml:space="preserve">Anatomy</x:t>
        </x:is>
      </x:c>
      <x:c r="C15" s="94" t="inlineStr">
        <x:is>
          <x:t xml:space="preserve">Root</x:t>
        </x:is>
      </x:c>
      <x:c r="D15" s="94" t="inlineStr">
        <x:is>
          <x:t xml:space="preserve">Root appears before Item sections</x:t>
        </x:is>
      </x:c>
      <x:c r="E15" s="93" t="inlineStr">
        <x:is>
          <x:t xml:space="preserve">yes</x:t>
        </x:is>
      </x:c>
      <x:c r="F15" s="93" t="inlineStr">
        <x:is>
          <x:t xml:space="preserve">yes</x:t>
        </x:is>
      </x:c>
      <x:c r="G15" s="93" t="inlineStr">
        <x:is>
          <x:t xml:space="preserve">pass</x:t>
        </x:is>
      </x:c>
      <x:c r="H15" s="93" t="inlineStr">
        <x:is>
          <x:t xml:space="preserve">covered</x:t>
        </x:is>
      </x:c>
      <x:c r="I15" s="94" t="inlineStr">
        <x:is>
          <x:t xml:space="preserve">ToggleGroup playground manual verification.</x:t>
        </x:is>
      </x:c>
      <x:c r="J15" s="94" t="n"/>
      <x:c r="K15" s="95" t="n">
        <x:f>IF(AND(E15="yes",F15="yes",H15="covered"),1,IF(H15="partial",0.5,0))</x:f>
        <x:v>1</x:v>
      </x:c>
    </x:row>
    <x:row r="16" s="51" customFormat="1" ht="15" customHeight="1">
      <x:c r="A16" s="93" t="n">
        <x:v>8</x:v>
      </x:c>
      <x:c r="B16" s="94" t="inlineStr">
        <x:is>
          <x:t xml:space="preserve">Anatomy</x:t>
        </x:is>
      </x:c>
      <x:c r="C16" s="94" t="inlineStr">
        <x:is>
          <x:t xml:space="preserve">Item</x:t>
        </x:is>
      </x:c>
      <x:c r="D16" s="94" t="inlineStr">
        <x:is>
          <x:t xml:space="preserve">Bold, Italic, and Underline items are inspectable separately</x:t>
        </x:is>
      </x:c>
      <x:c r="E16" s="93" t="inlineStr">
        <x:is>
          <x:t xml:space="preserve">yes</x:t>
        </x:is>
      </x:c>
      <x:c r="F16" s="93" t="inlineStr">
        <x:is>
          <x:t xml:space="preserve">yes</x:t>
        </x:is>
      </x:c>
      <x:c r="G16" s="93" t="inlineStr">
        <x:is>
          <x:t xml:space="preserve">pass</x:t>
        </x:is>
      </x:c>
      <x:c r="H16" s="93" t="inlineStr">
        <x:is>
          <x:t xml:space="preserve">covered</x:t>
        </x:is>
      </x:c>
      <x:c r="I16" s="94" t="inlineStr">
        <x:is>
          <x:t xml:space="preserve">ToggleGroup playground manual verification.</x:t>
        </x:is>
      </x:c>
      <x:c r="J16" s="94" t="n"/>
      <x:c r="K16" s="95" t="n">
        <x:f>IF(AND(E16="yes",F16="yes",H16="covered"),1,IF(H16="partial",0.5,0))</x:f>
        <x:v>1</x:v>
      </x:c>
    </x:row>
    <x:row r="17" s="51" customFormat="1" ht="15" customHeight="1">
      <x:c r="A17" s="93" t="n">
        <x:v>9</x:v>
      </x:c>
      <x:c r="B17" s="94" t="inlineStr">
        <x:is>
          <x:t xml:space="preserve">Identity</x:t>
        </x:is>
      </x:c>
      <x:c r="C17" s="94" t="inlineStr">
        <x:is>
          <x:t xml:space="preserve">Root</x:t>
        </x:is>
      </x:c>
      <x:c r="D17" s="94" t="inlineStr">
        <x:is>
          <x:t xml:space="preserve">default tag is div and ref target matches rendered element</x:t>
        </x:is>
      </x:c>
      <x:c r="E17" s="93" t="inlineStr">
        <x:is>
          <x:t xml:space="preserve">yes</x:t>
        </x:is>
      </x:c>
      <x:c r="F17" s="93" t="inlineStr">
        <x:is>
          <x:t xml:space="preserve">yes</x:t>
        </x:is>
      </x:c>
      <x:c r="G17" s="93" t="inlineStr">
        <x:is>
          <x:t xml:space="preserve">pass</x:t>
        </x:is>
      </x:c>
      <x:c r="H17" s="93" t="inlineStr">
        <x:is>
          <x:t xml:space="preserve">covered</x:t>
        </x:is>
      </x:c>
      <x:c r="I17" s="94" t="inlineStr">
        <x:is>
          <x:t xml:space="preserve">ToggleGroup playground manual verification.</x:t>
        </x:is>
      </x:c>
      <x:c r="J17" s="94" t="n"/>
      <x:c r="K17" s="95" t="n">
        <x:f>IF(AND(E17="yes",F17="yes",H17="covered"),1,IF(H17="partial",0.5,0))</x:f>
        <x:v>1</x:v>
      </x:c>
    </x:row>
    <x:row r="18" s="51" customFormat="1" ht="15" customHeight="1">
      <x:c r="A18" s="93" t="n">
        <x:v>10</x:v>
      </x:c>
      <x:c r="B18" s="94" t="inlineStr">
        <x:is>
          <x:t xml:space="preserve">Identity</x:t>
        </x:is>
      </x:c>
      <x:c r="C18" s="94" t="inlineStr">
        <x:is>
          <x:t xml:space="preserve">Root</x:t>
        </x:is>
      </x:c>
      <x:c r="D18" s="94" t="inlineStr">
        <x:is>
          <x:t xml:space="preserve">role group and aria-label are present</x:t>
        </x:is>
      </x:c>
      <x:c r="E18" s="93" t="inlineStr">
        <x:is>
          <x:t xml:space="preserve">yes</x:t>
        </x:is>
      </x:c>
      <x:c r="F18" s="93" t="inlineStr">
        <x:is>
          <x:t xml:space="preserve">yes</x:t>
        </x:is>
      </x:c>
      <x:c r="G18" s="93" t="inlineStr">
        <x:is>
          <x:t xml:space="preserve">pass</x:t>
        </x:is>
      </x:c>
      <x:c r="H18" s="93" t="inlineStr">
        <x:is>
          <x:t xml:space="preserve">covered</x:t>
        </x:is>
      </x:c>
      <x:c r="I18" s="94" t="inlineStr">
        <x:is>
          <x:t xml:space="preserve">ToggleGroup playground manual verification.</x:t>
        </x:is>
      </x:c>
      <x:c r="J18" s="94" t="n"/>
      <x:c r="K18" s="95" t="n">
        <x:f>IF(AND(E18="yes",F18="yes",H18="covered"),1,IF(H18="partial",0.5,0))</x:f>
        <x:v>1</x:v>
      </x:c>
    </x:row>
    <x:row r="19" s="51" customFormat="1" ht="15" customHeight="1">
      <x:c r="A19" s="93" t="n">
        <x:v>11</x:v>
      </x:c>
      <x:c r="B19" s="94" t="inlineStr">
        <x:is>
          <x:t xml:space="preserve">Identity</x:t>
        </x:is>
      </x:c>
      <x:c r="C19" s="94" t="inlineStr">
        <x:is>
          <x:t xml:space="preserve">Root</x:t>
        </x:is>
      </x:c>
      <x:c r="D19" s="94" t="inlineStr">
        <x:is>
          <x:t xml:space="preserve">data-slot is toggle-group</x:t>
        </x:is>
      </x:c>
      <x:c r="E19" s="93" t="inlineStr">
        <x:is>
          <x:t xml:space="preserve">yes</x:t>
        </x:is>
      </x:c>
      <x:c r="F19" s="93" t="inlineStr">
        <x:is>
          <x:t xml:space="preserve">yes</x:t>
        </x:is>
      </x:c>
      <x:c r="G19" s="93" t="inlineStr">
        <x:is>
          <x:t xml:space="preserve">pass</x:t>
        </x:is>
      </x:c>
      <x:c r="H19" s="93" t="inlineStr">
        <x:is>
          <x:t xml:space="preserve">covered</x:t>
        </x:is>
      </x:c>
      <x:c r="I19" s="94" t="inlineStr">
        <x:is>
          <x:t xml:space="preserve">ToggleGroup playground manual verification.</x:t>
        </x:is>
      </x:c>
      <x:c r="J19" s="94" t="n"/>
      <x:c r="K19" s="95" t="n">
        <x:f>IF(AND(E19="yes",F19="yes",H19="covered"),1,IF(H19="partial",0.5,0))</x:f>
        <x:v>1</x:v>
      </x:c>
    </x:row>
    <x:row r="20" s="51" customFormat="1" ht="15" customHeight="1">
      <x:c r="A20" s="93" t="n">
        <x:v>12</x:v>
      </x:c>
      <x:c r="B20" s="94" t="inlineStr">
        <x:is>
          <x:t xml:space="preserve">Props</x:t>
        </x:is>
      </x:c>
      <x:c r="C20" s="94" t="inlineStr">
        <x:is>
          <x:t xml:space="preserve">Root</x:t>
        </x:is>
      </x:c>
      <x:c r="D20" s="94" t="inlineStr">
        <x:is>
          <x:t xml:space="preserve">data-prop-check marker passes through</x:t>
        </x:is>
      </x:c>
      <x:c r="E20" s="93" t="inlineStr">
        <x:is>
          <x:t xml:space="preserve">yes</x:t>
        </x:is>
      </x:c>
      <x:c r="F20" s="93" t="inlineStr">
        <x:is>
          <x:t xml:space="preserve">yes</x:t>
        </x:is>
      </x:c>
      <x:c r="G20" s="93" t="inlineStr">
        <x:is>
          <x:t xml:space="preserve">pass</x:t>
        </x:is>
      </x:c>
      <x:c r="H20" s="93" t="inlineStr">
        <x:is>
          <x:t xml:space="preserve">covered</x:t>
        </x:is>
      </x:c>
      <x:c r="I20" s="94" t="inlineStr">
        <x:is>
          <x:t xml:space="preserve">ToggleGroup playground manual verification.</x:t>
        </x:is>
      </x:c>
      <x:c r="J20" s="94" t="n"/>
      <x:c r="K20" s="95" t="n">
        <x:f>IF(AND(E20="yes",F20="yes",H20="covered"),1,IF(H20="partial",0.5,0))</x:f>
        <x:v>1</x:v>
      </x:c>
    </x:row>
    <x:row r="21" s="51" customFormat="1" ht="15" customHeight="1">
      <x:c r="A21" s="93" t="n">
        <x:v>13</x:v>
      </x:c>
      <x:c r="B21" s="94" t="inlineStr">
        <x:is>
          <x:t xml:space="preserve">State</x:t>
        </x:is>
      </x:c>
      <x:c r="C21" s="94" t="inlineStr">
        <x:is>
          <x:t xml:space="preserve">Root</x:t>
        </x:is>
      </x:c>
      <x:c r="D21" s="94" t="inlineStr">
        <x:is>
          <x:t xml:space="preserve">single type toggles one selected value</x:t>
        </x:is>
      </x:c>
      <x:c r="E21" s="93" t="inlineStr">
        <x:is>
          <x:t xml:space="preserve">yes</x:t>
        </x:is>
      </x:c>
      <x:c r="F21" s="93" t="inlineStr">
        <x:is>
          <x:t xml:space="preserve">yes</x:t>
        </x:is>
      </x:c>
      <x:c r="G21" s="93" t="inlineStr">
        <x:is>
          <x:t xml:space="preserve">pass</x:t>
        </x:is>
      </x:c>
      <x:c r="H21" s="93" t="inlineStr">
        <x:is>
          <x:t xml:space="preserve">covered</x:t>
        </x:is>
      </x:c>
      <x:c r="I21" s="94" t="inlineStr">
        <x:is>
          <x:t xml:space="preserve">ToggleGroup playground manual verification.</x:t>
        </x:is>
      </x:c>
      <x:c r="J21" s="94" t="n"/>
      <x:c r="K21" s="95" t="n">
        <x:f>IF(AND(E21="yes",F21="yes",H21="covered"),1,IF(H21="partial",0.5,0))</x:f>
        <x:v>1</x:v>
      </x:c>
    </x:row>
    <x:row r="22" s="51" customFormat="1" ht="15" customHeight="1">
      <x:c r="A22" s="93" t="n">
        <x:v>14</x:v>
      </x:c>
      <x:c r="B22" s="94" t="inlineStr">
        <x:is>
          <x:t xml:space="preserve">State</x:t>
        </x:is>
      </x:c>
      <x:c r="C22" s="94" t="inlineStr">
        <x:is>
          <x:t xml:space="preserve">Root</x:t>
        </x:is>
      </x:c>
      <x:c r="D22" s="94" t="inlineStr">
        <x:is>
          <x:t xml:space="preserve">multiple type toggles multiple selected values</x:t>
        </x:is>
      </x:c>
      <x:c r="E22" s="93" t="inlineStr">
        <x:is>
          <x:t xml:space="preserve">yes</x:t>
        </x:is>
      </x:c>
      <x:c r="F22" s="93" t="inlineStr">
        <x:is>
          <x:t xml:space="preserve">yes</x:t>
        </x:is>
      </x:c>
      <x:c r="G22" s="93" t="inlineStr">
        <x:is>
          <x:t xml:space="preserve">pass</x:t>
        </x:is>
      </x:c>
      <x:c r="H22" s="93" t="inlineStr">
        <x:is>
          <x:t xml:space="preserve">covered</x:t>
        </x:is>
      </x:c>
      <x:c r="I22" s="94" t="inlineStr">
        <x:is>
          <x:t xml:space="preserve">ToggleGroup playground manual verification.</x:t>
        </x:is>
      </x:c>
      <x:c r="J22" s="94" t="n"/>
      <x:c r="K22" s="95" t="n">
        <x:f>IF(AND(E22="yes",F22="yes",H22="covered"),1,IF(H22="partial",0.5,0))</x:f>
        <x:v>1</x:v>
      </x:c>
    </x:row>
    <x:row r="23" s="51" customFormat="1" ht="15" customHeight="1">
      <x:c r="A23" s="93" t="n">
        <x:v>15</x:v>
      </x:c>
      <x:c r="B23" s="94" t="inlineStr">
        <x:is>
          <x:t xml:space="preserve">State</x:t>
        </x:is>
      </x:c>
      <x:c r="C23" s="94" t="inlineStr">
        <x:is>
          <x:t xml:space="preserve">Root</x:t>
        </x:is>
      </x:c>
      <x:c r="D23" s="94" t="inlineStr">
        <x:is>
          <x:t xml:space="preserve">controlled value path updates from toolbar and item press</x:t>
        </x:is>
      </x:c>
      <x:c r="E23" s="93" t="inlineStr">
        <x:is>
          <x:t xml:space="preserve">yes</x:t>
        </x:is>
      </x:c>
      <x:c r="F23" s="93" t="inlineStr">
        <x:is>
          <x:t xml:space="preserve">yes</x:t>
        </x:is>
      </x:c>
      <x:c r="G23" s="93" t="inlineStr">
        <x:is>
          <x:t xml:space="preserve">pass</x:t>
        </x:is>
      </x:c>
      <x:c r="H23" s="93" t="inlineStr">
        <x:is>
          <x:t xml:space="preserve">covered</x:t>
        </x:is>
      </x:c>
      <x:c r="I23" s="94" t="inlineStr">
        <x:is>
          <x:t xml:space="preserve">ToggleGroup playground manual verification.</x:t>
        </x:is>
      </x:c>
      <x:c r="J23" s="94" t="n"/>
      <x:c r="K23" s="95" t="n">
        <x:f>IF(AND(E23="yes",F23="yes",H23="covered"),1,IF(H23="partial",0.5,0))</x:f>
        <x:v>1</x:v>
      </x:c>
    </x:row>
    <x:row r="24" s="51" customFormat="1" ht="15" customHeight="1">
      <x:c r="A24" s="93" t="n">
        <x:v>16</x:v>
      </x:c>
      <x:c r="B24" s="94" t="inlineStr">
        <x:is>
          <x:t xml:space="preserve">State</x:t>
        </x:is>
      </x:c>
      <x:c r="C24" s="94" t="inlineStr">
        <x:is>
          <x:t xml:space="preserve">Root</x:t>
        </x:is>
      </x:c>
      <x:c r="D24" s="94" t="inlineStr">
        <x:is>
          <x:t xml:space="preserve">uncontrolled defaultValue path updates from item press</x:t>
        </x:is>
      </x:c>
      <x:c r="E24" s="93" t="inlineStr">
        <x:is>
          <x:t xml:space="preserve">yes</x:t>
        </x:is>
      </x:c>
      <x:c r="F24" s="93" t="inlineStr">
        <x:is>
          <x:t xml:space="preserve">yes</x:t>
        </x:is>
      </x:c>
      <x:c r="G24" s="93" t="inlineStr">
        <x:is>
          <x:t xml:space="preserve">pass</x:t>
        </x:is>
      </x:c>
      <x:c r="H24" s="93" t="inlineStr">
        <x:is>
          <x:t xml:space="preserve">covered</x:t>
        </x:is>
      </x:c>
      <x:c r="I24" s="94" t="inlineStr">
        <x:is>
          <x:t xml:space="preserve">ToggleGroup playground manual verification.</x:t>
        </x:is>
      </x:c>
      <x:c r="J24" s="94" t="n"/>
      <x:c r="K24" s="95" t="n">
        <x:f>IF(AND(E24="yes",F24="yes",H24="covered"),1,IF(H24="partial",0.5,0))</x:f>
        <x:v>1</x:v>
      </x:c>
    </x:row>
    <x:row r="25" s="51" customFormat="1" ht="30" customHeight="1">
      <x:c r="A25" s="93" t="n">
        <x:v>17</x:v>
      </x:c>
      <x:c r="B25" s="94" t="inlineStr">
        <x:is>
          <x:t xml:space="preserve">State</x:t>
        </x:is>
      </x:c>
      <x:c r="C25" s="94" t="inlineStr">
        <x:is>
          <x:t xml:space="preserve">Root</x:t>
        </x:is>
      </x:c>
      <x:c r="D25" s="94" t="inlineStr">
        <x:is>
          <x:t xml:space="preserve">onValueChange logs the next value exactly once per change</x:t>
        </x:is>
      </x:c>
      <x:c r="E25" s="93" t="inlineStr">
        <x:is>
          <x:t xml:space="preserve">yes</x:t>
        </x:is>
      </x:c>
      <x:c r="F25" s="93" t="inlineStr">
        <x:is>
          <x:t xml:space="preserve">yes</x:t>
        </x:is>
      </x:c>
      <x:c r="G25" s="93" t="inlineStr">
        <x:is>
          <x:t xml:space="preserve">pass</x:t>
        </x:is>
      </x:c>
      <x:c r="H25" s="93" t="inlineStr">
        <x:is>
          <x:t xml:space="preserve">covered</x:t>
        </x:is>
      </x:c>
      <x:c r="I25" s="94" t="inlineStr">
        <x:is>
          <x:t xml:space="preserve">ToggleGroup playground manual verification.</x:t>
        </x:is>
      </x:c>
      <x:c r="J25" s="94" t="n"/>
      <x:c r="K25" s="95" t="n">
        <x:f>IF(AND(E25="yes",F25="yes",H25="covered"),1,IF(H25="partial",0.5,0))</x:f>
        <x:v>1</x:v>
      </x:c>
    </x:row>
    <x:row r="26" s="51" customFormat="1" ht="15" customHeight="1">
      <x:c r="A26" s="93" t="n">
        <x:v>18</x:v>
      </x:c>
      <x:c r="B26" s="94" t="inlineStr">
        <x:is>
          <x:t xml:space="preserve">State</x:t>
        </x:is>
      </x:c>
      <x:c r="C26" s="94" t="inlineStr">
        <x:is>
          <x:t xml:space="preserve">Root</x:t>
        </x:is>
      </x:c>
      <x:c r="D26" s="94" t="inlineStr">
        <x:is>
          <x:t xml:space="preserve">disabled disables every item and blocks value changes</x:t>
        </x:is>
      </x:c>
      <x:c r="E26" s="93" t="inlineStr">
        <x:is>
          <x:t xml:space="preserve">yes</x:t>
        </x:is>
      </x:c>
      <x:c r="F26" s="93" t="inlineStr">
        <x:is>
          <x:t xml:space="preserve">yes</x:t>
        </x:is>
      </x:c>
      <x:c r="G26" s="93" t="inlineStr">
        <x:is>
          <x:t xml:space="preserve">pass</x:t>
        </x:is>
      </x:c>
      <x:c r="H26" s="93" t="inlineStr">
        <x:is>
          <x:t xml:space="preserve">covered</x:t>
        </x:is>
      </x:c>
      <x:c r="I26" s="94" t="inlineStr">
        <x:is>
          <x:t xml:space="preserve">ToggleGroup playground manual verification.</x:t>
        </x:is>
      </x:c>
      <x:c r="J26" s="94" t="n"/>
      <x:c r="K26" s="95" t="n">
        <x:f>IF(AND(E26="yes",F26="yes",H26="covered"),1,IF(H26="partial",0.5,0))</x:f>
        <x:v>1</x:v>
      </x:c>
    </x:row>
    <x:row r="27" s="51" customFormat="1" ht="15" customHeight="1">
      <x:c r="A27" s="93" t="n">
        <x:v>19</x:v>
      </x:c>
      <x:c r="B27" s="94" t="inlineStr">
        <x:is>
          <x:t xml:space="preserve">Behavior</x:t>
        </x:is>
      </x:c>
      <x:c r="C27" s="94" t="inlineStr">
        <x:is>
          <x:t xml:space="preserve">Root</x:t>
        </x:is>
      </x:c>
      <x:c r="D27" s="94" t="inlineStr">
        <x:is>
          <x:t xml:space="preserve">loop true wraps arrow focus</x:t>
        </x:is>
      </x:c>
      <x:c r="E27" s="93" t="inlineStr">
        <x:is>
          <x:t xml:space="preserve">yes</x:t>
        </x:is>
      </x:c>
      <x:c r="F27" s="93" t="inlineStr">
        <x:is>
          <x:t xml:space="preserve">yes</x:t>
        </x:is>
      </x:c>
      <x:c r="G27" s="93" t="inlineStr">
        <x:is>
          <x:t xml:space="preserve">pass</x:t>
        </x:is>
      </x:c>
      <x:c r="H27" s="93" t="inlineStr">
        <x:is>
          <x:t xml:space="preserve">covered</x:t>
        </x:is>
      </x:c>
      <x:c r="I27" s="94" t="inlineStr">
        <x:is>
          <x:t xml:space="preserve">ToggleGroup playground manual verification.</x:t>
        </x:is>
      </x:c>
      <x:c r="J27" s="94" t="n"/>
      <x:c r="K27" s="95" t="n">
        <x:f>IF(AND(E27="yes",F27="yes",H27="covered"),1,IF(H27="partial",0.5,0))</x:f>
        <x:v>1</x:v>
      </x:c>
    </x:row>
    <x:row r="28" s="51" customFormat="1" ht="15" customHeight="1">
      <x:c r="A28" s="93" t="n">
        <x:v>20</x:v>
      </x:c>
      <x:c r="B28" s="94" t="inlineStr">
        <x:is>
          <x:t xml:space="preserve">Behavior</x:t>
        </x:is>
      </x:c>
      <x:c r="C28" s="94" t="inlineStr">
        <x:is>
          <x:t xml:space="preserve">Root</x:t>
        </x:is>
      </x:c>
      <x:c r="D28" s="94" t="inlineStr">
        <x:is>
          <x:t xml:space="preserve">loop false stops arrow focus at edges</x:t>
        </x:is>
      </x:c>
      <x:c r="E28" s="93" t="inlineStr">
        <x:is>
          <x:t xml:space="preserve">yes</x:t>
        </x:is>
      </x:c>
      <x:c r="F28" s="93" t="inlineStr">
        <x:is>
          <x:t xml:space="preserve">yes</x:t>
        </x:is>
      </x:c>
      <x:c r="G28" s="93" t="inlineStr">
        <x:is>
          <x:t xml:space="preserve">pass</x:t>
        </x:is>
      </x:c>
      <x:c r="H28" s="93" t="inlineStr">
        <x:is>
          <x:t xml:space="preserve">covered</x:t>
        </x:is>
      </x:c>
      <x:c r="I28" s="94" t="inlineStr">
        <x:is>
          <x:t xml:space="preserve">ToggleGroup playground manual verification.</x:t>
        </x:is>
      </x:c>
      <x:c r="J28" s="94" t="n"/>
      <x:c r="K28" s="95" t="n">
        <x:f>IF(AND(E28="yes",F28="yes",H28="covered"),1,IF(H28="partial",0.5,0))</x:f>
        <x:v>1</x:v>
      </x:c>
    </x:row>
    <x:row r="29" s="51" customFormat="1" ht="15" customHeight="1">
      <x:c r="A29" s="93" t="n">
        <x:v>21</x:v>
      </x:c>
      <x:c r="B29" s="94" t="inlineStr">
        <x:is>
          <x:t xml:space="preserve">Behavior</x:t>
        </x:is>
      </x:c>
      <x:c r="C29" s="94" t="inlineStr">
        <x:is>
          <x:t xml:space="preserve">Root</x:t>
        </x:is>
      </x:c>
      <x:c r="D29" s="94" t="inlineStr">
        <x:is>
          <x:t xml:space="preserve">horizontal orientation uses ArrowLeft and ArrowRight</x:t>
        </x:is>
      </x:c>
      <x:c r="E29" s="93" t="inlineStr">
        <x:is>
          <x:t xml:space="preserve">yes</x:t>
        </x:is>
      </x:c>
      <x:c r="F29" s="93" t="inlineStr">
        <x:is>
          <x:t xml:space="preserve">yes</x:t>
        </x:is>
      </x:c>
      <x:c r="G29" s="93" t="inlineStr">
        <x:is>
          <x:t xml:space="preserve">pass</x:t>
        </x:is>
      </x:c>
      <x:c r="H29" s="93" t="inlineStr">
        <x:is>
          <x:t xml:space="preserve">covered</x:t>
        </x:is>
      </x:c>
      <x:c r="I29" s="94" t="inlineStr">
        <x:is>
          <x:t xml:space="preserve">ToggleGroup playground manual verification.</x:t>
        </x:is>
      </x:c>
      <x:c r="J29" s="94" t="n"/>
      <x:c r="K29" s="95" t="n">
        <x:f>IF(AND(E29="yes",F29="yes",H29="covered"),1,IF(H29="partial",0.5,0))</x:f>
        <x:v>1</x:v>
      </x:c>
    </x:row>
    <x:row r="30" s="51" customFormat="1" ht="15" customHeight="1">
      <x:c r="A30" s="93" t="n">
        <x:v>22</x:v>
      </x:c>
      <x:c r="B30" s="94" t="inlineStr">
        <x:is>
          <x:t xml:space="preserve">Behavior</x:t>
        </x:is>
      </x:c>
      <x:c r="C30" s="94" t="inlineStr">
        <x:is>
          <x:t xml:space="preserve">Root</x:t>
        </x:is>
      </x:c>
      <x:c r="D30" s="94" t="inlineStr">
        <x:is>
          <x:t xml:space="preserve">vertical orientation uses ArrowUp and ArrowDown</x:t>
        </x:is>
      </x:c>
      <x:c r="E30" s="93" t="inlineStr">
        <x:is>
          <x:t xml:space="preserve">yes</x:t>
        </x:is>
      </x:c>
      <x:c r="F30" s="93" t="inlineStr">
        <x:is>
          <x:t xml:space="preserve">yes</x:t>
        </x:is>
      </x:c>
      <x:c r="G30" s="93" t="inlineStr">
        <x:is>
          <x:t xml:space="preserve">pass</x:t>
        </x:is>
      </x:c>
      <x:c r="H30" s="93" t="inlineStr">
        <x:is>
          <x:t xml:space="preserve">covered</x:t>
        </x:is>
      </x:c>
      <x:c r="I30" s="94" t="inlineStr">
        <x:is>
          <x:t xml:space="preserve">ToggleGroup playground manual verification.</x:t>
        </x:is>
      </x:c>
      <x:c r="J30" s="94" t="n"/>
      <x:c r="K30" s="95" t="n">
        <x:f>IF(AND(E30="yes",F30="yes",H30="covered"),1,IF(H30="partial",0.5,0))</x:f>
        <x:v>1</x:v>
      </x:c>
    </x:row>
    <x:row r="31" s="51" customFormat="1" ht="30" customHeight="1">
      <x:c r="A31" s="93" t="n">
        <x:v>23</x:v>
      </x:c>
      <x:c r="B31" s="94" t="inlineStr">
        <x:is>
          <x:t xml:space="preserve">Direction</x:t>
        </x:is>
      </x:c>
      <x:c r="C31" s="94" t="inlineStr">
        <x:is>
          <x:t xml:space="preserve">Root</x:t>
        </x:is>
      </x:c>
      <x:c r="D31" s="94" t="inlineStr">
        <x:is>
          <x:t xml:space="preserve">LTR horizontal ArrowRight moves forward and ArrowLeft moves backward</x:t>
        </x:is>
      </x:c>
      <x:c r="E31" s="93" t="inlineStr">
        <x:is>
          <x:t xml:space="preserve">yes</x:t>
        </x:is>
      </x:c>
      <x:c r="F31" s="93" t="inlineStr">
        <x:is>
          <x:t xml:space="preserve">yes</x:t>
        </x:is>
      </x:c>
      <x:c r="G31" s="93" t="inlineStr">
        <x:is>
          <x:t xml:space="preserve">pass</x:t>
        </x:is>
      </x:c>
      <x:c r="H31" s="93" t="inlineStr">
        <x:is>
          <x:t xml:space="preserve">covered</x:t>
        </x:is>
      </x:c>
      <x:c r="I31" s="94" t="inlineStr">
        <x:is>
          <x:t xml:space="preserve">ToggleGroup playground manual verification.</x:t>
        </x:is>
      </x:c>
      <x:c r="J31" s="94" t="n"/>
      <x:c r="K31" s="95" t="n">
        <x:f>IF(AND(E31="yes",F31="yes",H31="covered"),1,IF(H31="partial",0.5,0))</x:f>
        <x:v>1</x:v>
      </x:c>
    </x:row>
    <x:row r="32" s="51" customFormat="1" ht="30" customHeight="1">
      <x:c r="A32" s="93" t="n">
        <x:v>24</x:v>
      </x:c>
      <x:c r="B32" s="94" t="inlineStr">
        <x:is>
          <x:t xml:space="preserve">Direction</x:t>
        </x:is>
      </x:c>
      <x:c r="C32" s="94" t="inlineStr">
        <x:is>
          <x:t xml:space="preserve">Root</x:t>
        </x:is>
      </x:c>
      <x:c r="D32" s="94" t="inlineStr">
        <x:is>
          <x:t xml:space="preserve">RTL horizontal ArrowRight moves backward and ArrowLeft moves forward</x:t>
        </x:is>
      </x:c>
      <x:c r="E32" s="93" t="inlineStr">
        <x:is>
          <x:t xml:space="preserve">yes</x:t>
        </x:is>
      </x:c>
      <x:c r="F32" s="93" t="inlineStr">
        <x:is>
          <x:t xml:space="preserve">yes</x:t>
        </x:is>
      </x:c>
      <x:c r="G32" s="93" t="inlineStr">
        <x:is>
          <x:t xml:space="preserve">pass</x:t>
        </x:is>
      </x:c>
      <x:c r="H32" s="93" t="inlineStr">
        <x:is>
          <x:t xml:space="preserve">covered</x:t>
        </x:is>
      </x:c>
      <x:c r="I32" s="94" t="inlineStr">
        <x:is>
          <x:t xml:space="preserve">ToggleGroup playground manual verification.</x:t>
        </x:is>
      </x:c>
      <x:c r="J32" s="94" t="n"/>
      <x:c r="K32" s="95" t="n">
        <x:f>IF(AND(E32="yes",F32="yes",H32="covered"),1,IF(H32="partial",0.5,0))</x:f>
        <x:v>1</x:v>
      </x:c>
    </x:row>
    <x:row r="33" s="51" customFormat="1" ht="15" customHeight="1">
      <x:c r="A33" s="93" t="n">
        <x:v>25</x:v>
      </x:c>
      <x:c r="B33" s="94" t="inlineStr">
        <x:is>
          <x:t xml:space="preserve">Keyboard</x:t>
        </x:is>
      </x:c>
      <x:c r="C33" s="94" t="inlineStr">
        <x:is>
          <x:t xml:space="preserve">Root</x:t>
        </x:is>
      </x:c>
      <x:c r="D33" s="94" t="inlineStr">
        <x:is>
          <x:t xml:space="preserve">Home focuses the first enabled item</x:t>
        </x:is>
      </x:c>
      <x:c r="E33" s="93" t="inlineStr">
        <x:is>
          <x:t xml:space="preserve">yes</x:t>
        </x:is>
      </x:c>
      <x:c r="F33" s="93" t="inlineStr">
        <x:is>
          <x:t xml:space="preserve">yes</x:t>
        </x:is>
      </x:c>
      <x:c r="G33" s="93" t="inlineStr">
        <x:is>
          <x:t xml:space="preserve">pass</x:t>
        </x:is>
      </x:c>
      <x:c r="H33" s="93" t="inlineStr">
        <x:is>
          <x:t xml:space="preserve">covered</x:t>
        </x:is>
      </x:c>
      <x:c r="I33" s="94" t="inlineStr">
        <x:is>
          <x:t xml:space="preserve">ToggleGroup playground manual verification.</x:t>
        </x:is>
      </x:c>
      <x:c r="J33" s="94" t="n"/>
      <x:c r="K33" s="95" t="n">
        <x:f>IF(AND(E33="yes",F33="yes",H33="covered"),1,IF(H33="partial",0.5,0))</x:f>
        <x:v>1</x:v>
      </x:c>
    </x:row>
    <x:row r="34" s="51" customFormat="1" ht="15" customHeight="1">
      <x:c r="A34" s="93" t="n">
        <x:v>26</x:v>
      </x:c>
      <x:c r="B34" s="94" t="inlineStr">
        <x:is>
          <x:t xml:space="preserve">Keyboard</x:t>
        </x:is>
      </x:c>
      <x:c r="C34" s="94" t="inlineStr">
        <x:is>
          <x:t xml:space="preserve">Root</x:t>
        </x:is>
      </x:c>
      <x:c r="D34" s="94" t="inlineStr">
        <x:is>
          <x:t xml:space="preserve">End focuses the last enabled item</x:t>
        </x:is>
      </x:c>
      <x:c r="E34" s="93" t="inlineStr">
        <x:is>
          <x:t xml:space="preserve">yes</x:t>
        </x:is>
      </x:c>
      <x:c r="F34" s="93" t="inlineStr">
        <x:is>
          <x:t xml:space="preserve">yes</x:t>
        </x:is>
      </x:c>
      <x:c r="G34" s="93" t="inlineStr">
        <x:is>
          <x:t xml:space="preserve">pass</x:t>
        </x:is>
      </x:c>
      <x:c r="H34" s="93" t="inlineStr">
        <x:is>
          <x:t xml:space="preserve">covered</x:t>
        </x:is>
      </x:c>
      <x:c r="I34" s="94" t="inlineStr">
        <x:is>
          <x:t xml:space="preserve">ToggleGroup playground manual verification.</x:t>
        </x:is>
      </x:c>
      <x:c r="J34" s="94" t="n"/>
      <x:c r="K34" s="95" t="n">
        <x:f>IF(AND(E34="yes",F34="yes",H34="covered"),1,IF(H34="partial",0.5,0))</x:f>
        <x:v>1</x:v>
      </x:c>
    </x:row>
    <x:row r="35" s="51" customFormat="1" ht="15" customHeight="1">
      <x:c r="A35" s="93" t="n">
        <x:v>27</x:v>
      </x:c>
      <x:c r="B35" s="94" t="inlineStr">
        <x:is>
          <x:t xml:space="preserve">Keyboard</x:t>
        </x:is>
      </x:c>
      <x:c r="C35" s="94" t="inlineStr">
        <x:is>
          <x:t xml:space="preserve">Root</x:t>
        </x:is>
      </x:c>
      <x:c r="D35" s="94" t="inlineStr">
        <x:is>
          <x:t xml:space="preserve">disabled items are skipped during keyboard navigation</x:t>
        </x:is>
      </x:c>
      <x:c r="E35" s="93" t="inlineStr">
        <x:is>
          <x:t xml:space="preserve">yes</x:t>
        </x:is>
      </x:c>
      <x:c r="F35" s="93" t="inlineStr">
        <x:is>
          <x:t xml:space="preserve">yes</x:t>
        </x:is>
      </x:c>
      <x:c r="G35" s="93" t="inlineStr">
        <x:is>
          <x:t xml:space="preserve">pass</x:t>
        </x:is>
      </x:c>
      <x:c r="H35" s="93" t="inlineStr">
        <x:is>
          <x:t xml:space="preserve">covered</x:t>
        </x:is>
      </x:c>
      <x:c r="I35" s="94" t="inlineStr">
        <x:is>
          <x:t xml:space="preserve">ToggleGroup playground manual verification.</x:t>
        </x:is>
      </x:c>
      <x:c r="J35" s="94" t="n"/>
      <x:c r="K35" s="95" t="n">
        <x:f>IF(AND(E35="yes",F35="yes",H35="covered"),1,IF(H35="partial",0.5,0))</x:f>
        <x:v>1</x:v>
      </x:c>
    </x:row>
    <x:row r="36" s="51" customFormat="1" ht="15" customHeight="1">
      <x:c r="A36" s="93" t="n">
        <x:v>28</x:v>
      </x:c>
      <x:c r="B36" s="94" t="inlineStr">
        <x:is>
          <x:t xml:space="preserve">Focus</x:t>
        </x:is>
      </x:c>
      <x:c r="C36" s="94" t="inlineStr">
        <x:is>
          <x:t xml:space="preserve">Root</x:t>
        </x:is>
      </x:c>
      <x:c r="D36" s="94" t="inlineStr">
        <x:is>
          <x:t xml:space="preserve">roving tab stop follows selected item or first enabled item</x:t>
        </x:is>
      </x:c>
      <x:c r="E36" s="93" t="inlineStr">
        <x:is>
          <x:t xml:space="preserve">yes</x:t>
        </x:is>
      </x:c>
      <x:c r="F36" s="93" t="inlineStr">
        <x:is>
          <x:t xml:space="preserve">yes</x:t>
        </x:is>
      </x:c>
      <x:c r="G36" s="93" t="inlineStr">
        <x:is>
          <x:t xml:space="preserve">pass</x:t>
        </x:is>
      </x:c>
      <x:c r="H36" s="93" t="inlineStr">
        <x:is>
          <x:t xml:space="preserve">covered</x:t>
        </x:is>
      </x:c>
      <x:c r="I36" s="94" t="inlineStr">
        <x:is>
          <x:t xml:space="preserve">ToggleGroup playground manual verification.</x:t>
        </x:is>
      </x:c>
      <x:c r="J36" s="94" t="n"/>
      <x:c r="K36" s="95" t="n">
        <x:f>IF(AND(E36="yes",F36="yes",H36="covered"),1,IF(H36="partial",0.5,0))</x:f>
        <x:v>1</x:v>
      </x:c>
    </x:row>
    <x:row r="37" s="51" customFormat="1" ht="15" customHeight="1">
      <x:c r="A37" s="93" t="n">
        <x:v>29</x:v>
      </x:c>
      <x:c r="B37" s="94" t="inlineStr">
        <x:is>
          <x:t xml:space="preserve">Data</x:t>
        </x:is>
      </x:c>
      <x:c r="C37" s="94" t="inlineStr">
        <x:is>
          <x:t xml:space="preserve">Root</x:t>
        </x:is>
      </x:c>
      <x:c r="D37" s="94" t="inlineStr">
        <x:is>
          <x:t xml:space="preserve">data-orientation changes with orientation</x:t>
        </x:is>
      </x:c>
      <x:c r="E37" s="93" t="inlineStr">
        <x:is>
          <x:t xml:space="preserve">yes</x:t>
        </x:is>
      </x:c>
      <x:c r="F37" s="93" t="inlineStr">
        <x:is>
          <x:t xml:space="preserve">yes</x:t>
        </x:is>
      </x:c>
      <x:c r="G37" s="93" t="inlineStr">
        <x:is>
          <x:t xml:space="preserve">pass</x:t>
        </x:is>
      </x:c>
      <x:c r="H37" s="93" t="inlineStr">
        <x:is>
          <x:t xml:space="preserve">covered</x:t>
        </x:is>
      </x:c>
      <x:c r="I37" s="94" t="inlineStr">
        <x:is>
          <x:t xml:space="preserve">ToggleGroup playground manual verification.</x:t>
        </x:is>
      </x:c>
      <x:c r="J37" s="94" t="n"/>
      <x:c r="K37" s="95" t="n">
        <x:f>IF(AND(E37="yes",F37="yes",H37="covered"),1,IF(H37="partial",0.5,0))</x:f>
        <x:v>1</x:v>
      </x:c>
    </x:row>
    <x:row r="38" s="51" customFormat="1" ht="15" customHeight="1">
      <x:c r="A38" s="93" t="n">
        <x:v>30</x:v>
      </x:c>
      <x:c r="B38" s="94" t="inlineStr">
        <x:is>
          <x:t xml:space="preserve">Data</x:t>
        </x:is>
      </x:c>
      <x:c r="C38" s="94" t="inlineStr">
        <x:is>
          <x:t xml:space="preserve">Root</x:t>
        </x:is>
      </x:c>
      <x:c r="D38" s="94" t="inlineStr">
        <x:is>
          <x:t xml:space="preserve">data-disabled appears only when root is disabled</x:t>
        </x:is>
      </x:c>
      <x:c r="E38" s="93" t="inlineStr">
        <x:is>
          <x:t xml:space="preserve">yes</x:t>
        </x:is>
      </x:c>
      <x:c r="F38" s="93" t="inlineStr">
        <x:is>
          <x:t xml:space="preserve">yes</x:t>
        </x:is>
      </x:c>
      <x:c r="G38" s="93" t="inlineStr">
        <x:is>
          <x:t xml:space="preserve">pass</x:t>
        </x:is>
      </x:c>
      <x:c r="H38" s="93" t="inlineStr">
        <x:is>
          <x:t xml:space="preserve">covered</x:t>
        </x:is>
      </x:c>
      <x:c r="I38" s="94" t="inlineStr">
        <x:is>
          <x:t xml:space="preserve">ToggleGroup playground manual verification.</x:t>
        </x:is>
      </x:c>
      <x:c r="J38" s="94" t="n"/>
      <x:c r="K38" s="95" t="n">
        <x:f>IF(AND(E38="yes",F38="yes",H38="covered"),1,IF(H38="partial",0.5,0))</x:f>
        <x:v>1</x:v>
      </x:c>
    </x:row>
    <x:row r="39" s="51" customFormat="1" ht="15" customHeight="1">
      <x:c r="A39" s="93" t="n">
        <x:v>31</x:v>
      </x:c>
      <x:c r="B39" s="94" t="inlineStr">
        <x:is>
          <x:t xml:space="preserve">Composition</x:t>
        </x:is>
      </x:c>
      <x:c r="C39" s="94" t="inlineStr">
        <x:is>
          <x:t xml:space="preserve">Root</x:t>
        </x:is>
      </x:c>
      <x:c r="D39" s="94" t="inlineStr">
        <x:is>
          <x:t xml:space="preserve">asChild renders section without double nesting</x:t>
        </x:is>
      </x:c>
      <x:c r="E39" s="93" t="inlineStr">
        <x:is>
          <x:t xml:space="preserve">yes</x:t>
        </x:is>
      </x:c>
      <x:c r="F39" s="93" t="inlineStr">
        <x:is>
          <x:t xml:space="preserve">yes</x:t>
        </x:is>
      </x:c>
      <x:c r="G39" s="93" t="inlineStr">
        <x:is>
          <x:t xml:space="preserve">pass</x:t>
        </x:is>
      </x:c>
      <x:c r="H39" s="93" t="inlineStr">
        <x:is>
          <x:t xml:space="preserve">covered</x:t>
        </x:is>
      </x:c>
      <x:c r="I39" s="94" t="inlineStr">
        <x:is>
          <x:t xml:space="preserve">ToggleGroup playground manual verification.</x:t>
        </x:is>
      </x:c>
      <x:c r="J39" s="94" t="n"/>
      <x:c r="K39" s="95" t="n">
        <x:f>IF(AND(E39="yes",F39="yes",H39="covered"),1,IF(H39="partial",0.5,0))</x:f>
        <x:v>1</x:v>
      </x:c>
    </x:row>
    <x:row r="40" s="51" customFormat="1" ht="15" customHeight="1">
      <x:c r="A40" s="93" t="n">
        <x:v>32</x:v>
      </x:c>
      <x:c r="B40" s="94" t="inlineStr">
        <x:is>
          <x:t xml:space="preserve">Composition</x:t>
        </x:is>
      </x:c>
      <x:c r="C40" s="94" t="inlineStr">
        <x:is>
          <x:t xml:space="preserve">Root</x:t>
        </x:is>
      </x:c>
      <x:c r="D40" s="94" t="inlineStr">
        <x:is>
          <x:t xml:space="preserve">render renders section and preserves children</x:t>
        </x:is>
      </x:c>
      <x:c r="E40" s="93" t="inlineStr">
        <x:is>
          <x:t xml:space="preserve">yes</x:t>
        </x:is>
      </x:c>
      <x:c r="F40" s="93" t="inlineStr">
        <x:is>
          <x:t xml:space="preserve">yes</x:t>
        </x:is>
      </x:c>
      <x:c r="G40" s="93" t="inlineStr">
        <x:is>
          <x:t xml:space="preserve">pass</x:t>
        </x:is>
      </x:c>
      <x:c r="H40" s="93" t="inlineStr">
        <x:is>
          <x:t xml:space="preserve">covered</x:t>
        </x:is>
      </x:c>
      <x:c r="I40" s="94" t="inlineStr">
        <x:is>
          <x:t xml:space="preserve">ToggleGroup playground manual verification.</x:t>
        </x:is>
      </x:c>
      <x:c r="J40" s="94" t="n"/>
      <x:c r="K40" s="95" t="n">
        <x:f>IF(AND(E40="yes",F40="yes",H40="covered"),1,IF(H40="partial",0.5,0))</x:f>
        <x:v>1</x:v>
      </x:c>
    </x:row>
    <x:row r="41" s="51" customFormat="1" ht="30" customHeight="1">
      <x:c r="A41" s="93" t="n">
        <x:v>33</x:v>
      </x:c>
      <x:c r="B41" s="94" t="inlineStr">
        <x:is>
          <x:t xml:space="preserve">Identity</x:t>
        </x:is>
      </x:c>
      <x:c r="C41" s="94" t="inlineStr">
        <x:is>
          <x:t xml:space="preserve">Item</x:t>
        </x:is>
      </x:c>
      <x:c r="D41" s="94" t="inlineStr">
        <x:is>
          <x:t xml:space="preserve">default tag is button and ref target matches rendered element</x:t>
        </x:is>
      </x:c>
      <x:c r="E41" s="93" t="inlineStr">
        <x:is>
          <x:t xml:space="preserve">yes</x:t>
        </x:is>
      </x:c>
      <x:c r="F41" s="93" t="inlineStr">
        <x:is>
          <x:t xml:space="preserve">yes</x:t>
        </x:is>
      </x:c>
      <x:c r="G41" s="93" t="inlineStr">
        <x:is>
          <x:t xml:space="preserve">pass</x:t>
        </x:is>
      </x:c>
      <x:c r="H41" s="93" t="inlineStr">
        <x:is>
          <x:t xml:space="preserve">covered</x:t>
        </x:is>
      </x:c>
      <x:c r="I41" s="94" t="inlineStr">
        <x:is>
          <x:t xml:space="preserve">ToggleGroup playground manual verification.</x:t>
        </x:is>
      </x:c>
      <x:c r="J41" s="94" t="n"/>
      <x:c r="K41" s="95" t="n">
        <x:f>IF(AND(E41="yes",F41="yes",H41="covered"),1,IF(H41="partial",0.5,0))</x:f>
        <x:v>1</x:v>
      </x:c>
    </x:row>
    <x:row r="42" s="51" customFormat="1" ht="15" customHeight="1">
      <x:c r="A42" s="93" t="n">
        <x:v>34</x:v>
      </x:c>
      <x:c r="B42" s="94" t="inlineStr">
        <x:is>
          <x:t xml:space="preserve">Identity</x:t>
        </x:is>
      </x:c>
      <x:c r="C42" s="94" t="inlineStr">
        <x:is>
          <x:t xml:space="preserve">Item</x:t>
        </x:is>
      </x:c>
      <x:c r="D42" s="94" t="inlineStr">
        <x:is>
          <x:t xml:space="preserve">item text and value are visible</x:t>
        </x:is>
      </x:c>
      <x:c r="E42" s="93" t="inlineStr">
        <x:is>
          <x:t xml:space="preserve">yes</x:t>
        </x:is>
      </x:c>
      <x:c r="F42" s="93" t="inlineStr">
        <x:is>
          <x:t xml:space="preserve">yes</x:t>
        </x:is>
      </x:c>
      <x:c r="G42" s="93" t="inlineStr">
        <x:is>
          <x:t xml:space="preserve">pass</x:t>
        </x:is>
      </x:c>
      <x:c r="H42" s="93" t="inlineStr">
        <x:is>
          <x:t xml:space="preserve">covered</x:t>
        </x:is>
      </x:c>
      <x:c r="I42" s="94" t="inlineStr">
        <x:is>
          <x:t xml:space="preserve">ToggleGroup playground manual verification.</x:t>
        </x:is>
      </x:c>
      <x:c r="J42" s="94" t="n"/>
      <x:c r="K42" s="95" t="n">
        <x:f>IF(AND(E42="yes",F42="yes",H42="covered"),1,IF(H42="partial",0.5,0))</x:f>
        <x:v>1</x:v>
      </x:c>
    </x:row>
    <x:row r="43" s="51" customFormat="1" ht="15" customHeight="1">
      <x:c r="A43" s="93" t="n">
        <x:v>35</x:v>
      </x:c>
      <x:c r="B43" s="94" t="inlineStr">
        <x:is>
          <x:t xml:space="preserve">Accessibility</x:t>
        </x:is>
      </x:c>
      <x:c r="C43" s="94" t="inlineStr">
        <x:is>
          <x:t xml:space="preserve">Item</x:t>
        </x:is>
      </x:c>
      <x:c r="D43" s="94" t="inlineStr">
        <x:is>
          <x:t xml:space="preserve">aria-label is present for item labels</x:t>
        </x:is>
      </x:c>
      <x:c r="E43" s="93" t="inlineStr">
        <x:is>
          <x:t xml:space="preserve">yes</x:t>
        </x:is>
      </x:c>
      <x:c r="F43" s="93" t="inlineStr">
        <x:is>
          <x:t xml:space="preserve">yes</x:t>
        </x:is>
      </x:c>
      <x:c r="G43" s="93" t="inlineStr">
        <x:is>
          <x:t xml:space="preserve">pass</x:t>
        </x:is>
      </x:c>
      <x:c r="H43" s="93" t="inlineStr">
        <x:is>
          <x:t xml:space="preserve">covered</x:t>
        </x:is>
      </x:c>
      <x:c r="I43" s="94" t="inlineStr">
        <x:is>
          <x:t xml:space="preserve">ToggleGroup playground manual verification.</x:t>
        </x:is>
      </x:c>
      <x:c r="J43" s="94" t="n"/>
      <x:c r="K43" s="95" t="n">
        <x:f>IF(AND(E43="yes",F43="yes",H43="covered"),1,IF(H43="partial",0.5,0))</x:f>
        <x:v>1</x:v>
      </x:c>
    </x:row>
    <x:row r="44" s="51" customFormat="1" ht="15" customHeight="1">
      <x:c r="A44" s="93" t="n">
        <x:v>36</x:v>
      </x:c>
      <x:c r="B44" s="94" t="inlineStr">
        <x:is>
          <x:t xml:space="preserve">Accessibility</x:t>
        </x:is>
      </x:c>
      <x:c r="C44" s="94" t="inlineStr">
        <x:is>
          <x:t xml:space="preserve">Item</x:t>
        </x:is>
      </x:c>
      <x:c r="D44" s="94" t="inlineStr">
        <x:is>
          <x:t xml:space="preserve">aria-pressed tracks on and off states</x:t>
        </x:is>
      </x:c>
      <x:c r="E44" s="93" t="inlineStr">
        <x:is>
          <x:t xml:space="preserve">yes</x:t>
        </x:is>
      </x:c>
      <x:c r="F44" s="93" t="inlineStr">
        <x:is>
          <x:t xml:space="preserve">yes</x:t>
        </x:is>
      </x:c>
      <x:c r="G44" s="93" t="inlineStr">
        <x:is>
          <x:t xml:space="preserve">pass</x:t>
        </x:is>
      </x:c>
      <x:c r="H44" s="93" t="inlineStr">
        <x:is>
          <x:t xml:space="preserve">covered</x:t>
        </x:is>
      </x:c>
      <x:c r="I44" s="94" t="inlineStr">
        <x:is>
          <x:t xml:space="preserve">ToggleGroup playground manual verification.</x:t>
        </x:is>
      </x:c>
      <x:c r="J44" s="94" t="n"/>
      <x:c r="K44" s="95" t="n">
        <x:f>IF(AND(E44="yes",F44="yes",H44="covered"),1,IF(H44="partial",0.5,0))</x:f>
        <x:v>1</x:v>
      </x:c>
    </x:row>
    <x:row r="45" s="51" customFormat="1" ht="15" customHeight="1">
      <x:c r="A45" s="93" t="n">
        <x:v>37</x:v>
      </x:c>
      <x:c r="B45" s="94" t="inlineStr">
        <x:is>
          <x:t xml:space="preserve">Accessibility</x:t>
        </x:is>
      </x:c>
      <x:c r="C45" s="94" t="inlineStr">
        <x:is>
          <x:t xml:space="preserve">Item</x:t>
        </x:is>
      </x:c>
      <x:c r="D45" s="94" t="inlineStr">
        <x:is>
          <x:t xml:space="preserve">native disabled item does not add redundant aria-disabled</x:t>
        </x:is>
      </x:c>
      <x:c r="E45" s="93" t="inlineStr">
        <x:is>
          <x:t xml:space="preserve">yes</x:t>
        </x:is>
      </x:c>
      <x:c r="F45" s="93" t="inlineStr">
        <x:is>
          <x:t xml:space="preserve">yes</x:t>
        </x:is>
      </x:c>
      <x:c r="G45" s="93" t="inlineStr">
        <x:is>
          <x:t xml:space="preserve">pass</x:t>
        </x:is>
      </x:c>
      <x:c r="H45" s="93" t="inlineStr">
        <x:is>
          <x:t xml:space="preserve">covered</x:t>
        </x:is>
      </x:c>
      <x:c r="I45" s="94" t="inlineStr">
        <x:is>
          <x:t xml:space="preserve">ToggleGroup playground manual verification.</x:t>
        </x:is>
      </x:c>
      <x:c r="J45" s="94" t="n"/>
      <x:c r="K45" s="95" t="n">
        <x:f>IF(AND(E45="yes",F45="yes",H45="covered"),1,IF(H45="partial",0.5,0))</x:f>
        <x:v>1</x:v>
      </x:c>
    </x:row>
    <x:row r="46" s="51" customFormat="1" ht="15" customHeight="1">
      <x:c r="A46" s="93" t="n">
        <x:v>38</x:v>
      </x:c>
      <x:c r="B46" s="94" t="inlineStr">
        <x:is>
          <x:t xml:space="preserve">Accessibility</x:t>
        </x:is>
      </x:c>
      <x:c r="C46" s="94" t="inlineStr">
        <x:is>
          <x:t xml:space="preserve">Item</x:t>
        </x:is>
      </x:c>
      <x:c r="D46" s="94" t="inlineStr">
        <x:is>
          <x:t xml:space="preserve">non-native disabled item receives aria-disabled</x:t>
        </x:is>
      </x:c>
      <x:c r="E46" s="93" t="inlineStr">
        <x:is>
          <x:t xml:space="preserve">yes</x:t>
        </x:is>
      </x:c>
      <x:c r="F46" s="93" t="inlineStr">
        <x:is>
          <x:t xml:space="preserve">yes</x:t>
        </x:is>
      </x:c>
      <x:c r="G46" s="93" t="inlineStr">
        <x:is>
          <x:t xml:space="preserve">pass</x:t>
        </x:is>
      </x:c>
      <x:c r="H46" s="93" t="inlineStr">
        <x:is>
          <x:t xml:space="preserve">covered</x:t>
        </x:is>
      </x:c>
      <x:c r="I46" s="94" t="inlineStr">
        <x:is>
          <x:t xml:space="preserve">ToggleGroup playground manual verification.</x:t>
        </x:is>
      </x:c>
      <x:c r="J46" s="94" t="n"/>
      <x:c r="K46" s="95" t="n">
        <x:f>IF(AND(E46="yes",F46="yes",H46="covered"),1,IF(H46="partial",0.5,0))</x:f>
        <x:v>1</x:v>
      </x:c>
    </x:row>
    <x:row r="47" s="51" customFormat="1" ht="15" customHeight="1">
      <x:c r="A47" s="93" t="n">
        <x:v>39</x:v>
      </x:c>
      <x:c r="B47" s="94" t="inlineStr">
        <x:is>
          <x:t xml:space="preserve">State</x:t>
        </x:is>
      </x:c>
      <x:c r="C47" s="94" t="inlineStr">
        <x:is>
          <x:t xml:space="preserve">Item</x:t>
        </x:is>
      </x:c>
      <x:c r="D47" s="94" t="inlineStr">
        <x:is>
          <x:t xml:space="preserve">item press toggles selected state in multiple mode</x:t>
        </x:is>
      </x:c>
      <x:c r="E47" s="93" t="inlineStr">
        <x:is>
          <x:t xml:space="preserve">yes</x:t>
        </x:is>
      </x:c>
      <x:c r="F47" s="93" t="inlineStr">
        <x:is>
          <x:t xml:space="preserve">yes</x:t>
        </x:is>
      </x:c>
      <x:c r="G47" s="93" t="inlineStr">
        <x:is>
          <x:t xml:space="preserve">pass</x:t>
        </x:is>
      </x:c>
      <x:c r="H47" s="93" t="inlineStr">
        <x:is>
          <x:t xml:space="preserve">covered</x:t>
        </x:is>
      </x:c>
      <x:c r="I47" s="94" t="inlineStr">
        <x:is>
          <x:t xml:space="preserve">ToggleGroup playground manual verification.</x:t>
        </x:is>
      </x:c>
      <x:c r="J47" s="94" t="n"/>
      <x:c r="K47" s="95" t="n">
        <x:f>IF(AND(E47="yes",F47="yes",H47="covered"),1,IF(H47="partial",0.5,0))</x:f>
        <x:v>1</x:v>
      </x:c>
    </x:row>
    <x:row r="48" s="51" customFormat="1" ht="15" customHeight="1">
      <x:c r="A48" s="93" t="n">
        <x:v>40</x:v>
      </x:c>
      <x:c r="B48" s="94" t="inlineStr">
        <x:is>
          <x:t xml:space="preserve">State</x:t>
        </x:is>
      </x:c>
      <x:c r="C48" s="94" t="inlineStr">
        <x:is>
          <x:t xml:space="preserve">Item</x:t>
        </x:is>
      </x:c>
      <x:c r="D48" s="94" t="inlineStr">
        <x:is>
          <x:t xml:space="preserve">item press replaces selected state in single mode</x:t>
        </x:is>
      </x:c>
      <x:c r="E48" s="93" t="inlineStr">
        <x:is>
          <x:t xml:space="preserve">yes</x:t>
        </x:is>
      </x:c>
      <x:c r="F48" s="93" t="inlineStr">
        <x:is>
          <x:t xml:space="preserve">yes</x:t>
        </x:is>
      </x:c>
      <x:c r="G48" s="93" t="inlineStr">
        <x:is>
          <x:t xml:space="preserve">pass</x:t>
        </x:is>
      </x:c>
      <x:c r="H48" s="93" t="inlineStr">
        <x:is>
          <x:t xml:space="preserve">covered</x:t>
        </x:is>
      </x:c>
      <x:c r="I48" s="94" t="inlineStr">
        <x:is>
          <x:t xml:space="preserve">ToggleGroup playground manual verification.</x:t>
        </x:is>
      </x:c>
      <x:c r="J48" s="94" t="n"/>
      <x:c r="K48" s="95" t="n">
        <x:f>IF(AND(E48="yes",F48="yes",H48="covered"),1,IF(H48="partial",0.5,0))</x:f>
        <x:v>1</x:v>
      </x:c>
    </x:row>
    <x:row r="49" s="51" customFormat="1" ht="15" customHeight="1">
      <x:c r="A49" s="93" t="n">
        <x:v>41</x:v>
      </x:c>
      <x:c r="B49" s="94" t="inlineStr">
        <x:is>
          <x:t xml:space="preserve">State</x:t>
        </x:is>
      </x:c>
      <x:c r="C49" s="94" t="inlineStr">
        <x:is>
          <x:t xml:space="preserve">Item</x:t>
        </x:is>
      </x:c>
      <x:c r="D49" s="94" t="inlineStr">
        <x:is>
          <x:t xml:space="preserve">disabled item cannot be toggled</x:t>
        </x:is>
      </x:c>
      <x:c r="E49" s="93" t="inlineStr">
        <x:is>
          <x:t xml:space="preserve">yes</x:t>
        </x:is>
      </x:c>
      <x:c r="F49" s="93" t="inlineStr">
        <x:is>
          <x:t xml:space="preserve">yes</x:t>
        </x:is>
      </x:c>
      <x:c r="G49" s="93" t="inlineStr">
        <x:is>
          <x:t xml:space="preserve">pass</x:t>
        </x:is>
      </x:c>
      <x:c r="H49" s="93" t="inlineStr">
        <x:is>
          <x:t xml:space="preserve">covered</x:t>
        </x:is>
      </x:c>
      <x:c r="I49" s="94" t="inlineStr">
        <x:is>
          <x:t xml:space="preserve">ToggleGroup playground manual verification.</x:t>
        </x:is>
      </x:c>
      <x:c r="J49" s="94" t="n"/>
      <x:c r="K49" s="95" t="n">
        <x:f>IF(AND(E49="yes",F49="yes",H49="covered"),1,IF(H49="partial",0.5,0))</x:f>
        <x:v>1</x:v>
      </x:c>
    </x:row>
    <x:row r="50" s="51" customFormat="1" ht="15" customHeight="1">
      <x:c r="A50" s="93" t="n">
        <x:v>42</x:v>
      </x:c>
      <x:c r="B50" s="94" t="inlineStr">
        <x:is>
          <x:t xml:space="preserve">Data</x:t>
        </x:is>
      </x:c>
      <x:c r="C50" s="94" t="inlineStr">
        <x:is>
          <x:t xml:space="preserve">Item</x:t>
        </x:is>
      </x:c>
      <x:c r="D50" s="94" t="inlineStr">
        <x:is>
          <x:t xml:space="preserve">data-slot is toggle-group-item</x:t>
        </x:is>
      </x:c>
      <x:c r="E50" s="93" t="inlineStr">
        <x:is>
          <x:t xml:space="preserve">yes</x:t>
        </x:is>
      </x:c>
      <x:c r="F50" s="93" t="inlineStr">
        <x:is>
          <x:t xml:space="preserve">yes</x:t>
        </x:is>
      </x:c>
      <x:c r="G50" s="93" t="inlineStr">
        <x:is>
          <x:t xml:space="preserve">pass</x:t>
        </x:is>
      </x:c>
      <x:c r="H50" s="93" t="inlineStr">
        <x:is>
          <x:t xml:space="preserve">covered</x:t>
        </x:is>
      </x:c>
      <x:c r="I50" s="94" t="inlineStr">
        <x:is>
          <x:t xml:space="preserve">ToggleGroup playground manual verification.</x:t>
        </x:is>
      </x:c>
      <x:c r="J50" s="94" t="n"/>
      <x:c r="K50" s="95" t="n">
        <x:f>IF(AND(E50="yes",F50="yes",H50="covered"),1,IF(H50="partial",0.5,0))</x:f>
        <x:v>1</x:v>
      </x:c>
    </x:row>
    <x:row r="51" s="51" customFormat="1" ht="15" customHeight="1">
      <x:c r="A51" s="93" t="n">
        <x:v>43</x:v>
      </x:c>
      <x:c r="B51" s="94" t="inlineStr">
        <x:is>
          <x:t xml:space="preserve">Data</x:t>
        </x:is>
      </x:c>
      <x:c r="C51" s="94" t="inlineStr">
        <x:is>
          <x:t xml:space="preserve">Item</x:t>
        </x:is>
      </x:c>
      <x:c r="D51" s="94" t="inlineStr">
        <x:is>
          <x:t xml:space="preserve">data-state is on or off</x:t>
        </x:is>
      </x:c>
      <x:c r="E51" s="93" t="inlineStr">
        <x:is>
          <x:t xml:space="preserve">yes</x:t>
        </x:is>
      </x:c>
      <x:c r="F51" s="93" t="inlineStr">
        <x:is>
          <x:t xml:space="preserve">yes</x:t>
        </x:is>
      </x:c>
      <x:c r="G51" s="93" t="inlineStr">
        <x:is>
          <x:t xml:space="preserve">pass</x:t>
        </x:is>
      </x:c>
      <x:c r="H51" s="93" t="inlineStr">
        <x:is>
          <x:t xml:space="preserve">covered</x:t>
        </x:is>
      </x:c>
      <x:c r="I51" s="94" t="inlineStr">
        <x:is>
          <x:t xml:space="preserve">ToggleGroup playground manual verification.</x:t>
        </x:is>
      </x:c>
      <x:c r="J51" s="94" t="n"/>
      <x:c r="K51" s="95" t="n">
        <x:f>IF(AND(E51="yes",F51="yes",H51="covered"),1,IF(H51="partial",0.5,0))</x:f>
        <x:v>1</x:v>
      </x:c>
    </x:row>
    <x:row r="52" s="51" customFormat="1" ht="15" customHeight="1">
      <x:c r="A52" s="93" t="n">
        <x:v>44</x:v>
      </x:c>
      <x:c r="B52" s="94" t="inlineStr">
        <x:is>
          <x:t xml:space="preserve">Data</x:t>
        </x:is>
      </x:c>
      <x:c r="C52" s="94" t="inlineStr">
        <x:is>
          <x:t xml:space="preserve">Item</x:t>
        </x:is>
      </x:c>
      <x:c r="D52" s="94" t="inlineStr">
        <x:is>
          <x:t xml:space="preserve">data-value matches public value</x:t>
        </x:is>
      </x:c>
      <x:c r="E52" s="93" t="inlineStr">
        <x:is>
          <x:t xml:space="preserve">yes</x:t>
        </x:is>
      </x:c>
      <x:c r="F52" s="93" t="inlineStr">
        <x:is>
          <x:t xml:space="preserve">yes</x:t>
        </x:is>
      </x:c>
      <x:c r="G52" s="93" t="inlineStr">
        <x:is>
          <x:t xml:space="preserve">pass</x:t>
        </x:is>
      </x:c>
      <x:c r="H52" s="93" t="inlineStr">
        <x:is>
          <x:t xml:space="preserve">covered</x:t>
        </x:is>
      </x:c>
      <x:c r="I52" s="94" t="inlineStr">
        <x:is>
          <x:t xml:space="preserve">ToggleGroup playground manual verification.</x:t>
        </x:is>
      </x:c>
      <x:c r="J52" s="94" t="n"/>
      <x:c r="K52" s="95" t="n">
        <x:f>IF(AND(E52="yes",F52="yes",H52="covered"),1,IF(H52="partial",0.5,0))</x:f>
        <x:v>1</x:v>
      </x:c>
    </x:row>
    <x:row r="53" s="51" customFormat="1" ht="15" customHeight="1">
      <x:c r="A53" s="93" t="n">
        <x:v>45</x:v>
      </x:c>
      <x:c r="B53" s="94" t="inlineStr">
        <x:is>
          <x:t xml:space="preserve">Data</x:t>
        </x:is>
      </x:c>
      <x:c r="C53" s="94" t="inlineStr">
        <x:is>
          <x:t xml:space="preserve">Item</x:t>
        </x:is>
      </x:c>
      <x:c r="D53" s="94" t="inlineStr">
        <x:is>
          <x:t xml:space="preserve">data-disabled appears only for disabled item</x:t>
        </x:is>
      </x:c>
      <x:c r="E53" s="93" t="inlineStr">
        <x:is>
          <x:t xml:space="preserve">yes</x:t>
        </x:is>
      </x:c>
      <x:c r="F53" s="93" t="inlineStr">
        <x:is>
          <x:t xml:space="preserve">yes</x:t>
        </x:is>
      </x:c>
      <x:c r="G53" s="93" t="inlineStr">
        <x:is>
          <x:t xml:space="preserve">pass</x:t>
        </x:is>
      </x:c>
      <x:c r="H53" s="93" t="inlineStr">
        <x:is>
          <x:t xml:space="preserve">covered</x:t>
        </x:is>
      </x:c>
      <x:c r="I53" s="94" t="inlineStr">
        <x:is>
          <x:t xml:space="preserve">ToggleGroup playground manual verification.</x:t>
        </x:is>
      </x:c>
      <x:c r="J53" s="94" t="n"/>
      <x:c r="K53" s="95" t="n">
        <x:f>IF(AND(E53="yes",F53="yes",H53="covered"),1,IF(H53="partial",0.5,0))</x:f>
        <x:v>1</x:v>
      </x:c>
    </x:row>
    <x:row r="54" s="51" customFormat="1" ht="15" customHeight="1">
      <x:c r="A54" s="93" t="n">
        <x:v>46</x:v>
      </x:c>
      <x:c r="B54" s="94" t="inlineStr">
        <x:is>
          <x:t xml:space="preserve">Composition</x:t>
        </x:is>
      </x:c>
      <x:c r="C54" s="94" t="inlineStr">
        <x:is>
          <x:t xml:space="preserve">Item</x:t>
        </x:is>
      </x:c>
      <x:c r="D54" s="94" t="inlineStr">
        <x:is>
          <x:t xml:space="preserve">asChild renders span and preserves behavior props</x:t>
        </x:is>
      </x:c>
      <x:c r="E54" s="93" t="inlineStr">
        <x:is>
          <x:t xml:space="preserve">yes</x:t>
        </x:is>
      </x:c>
      <x:c r="F54" s="93" t="inlineStr">
        <x:is>
          <x:t xml:space="preserve">yes</x:t>
        </x:is>
      </x:c>
      <x:c r="G54" s="93" t="inlineStr">
        <x:is>
          <x:t xml:space="preserve">pass</x:t>
        </x:is>
      </x:c>
      <x:c r="H54" s="93" t="inlineStr">
        <x:is>
          <x:t xml:space="preserve">covered</x:t>
        </x:is>
      </x:c>
      <x:c r="I54" s="94" t="inlineStr">
        <x:is>
          <x:t xml:space="preserve">ToggleGroup playground manual verification.</x:t>
        </x:is>
      </x:c>
      <x:c r="J54" s="94" t="n"/>
      <x:c r="K54" s="95" t="n">
        <x:f>IF(AND(E54="yes",F54="yes",H54="covered"),1,IF(H54="partial",0.5,0))</x:f>
        <x:v>1</x:v>
      </x:c>
    </x:row>
    <x:row r="55" s="51" customFormat="1" ht="15" customHeight="1">
      <x:c r="A55" s="93" t="n">
        <x:v>47</x:v>
      </x:c>
      <x:c r="B55" s="94" t="inlineStr">
        <x:is>
          <x:t xml:space="preserve">Composition</x:t>
        </x:is>
      </x:c>
      <x:c r="C55" s="94" t="inlineStr">
        <x:is>
          <x:t xml:space="preserve">Item</x:t>
        </x:is>
      </x:c>
      <x:c r="D55" s="94" t="inlineStr">
        <x:is>
          <x:t xml:space="preserve">render renders span and preserves behavior props</x:t>
        </x:is>
      </x:c>
      <x:c r="E55" s="93" t="inlineStr">
        <x:is>
          <x:t xml:space="preserve">yes</x:t>
        </x:is>
      </x:c>
      <x:c r="F55" s="93" t="inlineStr">
        <x:is>
          <x:t xml:space="preserve">yes</x:t>
        </x:is>
      </x:c>
      <x:c r="G55" s="93" t="inlineStr">
        <x:is>
          <x:t xml:space="preserve">pass</x:t>
        </x:is>
      </x:c>
      <x:c r="H55" s="93" t="inlineStr">
        <x:is>
          <x:t xml:space="preserve">covered</x:t>
        </x:is>
      </x:c>
      <x:c r="I55" s="94" t="inlineStr">
        <x:is>
          <x:t xml:space="preserve">ToggleGroup playground manual verification.</x:t>
        </x:is>
      </x:c>
      <x:c r="J55" s="94" t="n"/>
      <x:c r="K55" s="95" t="n">
        <x:f>IF(AND(E55="yes",F55="yes",H55="covered"),1,IF(H55="partial",0.5,0))</x:f>
        <x:v>1</x:v>
      </x:c>
    </x:row>
    <x:row r="56" s="51" customFormat="1" ht="15" customHeight="1">
      <x:c r="A56" s="93" t="n">
        <x:v>48</x:v>
      </x:c>
      <x:c r="B56" s="94" t="inlineStr">
        <x:is>
          <x:t xml:space="preserve">Events</x:t>
        </x:is>
      </x:c>
      <x:c r="C56" s="94" t="inlineStr">
        <x:is>
          <x:t xml:space="preserve">Item</x:t>
        </x:is>
      </x:c>
      <x:c r="D56" s="94" t="inlineStr">
        <x:is>
          <x:t xml:space="preserve">preventDefault on item click blocks Atom toggle behavior</x:t>
        </x:is>
      </x:c>
      <x:c r="E56" s="93" t="inlineStr">
        <x:is>
          <x:t xml:space="preserve">yes</x:t>
        </x:is>
      </x:c>
      <x:c r="F56" s="93" t="inlineStr">
        <x:is>
          <x:t xml:space="preserve">yes</x:t>
        </x:is>
      </x:c>
      <x:c r="G56" s="93" t="inlineStr">
        <x:is>
          <x:t xml:space="preserve">pass</x:t>
        </x:is>
      </x:c>
      <x:c r="H56" s="93" t="inlineStr">
        <x:is>
          <x:t xml:space="preserve">covered</x:t>
        </x:is>
      </x:c>
      <x:c r="I56" s="94" t="inlineStr">
        <x:is>
          <x:t xml:space="preserve">ToggleGroup playground manual verification.</x:t>
        </x:is>
      </x:c>
      <x:c r="J56" s="94" t="n"/>
      <x:c r="K56" s="95" t="n">
        <x:f>IF(AND(E56="yes",F56="yes",H56="covered"),1,IF(H56="partial",0.5,0))</x:f>
        <x:v>1</x:v>
      </x:c>
    </x:row>
    <x:row r="57" s="51" customFormat="1" ht="30" customHeight="1">
      <x:c r="A57" s="93" t="n">
        <x:v>49</x:v>
      </x:c>
      <x:c r="B57" s="94" t="inlineStr">
        <x:is>
          <x:t xml:space="preserve">Events</x:t>
        </x:is>
      </x:c>
      <x:c r="C57" s="94" t="inlineStr">
        <x:is>
          <x:t xml:space="preserve">Item</x:t>
        </x:is>
      </x:c>
      <x:c r="D57" s="94" t="inlineStr">
        <x:is>
          <x:t xml:space="preserve">preventDefault on Enter or Space blocks Atom toggle behavior</x:t>
        </x:is>
      </x:c>
      <x:c r="E57" s="93" t="inlineStr">
        <x:is>
          <x:t xml:space="preserve">yes</x:t>
        </x:is>
      </x:c>
      <x:c r="F57" s="93" t="inlineStr">
        <x:is>
          <x:t xml:space="preserve">yes</x:t>
        </x:is>
      </x:c>
      <x:c r="G57" s="93" t="inlineStr">
        <x:is>
          <x:t xml:space="preserve">pass</x:t>
        </x:is>
      </x:c>
      <x:c r="H57" s="93" t="inlineStr">
        <x:is>
          <x:t xml:space="preserve">covered</x:t>
        </x:is>
      </x:c>
      <x:c r="I57" s="94" t="inlineStr">
        <x:is>
          <x:t xml:space="preserve">ToggleGroup playground manual verification.</x:t>
        </x:is>
      </x:c>
      <x:c r="J57" s="94" t="n"/>
      <x:c r="K57" s="95" t="n">
        <x:f>IF(AND(E57="yes",F57="yes",H57="covered"),1,IF(H57="partial",0.5,0))</x:f>
        <x:v>1</x:v>
      </x:c>
    </x:row>
    <x:row r="58" s="51" customFormat="1" ht="15" customHeight="1">
      <x:c r="A58" s="93" t="n">
        <x:v>50</x:v>
      </x:c>
      <x:c r="B58" s="94" t="inlineStr">
        <x:is>
          <x:t xml:space="preserve">Keyboard</x:t>
        </x:is>
      </x:c>
      <x:c r="C58" s="94" t="inlineStr">
        <x:is>
          <x:t xml:space="preserve">Item</x:t>
        </x:is>
      </x:c>
      <x:c r="D58" s="94" t="inlineStr">
        <x:is>
          <x:t xml:space="preserve">Enter toggles the focused item</x:t>
        </x:is>
      </x:c>
      <x:c r="E58" s="93" t="inlineStr">
        <x:is>
          <x:t xml:space="preserve">yes</x:t>
        </x:is>
      </x:c>
      <x:c r="F58" s="93" t="inlineStr">
        <x:is>
          <x:t xml:space="preserve">yes</x:t>
        </x:is>
      </x:c>
      <x:c r="G58" s="93" t="inlineStr">
        <x:is>
          <x:t xml:space="preserve">pass</x:t>
        </x:is>
      </x:c>
      <x:c r="H58" s="93" t="inlineStr">
        <x:is>
          <x:t xml:space="preserve">covered</x:t>
        </x:is>
      </x:c>
      <x:c r="I58" s="94" t="inlineStr">
        <x:is>
          <x:t xml:space="preserve">ToggleGroup playground manual verification.</x:t>
        </x:is>
      </x:c>
      <x:c r="J58" s="94" t="n"/>
      <x:c r="K58" s="95" t="n">
        <x:f>IF(AND(E58="yes",F58="yes",H58="covered"),1,IF(H58="partial",0.5,0))</x:f>
        <x:v>1</x:v>
      </x:c>
    </x:row>
    <x:row r="59" s="51" customFormat="1" ht="15" customHeight="1">
      <x:c r="A59" s="93" t="n">
        <x:v>51</x:v>
      </x:c>
      <x:c r="B59" s="94" t="inlineStr">
        <x:is>
          <x:t xml:space="preserve">Keyboard</x:t>
        </x:is>
      </x:c>
      <x:c r="C59" s="94" t="inlineStr">
        <x:is>
          <x:t xml:space="preserve">Item</x:t>
        </x:is>
      </x:c>
      <x:c r="D59" s="94" t="inlineStr">
        <x:is>
          <x:t xml:space="preserve">Space toggles the focused item</x:t>
        </x:is>
      </x:c>
      <x:c r="E59" s="93" t="inlineStr">
        <x:is>
          <x:t xml:space="preserve">yes</x:t>
        </x:is>
      </x:c>
      <x:c r="F59" s="93" t="inlineStr">
        <x:is>
          <x:t xml:space="preserve">yes</x:t>
        </x:is>
      </x:c>
      <x:c r="G59" s="93" t="inlineStr">
        <x:is>
          <x:t xml:space="preserve">pass</x:t>
        </x:is>
      </x:c>
      <x:c r="H59" s="93" t="inlineStr">
        <x:is>
          <x:t xml:space="preserve">covered</x:t>
        </x:is>
      </x:c>
      <x:c r="I59" s="94" t="inlineStr">
        <x:is>
          <x:t xml:space="preserve">ToggleGroup playground manual verification.</x:t>
        </x:is>
      </x:c>
      <x:c r="J59" s="94" t="n"/>
      <x:c r="K59" s="95" t="n">
        <x:f>IF(AND(E59="yes",F59="yes",H59="covered"),1,IF(H59="partial",0.5,0))</x:f>
        <x:v>1</x:v>
      </x:c>
    </x:row>
    <x:row r="60" s="51" customFormat="1" ht="30" customHeight="1">
      <x:c r="A60" s="93" t="n">
        <x:v>52</x:v>
      </x:c>
      <x:c r="B60" s="94" t="inlineStr">
        <x:is>
          <x:t xml:space="preserve">Source</x:t>
        </x:is>
      </x:c>
      <x:c r="C60" s="94" t="inlineStr">
        <x:is>
          <x:t xml:space="preserve">ToggleGroup</x:t>
        </x:is>
      </x:c>
      <x:c r="D60" s="94" t="inlineStr">
        <x:is>
          <x:t xml:space="preserve">source omits false boolean props and shows disabled shorthand</x:t>
        </x:is>
      </x:c>
      <x:c r="E60" s="93" t="inlineStr">
        <x:is>
          <x:t xml:space="preserve">yes</x:t>
        </x:is>
      </x:c>
      <x:c r="F60" s="93" t="inlineStr">
        <x:is>
          <x:t xml:space="preserve">yes</x:t>
        </x:is>
      </x:c>
      <x:c r="G60" s="93" t="inlineStr">
        <x:is>
          <x:t xml:space="preserve">pass</x:t>
        </x:is>
      </x:c>
      <x:c r="H60" s="93" t="inlineStr">
        <x:is>
          <x:t xml:space="preserve">covered</x:t>
        </x:is>
      </x:c>
      <x:c r="I60" s="94" t="inlineStr">
        <x:is>
          <x:t xml:space="preserve">ToggleGroup playground manual verification.</x:t>
        </x:is>
      </x:c>
      <x:c r="J60" s="94" t="n"/>
      <x:c r="K60" s="95" t="n">
        <x:f>IF(AND(E60="yes",F60="yes",H60="covered"),1,IF(H60="partial",0.5,0))</x:f>
        <x:v>1</x:v>
      </x:c>
    </x:row>
    <x:row r="61" s="51" customFormat="1" ht="15" customHeight="1">
      <x:c r="A61" s="93" t="n">
        <x:v>53</x:v>
      </x:c>
      <x:c r="B61" s="94" t="inlineStr">
        <x:is>
          <x:t xml:space="preserve">Source</x:t>
        </x:is>
      </x:c>
      <x:c r="C61" s="94" t="inlineStr">
        <x:is>
          <x:t xml:space="preserve">ToggleGroup</x:t>
        </x:is>
      </x:c>
      <x:c r="D61" s="94" t="inlineStr">
        <x:is>
          <x:t xml:space="preserve">source shows Direction.Provider only for rtl</x:t>
        </x:is>
      </x:c>
      <x:c r="E61" s="93" t="inlineStr">
        <x:is>
          <x:t xml:space="preserve">yes</x:t>
        </x:is>
      </x:c>
      <x:c r="F61" s="93" t="inlineStr">
        <x:is>
          <x:t xml:space="preserve">yes</x:t>
        </x:is>
      </x:c>
      <x:c r="G61" s="93" t="inlineStr">
        <x:is>
          <x:t xml:space="preserve">pass</x:t>
        </x:is>
      </x:c>
      <x:c r="H61" s="93" t="inlineStr">
        <x:is>
          <x:t xml:space="preserve">covered</x:t>
        </x:is>
      </x:c>
      <x:c r="I61" s="94" t="inlineStr">
        <x:is>
          <x:t xml:space="preserve">ToggleGroup playground manual verification.</x:t>
        </x:is>
      </x:c>
      <x:c r="J61" s="94" t="n"/>
      <x:c r="K61" s="95" t="n">
        <x:f>IF(AND(E61="yes",F61="yes",H61="covered"),1,IF(H61="partial",0.5,0))</x:f>
        <x:v>1</x:v>
      </x:c>
    </x:row>
    <x:row r="62" s="51" customFormat="1" ht="30" customHeight="1">
      <x:c r="A62" s="93" t="n">
        <x:v>54</x:v>
      </x:c>
      <x:c r="B62" s="94" t="inlineStr">
        <x:is>
          <x:t xml:space="preserve">Logs</x:t>
        </x:is>
      </x:c>
      <x:c r="C62" s="94" t="inlineStr">
        <x:is>
          <x:t xml:space="preserve">ToggleGroup</x:t>
        </x:is>
      </x:c>
      <x:c r="D62" s="94" t="inlineStr">
        <x:is>
          <x:t xml:space="preserve">value changes, item events, and root keyboard events are useful and not spammy</x:t>
        </x:is>
      </x:c>
      <x:c r="E62" s="93" t="inlineStr">
        <x:is>
          <x:t xml:space="preserve">yes</x:t>
        </x:is>
      </x:c>
      <x:c r="F62" s="93" t="inlineStr">
        <x:is>
          <x:t xml:space="preserve">yes</x:t>
        </x:is>
      </x:c>
      <x:c r="G62" s="93" t="inlineStr">
        <x:is>
          <x:t xml:space="preserve">pass</x:t>
        </x:is>
      </x:c>
      <x:c r="H62" s="93" t="inlineStr">
        <x:is>
          <x:t xml:space="preserve">covered</x:t>
        </x:is>
      </x:c>
      <x:c r="I62" s="94" t="inlineStr">
        <x:is>
          <x:t xml:space="preserve">ToggleGroup playground manual verification.</x:t>
        </x:is>
      </x:c>
      <x:c r="J62" s="94" t="n"/>
      <x:c r="K62" s="95" t="n">
        <x:f>IF(AND(E62="yes",F62="yes",H62="covered"),1,IF(H62="partial",0.5,0))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Toolbar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0.990909090909091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109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1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Draft Manual Test Protocol manual-tests/toolbar.md passed in browser.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Draft Manual Test Protocol manual-tests/toolbar.md passed in browser.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4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Toolbar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Draft Manual Test Protocol manual-tests/toolbar.md passed in browser.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4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Toolbar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Draft Manual Test Protocol manual-tests/toolbar.md passed in browser.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Toolbar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Draft Manual Test Protocol manual-tests/toolbar.md passed in browser.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Toolbar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Draft Manual Test Protocol manual-tests/toolbar.md passed in browser.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Toolbar</x:t>
        </x:is>
      </x:c>
      <x:c r="D15" s="84" t="inlineStr">
        <x:is>
          <x:t xml:space="preserve">Renders `role="toolbar"` with orientation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Draft Manual Test Protocol manual-tests/toolbar.md passed in browser.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Toolbar</x:t>
        </x:is>
      </x:c>
      <x:c r="D16" s="84" t="inlineStr">
        <x:is>
          <x:t xml:space="preserve">Supports horizontal and vertical arrow-key navigation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Draft Manual Test Protocol manual-tests/toolbar.md passed in browser.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4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Toolbar</x:t>
        </x:is>
      </x:c>
      <x:c r="D17" s="84" t="inlineStr">
        <x:is>
          <x:t xml:space="preserve">Supports left-to-right and right-to-left direction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Draft Manual Test Protocol manual-tests/toolbar.md passed in browser.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4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Toolbar</x:t>
        </x:is>
      </x:c>
      <x:c r="D18" s="84" t="inlineStr">
        <x:is>
          <x:t xml:space="preserve">Supports buttons, links, separators, and toggle groups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Draft Manual Test Protocol manual-tests/toolbar.md passed in browser.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Toolbar</x:t>
        </x:is>
      </x:c>
      <x:c r="D19" s="84" t="inlineStr">
        <x:is>
          <x:t xml:space="preserve">Registers toolbar items in DOM order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Draft Manual Test Protocol manual-tests/toolbar.md passed in browser.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Toolbar</x:t>
        </x:is>
      </x:c>
      <x:c r="D20" s="84" t="inlineStr">
        <x:is>
          <x:t xml:space="preserve">Keeps styling, icons, and visual grouping outside the primitive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Draft Manual Test Protocol manual-tests/toolbar.md passed in browser.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Draft Manual Test Protocol manual-tests/toolbar.md passed in browser.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Draft Manual Test Protocol manual-tests/toolbar.md passed in browser.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Draft Manual Test Protocol manual-tests/toolbar.md passed in browser.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Draft Manual Test Protocol manual-tests/toolbar.md passed in browser.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Draft Manual Test Protocol manual-tests/toolbar.md passed in browser.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Draft Manual Test Protocol manual-tests/toolbar.md passed in browser.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Public API</x:t>
        </x:is>
      </x:c>
      <x:c r="C27" s="84" t="inlineStr">
        <x:is>
          <x:t xml:space="preserve">Root</x:t>
        </x:is>
      </x:c>
      <x:c r="D27" s="84" t="inlineStr">
        <x:is>
          <x:t xml:space="preserve">orientation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Draft Manual Test Protocol manual-tests/toolbar.md passed in browser.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Public API</x:t>
        </x:is>
      </x:c>
      <x:c r="C28" s="84" t="inlineStr">
        <x:is>
          <x:t xml:space="preserve">Root</x:t>
        </x:is>
      </x:c>
      <x:c r="D28" s="84" t="inlineStr">
        <x:is>
          <x:t xml:space="preserve">dir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Draft Manual Test Protocol manual-tests/toolbar.md passed in browser.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Public API</x:t>
        </x:is>
      </x:c>
      <x:c r="C29" s="84" t="inlineStr">
        <x:is>
          <x:t xml:space="preserve">Root</x:t>
        </x:is>
      </x:c>
      <x:c r="D29" s="84" t="inlineStr">
        <x:is>
          <x:t xml:space="preserve">loop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Draft Manual Test Protocol manual-tests/toolbar.md passed in browser.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Accessibility</x:t>
        </x:is>
      </x:c>
      <x:c r="C30" s="84" t="inlineStr">
        <x:is>
          <x:t xml:space="preserve">Root</x:t>
        </x:is>
      </x:c>
      <x:c r="D30" s="84" t="inlineStr">
        <x:is>
          <x:t xml:space="preserve">ariaLabel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Draft Manual Test Protocol manual-tests/toolbar.md passed in browser.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Root</x:t>
        </x:is>
      </x:c>
      <x:c r="D31" s="84" t="inlineStr">
        <x:is>
          <x:t xml:space="preserve">[data-slot]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Draft Manual Test Protocol manual-tests/toolbar.md passed in browser.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Public API</x:t>
        </x:is>
      </x:c>
      <x:c r="C32" s="84" t="inlineStr">
        <x:is>
          <x:t xml:space="preserve">Root</x:t>
        </x:is>
      </x:c>
      <x:c r="D32" s="84" t="inlineStr">
        <x:is>
          <x:t xml:space="preserve">[data-orientation]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Draft Manual Test Protocol manual-tests/toolbar.md passed in browser.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Anatomy</x:t>
        </x:is>
      </x:c>
      <x:c r="C33" s="84" t="inlineStr">
        <x:is>
          <x:t xml:space="preserve">Button</x:t>
        </x:is>
      </x:c>
      <x:c r="D33" s="84" t="inlineStr">
        <x:is>
          <x:t xml:space="preserve">renders correct part when expected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Draft Manual Test Protocol manual-tests/toolbar.md passed in browser.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Anatomy</x:t>
        </x:is>
      </x:c>
      <x:c r="C34" s="84" t="inlineStr">
        <x:is>
          <x:t xml:space="preserve">Button</x:t>
        </x:is>
      </x:c>
      <x:c r="D34" s="84" t="inlineStr">
        <x:is>
          <x:t xml:space="preserve">appears in documented order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Draft Manual Test Protocol manual-tests/toolbar.md passed in browser.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30" customHeight="1">
      <x:c r="A35" s="73" t="n">
        <x:v>27</x:v>
      </x:c>
      <x:c r="B35" s="84" t="inlineStr">
        <x:is>
          <x:t xml:space="preserve">Identity</x:t>
        </x:is>
      </x:c>
      <x:c r="C35" s="84" t="inlineStr">
        <x:is>
          <x:t xml:space="preserve">Button</x:t>
        </x:is>
      </x:c>
      <x:c r="D35" s="84" t="inlineStr">
        <x:is>
          <x:t xml:space="preserve">default tag is visible in Anatomy/Inspector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Draft Manual Test Protocol manual-tests/toolbar.md passed in browser.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Identity</x:t>
        </x:is>
      </x:c>
      <x:c r="C36" s="84" t="inlineStr">
        <x:is>
          <x:t xml:space="preserve">Button</x:t>
        </x:is>
      </x:c>
      <x:c r="D36" s="84" t="inlineStr">
        <x:is>
          <x:t xml:space="preserve">data-slot is present and correct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Draft Manual Test Protocol manual-tests/toolbar.md passed in browser.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Props</x:t>
        </x:is>
      </x:c>
      <x:c r="C37" s="84" t="inlineStr">
        <x:is>
          <x:t xml:space="preserve">Button</x:t>
        </x:is>
      </x:c>
      <x:c r="D37" s="84" t="inlineStr">
        <x:is>
          <x:t xml:space="preserve">non-Atom native props pass through with data-prop-check marker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Draft Manual Test Protocol manual-tests/toolbar.md passed in browser.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Refs</x:t>
        </x:is>
      </x:c>
      <x:c r="C38" s="84" t="inlineStr">
        <x:is>
          <x:t xml:space="preserve">Button</x:t>
        </x:is>
      </x:c>
      <x:c r="D38" s="84" t="inlineStr">
        <x:is>
          <x:t xml:space="preserve">consumer ref receives the rendered element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Draft Manual Test Protocol manual-tests/toolbar.md passed in browser.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State</x:t>
        </x:is>
      </x:c>
      <x:c r="C39" s="84" t="inlineStr">
        <x:is>
          <x:t xml:space="preserve">Button</x:t>
        </x:is>
      </x:c>
      <x:c r="D39" s="84" t="inlineStr">
        <x:is>
          <x:t xml:space="preserve">disabled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Draft Manual Test Protocol manual-tests/toolbar.md passed in browser.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Accessibility</x:t>
        </x:is>
      </x:c>
      <x:c r="C40" s="84" t="inlineStr">
        <x:is>
          <x:t xml:space="preserve">Button</x:t>
        </x:is>
      </x:c>
      <x:c r="D40" s="84" t="inlineStr">
        <x:is>
          <x:t xml:space="preserve">ariaLabel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Draft Manual Test Protocol manual-tests/toolbar.md passed in browser.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Public API</x:t>
        </x:is>
      </x:c>
      <x:c r="C41" s="84" t="inlineStr">
        <x:is>
          <x:t xml:space="preserve">Button</x:t>
        </x:is>
      </x:c>
      <x:c r="D41" s="84" t="inlineStr">
        <x:is>
          <x:t xml:space="preserve">[data-slot]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Draft Manual Test Protocol manual-tests/toolbar.md passed in browser.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State</x:t>
        </x:is>
      </x:c>
      <x:c r="C42" s="84" t="inlineStr">
        <x:is>
          <x:t xml:space="preserve">Button</x:t>
        </x:is>
      </x:c>
      <x:c r="D42" s="84" t="inlineStr">
        <x:is>
          <x:t xml:space="preserve">[data-disabled]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Draft Manual Test Protocol manual-tests/toolbar.md passed in browser.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Anatomy</x:t>
        </x:is>
      </x:c>
      <x:c r="C43" s="84" t="inlineStr">
        <x:is>
          <x:t xml:space="preserve">Link</x:t>
        </x:is>
      </x:c>
      <x:c r="D43" s="84" t="inlineStr">
        <x:is>
          <x:t xml:space="preserve">renders correct part when expected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Draft Manual Test Protocol manual-tests/toolbar.md passed in browser.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Anatomy</x:t>
        </x:is>
      </x:c>
      <x:c r="C44" s="84" t="inlineStr">
        <x:is>
          <x:t xml:space="preserve">Link</x:t>
        </x:is>
      </x:c>
      <x:c r="D44" s="84" t="inlineStr">
        <x:is>
          <x:t xml:space="preserve">appears in documented order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Draft Manual Test Protocol manual-tests/toolbar.md passed in browser.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30" customHeight="1">
      <x:c r="A45" s="73" t="n">
        <x:v>37</x:v>
      </x:c>
      <x:c r="B45" s="84" t="inlineStr">
        <x:is>
          <x:t xml:space="preserve">Identity</x:t>
        </x:is>
      </x:c>
      <x:c r="C45" s="84" t="inlineStr">
        <x:is>
          <x:t xml:space="preserve">Link</x:t>
        </x:is>
      </x:c>
      <x:c r="D45" s="84" t="inlineStr">
        <x:is>
          <x:t xml:space="preserve">default tag is visible in Anatomy/Inspector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Draft Manual Test Protocol manual-tests/toolbar.md passed in browser.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Identity</x:t>
        </x:is>
      </x:c>
      <x:c r="C46" s="84" t="inlineStr">
        <x:is>
          <x:t xml:space="preserve">Link</x:t>
        </x:is>
      </x:c>
      <x:c r="D46" s="84" t="inlineStr">
        <x:is>
          <x:t xml:space="preserve">data-slot is present and correct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Draft Manual Test Protocol manual-tests/toolbar.md passed in browser.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Props</x:t>
        </x:is>
      </x:c>
      <x:c r="C47" s="84" t="inlineStr">
        <x:is>
          <x:t xml:space="preserve">Link</x:t>
        </x:is>
      </x:c>
      <x:c r="D47" s="84" t="inlineStr">
        <x:is>
          <x:t xml:space="preserve">non-Atom native props pass through with data-prop-check marker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Draft Manual Test Protocol manual-tests/toolbar.md passed in browser.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Refs</x:t>
        </x:is>
      </x:c>
      <x:c r="C48" s="84" t="inlineStr">
        <x:is>
          <x:t xml:space="preserve">Link</x:t>
        </x:is>
      </x:c>
      <x:c r="D48" s="84" t="inlineStr">
        <x:is>
          <x:t xml:space="preserve">consumer ref receives the rendered element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Draft Manual Test Protocol manual-tests/toolbar.md passed in browser.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Public API</x:t>
        </x:is>
      </x:c>
      <x:c r="C49" s="84" t="inlineStr">
        <x:is>
          <x:t xml:space="preserve">Link</x:t>
        </x:is>
      </x:c>
      <x:c r="D49" s="84" t="inlineStr">
        <x:is>
          <x:t xml:space="preserve">href prop behavior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Draft Manual Test Protocol manual-tests/toolbar.md passed in browser.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Public API</x:t>
        </x:is>
      </x:c>
      <x:c r="C50" s="84" t="inlineStr">
        <x:is>
          <x:t xml:space="preserve">Link</x:t>
        </x:is>
      </x:c>
      <x:c r="D50" s="84" t="inlineStr">
        <x:is>
          <x:t xml:space="preserve">target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Draft Manual Test Protocol manual-tests/toolbar.md passed in browser.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Public API</x:t>
        </x:is>
      </x:c>
      <x:c r="C51" s="84" t="inlineStr">
        <x:is>
          <x:t xml:space="preserve">Link</x:t>
        </x:is>
      </x:c>
      <x:c r="D51" s="84" t="inlineStr">
        <x:is>
          <x:t xml:space="preserve">rel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Draft Manual Test Protocol manual-tests/toolbar.md passed in browser.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State</x:t>
        </x:is>
      </x:c>
      <x:c r="C52" s="84" t="inlineStr">
        <x:is>
          <x:t xml:space="preserve">Link</x:t>
        </x:is>
      </x:c>
      <x:c r="D52" s="84" t="inlineStr">
        <x:is>
          <x:t xml:space="preserve">disabled removes href and prevents navigation while preserving aria-disabled and data-disabled</x:t>
        </x:is>
      </x:c>
      <x:c r="E52" s="76" t="inlineStr">
        <x:is>
          <x:t xml:space="preserve">yes</x:t>
        </x:is>
      </x:c>
      <x:c r="F52" s="85" t="inlineStr">
        <x:is>
          <x:t xml:space="preserve">no</x:t>
        </x:is>
      </x:c>
      <x:c r="G52" s="73" t="inlineStr">
        <x:is>
          <x:t xml:space="preserve">pending revised manual test</x:t>
        </x:is>
      </x:c>
      <x:c r="H52" s="86" t="inlineStr">
        <x:is>
          <x:t xml:space="preserve">untested</x:t>
        </x:is>
      </x:c>
      <x:c r="I52" s="84" t="inlineStr">
        <x:is>
          <x:t xml:space="preserve">Updated Toolbar scenario and manual-tests/toolbar.md protocol.</x:t>
        </x:is>
      </x:c>
      <x:c r="J52" s="84" t="inlineStr">
        <x:is>
          <x:t xml:space="preserve">Rerun Toolbar Step 4 against the destination-free disabled contract.</x:t>
        </x:is>
      </x:c>
      <x:c r="K52" s="87" t="n">
        <x:f>IF(AND(E52="yes",F52="yes",H52="covered"),1,IF(H52="partial",0.5,0))</x:f>
        <x:v>0</x:v>
      </x:c>
    </x:row>
    <x:row r="53" s="51" customFormat="1" ht="15" customHeight="1">
      <x:c r="A53" s="73" t="n">
        <x:v>45</x:v>
      </x:c>
      <x:c r="B53" s="84" t="inlineStr">
        <x:is>
          <x:t xml:space="preserve">Accessibility</x:t>
        </x:is>
      </x:c>
      <x:c r="C53" s="84" t="inlineStr">
        <x:is>
          <x:t xml:space="preserve">Link</x:t>
        </x:is>
      </x:c>
      <x:c r="D53" s="84" t="inlineStr">
        <x:is>
          <x:t xml:space="preserve">ariaLabel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Draft Manual Test Protocol manual-tests/toolbar.md passed in browser.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Link</x:t>
        </x:is>
      </x:c>
      <x:c r="D54" s="84" t="inlineStr">
        <x:is>
          <x:t xml:space="preserve">[data-slot]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Draft Manual Test Protocol manual-tests/toolbar.md passed in browser.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State</x:t>
        </x:is>
      </x:c>
      <x:c r="C55" s="84" t="inlineStr">
        <x:is>
          <x:t xml:space="preserve">Link</x:t>
        </x:is>
      </x:c>
      <x:c r="D55" s="84" t="inlineStr">
        <x:is>
          <x:t xml:space="preserve">[data-disabled]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Draft Manual Test Protocol manual-tests/toolbar.md passed in browser.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Anatomy</x:t>
        </x:is>
      </x:c>
      <x:c r="C56" s="84" t="inlineStr">
        <x:is>
          <x:t xml:space="preserve">Separator</x:t>
        </x:is>
      </x:c>
      <x:c r="D56" s="84" t="inlineStr">
        <x:is>
          <x:t xml:space="preserve">renders correct part when expected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Draft Manual Test Protocol manual-tests/toolbar.md passed in browser.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Anatomy</x:t>
        </x:is>
      </x:c>
      <x:c r="C57" s="84" t="inlineStr">
        <x:is>
          <x:t xml:space="preserve">Separator</x:t>
        </x:is>
      </x:c>
      <x:c r="D57" s="84" t="inlineStr">
        <x:is>
          <x:t xml:space="preserve">appears in documented order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Draft Manual Test Protocol manual-tests/toolbar.md passed in browser.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30" customHeight="1">
      <x:c r="A58" s="73" t="n">
        <x:v>50</x:v>
      </x:c>
      <x:c r="B58" s="84" t="inlineStr">
        <x:is>
          <x:t xml:space="preserve">Identity</x:t>
        </x:is>
      </x:c>
      <x:c r="C58" s="84" t="inlineStr">
        <x:is>
          <x:t xml:space="preserve">Separator</x:t>
        </x:is>
      </x:c>
      <x:c r="D58" s="84" t="inlineStr">
        <x:is>
          <x:t xml:space="preserve">default tag is visible in Anatomy/Inspector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Draft Manual Test Protocol manual-tests/toolbar.md passed in browser.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Identity</x:t>
        </x:is>
      </x:c>
      <x:c r="C59" s="84" t="inlineStr">
        <x:is>
          <x:t xml:space="preserve">Separator</x:t>
        </x:is>
      </x:c>
      <x:c r="D59" s="84" t="inlineStr">
        <x:is>
          <x:t xml:space="preserve">data-slot is present and correct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Draft Manual Test Protocol manual-tests/toolbar.md passed in browser.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Props</x:t>
        </x:is>
      </x:c>
      <x:c r="C60" s="84" t="inlineStr">
        <x:is>
          <x:t xml:space="preserve">Separator</x:t>
        </x:is>
      </x:c>
      <x:c r="D60" s="84" t="inlineStr">
        <x:is>
          <x:t xml:space="preserve">non-Atom native props pass through with data-prop-check marker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Draft Manual Test Protocol manual-tests/toolbar.md passed in browser.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Public API</x:t>
        </x:is>
      </x:c>
      <x:c r="C61" s="84" t="inlineStr">
        <x:is>
          <x:t xml:space="preserve">Separator</x:t>
        </x:is>
      </x:c>
      <x:c r="D61" s="84" t="inlineStr">
        <x:is>
          <x:t xml:space="preserve">orientation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Draft Manual Test Protocol manual-tests/toolbar.md passed in browser.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Separator</x:t>
        </x:is>
      </x:c>
      <x:c r="D62" s="84" t="inlineStr">
        <x:is>
          <x:t xml:space="preserve">[data-slot]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Draft Manual Test Protocol manual-tests/toolbar.md passed in browser.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Public API</x:t>
        </x:is>
      </x:c>
      <x:c r="C63" s="84" t="inlineStr">
        <x:is>
          <x:t xml:space="preserve">Separator</x:t>
        </x:is>
      </x:c>
      <x:c r="D63" s="84" t="inlineStr">
        <x:is>
          <x:t xml:space="preserve">[data-orientation]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Draft Manual Test Protocol manual-tests/toolbar.md passed in browser.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Anatomy</x:t>
        </x:is>
      </x:c>
      <x:c r="C64" s="84" t="inlineStr">
        <x:is>
          <x:t xml:space="preserve">ToggleGroup</x:t>
        </x:is>
      </x:c>
      <x:c r="D64" s="84" t="inlineStr">
        <x:is>
          <x:t xml:space="preserve">renders correct part when expected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Draft Manual Test Protocol manual-tests/toolbar.md passed in browser.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Anatomy</x:t>
        </x:is>
      </x:c>
      <x:c r="C65" s="84" t="inlineStr">
        <x:is>
          <x:t xml:space="preserve">ToggleGroup</x:t>
        </x:is>
      </x:c>
      <x:c r="D65" s="84" t="inlineStr">
        <x:is>
          <x:t xml:space="preserve">appears in documented order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Draft Manual Test Protocol manual-tests/toolbar.md passed in browser.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Identity</x:t>
        </x:is>
      </x:c>
      <x:c r="C66" s="84" t="inlineStr">
        <x:is>
          <x:t xml:space="preserve">ToggleGroup</x:t>
        </x:is>
      </x:c>
      <x:c r="D66" s="84" t="inlineStr">
        <x:is>
          <x:t xml:space="preserve">default tag is visible in Anatomy/Inspector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Draft Manual Test Protocol manual-tests/toolbar.md passed in browser.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30" customHeight="1">
      <x:c r="A67" s="73" t="n">
        <x:v>59</x:v>
      </x:c>
      <x:c r="B67" s="84" t="inlineStr">
        <x:is>
          <x:t xml:space="preserve">Identity</x:t>
        </x:is>
      </x:c>
      <x:c r="C67" s="84" t="inlineStr">
        <x:is>
          <x:t xml:space="preserve">ToggleGroup</x:t>
        </x:is>
      </x:c>
      <x:c r="D67" s="84" t="inlineStr">
        <x:is>
          <x:t xml:space="preserve">data-slot is present and correct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Draft Manual Test Protocol manual-tests/toolbar.md passed in browser.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Props</x:t>
        </x:is>
      </x:c>
      <x:c r="C68" s="84" t="inlineStr">
        <x:is>
          <x:t xml:space="preserve">ToggleGroup</x:t>
        </x:is>
      </x:c>
      <x:c r="D68" s="84" t="inlineStr">
        <x:is>
          <x:t xml:space="preserve">non-Atom native props pass through with data-prop-check marker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Draft Manual Test Protocol manual-tests/toolbar.md passed in browser.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Public API</x:t>
        </x:is>
      </x:c>
      <x:c r="C69" s="84" t="inlineStr">
        <x:is>
          <x:t xml:space="preserve">ToggleGroup</x:t>
        </x:is>
      </x:c>
      <x:c r="D69" s="84" t="inlineStr">
        <x:is>
          <x:t xml:space="preserve">type prop behavior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Draft Manual Test Protocol manual-tests/toolbar.md passed in browser.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State</x:t>
        </x:is>
      </x:c>
      <x:c r="C70" s="84" t="inlineStr">
        <x:is>
          <x:t xml:space="preserve">ToggleGroup</x:t>
        </x:is>
      </x:c>
      <x:c r="D70" s="84" t="inlineStr">
        <x:is>
          <x:t xml:space="preserve">value prop behavior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Draft Manual Test Protocol manual-tests/toolbar.md passed in browser.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State</x:t>
        </x:is>
      </x:c>
      <x:c r="C71" s="84" t="inlineStr">
        <x:is>
          <x:t xml:space="preserve">ToggleGroup</x:t>
        </x:is>
      </x:c>
      <x:c r="D71" s="84" t="inlineStr">
        <x:is>
          <x:t xml:space="preserve">defaultValue prop behavior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Draft Manual Test Protocol manual-tests/toolbar.md passed in browser.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State</x:t>
        </x:is>
      </x:c>
      <x:c r="C72" s="84" t="inlineStr">
        <x:is>
          <x:t xml:space="preserve">ToggleGroup</x:t>
        </x:is>
      </x:c>
      <x:c r="D72" s="84" t="inlineStr">
        <x:is>
          <x:t xml:space="preserve">onValueChange prop behavior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Draft Manual Test Protocol manual-tests/toolbar.md passed in browser.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State</x:t>
        </x:is>
      </x:c>
      <x:c r="C73" s="84" t="inlineStr">
        <x:is>
          <x:t xml:space="preserve">ToggleGroup</x:t>
        </x:is>
      </x:c>
      <x:c r="D73" s="84" t="inlineStr">
        <x:is>
          <x:t xml:space="preserve">disabled prop behavior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Draft Manual Test Protocol manual-tests/toolbar.md passed in browser.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Accessibility</x:t>
        </x:is>
      </x:c>
      <x:c r="C74" s="84" t="inlineStr">
        <x:is>
          <x:t xml:space="preserve">ToggleGroup</x:t>
        </x:is>
      </x:c>
      <x:c r="D74" s="84" t="inlineStr">
        <x:is>
          <x:t xml:space="preserve">ariaLabel prop behavior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Draft Manual Test Protocol manual-tests/toolbar.md passed in browser.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Public API</x:t>
        </x:is>
      </x:c>
      <x:c r="C75" s="84" t="inlineStr">
        <x:is>
          <x:t xml:space="preserve">ToggleGroup</x:t>
        </x:is>
      </x:c>
      <x:c r="D75" s="84" t="inlineStr">
        <x:is>
          <x:t xml:space="preserve">[data-slot] prop behavior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Draft Manual Test Protocol manual-tests/toolbar.md passed in browser.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State</x:t>
        </x:is>
      </x:c>
      <x:c r="C76" s="84" t="inlineStr">
        <x:is>
          <x:t xml:space="preserve">ToggleGroup</x:t>
        </x:is>
      </x:c>
      <x:c r="D76" s="84" t="inlineStr">
        <x:is>
          <x:t xml:space="preserve">[data-disabled] prop behavior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Draft Manual Test Protocol manual-tests/toolbar.md passed in browser.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Anatomy</x:t>
        </x:is>
      </x:c>
      <x:c r="C77" s="84" t="inlineStr">
        <x:is>
          <x:t xml:space="preserve">ToggleItem</x:t>
        </x:is>
      </x:c>
      <x:c r="D77" s="84" t="inlineStr">
        <x:is>
          <x:t xml:space="preserve">renders correct part when expected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Draft Manual Test Protocol manual-tests/toolbar.md passed in browser.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Anatomy</x:t>
        </x:is>
      </x:c>
      <x:c r="C78" s="84" t="inlineStr">
        <x:is>
          <x:t xml:space="preserve">ToggleItem</x:t>
        </x:is>
      </x:c>
      <x:c r="D78" s="84" t="inlineStr">
        <x:is>
          <x:t xml:space="preserve">appears in documented order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Draft Manual Test Protocol manual-tests/toolbar.md passed in browser.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Identity</x:t>
        </x:is>
      </x:c>
      <x:c r="C79" s="84" t="inlineStr">
        <x:is>
          <x:t xml:space="preserve">ToggleItem</x:t>
        </x:is>
      </x:c>
      <x:c r="D79" s="84" t="inlineStr">
        <x:is>
          <x:t xml:space="preserve">default tag is visible in Anatomy/Inspector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Draft Manual Test Protocol manual-tests/toolbar.md passed in browser.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Identity</x:t>
        </x:is>
      </x:c>
      <x:c r="C80" s="84" t="inlineStr">
        <x:is>
          <x:t xml:space="preserve">ToggleItem</x:t>
        </x:is>
      </x:c>
      <x:c r="D80" s="84" t="inlineStr">
        <x:is>
          <x:t xml:space="preserve">data-slot is present and correct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Draft Manual Test Protocol manual-tests/toolbar.md passed in browser.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30" customHeight="1">
      <x:c r="A81" s="73" t="n">
        <x:v>73</x:v>
      </x:c>
      <x:c r="B81" s="84" t="inlineStr">
        <x:is>
          <x:t xml:space="preserve">Props</x:t>
        </x:is>
      </x:c>
      <x:c r="C81" s="84" t="inlineStr">
        <x:is>
          <x:t xml:space="preserve">ToggleItem</x:t>
        </x:is>
      </x:c>
      <x:c r="D81" s="84" t="inlineStr">
        <x:is>
          <x:t xml:space="preserve">non-Atom native props pass through with data-prop-check marker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Draft Manual Test Protocol manual-tests/toolbar.md passed in browser.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Refs</x:t>
        </x:is>
      </x:c>
      <x:c r="C82" s="84" t="inlineStr">
        <x:is>
          <x:t xml:space="preserve">ToggleItem</x:t>
        </x:is>
      </x:c>
      <x:c r="D82" s="84" t="inlineStr">
        <x:is>
          <x:t xml:space="preserve">consumer ref receives the rendered element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Draft Manual Test Protocol manual-tests/toolbar.md passed in browser.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State</x:t>
        </x:is>
      </x:c>
      <x:c r="C83" s="84" t="inlineStr">
        <x:is>
          <x:t xml:space="preserve">ToggleItem</x:t>
        </x:is>
      </x:c>
      <x:c r="D83" s="84" t="inlineStr">
        <x:is>
          <x:t xml:space="preserve">value prop behavior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Draft Manual Test Protocol manual-tests/toolbar.md passed in browser.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State</x:t>
        </x:is>
      </x:c>
      <x:c r="C84" s="84" t="inlineStr">
        <x:is>
          <x:t xml:space="preserve">ToggleItem</x:t>
        </x:is>
      </x:c>
      <x:c r="D84" s="84" t="inlineStr">
        <x:is>
          <x:t xml:space="preserve">disabled prop behavior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Draft Manual Test Protocol manual-tests/toolbar.md passed in browser.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Accessibility</x:t>
        </x:is>
      </x:c>
      <x:c r="C85" s="84" t="inlineStr">
        <x:is>
          <x:t xml:space="preserve">ToggleItem</x:t>
        </x:is>
      </x:c>
      <x:c r="D85" s="84" t="inlineStr">
        <x:is>
          <x:t xml:space="preserve">ariaLabel prop behavior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Draft Manual Test Protocol manual-tests/toolbar.md passed in browser.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Public API</x:t>
        </x:is>
      </x:c>
      <x:c r="C86" s="84" t="inlineStr">
        <x:is>
          <x:t xml:space="preserve">ToggleItem</x:t>
        </x:is>
      </x:c>
      <x:c r="D86" s="84" t="inlineStr">
        <x:is>
          <x:t xml:space="preserve">[data-slot] prop behavior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Draft Manual Test Protocol manual-tests/toolbar.md passed in browser.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Public API</x:t>
        </x:is>
      </x:c>
      <x:c r="C87" s="84" t="inlineStr">
        <x:is>
          <x:t xml:space="preserve">ToggleItem</x:t>
        </x:is>
      </x:c>
      <x:c r="D87" s="84" t="inlineStr">
        <x:is>
          <x:t xml:space="preserve">[data-state] prop behavior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Draft Manual Test Protocol manual-tests/toolbar.md passed in browser.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State</x:t>
        </x:is>
      </x:c>
      <x:c r="C88" s="84" t="inlineStr">
        <x:is>
          <x:t xml:space="preserve">ToggleItem</x:t>
        </x:is>
      </x:c>
      <x:c r="D88" s="84" t="inlineStr">
        <x:is>
          <x:t xml:space="preserve">[data-value] prop behavior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Draft Manual Test Protocol manual-tests/toolbar.md passed in browser.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State</x:t>
        </x:is>
      </x:c>
      <x:c r="C89" s="84" t="inlineStr">
        <x:is>
          <x:t xml:space="preserve">ToggleItem</x:t>
        </x:is>
      </x:c>
      <x:c r="D89" s="84" t="inlineStr">
        <x:is>
          <x:t xml:space="preserve">[data-disabled] prop behavior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Draft Manual Test Protocol manual-tests/toolbar.md passed in browser.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ARIA</x:t>
        </x:is>
      </x:c>
      <x:c r="C90" s="84" t="inlineStr">
        <x:is>
          <x:t xml:space="preserve">Live DOM</x:t>
        </x:is>
      </x:c>
      <x:c r="D90" s="84" t="inlineStr">
        <x:is>
          <x:t xml:space="preserve">aria-disabled is present at the correct time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Draft Manual Test Protocol manual-tests/toolbar.md passed in browser.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30" customHeight="1">
      <x:c r="A91" s="73" t="n">
        <x:v>83</x:v>
      </x:c>
      <x:c r="B91" s="84" t="inlineStr">
        <x:is>
          <x:t xml:space="preserve">ARIA</x:t>
        </x:is>
      </x:c>
      <x:c r="C91" s="84" t="inlineStr">
        <x:is>
          <x:t xml:space="preserve">Live DOM</x:t>
        </x:is>
      </x:c>
      <x:c r="D91" s="84" t="inlineStr">
        <x:is>
          <x:t xml:space="preserve">aria-label is present at the correct time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Draft Manual Test Protocol manual-tests/toolbar.md passed in browser.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ARIA</x:t>
        </x:is>
      </x:c>
      <x:c r="C92" s="84" t="inlineStr">
        <x:is>
          <x:t xml:space="preserve">Live DOM</x:t>
        </x:is>
      </x:c>
      <x:c r="D92" s="84" t="inlineStr">
        <x:is>
          <x:t xml:space="preserve">aria-orientation is present at the correct time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Draft Manual Test Protocol manual-tests/toolbar.md passed in browser.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30" customHeight="1">
      <x:c r="A93" s="73" t="n">
        <x:v>85</x:v>
      </x:c>
      <x:c r="B93" s="84" t="inlineStr">
        <x:is>
          <x:t xml:space="preserve">ARIA</x:t>
        </x:is>
      </x:c>
      <x:c r="C93" s="84" t="inlineStr">
        <x:is>
          <x:t xml:space="preserve">Live DOM</x:t>
        </x:is>
      </x:c>
      <x:c r="D93" s="84" t="inlineStr">
        <x:is>
          <x:t xml:space="preserve">aria-pressed is present at the correct time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Draft Manual Test Protocol manual-tests/toolbar.md passed in browser.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Data</x:t>
        </x:is>
      </x:c>
      <x:c r="C94" s="84" t="inlineStr">
        <x:is>
          <x:t xml:space="preserve">Live DOM</x:t>
        </x:is>
      </x:c>
      <x:c r="D94" s="84" t="inlineStr">
        <x:is>
          <x:t xml:space="preserve">data-disabled is present at the correct time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Draft Manual Test Protocol manual-tests/toolbar.md passed in browser.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Data</x:t>
        </x:is>
      </x:c>
      <x:c r="C95" s="84" t="inlineStr">
        <x:is>
          <x:t xml:space="preserve">Live DOM</x:t>
        </x:is>
      </x:c>
      <x:c r="D95" s="84" t="inlineStr">
        <x:is>
          <x:t xml:space="preserve">data-orientation is present at the correct time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Draft Manual Test Protocol manual-tests/toolbar.md passed in browser.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30" customHeight="1">
      <x:c r="A96" s="73" t="n">
        <x:v>88</x:v>
      </x:c>
      <x:c r="B96" s="84" t="inlineStr">
        <x:is>
          <x:t xml:space="preserve">Data</x:t>
        </x:is>
      </x:c>
      <x:c r="C96" s="84" t="inlineStr">
        <x:is>
          <x:t xml:space="preserve">Live DOM</x:t>
        </x:is>
      </x:c>
      <x:c r="D96" s="84" t="inlineStr">
        <x:is>
          <x:t xml:space="preserve">data-slot is present at the correct time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Draft Manual Test Protocol manual-tests/toolbar.md passed in browser.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30" customHeight="1">
      <x:c r="A97" s="73" t="n">
        <x:v>89</x:v>
      </x:c>
      <x:c r="B97" s="84" t="inlineStr">
        <x:is>
          <x:t xml:space="preserve">Data</x:t>
        </x:is>
      </x:c>
      <x:c r="C97" s="84" t="inlineStr">
        <x:is>
          <x:t xml:space="preserve">Live DOM</x:t>
        </x:is>
      </x:c>
      <x:c r="D97" s="84" t="inlineStr">
        <x:is>
          <x:t xml:space="preserve">data-state is present at the correct time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Draft Manual Test Protocol manual-tests/toolbar.md passed in browser.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30" customHeight="1">
      <x:c r="A98" s="73" t="n">
        <x:v>90</x:v>
      </x:c>
      <x:c r="B98" s="84" t="inlineStr">
        <x:is>
          <x:t xml:space="preserve">Data</x:t>
        </x:is>
      </x:c>
      <x:c r="C98" s="84" t="inlineStr">
        <x:is>
          <x:t xml:space="preserve">Live DOM</x:t>
        </x:is>
      </x:c>
      <x:c r="D98" s="84" t="inlineStr">
        <x:is>
          <x:t xml:space="preserve">data-value is present at the correct time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Draft Manual Test Protocol manual-tests/toolbar.md passed in browser.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Keyboard</x:t>
        </x:is>
      </x:c>
      <x:c r="C99" s="84" t="inlineStr">
        <x:is>
          <x:t xml:space="preserve">Toolbar</x:t>
        </x:is>
      </x:c>
      <x:c r="D99" s="84" t="inlineStr">
        <x:is>
          <x:t xml:space="preserve">ArrowDown behavior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Draft Manual Test Protocol manual-tests/toolbar.md passed in browser.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Keyboard</x:t>
        </x:is>
      </x:c>
      <x:c r="C100" s="84" t="inlineStr">
        <x:is>
          <x:t xml:space="preserve">Toolbar</x:t>
        </x:is>
      </x:c>
      <x:c r="D100" s="84" t="inlineStr">
        <x:is>
          <x:t xml:space="preserve">ArrowLeft behavior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Draft Manual Test Protocol manual-tests/toolbar.md passed in browser.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Keyboard</x:t>
        </x:is>
      </x:c>
      <x:c r="C101" s="84" t="inlineStr">
        <x:is>
          <x:t xml:space="preserve">Toolbar</x:t>
        </x:is>
      </x:c>
      <x:c r="D101" s="84" t="inlineStr">
        <x:is>
          <x:t xml:space="preserve">ArrowRight behavior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Draft Manual Test Protocol manual-tests/toolbar.md passed in browser.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Keyboard</x:t>
        </x:is>
      </x:c>
      <x:c r="C102" s="84" t="inlineStr">
        <x:is>
          <x:t xml:space="preserve">Toolbar</x:t>
        </x:is>
      </x:c>
      <x:c r="D102" s="84" t="inlineStr">
        <x:is>
          <x:t xml:space="preserve">ArrowUp behavior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Draft Manual Test Protocol manual-tests/toolbar.md passed in browser.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Keyboard</x:t>
        </x:is>
      </x:c>
      <x:c r="C103" s="84" t="inlineStr">
        <x:is>
          <x:t xml:space="preserve">Toolbar</x:t>
        </x:is>
      </x:c>
      <x:c r="D103" s="84" t="inlineStr">
        <x:is>
          <x:t xml:space="preserve">End behavior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Draft Manual Test Protocol manual-tests/toolbar.md passed in browser.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Keyboard</x:t>
        </x:is>
      </x:c>
      <x:c r="C104" s="84" t="inlineStr">
        <x:is>
          <x:t xml:space="preserve">Toolbar</x:t>
        </x:is>
      </x:c>
      <x:c r="D104" s="84" t="inlineStr">
        <x:is>
          <x:t xml:space="preserve">Home behavior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6" t="inlineStr">
        <x:is>
          <x:t xml:space="preserve">covered</x:t>
        </x:is>
      </x:c>
      <x:c r="I104" s="84" t="inlineStr">
        <x:is>
          <x:t xml:space="preserve">Draft Manual Test Protocol manual-tests/toolbar.md passed in browser.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Keyboard</x:t>
        </x:is>
      </x:c>
      <x:c r="C105" s="84" t="inlineStr">
        <x:is>
          <x:t xml:space="preserve">Toolbar</x:t>
        </x:is>
      </x:c>
      <x:c r="D105" s="84" t="inlineStr">
        <x:is>
          <x:t xml:space="preserve">Arrow key navigation follows documented orientation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6" t="inlineStr">
        <x:is>
          <x:t xml:space="preserve">covered</x:t>
        </x:is>
      </x:c>
      <x:c r="I105" s="84" t="inlineStr">
        <x:is>
          <x:t xml:space="preserve">Draft Manual Test Protocol manual-tests/toolbar.md passed in browser.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Keyboard</x:t>
        </x:is>
      </x:c>
      <x:c r="C106" s="84" t="inlineStr">
        <x:is>
          <x:t xml:space="preserve">Toolbar</x:t>
        </x:is>
      </x:c>
      <x:c r="D106" s="84" t="inlineStr">
        <x:is>
          <x:t xml:space="preserve">Home and End navigation where supported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6" t="inlineStr">
        <x:is>
          <x:t xml:space="preserve">covered</x:t>
        </x:is>
      </x:c>
      <x:c r="I106" s="84" t="inlineStr">
        <x:is>
          <x:t xml:space="preserve">Draft Manual Test Protocol manual-tests/toolbar.md passed in browser.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Keyboard</x:t>
        </x:is>
      </x:c>
      <x:c r="C107" s="84" t="inlineStr">
        <x:is>
          <x:t xml:space="preserve">Toolbar</x:t>
        </x:is>
      </x:c>
      <x:c r="D107" s="84" t="inlineStr">
        <x:is>
          <x:t xml:space="preserve">disabled items are skipped or exposed according to pattern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test</x:t>
        </x:is>
      </x:c>
      <x:c r="H107" s="86" t="inlineStr">
        <x:is>
          <x:t xml:space="preserve">covered</x:t>
        </x:is>
      </x:c>
      <x:c r="I107" s="84" t="inlineStr">
        <x:is>
          <x:t xml:space="preserve">Draft Manual Test Protocol manual-tests/toolbar.md passed in browser.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Focus</x:t>
        </x:is>
      </x:c>
      <x:c r="C108" s="84" t="inlineStr">
        <x:is>
          <x:t xml:space="preserve">Toolbar</x:t>
        </x:is>
      </x:c>
      <x:c r="D108" s="84" t="inlineStr">
        <x:is>
          <x:t xml:space="preserve">roving focus or active descendant state is visible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test</x:t>
        </x:is>
      </x:c>
      <x:c r="H108" s="86" t="inlineStr">
        <x:is>
          <x:t xml:space="preserve">covered</x:t>
        </x:is>
      </x:c>
      <x:c r="I108" s="84" t="inlineStr">
        <x:is>
          <x:t xml:space="preserve">Draft Manual Test Protocol manual-tests/toolbar.md passed in browser.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15" customHeight="1">
      <x:c r="A109" s="73" t="n">
        <x:v>101</x:v>
      </x:c>
      <x:c r="B109" s="84" t="inlineStr">
        <x:is>
          <x:t xml:space="preserve">Direction</x:t>
        </x:is>
      </x:c>
      <x:c r="C109" s="84" t="inlineStr">
        <x:is>
          <x:t xml:space="preserve">Root</x:t>
        </x:is>
      </x:c>
      <x:c r="D109" s="84" t="inlineStr">
        <x:is>
          <x:t xml:space="preserve">reads Direction.Provider context before defaulting to ltr</x:t>
        </x:is>
      </x:c>
      <x:c r="E109" s="88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test</x:t>
        </x:is>
      </x:c>
      <x:c r="H109" s="88" t="inlineStr">
        <x:is>
          <x:t xml:space="preserve">covered</x:t>
        </x:is>
      </x:c>
      <x:c r="I109" s="84" t="inlineStr">
        <x:is>
          <x:t xml:space="preserve">Draft Manual Test Protocol manual-tests/toolbar.md passed in browser.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Direction</x:t>
        </x:is>
      </x:c>
      <x:c r="C110" s="84" t="inlineStr">
        <x:is>
          <x:t xml:space="preserve">Root</x:t>
        </x:is>
      </x:c>
      <x:c r="D110" s="84" t="inlineStr">
        <x:is>
          <x:t xml:space="preserve">direct dir prop overrides provider direction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manual test</x:t>
        </x:is>
      </x:c>
      <x:c r="H110" s="86" t="inlineStr">
        <x:is>
          <x:t xml:space="preserve">covered</x:t>
        </x:is>
      </x:c>
      <x:c r="I110" s="84" t="inlineStr">
        <x:is>
          <x:t xml:space="preserve">Draft Manual Test Protocol manual-tests/toolbar.md passed in browser.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45" customHeight="1">
      <x:c r="A111" s="73" t="n">
        <x:v>103</x:v>
      </x:c>
      <x:c r="B111" s="84" t="inlineStr">
        <x:is>
          <x:t xml:space="preserve">Direction</x:t>
        </x:is>
      </x:c>
      <x:c r="C111" s="84" t="inlineStr">
        <x:is>
          <x:t xml:space="preserve">Root</x:t>
        </x:is>
      </x:c>
      <x:c r="D111" s="84" t="inlineStr">
        <x:is>
          <x:t xml:space="preserve">RTL mirrors horizontal ArrowLeft and ArrowRight navigation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 manual test</x:t>
        </x:is>
      </x:c>
      <x:c r="H111" s="86" t="inlineStr">
        <x:is>
          <x:t xml:space="preserve">covered</x:t>
        </x:is>
      </x:c>
      <x:c r="I111" s="84" t="inlineStr">
        <x:is>
          <x:t xml:space="preserve">Draft Manual Test Protocol manual-tests/toolbar.md passed in browser.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Playground</x:t>
        </x:is>
      </x:c>
      <x:c r="C112" s="84" t="inlineStr">
        <x:is>
          <x:t xml:space="preserve">Direction controls</x:t>
        </x:is>
      </x:c>
      <x:c r="D112" s="84" t="inlineStr">
        <x:is>
          <x:t xml:space="preserve">scenario exposes provider direction and direct dir override through a single Direction control</x:t>
        </x:is>
      </x:c>
      <x:c r="E112" s="88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 manual test</x:t>
        </x:is>
      </x:c>
      <x:c r="H112" s="88" t="inlineStr">
        <x:is>
          <x:t xml:space="preserve">covered</x:t>
        </x:is>
      </x:c>
      <x:c r="I112" s="84" t="inlineStr">
        <x:is>
          <x:t xml:space="preserve">Draft Manual Test Protocol manual-tests/toolbar.md passed in browser.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30" customHeight="1">
      <x:c r="A113" s="73" t="n">
        <x:v>105</x:v>
      </x:c>
      <x:c r="B113" s="84" t="inlineStr">
        <x:is>
          <x:t xml:space="preserve">Composition</x:t>
        </x:is>
      </x:c>
      <x:c r="C113" s="84" t="inlineStr">
        <x:is>
          <x:t xml:space="preserve">Root</x:t>
        </x:is>
      </x:c>
      <x:c r="D113" s="84" t="inlineStr">
        <x:is>
          <x:t xml:space="preserve">asChild and render composition modes preserve toolbar behavior</x:t>
        </x:is>
      </x:c>
      <x:c r="E113" s="88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 manual test</x:t>
        </x:is>
      </x:c>
      <x:c r="H113" s="88" t="inlineStr">
        <x:is>
          <x:t xml:space="preserve">covered</x:t>
        </x:is>
      </x:c>
      <x:c r="I113" s="84" t="inlineStr">
        <x:is>
          <x:t xml:space="preserve">Draft Manual Test Protocol manual-tests/toolbar.md passed in browser.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30" customHeight="1">
      <x:c r="A114" s="73" t="n">
        <x:v>106</x:v>
      </x:c>
      <x:c r="B114" s="84" t="inlineStr">
        <x:is>
          <x:t xml:space="preserve">Composition</x:t>
        </x:is>
      </x:c>
      <x:c r="C114" s="84" t="inlineStr">
        <x:is>
          <x:t xml:space="preserve">Button</x:t>
        </x:is>
      </x:c>
      <x:c r="D114" s="84" t="inlineStr">
        <x:is>
          <x:t xml:space="preserve">asChild and render composition modes preserve button behavior</x:t>
        </x:is>
      </x:c>
      <x:c r="E114" s="88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 manual test</x:t>
        </x:is>
      </x:c>
      <x:c r="H114" s="88" t="inlineStr">
        <x:is>
          <x:t xml:space="preserve">covered</x:t>
        </x:is>
      </x:c>
      <x:c r="I114" s="84" t="inlineStr">
        <x:is>
          <x:t xml:space="preserve">Draft Manual Test Protocol manual-tests/toolbar.md passed in browser.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30" customHeight="1">
      <x:c r="A115" s="73" t="n">
        <x:v>107</x:v>
      </x:c>
      <x:c r="B115" s="84" t="inlineStr">
        <x:is>
          <x:t xml:space="preserve">Composition</x:t>
        </x:is>
      </x:c>
      <x:c r="C115" s="84" t="inlineStr">
        <x:is>
          <x:t xml:space="preserve">Link</x:t>
        </x:is>
      </x:c>
      <x:c r="D115" s="84" t="inlineStr">
        <x:is>
          <x:t xml:space="preserve">asChild and render composition modes preserve link behavior</x:t>
        </x:is>
      </x:c>
      <x:c r="E115" s="88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 manual test</x:t>
        </x:is>
      </x:c>
      <x:c r="H115" s="88" t="inlineStr">
        <x:is>
          <x:t xml:space="preserve">covered</x:t>
        </x:is>
      </x:c>
      <x:c r="I115" s="84" t="inlineStr">
        <x:is>
          <x:t xml:space="preserve">Draft Manual Test Protocol manual-tests/toolbar.md passed in browser.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30" customHeight="1">
      <x:c r="A116" s="73" t="n">
        <x:v>108</x:v>
      </x:c>
      <x:c r="B116" s="84" t="inlineStr">
        <x:is>
          <x:t xml:space="preserve">Composition</x:t>
        </x:is>
      </x:c>
      <x:c r="C116" s="84" t="inlineStr">
        <x:is>
          <x:t xml:space="preserve">Separator</x:t>
        </x:is>
      </x:c>
      <x:c r="D116" s="84" t="inlineStr">
        <x:is>
          <x:t xml:space="preserve">asChild and render composition modes preserve separator behavior</x:t>
        </x:is>
      </x:c>
      <x:c r="E116" s="88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 manual test</x:t>
        </x:is>
      </x:c>
      <x:c r="H116" s="88" t="inlineStr">
        <x:is>
          <x:t xml:space="preserve">covered</x:t>
        </x:is>
      </x:c>
      <x:c r="I116" s="84" t="inlineStr">
        <x:is>
          <x:t xml:space="preserve">Draft Manual Test Protocol manual-tests/toolbar.md passed in browser.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30" customHeight="1">
      <x:c r="A117" s="73" t="n">
        <x:v>109</x:v>
      </x:c>
      <x:c r="B117" s="84" t="inlineStr">
        <x:is>
          <x:t xml:space="preserve">Composition</x:t>
        </x:is>
      </x:c>
      <x:c r="C117" s="84" t="inlineStr">
        <x:is>
          <x:t xml:space="preserve">ToggleGroup</x:t>
        </x:is>
      </x:c>
      <x:c r="D117" s="84" t="inlineStr">
        <x:is>
          <x:t xml:space="preserve">asChild and render composition modes preserve toggle group behavior</x:t>
        </x:is>
      </x:c>
      <x:c r="E117" s="88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 manual test</x:t>
        </x:is>
      </x:c>
      <x:c r="H117" s="88" t="inlineStr">
        <x:is>
          <x:t xml:space="preserve">covered</x:t>
        </x:is>
      </x:c>
      <x:c r="I117" s="84" t="inlineStr">
        <x:is>
          <x:t xml:space="preserve">Draft Manual Test Protocol manual-tests/toolbar.md passed in browser.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30" customHeight="1">
      <x:c r="A118" s="73" t="n">
        <x:v>110</x:v>
      </x:c>
      <x:c r="B118" s="84" t="inlineStr">
        <x:is>
          <x:t xml:space="preserve">Composition</x:t>
        </x:is>
      </x:c>
      <x:c r="C118" s="84" t="inlineStr">
        <x:is>
          <x:t xml:space="preserve">ToggleItem</x:t>
        </x:is>
      </x:c>
      <x:c r="D118" s="84" t="inlineStr">
        <x:is>
          <x:t xml:space="preserve">asChild and render composition modes preserve toggle item behavior</x:t>
        </x:is>
      </x:c>
      <x:c r="E118" s="88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 manual test</x:t>
        </x:is>
      </x:c>
      <x:c r="H118" s="88" t="inlineStr">
        <x:is>
          <x:t xml:space="preserve">covered</x:t>
        </x:is>
      </x:c>
      <x:c r="I118" s="84" t="inlineStr">
        <x:is>
          <x:t xml:space="preserve">Draft Manual Test Protocol manual-tests/toolbar.md passed in browser.</x:t>
        </x:is>
      </x:c>
      <x:c r="J118" s="84" t="n"/>
      <x:c r="K118" s="87" t="n">
        <x:f>IF(AND(E118="yes",F118="yes",H118="covered"),1,IF(H118="partial",0.5,0))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Tooltip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90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manual-tests/tooltip.md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4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manual-tests/tooltip.md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Tooltip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manual-tests/tooltip.md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Tooltip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manual-tests/tooltip.md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15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Tooltip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manual-tests/tooltip.md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Tooltip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manual-tests/tooltip.md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4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Tooltip</x:t>
        </x:is>
      </x:c>
      <x:c r="D15" s="84" t="inlineStr">
        <x:is>
          <x:t xml:space="preserve">Provider-level delay configuration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manual-tests/tooltip.md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4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Tooltip</x:t>
        </x:is>
      </x:c>
      <x:c r="D16" s="84" t="inlineStr">
        <x:is>
          <x:t xml:space="preserve">Controlled and uncontrolled open state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manual-tests/tooltip.md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Tooltip</x:t>
        </x:is>
      </x:c>
      <x:c r="D17" s="84" t="inlineStr">
        <x:is>
          <x:t xml:space="preserve">opens on pointer hover and keyboard focus-visible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existing desktop browser/manual baseline; mobile device qualification not run</x:t>
        </x:is>
      </x:c>
      <x:c r="H17" s="86" t="inlineStr">
        <x:is>
          <x:t xml:space="preserve">covered</x:t>
        </x:is>
      </x:c>
      <x:c r="I17" s="84" t="inlineStr">
        <x:is>
          <x:t xml:space="preserve">Existing desktop browser/manual baseline; not real iOS Safari or Android Chrome evidence.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Tooltip</x:t>
        </x:is>
      </x:c>
      <x:c r="D18" s="84" t="inlineStr">
        <x:is>
          <x:t xml:space="preserve">Floating UI positioning with side, align, side offset, collision shift, flip, and arrow coordinates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manual-tests/tooltip.md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Tooltip</x:t>
        </x:is>
      </x:c>
      <x:c r="D19" s="84" t="inlineStr">
        <x:is>
          <x:t xml:space="preserve">`aria-describedby` wiring between trigger and tooltip content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manual-tests/tooltip.md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Tooltip</x:t>
        </x:is>
      </x:c>
      <x:c r="D20" s="84" t="inlineStr">
        <x:is>
          <x:t xml:space="preserve">Portal and arrow parts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manual-tests/tooltip.md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manual-tests/tooltip.md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manual-tests/tooltip.md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State</x:t>
        </x:is>
      </x:c>
      <x:c r="C23" s="84" t="inlineStr">
        <x:is>
          <x:t xml:space="preserve">Root</x:t>
        </x:is>
      </x:c>
      <x:c r="D23" s="84" t="inlineStr">
        <x:is>
          <x:t xml:space="preserve">open prop behavior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manual-tests/tooltip.md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45" customHeight="1">
      <x:c r="A24" s="73" t="n">
        <x:v>16</x:v>
      </x:c>
      <x:c r="B24" s="84" t="inlineStr">
        <x:is>
          <x:t xml:space="preserve">State</x:t>
        </x:is>
      </x:c>
      <x:c r="C24" s="84" t="inlineStr">
        <x:is>
          <x:t xml:space="preserve">Root</x:t>
        </x:is>
      </x:c>
      <x:c r="D24" s="84" t="inlineStr">
        <x:is>
          <x:t xml:space="preserve">defaultOpen prop behavior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manual-tests/tooltip.md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State</x:t>
        </x:is>
      </x:c>
      <x:c r="C25" s="84" t="inlineStr">
        <x:is>
          <x:t xml:space="preserve">Root</x:t>
        </x:is>
      </x:c>
      <x:c r="D25" s="84" t="inlineStr">
        <x:is>
          <x:t xml:space="preserve">onOpenChange prop behavior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manual-tests/tooltip.md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State</x:t>
        </x:is>
      </x:c>
      <x:c r="C26" s="84" t="inlineStr">
        <x:is>
          <x:t xml:space="preserve">Root</x:t>
        </x:is>
      </x:c>
      <x:c r="D26" s="84" t="inlineStr">
        <x:is>
          <x:t xml:space="preserve">disabled prop behavior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manual-tests/tooltip.md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Anatomy</x:t>
        </x:is>
      </x:c>
      <x:c r="C27" s="84" t="inlineStr">
        <x:is>
          <x:t xml:space="preserve">Provider</x:t>
        </x:is>
      </x:c>
      <x:c r="D27" s="84" t="inlineStr">
        <x:is>
          <x:t xml:space="preserve">renders correct part when expected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manual-tests/tooltip.md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Anatomy</x:t>
        </x:is>
      </x:c>
      <x:c r="C28" s="84" t="inlineStr">
        <x:is>
          <x:t xml:space="preserve">Provider</x:t>
        </x:is>
      </x:c>
      <x:c r="D28" s="84" t="inlineStr">
        <x:is>
          <x:t xml:space="preserve">appears in documented order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manual-tests/tooltip.md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Provider</x:t>
        </x:is>
      </x:c>
      <x:c r="D29" s="84" t="inlineStr">
        <x:is>
          <x:t xml:space="preserve">openDelay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manual-tests/tooltip.md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Provider</x:t>
        </x:is>
      </x:c>
      <x:c r="D30" s="84" t="inlineStr">
        <x:is>
          <x:t xml:space="preserve">closeDelay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manual-tests/tooltip.md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Public API</x:t>
        </x:is>
      </x:c>
      <x:c r="C31" s="84" t="inlineStr">
        <x:is>
          <x:t xml:space="preserve">Provider</x:t>
        </x:is>
      </x:c>
      <x:c r="D31" s="84" t="inlineStr">
        <x:is>
          <x:t xml:space="preserve">skipDelay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manual-tests/tooltip.md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Anatomy</x:t>
        </x:is>
      </x:c>
      <x:c r="C32" s="84" t="inlineStr">
        <x:is>
          <x:t xml:space="preserve">Portal</x:t>
        </x:is>
      </x:c>
      <x:c r="D32" s="84" t="inlineStr">
        <x:is>
          <x:t xml:space="preserve">renders correct part when expected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manual-tests/tooltip.md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30" customHeight="1">
      <x:c r="A33" s="73" t="n">
        <x:v>25</x:v>
      </x:c>
      <x:c r="B33" s="84" t="inlineStr">
        <x:is>
          <x:t xml:space="preserve">Anatomy</x:t>
        </x:is>
      </x:c>
      <x:c r="C33" s="84" t="inlineStr">
        <x:is>
          <x:t xml:space="preserve">Portal</x:t>
        </x:is>
      </x:c>
      <x:c r="D33" s="84" t="inlineStr">
        <x:is>
          <x:t xml:space="preserve">appears in documented order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manual-tests/tooltip.md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45" customHeight="1">
      <x:c r="A34" s="73" t="n">
        <x:v>26</x:v>
      </x:c>
      <x:c r="B34" s="84" t="inlineStr">
        <x:is>
          <x:t xml:space="preserve">Positioning</x:t>
        </x:is>
      </x:c>
      <x:c r="C34" s="84" t="inlineStr">
        <x:is>
          <x:t xml:space="preserve">Portal</x:t>
        </x:is>
      </x:c>
      <x:c r="D34" s="84" t="inlineStr">
        <x:is>
          <x:t xml:space="preserve">container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manual-tests/tooltip.md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Portal</x:t>
        </x:is>
      </x:c>
      <x:c r="D35" s="84" t="inlineStr">
        <x:is>
          <x:t xml:space="preserve">disabled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manual-tests/tooltip.md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Anatomy</x:t>
        </x:is>
      </x:c>
      <x:c r="C36" s="84" t="inlineStr">
        <x:is>
          <x:t xml:space="preserve">Trigger</x:t>
        </x:is>
      </x:c>
      <x:c r="D36" s="84" t="inlineStr">
        <x:is>
          <x:t xml:space="preserve">renders correct part when expected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manual-tests/tooltip.md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Anatomy</x:t>
        </x:is>
      </x:c>
      <x:c r="C37" s="84" t="inlineStr">
        <x:is>
          <x:t xml:space="preserve">Trigger</x:t>
        </x:is>
      </x:c>
      <x:c r="D37" s="84" t="inlineStr">
        <x:is>
          <x:t xml:space="preserve">appears in documented order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manual-tests/tooltip.md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Identity</x:t>
        </x:is>
      </x:c>
      <x:c r="C38" s="84" t="inlineStr">
        <x:is>
          <x:t xml:space="preserve">Trigger</x:t>
        </x:is>
      </x:c>
      <x:c r="D38" s="84" t="inlineStr">
        <x:is>
          <x:t xml:space="preserve">default tag is visible in Anatomy/Inspector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manual-tests/tooltip.md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Identity</x:t>
        </x:is>
      </x:c>
      <x:c r="C39" s="84" t="inlineStr">
        <x:is>
          <x:t xml:space="preserve">Trigger</x:t>
        </x:is>
      </x:c>
      <x:c r="D39" s="84" t="inlineStr">
        <x:is>
          <x:t xml:space="preserve">data-slot is present and correct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manual-tests/tooltip.md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Props</x:t>
        </x:is>
      </x:c>
      <x:c r="C40" s="84" t="inlineStr">
        <x:is>
          <x:t xml:space="preserve">Trigger</x:t>
        </x:is>
      </x:c>
      <x:c r="D40" s="84" t="inlineStr">
        <x:is>
          <x:t xml:space="preserve">non-Atom native props pass through with data-prop-check marker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manual-tests/tooltip.md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Composition</x:t>
        </x:is>
      </x:c>
      <x:c r="C41" s="84" t="inlineStr">
        <x:is>
          <x:t xml:space="preserve">Trigger</x:t>
        </x:is>
      </x:c>
      <x:c r="D41" s="84" t="inlineStr">
        <x:is>
          <x:t xml:space="preserve">asChild prop behavior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manual-tests/tooltip.md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30" customHeight="1">
      <x:c r="A42" s="73" t="n">
        <x:v>34</x:v>
      </x:c>
      <x:c r="B42" s="84" t="inlineStr">
        <x:is>
          <x:t xml:space="preserve">Composition</x:t>
        </x:is>
      </x:c>
      <x:c r="C42" s="84" t="inlineStr">
        <x:is>
          <x:t xml:space="preserve">Trigger</x:t>
        </x:is>
      </x:c>
      <x:c r="D42" s="84" t="inlineStr">
        <x:is>
          <x:t xml:space="preserve">render prop behavior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manual-tests/tooltip.md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45" customHeight="1">
      <x:c r="A43" s="73" t="n">
        <x:v>35</x:v>
      </x:c>
      <x:c r="B43" s="84" t="inlineStr">
        <x:is>
          <x:t xml:space="preserve">Public API</x:t>
        </x:is>
      </x:c>
      <x:c r="C43" s="84" t="inlineStr">
        <x:is>
          <x:t xml:space="preserve">Trigger</x:t>
        </x:is>
      </x:c>
      <x:c r="D43" s="84" t="inlineStr">
        <x:is>
          <x:t xml:space="preserve">data-slot prop behavior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manual-tests/tooltip.md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Public API</x:t>
        </x:is>
      </x:c>
      <x:c r="C44" s="84" t="inlineStr">
        <x:is>
          <x:t xml:space="preserve">Trigger</x:t>
        </x:is>
      </x:c>
      <x:c r="D44" s="84" t="inlineStr">
        <x:is>
          <x:t xml:space="preserve">[data-slot] prop behavior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manual-tests/tooltip.md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Content</x:t>
        </x:is>
      </x:c>
      <x:c r="D45" s="84" t="inlineStr">
        <x:is>
          <x:t xml:space="preserve">renders correct part when expected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manual-tests/tooltip.md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Content</x:t>
        </x:is>
      </x:c>
      <x:c r="D46" s="84" t="inlineStr">
        <x:is>
          <x:t xml:space="preserve">appears in documented order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manual-tests/tooltip.md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Identity</x:t>
        </x:is>
      </x:c>
      <x:c r="C47" s="84" t="inlineStr">
        <x:is>
          <x:t xml:space="preserve">Content</x:t>
        </x:is>
      </x:c>
      <x:c r="D47" s="84" t="inlineStr">
        <x:is>
          <x:t xml:space="preserve">default tag is visible in Anatomy/Inspector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manual-tests/tooltip.md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Identity</x:t>
        </x:is>
      </x:c>
      <x:c r="C48" s="84" t="inlineStr">
        <x:is>
          <x:t xml:space="preserve">Content</x:t>
        </x:is>
      </x:c>
      <x:c r="D48" s="84" t="inlineStr">
        <x:is>
          <x:t xml:space="preserve">data-slot is present and correct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manual-tests/tooltip.md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15" customHeight="1">
      <x:c r="A49" s="73" t="n">
        <x:v>41</x:v>
      </x:c>
      <x:c r="B49" s="84" t="inlineStr">
        <x:is>
          <x:t xml:space="preserve">Props</x:t>
        </x:is>
      </x:c>
      <x:c r="C49" s="84" t="inlineStr">
        <x:is>
          <x:t xml:space="preserve">Content</x:t>
        </x:is>
      </x:c>
      <x:c r="D49" s="84" t="inlineStr">
        <x:is>
          <x:t xml:space="preserve">non-Atom native props pass through with data-prop-check marker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manual-tests/tooltip.md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30" customHeight="1">
      <x:c r="A50" s="73" t="n">
        <x:v>42</x:v>
      </x:c>
      <x:c r="B50" s="84" t="inlineStr">
        <x:is>
          <x:t xml:space="preserve">Positioning</x:t>
        </x:is>
      </x:c>
      <x:c r="C50" s="84" t="inlineStr">
        <x:is>
          <x:t xml:space="preserve">Content</x:t>
        </x:is>
      </x:c>
      <x:c r="D50" s="84" t="inlineStr">
        <x:is>
          <x:t xml:space="preserve">side prop behavior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manual-tests/tooltip.md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45" customHeight="1">
      <x:c r="A51" s="73" t="n">
        <x:v>43</x:v>
      </x:c>
      <x:c r="B51" s="84" t="inlineStr">
        <x:is>
          <x:t xml:space="preserve">Positioning</x:t>
        </x:is>
      </x:c>
      <x:c r="C51" s="84" t="inlineStr">
        <x:is>
          <x:t xml:space="preserve">Content</x:t>
        </x:is>
      </x:c>
      <x:c r="D51" s="84" t="inlineStr">
        <x:is>
          <x:t xml:space="preserve">align prop behavior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manual-tests/tooltip.md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Positioning</x:t>
        </x:is>
      </x:c>
      <x:c r="C52" s="84" t="inlineStr">
        <x:is>
          <x:t xml:space="preserve">Content</x:t>
        </x:is>
      </x:c>
      <x:c r="D52" s="84" t="inlineStr">
        <x:is>
          <x:t xml:space="preserve">sideOffset prop behavior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manual-tests/tooltip.md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Accessibility</x:t>
        </x:is>
      </x:c>
      <x:c r="C53" s="84" t="inlineStr">
        <x:is>
          <x:t xml:space="preserve">Content</x:t>
        </x:is>
      </x:c>
      <x:c r="D53" s="84" t="inlineStr">
        <x:is>
          <x:t xml:space="preserve">ariaLabel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manual-tests/tooltip.md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Content</x:t>
        </x:is>
      </x:c>
      <x:c r="D54" s="84" t="inlineStr">
        <x:is>
          <x:t xml:space="preserve">data-slot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manual-tests/tooltip.md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Public API</x:t>
        </x:is>
      </x:c>
      <x:c r="C55" s="84" t="inlineStr">
        <x:is>
          <x:t xml:space="preserve">Content</x:t>
        </x:is>
      </x:c>
      <x:c r="D55" s="84" t="inlineStr">
        <x:is>
          <x:t xml:space="preserve">[data-slot]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manual-tests/tooltip.md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Content</x:t>
        </x:is>
      </x:c>
      <x:c r="D56" s="84" t="inlineStr">
        <x:is>
          <x:t xml:space="preserve">[data-state]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manual-tests/tooltip.md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Positioning</x:t>
        </x:is>
      </x:c>
      <x:c r="C57" s="84" t="inlineStr">
        <x:is>
          <x:t xml:space="preserve">Content</x:t>
        </x:is>
      </x:c>
      <x:c r="D57" s="84" t="inlineStr">
        <x:is>
          <x:t xml:space="preserve">[data-side]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manual-tests/tooltip.md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Public API</x:t>
        </x:is>
      </x:c>
      <x:c r="C58" s="84" t="inlineStr">
        <x:is>
          <x:t xml:space="preserve">Content</x:t>
        </x:is>
      </x:c>
      <x:c r="D58" s="84" t="inlineStr">
        <x:is>
          <x:t xml:space="preserve">[data-positioned]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manual-tests/tooltip.md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Arrow</x:t>
        </x:is>
      </x:c>
      <x:c r="D59" s="84" t="inlineStr">
        <x:is>
          <x:t xml:space="preserve">renders correct part when expected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manual-tests/tooltip.md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30" customHeight="1">
      <x:c r="A60" s="73" t="n">
        <x:v>52</x:v>
      </x:c>
      <x:c r="B60" s="84" t="inlineStr">
        <x:is>
          <x:t xml:space="preserve">Anatomy</x:t>
        </x:is>
      </x:c>
      <x:c r="C60" s="84" t="inlineStr">
        <x:is>
          <x:t xml:space="preserve">Arrow</x:t>
        </x:is>
      </x:c>
      <x:c r="D60" s="84" t="inlineStr">
        <x:is>
          <x:t xml:space="preserve">appears in documented order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manual-tests/tooltip.md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45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Arrow</x:t>
        </x:is>
      </x:c>
      <x:c r="D61" s="84" t="inlineStr">
        <x:is>
          <x:t xml:space="preserve">default tag is visible in Anatomy/Inspector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manual-tests/tooltip.md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Identity</x:t>
        </x:is>
      </x:c>
      <x:c r="C62" s="84" t="inlineStr">
        <x:is>
          <x:t xml:space="preserve">Arrow</x:t>
        </x:is>
      </x:c>
      <x:c r="D62" s="84" t="inlineStr">
        <x:is>
          <x:t xml:space="preserve">data-slot is present and correct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manual-tests/tooltip.md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Props</x:t>
        </x:is>
      </x:c>
      <x:c r="C63" s="84" t="inlineStr">
        <x:is>
          <x:t xml:space="preserve">Arrow</x:t>
        </x:is>
      </x:c>
      <x:c r="D63" s="84" t="inlineStr">
        <x:is>
          <x:t xml:space="preserve">non-Atom native props pass through with data-prop-check marker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manual-tests/tooltip.md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Public API</x:t>
        </x:is>
      </x:c>
      <x:c r="C64" s="84" t="inlineStr">
        <x:is>
          <x:t xml:space="preserve">Arrow</x:t>
        </x:is>
      </x:c>
      <x:c r="D64" s="84" t="inlineStr">
        <x:is>
          <x:t xml:space="preserve">width prop behavior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manual-tests/tooltip.md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Public API</x:t>
        </x:is>
      </x:c>
      <x:c r="C65" s="84" t="inlineStr">
        <x:is>
          <x:t xml:space="preserve">Arrow</x:t>
        </x:is>
      </x:c>
      <x:c r="D65" s="84" t="inlineStr">
        <x:is>
          <x:t xml:space="preserve">height prop behavior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manual-tests/tooltip.md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Public API</x:t>
        </x:is>
      </x:c>
      <x:c r="C66" s="84" t="inlineStr">
        <x:is>
          <x:t xml:space="preserve">Arrow</x:t>
        </x:is>
      </x:c>
      <x:c r="D66" s="84" t="inlineStr">
        <x:is>
          <x:t xml:space="preserve">data-slot prop behavior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manual-tests/tooltip.md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Public API</x:t>
        </x:is>
      </x:c>
      <x:c r="C67" s="84" t="inlineStr">
        <x:is>
          <x:t xml:space="preserve">Arrow</x:t>
        </x:is>
      </x:c>
      <x:c r="D67" s="84" t="inlineStr">
        <x:is>
          <x:t xml:space="preserve">[data-slot] prop behavior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manual-tests/tooltip.md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Positioning</x:t>
        </x:is>
      </x:c>
      <x:c r="C68" s="84" t="inlineStr">
        <x:is>
          <x:t xml:space="preserve">Arrow</x:t>
        </x:is>
      </x:c>
      <x:c r="D68" s="84" t="inlineStr">
        <x:is>
          <x:t xml:space="preserve">[data-side] prop behavior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manual-tests/tooltip.md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ARIA</x:t>
        </x:is>
      </x:c>
      <x:c r="C69" s="84" t="inlineStr">
        <x:is>
          <x:t xml:space="preserve">Live DOM</x:t>
        </x:is>
      </x:c>
      <x:c r="D69" s="84" t="inlineStr">
        <x:is>
          <x:t xml:space="preserve">aria-describedby is present at the correct time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manual-tests/tooltip.md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ARIA</x:t>
        </x:is>
      </x:c>
      <x:c r="C70" s="84" t="inlineStr">
        <x:is>
          <x:t xml:space="preserve">Live DOM</x:t>
        </x:is>
      </x:c>
      <x:c r="D70" s="84" t="inlineStr">
        <x:is>
          <x:t xml:space="preserve">aria-label is present at the correct time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manual-tests/tooltip.md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Data</x:t>
        </x:is>
      </x:c>
      <x:c r="C71" s="84" t="inlineStr">
        <x:is>
          <x:t xml:space="preserve">Live DOM</x:t>
        </x:is>
      </x:c>
      <x:c r="D71" s="84" t="inlineStr">
        <x:is>
          <x:t xml:space="preserve">data-positioned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manual-tests/tooltip.md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Data</x:t>
        </x:is>
      </x:c>
      <x:c r="C72" s="84" t="inlineStr">
        <x:is>
          <x:t xml:space="preserve">Live DOM</x:t>
        </x:is>
      </x:c>
      <x:c r="D72" s="84" t="inlineStr">
        <x:is>
          <x:t xml:space="preserve">data-side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manual-tests/tooltip.md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Data</x:t>
        </x:is>
      </x:c>
      <x:c r="C73" s="84" t="inlineStr">
        <x:is>
          <x:t xml:space="preserve">Live DOM</x:t>
        </x:is>
      </x:c>
      <x:c r="D73" s="84" t="inlineStr">
        <x:is>
          <x:t xml:space="preserve">data-slot is present at the correct time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manual-tests/tooltip.md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Data</x:t>
        </x:is>
      </x:c>
      <x:c r="C74" s="84" t="inlineStr">
        <x:is>
          <x:t xml:space="preserve">Live DOM</x:t>
        </x:is>
      </x:c>
      <x:c r="D74" s="84" t="inlineStr">
        <x:is>
          <x:t xml:space="preserve">data-state is present at the correct time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manual-tests/tooltip.md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30" customHeight="1">
      <x:c r="A75" s="73" t="n">
        <x:v>67</x:v>
      </x:c>
      <x:c r="B75" s="84" t="inlineStr">
        <x:is>
          <x:t xml:space="preserve">Data</x:t>
        </x:is>
      </x:c>
      <x:c r="C75" s="84" t="inlineStr">
        <x:is>
          <x:t xml:space="preserve">Live DOM</x:t>
        </x:is>
      </x:c>
      <x:c r="D75" s="84" t="inlineStr">
        <x:is>
          <x:t xml:space="preserve">data-variant is present at the correct time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manual-tests/tooltip.md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45" customHeight="1">
      <x:c r="A76" s="73" t="n">
        <x:v>68</x:v>
      </x:c>
      <x:c r="B76" s="84" t="inlineStr">
        <x:is>
          <x:t xml:space="preserve">Composition</x:t>
        </x:is>
      </x:c>
      <x:c r="C76" s="84" t="inlineStr">
        <x:is>
          <x:t xml:space="preserve">Tooltip</x:t>
        </x:is>
      </x:c>
      <x:c r="D76" s="84" t="inlineStr">
        <x:is>
          <x:t xml:space="preserve">asChild preserves child content without double nesting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manual-tests/tooltip.md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Composition</x:t>
        </x:is>
      </x:c>
      <x:c r="C77" s="84" t="inlineStr">
        <x:is>
          <x:t xml:space="preserve">Tooltip</x:t>
        </x:is>
      </x:c>
      <x:c r="D77" s="84" t="inlineStr">
        <x:is>
          <x:t xml:space="preserve">asChild merges Atom props and consumer props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manual-tests/tooltip.md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Composition</x:t>
        </x:is>
      </x:c>
      <x:c r="C78" s="84" t="inlineStr">
        <x:is>
          <x:t xml:space="preserve">Tooltip</x:t>
        </x:is>
      </x:c>
      <x:c r="D78" s="84" t="inlineStr">
        <x:is>
          <x:t xml:space="preserve">render prop renders custom element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manual-tests/tooltip.md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Composition</x:t>
        </x:is>
      </x:c>
      <x:c r="C79" s="84" t="inlineStr">
        <x:is>
          <x:t xml:space="preserve">Tooltip</x:t>
        </x:is>
      </x:c>
      <x:c r="D79" s="84" t="inlineStr">
        <x:is>
          <x:t xml:space="preserve">render prop preserves behavior props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manual-tests/tooltip.md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State</x:t>
        </x:is>
      </x:c>
      <x:c r="C80" s="84" t="inlineStr">
        <x:is>
          <x:t xml:space="preserve">Root</x:t>
        </x:is>
      </x:c>
      <x:c r="D80" s="84" t="inlineStr">
        <x:is>
          <x:t xml:space="preserve">controlled state path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manual-tests/tooltip.md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State</x:t>
        </x:is>
      </x:c>
      <x:c r="C81" s="84" t="inlineStr">
        <x:is>
          <x:t xml:space="preserve">Root</x:t>
        </x:is>
      </x:c>
      <x:c r="D81" s="84" t="inlineStr">
        <x:is>
          <x:t xml:space="preserve">uncontrolled default state path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manual-tests/tooltip.md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State</x:t>
        </x:is>
      </x:c>
      <x:c r="C82" s="84" t="inlineStr">
        <x:is>
          <x:t xml:space="preserve">Root</x:t>
        </x:is>
      </x:c>
      <x:c r="D82" s="84" t="inlineStr">
        <x:is>
          <x:t xml:space="preserve">state change callback fires once with correct value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manual-tests/tooltip.md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Interaction</x:t>
        </x:is>
      </x:c>
      <x:c r="C83" s="84" t="inlineStr">
        <x:is>
          <x:t xml:space="preserve">Trigger</x:t>
        </x:is>
      </x:c>
      <x:c r="D83" s="84" t="inlineStr">
        <x:is>
          <x:t xml:space="preserve">disabled trigger blocks pointer and keyboard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manual-tests/tooltip.md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Focus</x:t>
        </x:is>
      </x:c>
      <x:c r="C84" s="84" t="inlineStr">
        <x:is>
          <x:t xml:space="preserve">Trigger</x:t>
        </x:is>
      </x:c>
      <x:c r="D84" s="84" t="inlineStr">
        <x:is>
          <x:t xml:space="preserve">focus ring and focus restoration are correct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manual-tests/tooltip.md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Dismiss</x:t>
        </x:is>
      </x:c>
      <x:c r="C85" s="84" t="inlineStr">
        <x:is>
          <x:t xml:space="preserve">Tooltip</x:t>
        </x:is>
      </x:c>
      <x:c r="D85" s="84" t="inlineStr">
        <x:is>
          <x:t xml:space="preserve">Escape closes only the topmost active layer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manual-tests/tooltip.md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Responsive smoke</x:t>
        </x:is>
      </x:c>
      <x:c r="C86" s="84" t="inlineStr">
        <x:is>
          <x:t xml:space="preserve">Tooltip</x:t>
        </x:is>
      </x:c>
      <x:c r="D86" s="84" t="inlineStr">
        <x:is>
          <x:t xml:space="preserve">desktop responsive smoke only; mobile touch and viewport behavior is not qualified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existing desktop browser/manual baseline; mobile device qualification not run</x:t>
        </x:is>
      </x:c>
      <x:c r="H86" s="86" t="inlineStr">
        <x:is>
          <x:t xml:space="preserve">covered</x:t>
        </x:is>
      </x:c>
      <x:c r="I86" s="84" t="inlineStr">
        <x:is>
          <x:t xml:space="preserve">Existing desktop browser/manual baseline; not real iOS Safari or Android Chrome evidence.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Portal</x:t>
        </x:is>
      </x:c>
      <x:c r="C87" s="84" t="inlineStr">
        <x:is>
          <x:t xml:space="preserve">Tooltip</x:t>
        </x:is>
      </x:c>
      <x:c r="D87" s="84" t="inlineStr">
        <x:is>
          <x:t xml:space="preserve">portal renders in body by default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manual-tests/tooltip.md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Portal</x:t>
        </x:is>
      </x:c>
      <x:c r="C88" s="84" t="inlineStr">
        <x:is>
          <x:t xml:space="preserve">Tooltip</x:t>
        </x:is>
      </x:c>
      <x:c r="D88" s="84" t="inlineStr">
        <x:is>
          <x:t xml:space="preserve">custom/disabled portal path works where supported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manual-tests/tooltip.md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Positioning</x:t>
        </x:is>
      </x:c>
      <x:c r="C89" s="84" t="inlineStr">
        <x:is>
          <x:t xml:space="preserve">Tooltip</x:t>
        </x:is>
      </x:c>
      <x:c r="D89" s="84" t="inlineStr">
        <x:is>
          <x:t xml:space="preserve">side options position content correctly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manual-tests/tooltip.md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Positioning</x:t>
        </x:is>
      </x:c>
      <x:c r="C90" s="84" t="inlineStr">
        <x:is>
          <x:t xml:space="preserve">Tooltip</x:t>
        </x:is>
      </x:c>
      <x:c r="D90" s="84" t="inlineStr">
        <x:is>
          <x:t xml:space="preserve">align options position content correctly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manual-tests/tooltip.md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30" customHeight="1">
      <x:c r="A91" s="73" t="n">
        <x:v>83</x:v>
      </x:c>
      <x:c r="B91" s="84" t="inlineStr">
        <x:is>
          <x:t xml:space="preserve">Positioning</x:t>
        </x:is>
      </x:c>
      <x:c r="C91" s="84" t="inlineStr">
        <x:is>
          <x:t xml:space="preserve">Tooltip</x:t>
        </x:is>
      </x:c>
      <x:c r="D91" s="84" t="inlineStr">
        <x:is>
          <x:t xml:space="preserve">collision, flip, and shift stay within the manually tested desktop layout viewport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existing desktop browser/manual baseline; mobile device qualification not run</x:t>
        </x:is>
      </x:c>
      <x:c r="H91" s="86" t="inlineStr">
        <x:is>
          <x:t xml:space="preserve">covered</x:t>
        </x:is>
      </x:c>
      <x:c r="I91" s="84" t="inlineStr">
        <x:is>
          <x:t xml:space="preserve">Existing desktop browser/manual baseline; not real iOS Safari or Android Chrome evidence.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Positioning</x:t>
        </x:is>
      </x:c>
      <x:c r="C92" s="84" t="inlineStr">
        <x:is>
          <x:t xml:space="preserve">Tooltip</x:t>
        </x:is>
      </x:c>
      <x:c r="D92" s="84" t="inlineStr">
        <x:is>
          <x:t xml:space="preserve">arrow or anchor geometry matches content where supported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manual-tests/tooltip.md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45" customHeight="1">
      <x:c r="A93" s="73" t="n">
        <x:v>85</x:v>
      </x:c>
      <x:c r="B93" s="84" t="inlineStr">
        <x:is>
          <x:t xml:space="preserve">Interaction</x:t>
        </x:is>
      </x:c>
      <x:c r="C93" s="84" t="inlineStr">
        <x:is>
          <x:t xml:space="preserve">Trigger</x:t>
        </x:is>
      </x:c>
      <x:c r="D93" s="84" t="inlineStr">
        <x:is>
          <x:t xml:space="preserve">quick tap does not open through touch-generated compatibility hover/focus; ordinary tap remains available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physical iPhone Safari manual test, 2026-07-19</x:t>
        </x:is>
      </x:c>
      <x:c r="H93" s="86" t="inlineStr">
        <x:is>
          <x:t xml:space="preserve">covered</x:t>
        </x:is>
      </x:c>
      <x:c r="I93" s="84" t="inlineStr">
        <x:is>
          <x:t xml:space="preserve">manual-tests/tooltip.md Steps 11–12; Mobile Readiness evidence MRE-14-TOOLTIP-001 and MRE-14-TOOLTIP-003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45" customHeight="1">
      <x:c r="A94" s="73" t="n">
        <x:v>86</x:v>
      </x:c>
      <x:c r="B94" s="84" t="inlineStr">
        <x:is>
          <x:t xml:space="preserve">Touch long press</x:t>
        </x:is>
      </x:c>
      <x:c r="C94" s="84" t="inlineStr">
        <x:is>
          <x:t xml:space="preserve">Trigger</x:t>
        </x:is>
      </x:c>
      <x:c r="D94" s="84" t="inlineStr">
        <x:is>
          <x:t xml:space="preserve">stationary single touch opens once at approximately 700 ms and remains open while held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physical iPhone Safari manual test, 2026-07-19</x:t>
        </x:is>
      </x:c>
      <x:c r="H94" s="86" t="inlineStr">
        <x:is>
          <x:t xml:space="preserve">covered</x:t>
        </x:is>
      </x:c>
      <x:c r="I94" s="84" t="inlineStr">
        <x:is>
          <x:t xml:space="preserve">manual-tests/tooltip.md Steps 11–12; Mobile Readiness evidence MRE-14-TOOLTIP-001 and MRE-14-TOOLTIP-003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45" customHeight="1">
      <x:c r="A95" s="73" t="n">
        <x:v>87</x:v>
      </x:c>
      <x:c r="B95" s="84" t="inlineStr">
        <x:is>
          <x:t xml:space="preserve">Touch dismissal</x:t>
        </x:is>
      </x:c>
      <x:c r="C95" s="84" t="inlineStr">
        <x:is>
          <x:t xml:space="preserve">Root</x:t>
        </x:is>
      </x:c>
      <x:c r="D95" s="84" t="inlineStr">
        <x:is>
          <x:t xml:space="preserve">plain closes 1500 ms and rich closes 3000 ms after release; rich remains non-interactive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physical iPhone Safari manual test, 2026-07-19</x:t>
        </x:is>
      </x:c>
      <x:c r="H95" s="86" t="inlineStr">
        <x:is>
          <x:t xml:space="preserve">covered</x:t>
        </x:is>
      </x:c>
      <x:c r="I95" s="84" t="inlineStr">
        <x:is>
          <x:t xml:space="preserve">manual-tests/tooltip.md Steps 11–12; Mobile Readiness evidence MRE-14-TOOLTIP-001 and MRE-14-TOOLTIP-003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75" customHeight="1">
      <x:c r="A96" s="73" t="n">
        <x:v>88</x:v>
      </x:c>
      <x:c r="B96" s="84" t="inlineStr">
        <x:is>
          <x:t xml:space="preserve">Touch cancellation</x:t>
        </x:is>
      </x:c>
      <x:c r="C96" s="84" t="inlineStr">
        <x:is>
          <x:t xml:space="preserve">Trigger</x:t>
        </x:is>
      </x:c>
      <x:c r="D96" s="84" t="inlineStr">
        <x:is>
          <x:t xml:space="preserve">early release, movement beyond 10 CSS pixels, native scroll, second touch, touchcancel, disabled change, and unmount cancel the pending session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physical iPhone Safari manual test, 2026-07-19</x:t>
        </x:is>
      </x:c>
      <x:c r="H96" s="86" t="inlineStr">
        <x:is>
          <x:t xml:space="preserve">covered</x:t>
        </x:is>
      </x:c>
      <x:c r="I96" s="84" t="inlineStr">
        <x:is>
          <x:t xml:space="preserve">manual-tests/tooltip.md Steps 11–12; Mobile Readiness evidence MRE-14-TOOLTIP-001 and MRE-14-TOOLTIP-003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60" customHeight="1">
      <x:c r="A97" s="73" t="n">
        <x:v>89</x:v>
      </x:c>
      <x:c r="B97" s="84" t="inlineStr">
        <x:is>
          <x:t xml:space="preserve">Touch cancellation</x:t>
        </x:is>
      </x:c>
      <x:c r="C97" s="84" t="inlineStr">
        <x:is>
          <x:t xml:space="preserve">Trigger</x:t>
        </x:is>
      </x:c>
      <x:c r="D97" s="84" t="inlineStr">
        <x:is>
          <x:t xml:space="preserve">movement or scroll after opening closes the touch session; repeated gestures remain usable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physical iPhone Safari manual test, 2026-07-19</x:t>
        </x:is>
      </x:c>
      <x:c r="H97" s="86" t="inlineStr">
        <x:is>
          <x:t xml:space="preserve">covered</x:t>
        </x:is>
      </x:c>
      <x:c r="I97" s="84" t="inlineStr">
        <x:is>
          <x:t xml:space="preserve">manual-tests/tooltip.md Steps 11–12; Mobile Readiness evidence MRE-14-TOOLTIP-001 and MRE-14-TOOLTIP-003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60" customHeight="1">
      <x:c r="A98" s="73" t="n">
        <x:v>90</x:v>
      </x:c>
      <x:c r="B98" s="84" t="inlineStr">
        <x:is>
          <x:t xml:space="preserve">Touch native behavior</x:t>
        </x:is>
      </x:c>
      <x:c r="C98" s="84" t="inlineStr">
        <x:is>
          <x:t xml:space="preserve">Trigger</x:t>
        </x:is>
      </x:c>
      <x:c r="D98" s="84" t="inlineStr">
        <x:is>
          <x:t xml:space="preserve">selection and context callout are suppressed only during active touch tracking while vertical scrolling remains native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physical iPhone Safari manual test, 2026-07-19</x:t>
        </x:is>
      </x:c>
      <x:c r="H98" s="86" t="inlineStr">
        <x:is>
          <x:t xml:space="preserve">covered</x:t>
        </x:is>
      </x:c>
      <x:c r="I98" s="84" t="inlineStr">
        <x:is>
          <x:t xml:space="preserve">manual-tests/tooltip.md Steps 11–12; Mobile Readiness evidence MRE-14-TOOLTIP-001 and MRE-14-TOOLTIP-003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/>
    <x:row r="100" s="51" customFormat="1" ht="15" customHeight="1"/>
    <x:row r="101" s="51" customFormat="1" ht="15" customHeight="1"/>
    <x:row r="102" s="51" customFormat="1" ht="15" customHeight="1"/>
    <x:row r="103" s="51" customFormat="1" ht="15" customHeight="1"/>
    <x:row r="104" s="51" customFormat="1" ht="15" customHeight="1"/>
    <x:row r="105" s="51" customFormat="1" ht="15" customHeight="1"/>
    <x:row r="106" s="51" customFormat="1" ht="15" customHeight="1"/>
    <x:row r="107" s="51" customFormat="1" ht="45" customHeight="1"/>
    <x:row r="108" s="51" customFormat="1" ht="15" customHeight="1"/>
    <x:row r="109" s="51" customFormat="1" ht="15" customHeight="1"/>
    <x:row r="110" s="51" customFormat="1" ht="15" customHeight="1"/>
    <x:row r="111" s="51" customFormat="1" ht="15" customHeight="1"/>
    <x:row r="112" s="51" customFormat="1" ht="45" customHeight="1"/>
    <x:row r="113" s="51" customFormat="1" ht="30" customHeight="1"/>
    <x:row r="114" s="51" customFormat="1" ht="45" customHeight="1"/>
    <x:row r="115" s="51" customFormat="1" ht="1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Tree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102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manual-tests/tree.md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manual-tests/tree.md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Tree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manual-tests/tree.md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Tree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manual-tests/tree.md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30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Tree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manual-tests/tree.md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Tree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manual-tests/tree.md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Tree</x:t>
        </x:is>
      </x:c>
      <x:c r="D15" s="84" t="inlineStr">
        <x:is>
          <x:t xml:space="preserve">Implements WAI-ARIA `tree`, `treeitem`, and `group` roles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manual-tests/tree.md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Tree</x:t>
        </x:is>
      </x:c>
      <x:c r="D16" s="84" t="inlineStr">
        <x:is>
          <x:t xml:space="preserve">Supports controlled and uncontrolled selection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manual-tests/tree.md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30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Tree</x:t>
        </x:is>
      </x:c>
      <x:c r="D17" s="84" t="inlineStr">
        <x:is>
          <x:t xml:space="preserve">Supports controlled and uncontrolled expansion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manual-tests/tree.md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15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Tree</x:t>
        </x:is>
      </x:c>
      <x:c r="D18" s="84" t="inlineStr">
        <x:is>
          <x:t xml:space="preserve">Supports single and multiple selection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manual-tests/tree.md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Tree</x:t>
        </x:is>
      </x:c>
      <x:c r="D19" s="84" t="inlineStr">
        <x:is>
          <x:t xml:space="preserve">Supports typeahead, roving active item, disabled items, Field context, and form submission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manual-tests/tree.md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Tree</x:t>
        </x:is>
      </x:c>
      <x:c r="D20" s="84" t="inlineStr">
        <x:is>
          <x:t xml:space="preserve">Supports nested groups with automatic levels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manual-tests/tree.md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manual-tests/tree.md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manual-tests/tree.md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manual-tests/tree.md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manual-tests/tree.md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manual-tests/tree.md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manual-tests/tree.md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manual-tests/tree.md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manual-tests/tree.md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manual-tests/tree.md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expandedValue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manual-tests/tree.md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defaultExpandedValue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manual-tests/tree.md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onExpandedValueChange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manual-tests/tree.md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multiple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manual-tests/tree.md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disabled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manual-tests/tree.md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Root</x:t>
        </x:is>
      </x:c>
      <x:c r="D35" s="84" t="inlineStr">
        <x:is>
          <x:t xml:space="preserve">readOnly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manual-tests/tree.md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State</x:t>
        </x:is>
      </x:c>
      <x:c r="C36" s="84" t="inlineStr">
        <x:is>
          <x:t xml:space="preserve">Root</x:t>
        </x:is>
      </x:c>
      <x:c r="D36" s="84" t="inlineStr">
        <x:is>
          <x:t xml:space="preserve">required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manual-tests/tree.md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Root</x:t>
        </x:is>
      </x:c>
      <x:c r="D37" s="84" t="inlineStr">
        <x:is>
          <x:t xml:space="preserve">invalid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manual-tests/tree.md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orientation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manual-tests/tree.md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loop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manual-tests/tree.md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Anatomy</x:t>
        </x:is>
      </x:c>
      <x:c r="C40" s="84" t="inlineStr">
        <x:is>
          <x:t xml:space="preserve">Group</x:t>
        </x:is>
      </x:c>
      <x:c r="D40" s="84" t="inlineStr">
        <x:is>
          <x:t xml:space="preserve">renders correct part when expected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manual-tests/tree.md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Anatomy</x:t>
        </x:is>
      </x:c>
      <x:c r="C41" s="84" t="inlineStr">
        <x:is>
          <x:t xml:space="preserve">Group</x:t>
        </x:is>
      </x:c>
      <x:c r="D41" s="84" t="inlineStr">
        <x:is>
          <x:t xml:space="preserve">appears in documented order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manual-tests/tree.md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30" customHeight="1">
      <x:c r="A42" s="73" t="n">
        <x:v>34</x:v>
      </x:c>
      <x:c r="B42" s="84" t="inlineStr">
        <x:is>
          <x:t xml:space="preserve">Identity</x:t>
        </x:is>
      </x:c>
      <x:c r="C42" s="84" t="inlineStr">
        <x:is>
          <x:t xml:space="preserve">Group</x:t>
        </x:is>
      </x:c>
      <x:c r="D42" s="84" t="inlineStr">
        <x:is>
          <x:t xml:space="preserve">default tag is visible in Anatomy/Inspector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manual-tests/tree.md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15" customHeight="1">
      <x:c r="A43" s="73" t="n">
        <x:v>35</x:v>
      </x:c>
      <x:c r="B43" s="84" t="inlineStr">
        <x:is>
          <x:t xml:space="preserve">Identity</x:t>
        </x:is>
      </x:c>
      <x:c r="C43" s="84" t="inlineStr">
        <x:is>
          <x:t xml:space="preserve">Group</x:t>
        </x:is>
      </x:c>
      <x:c r="D43" s="84" t="inlineStr">
        <x:is>
          <x:t xml:space="preserve">data-slot is present and correct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manual-tests/tree.md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Props</x:t>
        </x:is>
      </x:c>
      <x:c r="C44" s="84" t="inlineStr">
        <x:is>
          <x:t xml:space="preserve">Group</x:t>
        </x:is>
      </x:c>
      <x:c r="D44" s="84" t="inlineStr">
        <x:is>
          <x:t xml:space="preserve">non-Atom native props pass through with data-prop-check marker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manual-tests/tree.md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Refs</x:t>
        </x:is>
      </x:c>
      <x:c r="C45" s="84" t="inlineStr">
        <x:is>
          <x:t xml:space="preserve">Group</x:t>
        </x:is>
      </x:c>
      <x:c r="D45" s="84" t="inlineStr">
        <x:is>
          <x:t xml:space="preserve">consumer ref receives the rendered element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manual-tests/tree.md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Public API</x:t>
        </x:is>
      </x:c>
      <x:c r="C46" s="84" t="inlineStr">
        <x:is>
          <x:t xml:space="preserve">Group</x:t>
        </x:is>
      </x:c>
      <x:c r="D46" s="84" t="inlineStr">
        <x:is>
          <x:t xml:space="preserve">forceMount prop behavior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manual-tests/tree.md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Item</x:t>
        </x:is>
      </x:c>
      <x:c r="D47" s="84" t="inlineStr">
        <x:is>
          <x:t xml:space="preserve">renders correct part when expected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manual-tests/tree.md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Item</x:t>
        </x:is>
      </x:c>
      <x:c r="D48" s="84" t="inlineStr">
        <x:is>
          <x:t xml:space="preserve">appears in documented order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manual-tests/tree.md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Item</x:t>
        </x:is>
      </x:c>
      <x:c r="D49" s="84" t="inlineStr">
        <x:is>
          <x:t xml:space="preserve">default tag is visible in Anatomy/Inspector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manual-tests/tree.md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Identity</x:t>
        </x:is>
      </x:c>
      <x:c r="C50" s="84" t="inlineStr">
        <x:is>
          <x:t xml:space="preserve">Item</x:t>
        </x:is>
      </x:c>
      <x:c r="D50" s="84" t="inlineStr">
        <x:is>
          <x:t xml:space="preserve">data-slot is present and correct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manual-tests/tree.md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Props</x:t>
        </x:is>
      </x:c>
      <x:c r="C51" s="84" t="inlineStr">
        <x:is>
          <x:t xml:space="preserve">Item</x:t>
        </x:is>
      </x:c>
      <x:c r="D51" s="84" t="inlineStr">
        <x:is>
          <x:t xml:space="preserve">non-Atom native props pass through with data-prop-check marker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manual-tests/tree.md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Refs</x:t>
        </x:is>
      </x:c>
      <x:c r="C52" s="84" t="inlineStr">
        <x:is>
          <x:t xml:space="preserve">Item</x:t>
        </x:is>
      </x:c>
      <x:c r="D52" s="84" t="inlineStr">
        <x:is>
          <x:t xml:space="preserve">consumer ref receives the rendered element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manual-tests/tree.md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State</x:t>
        </x:is>
      </x:c>
      <x:c r="C53" s="84" t="inlineStr">
        <x:is>
          <x:t xml:space="preserve">Item</x:t>
        </x:is>
      </x:c>
      <x:c r="D53" s="84" t="inlineStr">
        <x:is>
          <x:t xml:space="preserve">value prop behavior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manual-tests/tree.md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Public API</x:t>
        </x:is>
      </x:c>
      <x:c r="C54" s="84" t="inlineStr">
        <x:is>
          <x:t xml:space="preserve">Item</x:t>
        </x:is>
      </x:c>
      <x:c r="D54" s="84" t="inlineStr">
        <x:is>
          <x:t xml:space="preserve">label prop behavior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manual-tests/tree.md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15" customHeight="1">
      <x:c r="A55" s="73" t="n">
        <x:v>47</x:v>
      </x:c>
      <x:c r="B55" s="84" t="inlineStr">
        <x:is>
          <x:t xml:space="preserve">State</x:t>
        </x:is>
      </x:c>
      <x:c r="C55" s="84" t="inlineStr">
        <x:is>
          <x:t xml:space="preserve">Item</x:t>
        </x:is>
      </x:c>
      <x:c r="D55" s="84" t="inlineStr">
        <x:is>
          <x:t xml:space="preserve">disabled prop behavior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manual-tests/tree.md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Public API</x:t>
        </x:is>
      </x:c>
      <x:c r="C56" s="84" t="inlineStr">
        <x:is>
          <x:t xml:space="preserve">Item</x:t>
        </x:is>
      </x:c>
      <x:c r="D56" s="84" t="inlineStr">
        <x:is>
          <x:t xml:space="preserve">expandable prop behavior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manual-tests/tree.md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Composition</x:t>
        </x:is>
      </x:c>
      <x:c r="C57" s="84" t="inlineStr">
        <x:is>
          <x:t xml:space="preserve">Item</x:t>
        </x:is>
      </x:c>
      <x:c r="D57" s="84" t="inlineStr">
        <x:is>
          <x:t xml:space="preserve">asChild prop behavior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manual-tests/tree.md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Composition</x:t>
        </x:is>
      </x:c>
      <x:c r="C58" s="84" t="inlineStr">
        <x:is>
          <x:t xml:space="preserve">Item</x:t>
        </x:is>
      </x:c>
      <x:c r="D58" s="84" t="inlineStr">
        <x:is>
          <x:t xml:space="preserve">render prop behavior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manual-tests/tree.md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Public API</x:t>
        </x:is>
      </x:c>
      <x:c r="C59" s="84" t="inlineStr">
        <x:is>
          <x:t xml:space="preserve">Item</x:t>
        </x:is>
      </x:c>
      <x:c r="D59" s="84" t="inlineStr">
        <x:is>
          <x:t xml:space="preserve">[data-slot] prop behavior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manual-tests/tree.md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Public API</x:t>
        </x:is>
      </x:c>
      <x:c r="C60" s="84" t="inlineStr">
        <x:is>
          <x:t xml:space="preserve">Item</x:t>
        </x:is>
      </x:c>
      <x:c r="D60" s="84" t="inlineStr">
        <x:is>
          <x:t xml:space="preserve">[data-state] prop behavior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manual-tests/tree.md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15" customHeight="1">
      <x:c r="A61" s="73" t="n">
        <x:v>53</x:v>
      </x:c>
      <x:c r="B61" s="84" t="inlineStr">
        <x:is>
          <x:t xml:space="preserve">State</x:t>
        </x:is>
      </x:c>
      <x:c r="C61" s="84" t="inlineStr">
        <x:is>
          <x:t xml:space="preserve">Item</x:t>
        </x:is>
      </x:c>
      <x:c r="D61" s="84" t="inlineStr">
        <x:is>
          <x:t xml:space="preserve">[data-selected] prop behavior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manual-tests/tree.md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Public API</x:t>
        </x:is>
      </x:c>
      <x:c r="C62" s="84" t="inlineStr">
        <x:is>
          <x:t xml:space="preserve">Item</x:t>
        </x:is>
      </x:c>
      <x:c r="D62" s="84" t="inlineStr">
        <x:is>
          <x:t xml:space="preserve">[data-active] prop behavior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manual-tests/tree.md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State</x:t>
        </x:is>
      </x:c>
      <x:c r="C63" s="84" t="inlineStr">
        <x:is>
          <x:t xml:space="preserve">Item</x:t>
        </x:is>
      </x:c>
      <x:c r="D63" s="84" t="inlineStr">
        <x:is>
          <x:t xml:space="preserve">[data-disabled] prop behavior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manual-tests/tree.md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Anatomy</x:t>
        </x:is>
      </x:c>
      <x:c r="C64" s="84" t="inlineStr">
        <x:is>
          <x:t xml:space="preserve">ItemText</x:t>
        </x:is>
      </x:c>
      <x:c r="D64" s="84" t="inlineStr">
        <x:is>
          <x:t xml:space="preserve">renders correct part when expected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manual-tests/tree.md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Anatomy</x:t>
        </x:is>
      </x:c>
      <x:c r="C65" s="84" t="inlineStr">
        <x:is>
          <x:t xml:space="preserve">ItemText</x:t>
        </x:is>
      </x:c>
      <x:c r="D65" s="84" t="inlineStr">
        <x:is>
          <x:t xml:space="preserve">appears in documented order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manual-tests/tree.md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30" customHeight="1">
      <x:c r="A66" s="73" t="n">
        <x:v>58</x:v>
      </x:c>
      <x:c r="B66" s="84" t="inlineStr">
        <x:is>
          <x:t xml:space="preserve">Identity</x:t>
        </x:is>
      </x:c>
      <x:c r="C66" s="84" t="inlineStr">
        <x:is>
          <x:t xml:space="preserve">ItemText</x:t>
        </x:is>
      </x:c>
      <x:c r="D66" s="84" t="inlineStr">
        <x:is>
          <x:t xml:space="preserve">default tag is visible in Anatomy/Inspector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manual-tests/tree.md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15" customHeight="1">
      <x:c r="A67" s="73" t="n">
        <x:v>59</x:v>
      </x:c>
      <x:c r="B67" s="84" t="inlineStr">
        <x:is>
          <x:t xml:space="preserve">Identity</x:t>
        </x:is>
      </x:c>
      <x:c r="C67" s="84" t="inlineStr">
        <x:is>
          <x:t xml:space="preserve">ItemText</x:t>
        </x:is>
      </x:c>
      <x:c r="D67" s="84" t="inlineStr">
        <x:is>
          <x:t xml:space="preserve">data-slot is present and correct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manual-tests/tree.md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Props</x:t>
        </x:is>
      </x:c>
      <x:c r="C68" s="84" t="inlineStr">
        <x:is>
          <x:t xml:space="preserve">ItemText</x:t>
        </x:is>
      </x:c>
      <x:c r="D68" s="84" t="inlineStr">
        <x:is>
          <x:t xml:space="preserve">non-Atom native props pass through with data-prop-check marker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manual-tests/tree.md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Refs</x:t>
        </x:is>
      </x:c>
      <x:c r="C69" s="84" t="inlineStr">
        <x:is>
          <x:t xml:space="preserve">ItemText</x:t>
        </x:is>
      </x:c>
      <x:c r="D69" s="84" t="inlineStr">
        <x:is>
          <x:t xml:space="preserve">consumer ref receives the rendered element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manual-tests/tree.md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ARIA</x:t>
        </x:is>
      </x:c>
      <x:c r="C70" s="84" t="inlineStr">
        <x:is>
          <x:t xml:space="preserve">Live DOM</x:t>
        </x:is>
      </x:c>
      <x:c r="D70" s="84" t="inlineStr">
        <x:is>
          <x:t xml:space="preserve">aria-activedescendant is present at the correct time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manual-tests/tree.md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ARIA</x:t>
        </x:is>
      </x:c>
      <x:c r="C71" s="84" t="inlineStr">
        <x:is>
          <x:t xml:space="preserve">Live DOM</x:t>
        </x:is>
      </x:c>
      <x:c r="D71" s="84" t="inlineStr">
        <x:is>
          <x:t xml:space="preserve">aria-describedby is present at the correct time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manual-tests/tree.md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ARIA</x:t>
        </x:is>
      </x:c>
      <x:c r="C72" s="84" t="inlineStr">
        <x:is>
          <x:t xml:space="preserve">Live DOM</x:t>
        </x:is>
      </x:c>
      <x:c r="D72" s="84" t="inlineStr">
        <x:is>
          <x:t xml:space="preserve">aria-disabled is present at the correct time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manual-tests/tree.md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15" customHeight="1">
      <x:c r="A73" s="73" t="n">
        <x:v>65</x:v>
      </x:c>
      <x:c r="B73" s="84" t="inlineStr">
        <x:is>
          <x:t xml:space="preserve">ARIA</x:t>
        </x:is>
      </x:c>
      <x:c r="C73" s="84" t="inlineStr">
        <x:is>
          <x:t xml:space="preserve">Live DOM</x:t>
        </x:is>
      </x:c>
      <x:c r="D73" s="84" t="inlineStr">
        <x:is>
          <x:t xml:space="preserve">aria-expanded is present at the correct time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manual-tests/tree.md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ARIA</x:t>
        </x:is>
      </x:c>
      <x:c r="C74" s="84" t="inlineStr">
        <x:is>
          <x:t xml:space="preserve">Live DOM</x:t>
        </x:is>
      </x:c>
      <x:c r="D74" s="84" t="inlineStr">
        <x:is>
          <x:t xml:space="preserve">aria-hidden is present at the correct time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manual-tests/tree.md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ARIA</x:t>
        </x:is>
      </x:c>
      <x:c r="C75" s="84" t="inlineStr">
        <x:is>
          <x:t xml:space="preserve">Live DOM</x:t>
        </x:is>
      </x:c>
      <x:c r="D75" s="84" t="inlineStr">
        <x:is>
          <x:t xml:space="preserve">aria-invalid is present at the correct time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manual-tests/tree.md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ARIA</x:t>
        </x:is>
      </x:c>
      <x:c r="C76" s="84" t="inlineStr">
        <x:is>
          <x:t xml:space="preserve">Live DOM</x:t>
        </x:is>
      </x:c>
      <x:c r="D76" s="84" t="inlineStr">
        <x:is>
          <x:t xml:space="preserve">aria-labelledby is present at the correct time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manual-tests/tree.md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ARIA</x:t>
        </x:is>
      </x:c>
      <x:c r="C77" s="84" t="inlineStr">
        <x:is>
          <x:t xml:space="preserve">Live DOM</x:t>
        </x:is>
      </x:c>
      <x:c r="D77" s="84" t="inlineStr">
        <x:is>
          <x:t xml:space="preserve">aria-level is present at the correct time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manual-tests/tree.md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ARIA</x:t>
        </x:is>
      </x:c>
      <x:c r="C78" s="84" t="inlineStr">
        <x:is>
          <x:t xml:space="preserve">Live DOM</x:t>
        </x:is>
      </x:c>
      <x:c r="D78" s="84" t="inlineStr">
        <x:is>
          <x:t xml:space="preserve">aria-multiselectable is present at the correct time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manual-tests/tree.md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15" customHeight="1">
      <x:c r="A79" s="73" t="n">
        <x:v>71</x:v>
      </x:c>
      <x:c r="B79" s="84" t="inlineStr">
        <x:is>
          <x:t xml:space="preserve">ARIA</x:t>
        </x:is>
      </x:c>
      <x:c r="C79" s="84" t="inlineStr">
        <x:is>
          <x:t xml:space="preserve">Live DOM</x:t>
        </x:is>
      </x:c>
      <x:c r="D79" s="84" t="inlineStr">
        <x:is>
          <x:t xml:space="preserve">aria-orientation is present at the correct time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manual-tests/tree.md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ARIA</x:t>
        </x:is>
      </x:c>
      <x:c r="C80" s="84" t="inlineStr">
        <x:is>
          <x:t xml:space="preserve">Live DOM</x:t>
        </x:is>
      </x:c>
      <x:c r="D80" s="84" t="inlineStr">
        <x:is>
          <x:t xml:space="preserve">aria-readonly is present at the correct time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manual-tests/tree.md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ARIA</x:t>
        </x:is>
      </x:c>
      <x:c r="C81" s="84" t="inlineStr">
        <x:is>
          <x:t xml:space="preserve">Live DOM</x:t>
        </x:is>
      </x:c>
      <x:c r="D81" s="84" t="inlineStr">
        <x:is>
          <x:t xml:space="preserve">aria-required is present at the correct time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manual-tests/tree.md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ARIA</x:t>
        </x:is>
      </x:c>
      <x:c r="C82" s="84" t="inlineStr">
        <x:is>
          <x:t xml:space="preserve">Live DOM</x:t>
        </x:is>
      </x:c>
      <x:c r="D82" s="84" t="inlineStr">
        <x:is>
          <x:t xml:space="preserve">aria-selected is present at the correct time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manual-tests/tree.md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Data</x:t>
        </x:is>
      </x:c>
      <x:c r="C83" s="84" t="inlineStr">
        <x:is>
          <x:t xml:space="preserve">Live DOM</x:t>
        </x:is>
      </x:c>
      <x:c r="D83" s="84" t="inlineStr">
        <x:is>
          <x:t xml:space="preserve">data-active is present at the correct time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manual-tests/tree.md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Data</x:t>
        </x:is>
      </x:c>
      <x:c r="C84" s="84" t="inlineStr">
        <x:is>
          <x:t xml:space="preserve">Live DOM</x:t>
        </x:is>
      </x:c>
      <x:c r="D84" s="84" t="inlineStr">
        <x:is>
          <x:t xml:space="preserve">data-disabled is present at the correct time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manual-tests/tree.md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15" customHeight="1">
      <x:c r="A85" s="73" t="n">
        <x:v>77</x:v>
      </x:c>
      <x:c r="B85" s="84" t="inlineStr">
        <x:is>
          <x:t xml:space="preserve">Data</x:t>
        </x:is>
      </x:c>
      <x:c r="C85" s="84" t="inlineStr">
        <x:is>
          <x:t xml:space="preserve">Live DOM</x:t>
        </x:is>
      </x:c>
      <x:c r="D85" s="84" t="inlineStr">
        <x:is>
          <x:t xml:space="preserve">data-expandable is present at the correct time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manual-tests/tree.md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Data</x:t>
        </x:is>
      </x:c>
      <x:c r="C86" s="84" t="inlineStr">
        <x:is>
          <x:t xml:space="preserve">Live DOM</x:t>
        </x:is>
      </x:c>
      <x:c r="D86" s="84" t="inlineStr">
        <x:is>
          <x:t xml:space="preserve">data-expanded is present at the correct time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manual-tests/tree.md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Data</x:t>
        </x:is>
      </x:c>
      <x:c r="C87" s="84" t="inlineStr">
        <x:is>
          <x:t xml:space="preserve">Live DOM</x:t>
        </x:is>
      </x:c>
      <x:c r="D87" s="84" t="inlineStr">
        <x:is>
          <x:t xml:space="preserve">data-filled is present at the correct time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manual-tests/tree.md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Data</x:t>
        </x:is>
      </x:c>
      <x:c r="C88" s="84" t="inlineStr">
        <x:is>
          <x:t xml:space="preserve">Live DOM</x:t>
        </x:is>
      </x:c>
      <x:c r="D88" s="84" t="inlineStr">
        <x:is>
          <x:t xml:space="preserve">data-invalid is present at the correct time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manual-tests/tree.md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Data</x:t>
        </x:is>
      </x:c>
      <x:c r="C89" s="84" t="inlineStr">
        <x:is>
          <x:t xml:space="preserve">Live DOM</x:t>
        </x:is>
      </x:c>
      <x:c r="D89" s="84" t="inlineStr">
        <x:is>
          <x:t xml:space="preserve">data-level is present at the correct time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manual-tests/tree.md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Data</x:t>
        </x:is>
      </x:c>
      <x:c r="C90" s="84" t="inlineStr">
        <x:is>
          <x:t xml:space="preserve">Live DOM</x:t>
        </x:is>
      </x:c>
      <x:c r="D90" s="84" t="inlineStr">
        <x:is>
          <x:t xml:space="preserve">data-multiple is present at the correct time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manual-tests/tree.md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15" customHeight="1">
      <x:c r="A91" s="73" t="n">
        <x:v>83</x:v>
      </x:c>
      <x:c r="B91" s="84" t="inlineStr">
        <x:is>
          <x:t xml:space="preserve">Data</x:t>
        </x:is>
      </x:c>
      <x:c r="C91" s="84" t="inlineStr">
        <x:is>
          <x:t xml:space="preserve">Live DOM</x:t>
        </x:is>
      </x:c>
      <x:c r="D91" s="84" t="inlineStr">
        <x:is>
          <x:t xml:space="preserve">data-readonly is present at the correct time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manual-tests/tree.md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Data</x:t>
        </x:is>
      </x:c>
      <x:c r="C92" s="84" t="inlineStr">
        <x:is>
          <x:t xml:space="preserve">Live DOM</x:t>
        </x:is>
      </x:c>
      <x:c r="D92" s="84" t="inlineStr">
        <x:is>
          <x:t xml:space="preserve">data-selected is present at the correct time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manual-tests/tree.md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Data</x:t>
        </x:is>
      </x:c>
      <x:c r="C93" s="84" t="inlineStr">
        <x:is>
          <x:t xml:space="preserve">Live DOM</x:t>
        </x:is>
      </x:c>
      <x:c r="D93" s="84" t="inlineStr">
        <x:is>
          <x:t xml:space="preserve">data-slot is present at the correct time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manual-tests/tree.md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Data</x:t>
        </x:is>
      </x:c>
      <x:c r="C94" s="84" t="inlineStr">
        <x:is>
          <x:t xml:space="preserve">Live DOM</x:t>
        </x:is>
      </x:c>
      <x:c r="D94" s="84" t="inlineStr">
        <x:is>
          <x:t xml:space="preserve">data-state is present at the correct time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manual-tests/tree.md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Data</x:t>
        </x:is>
      </x:c>
      <x:c r="C95" s="84" t="inlineStr">
        <x:is>
          <x:t xml:space="preserve">Live DOM</x:t>
        </x:is>
      </x:c>
      <x:c r="D95" s="84" t="inlineStr">
        <x:is>
          <x:t xml:space="preserve">data-value is present at the correct time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manual-tests/tree.md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30" customHeight="1">
      <x:c r="A96" s="73" t="n">
        <x:v>88</x:v>
      </x:c>
      <x:c r="B96" s="84" t="inlineStr">
        <x:is>
          <x:t xml:space="preserve">Composition</x:t>
        </x:is>
      </x:c>
      <x:c r="C96" s="84" t="inlineStr">
        <x:is>
          <x:t xml:space="preserve">Tree</x:t>
        </x:is>
      </x:c>
      <x:c r="D96" s="84" t="inlineStr">
        <x:is>
          <x:t xml:space="preserve">asChild preserves child content without double nesting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manual-tests/tree.md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15" customHeight="1">
      <x:c r="A97" s="73" t="n">
        <x:v>89</x:v>
      </x:c>
      <x:c r="B97" s="84" t="inlineStr">
        <x:is>
          <x:t xml:space="preserve">Composition</x:t>
        </x:is>
      </x:c>
      <x:c r="C97" s="84" t="inlineStr">
        <x:is>
          <x:t xml:space="preserve">Tree</x:t>
        </x:is>
      </x:c>
      <x:c r="D97" s="84" t="inlineStr">
        <x:is>
          <x:t xml:space="preserve">asChild merges Atom props and consumer props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manual-tests/tree.md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Composition</x:t>
        </x:is>
      </x:c>
      <x:c r="C98" s="84" t="inlineStr">
        <x:is>
          <x:t xml:space="preserve">Tree</x:t>
        </x:is>
      </x:c>
      <x:c r="D98" s="84" t="inlineStr">
        <x:is>
          <x:t xml:space="preserve">render prop renders custom element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manual-tests/tree.md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Composition</x:t>
        </x:is>
      </x:c>
      <x:c r="C99" s="84" t="inlineStr">
        <x:is>
          <x:t xml:space="preserve">Tree</x:t>
        </x:is>
      </x:c>
      <x:c r="D99" s="84" t="inlineStr">
        <x:is>
          <x:t xml:space="preserve">render prop preserves refs and behavior props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manual-tests/tree.md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State</x:t>
        </x:is>
      </x:c>
      <x:c r="C100" s="84" t="inlineStr">
        <x:is>
          <x:t xml:space="preserve">Root</x:t>
        </x:is>
      </x:c>
      <x:c r="D100" s="84" t="inlineStr">
        <x:is>
          <x:t xml:space="preserve">controlled state path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manual-tests/tree.md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State</x:t>
        </x:is>
      </x:c>
      <x:c r="C101" s="84" t="inlineStr">
        <x:is>
          <x:t xml:space="preserve">Root</x:t>
        </x:is>
      </x:c>
      <x:c r="D101" s="84" t="inlineStr">
        <x:is>
          <x:t xml:space="preserve">uncontrolled default state path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manual-tests/tree.md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State</x:t>
        </x:is>
      </x:c>
      <x:c r="C102" s="84" t="inlineStr">
        <x:is>
          <x:t xml:space="preserve">Root</x:t>
        </x:is>
      </x:c>
      <x:c r="D102" s="84" t="inlineStr">
        <x:is>
          <x:t xml:space="preserve">state change callback fires once with correct value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manual-tests/tree.md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15" customHeight="1">
      <x:c r="A103" s="73" t="n">
        <x:v>95</x:v>
      </x:c>
      <x:c r="B103" s="84" t="inlineStr">
        <x:is>
          <x:t xml:space="preserve">Keyboard</x:t>
        </x:is>
      </x:c>
      <x:c r="C103" s="84" t="inlineStr">
        <x:is>
          <x:t xml:space="preserve">Tree</x:t>
        </x:is>
      </x:c>
      <x:c r="D103" s="84" t="inlineStr">
        <x:is>
          <x:t xml:space="preserve">Arrow key navigation follows documented orientation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manual-tests/tree.md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Keyboard</x:t>
        </x:is>
      </x:c>
      <x:c r="C104" s="84" t="inlineStr">
        <x:is>
          <x:t xml:space="preserve">Tree</x:t>
        </x:is>
      </x:c>
      <x:c r="D104" s="84" t="inlineStr">
        <x:is>
          <x:t xml:space="preserve">Home and End navigation where supported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6" t="inlineStr">
        <x:is>
          <x:t xml:space="preserve">covered</x:t>
        </x:is>
      </x:c>
      <x:c r="I104" s="84" t="inlineStr">
        <x:is>
          <x:t xml:space="preserve">manual-tests/tree.md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Keyboard</x:t>
        </x:is>
      </x:c>
      <x:c r="C105" s="84" t="inlineStr">
        <x:is>
          <x:t xml:space="preserve">Tree</x:t>
        </x:is>
      </x:c>
      <x:c r="D105" s="84" t="inlineStr">
        <x:is>
          <x:t xml:space="preserve">disabled items are skipped or exposed according to pattern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6" t="inlineStr">
        <x:is>
          <x:t xml:space="preserve">covered</x:t>
        </x:is>
      </x:c>
      <x:c r="I105" s="84" t="inlineStr">
        <x:is>
          <x:t xml:space="preserve">manual-tests/tree.md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Keyboard</x:t>
        </x:is>
      </x:c>
      <x:c r="C106" s="84" t="inlineStr">
        <x:is>
          <x:t xml:space="preserve">Tree</x:t>
        </x:is>
      </x:c>
      <x:c r="D106" s="84" t="inlineStr">
        <x:is>
          <x:t xml:space="preserve">typeahead/search behavior where supported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6" t="inlineStr">
        <x:is>
          <x:t xml:space="preserve">covered</x:t>
        </x:is>
      </x:c>
      <x:c r="I106" s="84" t="inlineStr">
        <x:is>
          <x:t xml:space="preserve">manual-tests/tree.md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30" customHeight="1">
      <x:c r="A107" s="73" t="n">
        <x:v>99</x:v>
      </x:c>
      <x:c r="B107" s="84" t="inlineStr">
        <x:is>
          <x:t xml:space="preserve">Focus</x:t>
        </x:is>
      </x:c>
      <x:c r="C107" s="84" t="inlineStr">
        <x:is>
          <x:t xml:space="preserve">Tree</x:t>
        </x:is>
      </x:c>
      <x:c r="D107" s="84" t="inlineStr">
        <x:is>
          <x:t xml:space="preserve">roving focus or active descendant state is visible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test</x:t>
        </x:is>
      </x:c>
      <x:c r="H107" s="86" t="inlineStr">
        <x:is>
          <x:t xml:space="preserve">covered</x:t>
        </x:is>
      </x:c>
      <x:c r="I107" s="84" t="inlineStr">
        <x:is>
          <x:t xml:space="preserve">manual-tests/tree.md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30" customHeight="1">
      <x:c r="A108" s="73" t="n">
        <x:v>100</x:v>
      </x:c>
      <x:c r="B108" s="84" t="inlineStr">
        <x:is>
          <x:t xml:space="preserve">Direction</x:t>
        </x:is>
      </x:c>
      <x:c r="C108" s="84" t="inlineStr">
        <x:is>
          <x:t xml:space="preserve">Root</x:t>
        </x:is>
      </x:c>
      <x:c r="D108" s="84" t="inlineStr">
        <x:is>
          <x:t xml:space="preserve">reads Direction.Provider context for horizontal tree navigation</x:t>
        </x:is>
      </x:c>
      <x:c r="E108" s="88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test</x:t>
        </x:is>
      </x:c>
      <x:c r="H108" s="88" t="inlineStr">
        <x:is>
          <x:t xml:space="preserve">covered</x:t>
        </x:is>
      </x:c>
      <x:c r="I108" s="84" t="inlineStr">
        <x:is>
          <x:t xml:space="preserve">manual-tests/tree.md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30" customHeight="1">
      <x:c r="A109" s="73" t="n">
        <x:v>101</x:v>
      </x:c>
      <x:c r="B109" s="84" t="inlineStr">
        <x:is>
          <x:t xml:space="preserve">Direction</x:t>
        </x:is>
      </x:c>
      <x:c r="C109" s="84" t="inlineStr">
        <x:is>
          <x:t xml:space="preserve">Item</x:t>
        </x:is>
      </x:c>
      <x:c r="D109" s="84" t="inlineStr">
        <x:is>
          <x:t xml:space="preserve">RTL mirrors ArrowLeft and ArrowRight expand/collapse behavior</x:t>
        </x:is>
      </x:c>
      <x:c r="E109" s="88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test</x:t>
        </x:is>
      </x:c>
      <x:c r="H109" s="88" t="inlineStr">
        <x:is>
          <x:t xml:space="preserve">covered</x:t>
        </x:is>
      </x:c>
      <x:c r="I109" s="84" t="inlineStr">
        <x:is>
          <x:t xml:space="preserve">manual-tests/tree.md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30" customHeight="1">
      <x:c r="A110" s="73" t="n">
        <x:v>102</x:v>
      </x:c>
      <x:c r="B110" s="84" t="inlineStr">
        <x:is>
          <x:t xml:space="preserve">Playground</x:t>
        </x:is>
      </x:c>
      <x:c r="C110" s="84" t="inlineStr">
        <x:is>
          <x:t xml:space="preserve">Direction controls</x:t>
        </x:is>
      </x:c>
      <x:c r="D110" s="84" t="inlineStr">
        <x:is>
          <x:t xml:space="preserve">scenario exposes provider direction controls</x:t>
        </x:is>
      </x:c>
      <x:c r="E110" s="88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manual test</x:t>
        </x:is>
      </x:c>
      <x:c r="H110" s="88" t="inlineStr">
        <x:is>
          <x:t xml:space="preserve">covered</x:t>
        </x:is>
      </x:c>
      <x:c r="I110" s="84" t="inlineStr">
        <x:is>
          <x:t xml:space="preserve">manual-tests/tree.md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TreeGrid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1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186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Props</x:t>
        </x:is>
      </x:c>
      <x:c r="D9" s="84" t="inlineStr">
        <x:is>
          <x:t xml:space="preserve">Props toolbar exposes Prop Check and keeps data-prop-check off by default</x:t>
        </x:is>
      </x:c>
      <x:c r="E9" s="76" t="inlineStr">
        <x:is>
          <x:t xml:space="preserve">yes</x:t>
        </x:is>
      </x:c>
      <x:c r="F9" s="85" t="inlineStr">
        <x:is>
          <x:t xml:space="preserve">yes</x:t>
        </x:is>
      </x:c>
      <x:c r="G9" s="73" t="inlineStr">
        <x:is>
          <x:t xml:space="preserve">passed manual test</x:t>
        </x:is>
      </x:c>
      <x:c r="H9" s="86" t="inlineStr">
        <x:is>
          <x:t xml:space="preserve">covered</x:t>
        </x:is>
      </x:c>
      <x:c r="I9" s="84" t="inlineStr">
        <x:is>
          <x:t xml:space="preserve">TreeGrid playground; manual-tests/tree-grid.md</x:t>
        </x:is>
      </x:c>
      <x:c r="J9" s="84" t="n"/>
      <x:c r="K9" s="87" t="n">
        <x:f>IF(AND(E9="yes",F9="yes",H9="covered"),1,IF(H9="partial",0.5,0))</x:f>
        <x:v>1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Props</x:t>
        </x:is>
      </x:c>
      <x:c r="D10" s="84" t="inlineStr">
        <x:is>
          <x:t xml:space="preserve">custom data-slot override is available for every slot-owning anatomy part</x:t>
        </x:is>
      </x:c>
      <x:c r="E10" s="76" t="inlineStr">
        <x:is>
          <x:t xml:space="preserve">yes</x:t>
        </x:is>
      </x:c>
      <x:c r="F10" s="85" t="inlineStr">
        <x:is>
          <x:t xml:space="preserve">yes</x:t>
        </x:is>
      </x:c>
      <x:c r="G10" s="73" t="inlineStr">
        <x:is>
          <x:t xml:space="preserve">passed manual test</x:t>
        </x:is>
      </x:c>
      <x:c r="H10" s="86" t="inlineStr">
        <x:is>
          <x:t xml:space="preserve">covered</x:t>
        </x:is>
      </x:c>
      <x:c r="I10" s="84" t="inlineStr">
        <x:is>
          <x:t xml:space="preserve">TreeGrid playground; manual-tests/tree-grid.md</x:t>
        </x:is>
      </x:c>
      <x:c r="J10" s="84" t="n"/>
      <x:c r="K10" s="87" t="n">
        <x:f>IF(AND(E10="yes",F10="yes",H10="covered"),1,IF(H10="partial",0.5,0))</x:f>
        <x:v>1</x:v>
      </x:c>
    </x:row>
    <x:row r="11" s="51" customFormat="1" ht="15" customHeight="1">
      <x:c r="A11" s="73" t="n">
        <x:v>3</x:v>
      </x:c>
      <x:c r="B11" s="84" t="inlineStr">
        <x:is>
          <x:t xml:space="preserve">Playground</x:t>
        </x:is>
      </x:c>
      <x:c r="C11" s="84" t="inlineStr">
        <x:is>
          <x:t xml:space="preserve">TreeGrid</x:t>
        </x:is>
      </x:c>
      <x:c r="D11" s="84" t="inlineStr">
        <x:is>
          <x:t xml:space="preserve">scenario is reachable from top menu</x:t>
        </x:is>
      </x:c>
      <x:c r="E11" s="76" t="inlineStr">
        <x:is>
          <x:t xml:space="preserve">yes</x:t>
        </x:is>
      </x:c>
      <x:c r="F11" s="85" t="inlineStr">
        <x:is>
          <x:t xml:space="preserve">yes</x:t>
        </x:is>
      </x:c>
      <x:c r="G11" s="73" t="inlineStr">
        <x:is>
          <x:t xml:space="preserve">passed manual test</x:t>
        </x:is>
      </x:c>
      <x:c r="H11" s="86" t="inlineStr">
        <x:is>
          <x:t xml:space="preserve">covered</x:t>
        </x:is>
      </x:c>
      <x:c r="I11" s="84" t="inlineStr">
        <x:is>
          <x:t xml:space="preserve">TreeGrid playground; manual-tests/tree-grid.md</x:t>
        </x:is>
      </x:c>
      <x:c r="J11" s="84" t="n"/>
      <x:c r="K11" s="87" t="n">
        <x:f>IF(AND(E11="yes",F11="yes",H11="covered"),1,IF(H11="partial",0.5,0))</x:f>
        <x:v>1</x:v>
      </x:c>
    </x:row>
    <x:row r="12" s="51" customFormat="1" ht="15" customHeight="1">
      <x:c r="A12" s="73" t="n">
        <x:v>4</x:v>
      </x:c>
      <x:c r="B12" s="84" t="inlineStr">
        <x:is>
          <x:t xml:space="preserve">Playground</x:t>
        </x:is>
      </x:c>
      <x:c r="C12" s="84" t="inlineStr">
        <x:is>
          <x:t xml:space="preserve">TreeGrid</x:t>
        </x:is>
      </x:c>
      <x:c r="D12" s="84" t="inlineStr">
        <x:is>
          <x:t xml:space="preserve">canvas source reflects current toggles</x:t>
        </x:is>
      </x:c>
      <x:c r="E12" s="76" t="inlineStr">
        <x:is>
          <x:t xml:space="preserve">yes</x:t>
        </x:is>
      </x:c>
      <x:c r="F12" s="85" t="inlineStr">
        <x:is>
          <x:t xml:space="preserve">yes</x:t>
        </x:is>
      </x:c>
      <x:c r="G12" s="73" t="inlineStr">
        <x:is>
          <x:t xml:space="preserve">passed manual test</x:t>
        </x:is>
      </x:c>
      <x:c r="H12" s="86" t="inlineStr">
        <x:is>
          <x:t xml:space="preserve">covered</x:t>
        </x:is>
      </x:c>
      <x:c r="I12" s="84" t="inlineStr">
        <x:is>
          <x:t xml:space="preserve">TreeGrid playground; manual-tests/tree-grid.md</x:t>
        </x:is>
      </x:c>
      <x:c r="J12" s="84" t="n"/>
      <x:c r="K12" s="87" t="n">
        <x:f>IF(AND(E12="yes",F12="yes",H12="covered"),1,IF(H12="partial",0.5,0))</x:f>
        <x:v>1</x:v>
      </x:c>
    </x:row>
    <x:row r="13" s="51" customFormat="1" ht="30" customHeight="1">
      <x:c r="A13" s="73" t="n">
        <x:v>5</x:v>
      </x:c>
      <x:c r="B13" s="84" t="inlineStr">
        <x:is>
          <x:t xml:space="preserve">Playground</x:t>
        </x:is>
      </x:c>
      <x:c r="C13" s="84" t="inlineStr">
        <x:is>
          <x:t xml:space="preserve">TreeGrid</x:t>
        </x:is>
      </x:c>
      <x:c r="D13" s="84" t="inlineStr">
        <x:is>
          <x:t xml:space="preserve">anatomy uses live DOM attributes, ARIA, and data groups</x:t>
        </x:is>
      </x:c>
      <x:c r="E13" s="76" t="inlineStr">
        <x:is>
          <x:t xml:space="preserve">yes</x:t>
        </x:is>
      </x:c>
      <x:c r="F13" s="85" t="inlineStr">
        <x:is>
          <x:t xml:space="preserve">yes</x:t>
        </x:is>
      </x:c>
      <x:c r="G13" s="73" t="inlineStr">
        <x:is>
          <x:t xml:space="preserve">passed manual test</x:t>
        </x:is>
      </x:c>
      <x:c r="H13" s="86" t="inlineStr">
        <x:is>
          <x:t xml:space="preserve">covered</x:t>
        </x:is>
      </x:c>
      <x:c r="I13" s="84" t="inlineStr">
        <x:is>
          <x:t xml:space="preserve">TreeGrid playground; manual-tests/tree-grid.md</x:t>
        </x:is>
      </x:c>
      <x:c r="J13" s="84" t="n"/>
      <x:c r="K13" s="87" t="n">
        <x:f>IF(AND(E13="yes",F13="yes",H13="covered"),1,IF(H13="partial",0.5,0))</x:f>
        <x:v>1</x:v>
      </x:c>
    </x:row>
    <x:row r="14" s="51" customFormat="1" ht="15" customHeight="1">
      <x:c r="A14" s="73" t="n">
        <x:v>6</x:v>
      </x:c>
      <x:c r="B14" s="84" t="inlineStr">
        <x:is>
          <x:t xml:space="preserve">Playground</x:t>
        </x:is>
      </x:c>
      <x:c r="C14" s="84" t="inlineStr">
        <x:is>
          <x:t xml:space="preserve">TreeGrid</x:t>
        </x:is>
      </x:c>
      <x:c r="D14" s="84" t="inlineStr">
        <x:is>
          <x:t xml:space="preserve">inspector selected/focused/logs work for this scenario</x:t>
        </x:is>
      </x:c>
      <x:c r="E14" s="76" t="inlineStr">
        <x:is>
          <x:t xml:space="preserve">yes</x:t>
        </x:is>
      </x:c>
      <x:c r="F14" s="85" t="inlineStr">
        <x:is>
          <x:t xml:space="preserve">yes</x:t>
        </x:is>
      </x:c>
      <x:c r="G14" s="73" t="inlineStr">
        <x:is>
          <x:t xml:space="preserve">passed manual test</x:t>
        </x:is>
      </x:c>
      <x:c r="H14" s="86" t="inlineStr">
        <x:is>
          <x:t xml:space="preserve">covered</x:t>
        </x:is>
      </x:c>
      <x:c r="I14" s="84" t="inlineStr">
        <x:is>
          <x:t xml:space="preserve">TreeGrid playground; manual-tests/tree-grid.md</x:t>
        </x:is>
      </x:c>
      <x:c r="J14" s="84" t="n"/>
      <x:c r="K14" s="87" t="n">
        <x:f>IF(AND(E14="yes",F14="yes",H14="covered"),1,IF(H14="partial",0.5,0))</x:f>
        <x:v>1</x:v>
      </x:c>
    </x:row>
    <x:row r="15" s="51" customFormat="1" ht="15" customHeight="1">
      <x:c r="A15" s="73" t="n">
        <x:v>7</x:v>
      </x:c>
      <x:c r="B15" s="84" t="inlineStr">
        <x:is>
          <x:t xml:space="preserve">Feature</x:t>
        </x:is>
      </x:c>
      <x:c r="C15" s="84" t="inlineStr">
        <x:is>
          <x:t xml:space="preserve">TreeGrid</x:t>
        </x:is>
      </x:c>
      <x:c r="D15" s="84" t="inlineStr">
        <x:is>
          <x:t xml:space="preserve">Implements `role="treegrid"` with row, row header, column header, and gridcell parts</x:t>
        </x:is>
      </x:c>
      <x:c r="E15" s="76" t="inlineStr">
        <x:is>
          <x:t xml:space="preserve">yes</x:t>
        </x:is>
      </x:c>
      <x:c r="F15" s="85" t="inlineStr">
        <x:is>
          <x:t xml:space="preserve">yes</x:t>
        </x:is>
      </x:c>
      <x:c r="G15" s="73" t="inlineStr">
        <x:is>
          <x:t xml:space="preserve">passed manual test</x:t>
        </x:is>
      </x:c>
      <x:c r="H15" s="86" t="inlineStr">
        <x:is>
          <x:t xml:space="preserve">covered</x:t>
        </x:is>
      </x:c>
      <x:c r="I15" s="84" t="inlineStr">
        <x:is>
          <x:t xml:space="preserve">TreeGrid playground; manual-tests/tree-grid.md</x:t>
        </x:is>
      </x:c>
      <x:c r="J15" s="84" t="n"/>
      <x:c r="K15" s="87" t="n">
        <x:f>IF(AND(E15="yes",F15="yes",H15="covered"),1,IF(H15="partial",0.5,0))</x:f>
        <x:v>1</x:v>
      </x:c>
    </x:row>
    <x:row r="16" s="51" customFormat="1" ht="15" customHeight="1">
      <x:c r="A16" s="73" t="n">
        <x:v>8</x:v>
      </x:c>
      <x:c r="B16" s="84" t="inlineStr">
        <x:is>
          <x:t xml:space="preserve">Feature</x:t>
        </x:is>
      </x:c>
      <x:c r="C16" s="84" t="inlineStr">
        <x:is>
          <x:t xml:space="preserve">TreeGrid</x:t>
        </x:is>
      </x:c>
      <x:c r="D16" s="84" t="inlineStr">
        <x:is>
          <x:t xml:space="preserve">Supports controlled and uncontrolled expansion</x:t>
        </x:is>
      </x:c>
      <x:c r="E16" s="76" t="inlineStr">
        <x:is>
          <x:t xml:space="preserve">yes</x:t>
        </x:is>
      </x:c>
      <x:c r="F16" s="85" t="inlineStr">
        <x:is>
          <x:t xml:space="preserve">yes</x:t>
        </x:is>
      </x:c>
      <x:c r="G16" s="73" t="inlineStr">
        <x:is>
          <x:t xml:space="preserve">passed manual test</x:t>
        </x:is>
      </x:c>
      <x:c r="H16" s="86" t="inlineStr">
        <x:is>
          <x:t xml:space="preserve">covered</x:t>
        </x:is>
      </x:c>
      <x:c r="I16" s="84" t="inlineStr">
        <x:is>
          <x:t xml:space="preserve">TreeGrid playground; manual-tests/tree-grid.md</x:t>
        </x:is>
      </x:c>
      <x:c r="J16" s="84" t="n"/>
      <x:c r="K16" s="87" t="n">
        <x:f>IF(AND(E16="yes",F16="yes",H16="covered"),1,IF(H16="partial",0.5,0))</x:f>
        <x:v>1</x:v>
      </x:c>
    </x:row>
    <x:row r="17" s="51" customFormat="1" ht="15" customHeight="1">
      <x:c r="A17" s="73" t="n">
        <x:v>9</x:v>
      </x:c>
      <x:c r="B17" s="84" t="inlineStr">
        <x:is>
          <x:t xml:space="preserve">Feature</x:t>
        </x:is>
      </x:c>
      <x:c r="C17" s="84" t="inlineStr">
        <x:is>
          <x:t xml:space="preserve">TreeGrid</x:t>
        </x:is>
      </x:c>
      <x:c r="D17" s="84" t="inlineStr">
        <x:is>
          <x:t xml:space="preserve">Supports controlled and uncontrolled active cell state</x:t>
        </x:is>
      </x:c>
      <x:c r="E17" s="76" t="inlineStr">
        <x:is>
          <x:t xml:space="preserve">yes</x:t>
        </x:is>
      </x:c>
      <x:c r="F17" s="85" t="inlineStr">
        <x:is>
          <x:t xml:space="preserve">yes</x:t>
        </x:is>
      </x:c>
      <x:c r="G17" s="73" t="inlineStr">
        <x:is>
          <x:t xml:space="preserve">passed manual test</x:t>
        </x:is>
      </x:c>
      <x:c r="H17" s="86" t="inlineStr">
        <x:is>
          <x:t xml:space="preserve">covered</x:t>
        </x:is>
      </x:c>
      <x:c r="I17" s="84" t="inlineStr">
        <x:is>
          <x:t xml:space="preserve">TreeGrid playground; manual-tests/tree-grid.md</x:t>
        </x:is>
      </x:c>
      <x:c r="J17" s="84" t="n"/>
      <x:c r="K17" s="87" t="n">
        <x:f>IF(AND(E17="yes",F17="yes",H17="covered"),1,IF(H17="partial",0.5,0))</x:f>
        <x:v>1</x:v>
      </x:c>
    </x:row>
    <x:row r="18" s="51" customFormat="1" ht="30" customHeight="1">
      <x:c r="A18" s="73" t="n">
        <x:v>10</x:v>
      </x:c>
      <x:c r="B18" s="84" t="inlineStr">
        <x:is>
          <x:t xml:space="preserve">Feature</x:t>
        </x:is>
      </x:c>
      <x:c r="C18" s="84" t="inlineStr">
        <x:is>
          <x:t xml:space="preserve">TreeGrid</x:t>
        </x:is>
      </x:c>
      <x:c r="D18" s="84" t="inlineStr">
        <x:is>
          <x:t xml:space="preserve">Supports optional row selection with selectable parent rows</x:t>
        </x:is>
      </x:c>
      <x:c r="E18" s="76" t="inlineStr">
        <x:is>
          <x:t xml:space="preserve">yes</x:t>
        </x:is>
      </x:c>
      <x:c r="F18" s="85" t="inlineStr">
        <x:is>
          <x:t xml:space="preserve">yes</x:t>
        </x:is>
      </x:c>
      <x:c r="G18" s="73" t="inlineStr">
        <x:is>
          <x:t xml:space="preserve">passed manual test</x:t>
        </x:is>
      </x:c>
      <x:c r="H18" s="86" t="inlineStr">
        <x:is>
          <x:t xml:space="preserve">covered</x:t>
        </x:is>
      </x:c>
      <x:c r="I18" s="84" t="inlineStr">
        <x:is>
          <x:t xml:space="preserve">TreeGrid playground; manual-tests/tree-grid.md</x:t>
        </x:is>
      </x:c>
      <x:c r="J18" s="84" t="n"/>
      <x:c r="K18" s="87" t="n">
        <x:f>IF(AND(E18="yes",F18="yes",H18="covered"),1,IF(H18="partial",0.5,0))</x:f>
        <x:v>1</x:v>
      </x:c>
    </x:row>
    <x:row r="19" s="51" customFormat="1" ht="15" customHeight="1">
      <x:c r="A19" s="73" t="n">
        <x:v>11</x:v>
      </x:c>
      <x:c r="B19" s="84" t="inlineStr">
        <x:is>
          <x:t xml:space="preserve">Feature</x:t>
        </x:is>
      </x:c>
      <x:c r="C19" s="84" t="inlineStr">
        <x:is>
          <x:t xml:space="preserve">TreeGrid</x:t>
        </x:is>
      </x:c>
      <x:c r="D19" s="84" t="inlineStr">
        <x:is>
          <x:t xml:space="preserve">Hides descendant rows when parent rows are collapsed</x:t>
        </x:is>
      </x:c>
      <x:c r="E19" s="76" t="inlineStr">
        <x:is>
          <x:t xml:space="preserve">yes</x:t>
        </x:is>
      </x:c>
      <x:c r="F19" s="85" t="inlineStr">
        <x:is>
          <x:t xml:space="preserve">yes</x:t>
        </x:is>
      </x:c>
      <x:c r="G19" s="73" t="inlineStr">
        <x:is>
          <x:t xml:space="preserve">passed manual test</x:t>
        </x:is>
      </x:c>
      <x:c r="H19" s="86" t="inlineStr">
        <x:is>
          <x:t xml:space="preserve">covered</x:t>
        </x:is>
      </x:c>
      <x:c r="I19" s="84" t="inlineStr">
        <x:is>
          <x:t xml:space="preserve">TreeGrid playground; manual-tests/tree-grid.md</x:t>
        </x:is>
      </x:c>
      <x:c r="J19" s="84" t="n"/>
      <x:c r="K19" s="87" t="n">
        <x:f>IF(AND(E19="yes",F19="yes",H19="covered"),1,IF(H19="partial",0.5,0))</x:f>
        <x:v>1</x:v>
      </x:c>
    </x:row>
    <x:row r="20" s="51" customFormat="1" ht="15" customHeight="1">
      <x:c r="A20" s="73" t="n">
        <x:v>12</x:v>
      </x:c>
      <x:c r="B20" s="84" t="inlineStr">
        <x:is>
          <x:t xml:space="preserve">Feature</x:t>
        </x:is>
      </x:c>
      <x:c r="C20" s="84" t="inlineStr">
        <x:is>
          <x:t xml:space="preserve">TreeGrid</x:t>
        </x:is>
      </x:c>
      <x:c r="D20" s="84" t="inlineStr">
        <x:is>
          <x:t xml:space="preserve">Keeps sorting, filtering, resizing, editing, and virtualization outside the primitive</x:t>
        </x:is>
      </x:c>
      <x:c r="E20" s="76" t="inlineStr">
        <x:is>
          <x:t xml:space="preserve">yes</x:t>
        </x:is>
      </x:c>
      <x:c r="F20" s="85" t="inlineStr">
        <x:is>
          <x:t xml:space="preserve">yes</x:t>
        </x:is>
      </x:c>
      <x:c r="G20" s="73" t="inlineStr">
        <x:is>
          <x:t xml:space="preserve">passed manual test</x:t>
        </x:is>
      </x:c>
      <x:c r="H20" s="86" t="inlineStr">
        <x:is>
          <x:t xml:space="preserve">covered</x:t>
        </x:is>
      </x:c>
      <x:c r="I20" s="84" t="inlineStr">
        <x:is>
          <x:t xml:space="preserve">TreeGrid playground; manual-tests/tree-grid.md</x:t>
        </x:is>
      </x:c>
      <x:c r="J20" s="84" t="n"/>
      <x:c r="K20" s="87" t="n">
        <x:f>IF(AND(E20="yes",F20="yes",H20="covered"),1,IF(H20="partial",0.5,0))</x:f>
        <x:v>1</x:v>
      </x:c>
    </x:row>
    <x:row r="21" s="51" customFormat="1" ht="15" customHeight="1">
      <x:c r="A21" s="73" t="n">
        <x:v>13</x:v>
      </x:c>
      <x:c r="B21" s="84" t="inlineStr">
        <x:is>
          <x:t xml:space="preserve">Anatomy</x:t>
        </x:is>
      </x:c>
      <x:c r="C21" s="84" t="inlineStr">
        <x:is>
          <x:t xml:space="preserve">Root</x:t>
        </x:is>
      </x:c>
      <x:c r="D21" s="84" t="inlineStr">
        <x:is>
          <x:t xml:space="preserve">renders correct part when expected</x:t>
        </x:is>
      </x:c>
      <x:c r="E21" s="76" t="inlineStr">
        <x:is>
          <x:t xml:space="preserve">yes</x:t>
        </x:is>
      </x:c>
      <x:c r="F21" s="85" t="inlineStr">
        <x:is>
          <x:t xml:space="preserve">yes</x:t>
        </x:is>
      </x:c>
      <x:c r="G21" s="73" t="inlineStr">
        <x:is>
          <x:t xml:space="preserve">passed manual test</x:t>
        </x:is>
      </x:c>
      <x:c r="H21" s="86" t="inlineStr">
        <x:is>
          <x:t xml:space="preserve">covered</x:t>
        </x:is>
      </x:c>
      <x:c r="I21" s="84" t="inlineStr">
        <x:is>
          <x:t xml:space="preserve">TreeGrid playground; manual-tests/tree-grid.md</x:t>
        </x:is>
      </x:c>
      <x:c r="J21" s="84" t="n"/>
      <x:c r="K21" s="87" t="n">
        <x:f>IF(AND(E21="yes",F21="yes",H21="covered"),1,IF(H21="partial",0.5,0))</x:f>
        <x:v>1</x:v>
      </x:c>
    </x:row>
    <x:row r="22" s="51" customFormat="1" ht="15" customHeight="1">
      <x:c r="A22" s="73" t="n">
        <x:v>14</x:v>
      </x:c>
      <x:c r="B22" s="84" t="inlineStr">
        <x:is>
          <x:t xml:space="preserve">Anatomy</x:t>
        </x:is>
      </x:c>
      <x:c r="C22" s="84" t="inlineStr">
        <x:is>
          <x:t xml:space="preserve">Root</x:t>
        </x:is>
      </x:c>
      <x:c r="D22" s="84" t="inlineStr">
        <x:is>
          <x:t xml:space="preserve">appears in documented order</x:t>
        </x:is>
      </x:c>
      <x:c r="E22" s="76" t="inlineStr">
        <x:is>
          <x:t xml:space="preserve">yes</x:t>
        </x:is>
      </x:c>
      <x:c r="F22" s="85" t="inlineStr">
        <x:is>
          <x:t xml:space="preserve">yes</x:t>
        </x:is>
      </x:c>
      <x:c r="G22" s="73" t="inlineStr">
        <x:is>
          <x:t xml:space="preserve">passed manual test</x:t>
        </x:is>
      </x:c>
      <x:c r="H22" s="86" t="inlineStr">
        <x:is>
          <x:t xml:space="preserve">covered</x:t>
        </x:is>
      </x:c>
      <x:c r="I22" s="84" t="inlineStr">
        <x:is>
          <x:t xml:space="preserve">TreeGrid playground; manual-tests/tree-grid.md</x:t>
        </x:is>
      </x:c>
      <x:c r="J22" s="84" t="n"/>
      <x:c r="K22" s="87" t="n">
        <x:f>IF(AND(E22="yes",F22="yes",H22="covered"),1,IF(H22="partial",0.5,0))</x:f>
        <x:v>1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Root</x:t>
        </x:is>
      </x:c>
      <x:c r="D23" s="84" t="inlineStr">
        <x:is>
          <x:t xml:space="preserve">default tag is visible in Anatomy/Inspector</x:t>
        </x:is>
      </x:c>
      <x:c r="E23" s="76" t="inlineStr">
        <x:is>
          <x:t xml:space="preserve">yes</x:t>
        </x:is>
      </x:c>
      <x:c r="F23" s="85" t="inlineStr">
        <x:is>
          <x:t xml:space="preserve">yes</x:t>
        </x:is>
      </x:c>
      <x:c r="G23" s="73" t="inlineStr">
        <x:is>
          <x:t xml:space="preserve">passed manual test</x:t>
        </x:is>
      </x:c>
      <x:c r="H23" s="86" t="inlineStr">
        <x:is>
          <x:t xml:space="preserve">covered</x:t>
        </x:is>
      </x:c>
      <x:c r="I23" s="84" t="inlineStr">
        <x:is>
          <x:t xml:space="preserve">TreeGrid playground; manual-tests/tree-grid.md</x:t>
        </x:is>
      </x:c>
      <x:c r="J23" s="84" t="n"/>
      <x:c r="K23" s="87" t="n">
        <x:f>IF(AND(E23="yes",F23="yes",H23="covered"),1,IF(H23="partial",0.5,0))</x:f>
        <x:v>1</x:v>
      </x:c>
    </x:row>
    <x:row r="24" s="51" customFormat="1" ht="15" customHeight="1">
      <x:c r="A24" s="73" t="n">
        <x:v>16</x:v>
      </x:c>
      <x:c r="B24" s="84" t="inlineStr">
        <x:is>
          <x:t xml:space="preserve">Identity</x:t>
        </x:is>
      </x:c>
      <x:c r="C24" s="84" t="inlineStr">
        <x:is>
          <x:t xml:space="preserve">Root</x:t>
        </x:is>
      </x:c>
      <x:c r="D24" s="84" t="inlineStr">
        <x:is>
          <x:t xml:space="preserve">data-slot is present and correct</x:t>
        </x:is>
      </x:c>
      <x:c r="E24" s="76" t="inlineStr">
        <x:is>
          <x:t xml:space="preserve">yes</x:t>
        </x:is>
      </x:c>
      <x:c r="F24" s="85" t="inlineStr">
        <x:is>
          <x:t xml:space="preserve">yes</x:t>
        </x:is>
      </x:c>
      <x:c r="G24" s="73" t="inlineStr">
        <x:is>
          <x:t xml:space="preserve">passed manual test</x:t>
        </x:is>
      </x:c>
      <x:c r="H24" s="86" t="inlineStr">
        <x:is>
          <x:t xml:space="preserve">covered</x:t>
        </x:is>
      </x:c>
      <x:c r="I24" s="84" t="inlineStr">
        <x:is>
          <x:t xml:space="preserve">TreeGrid playground; manual-tests/tree-grid.md</x:t>
        </x:is>
      </x:c>
      <x:c r="J24" s="84" t="n"/>
      <x:c r="K24" s="87" t="n">
        <x:f>IF(AND(E24="yes",F24="yes",H24="covered"),1,IF(H24="partial",0.5,0))</x:f>
        <x:v>1</x:v>
      </x:c>
    </x:row>
    <x:row r="25" s="51" customFormat="1" ht="15" customHeight="1">
      <x:c r="A25" s="73" t="n">
        <x:v>17</x:v>
      </x:c>
      <x:c r="B25" s="84" t="inlineStr">
        <x:is>
          <x:t xml:space="preserve">Props</x:t>
        </x:is>
      </x:c>
      <x:c r="C25" s="84" t="inlineStr">
        <x:is>
          <x:t xml:space="preserve">Root</x:t>
        </x:is>
      </x:c>
      <x:c r="D25" s="84" t="inlineStr">
        <x:is>
          <x:t xml:space="preserve">non-Atom native props pass through with data-prop-check marker</x:t>
        </x:is>
      </x:c>
      <x:c r="E25" s="76" t="inlineStr">
        <x:is>
          <x:t xml:space="preserve">yes</x:t>
        </x:is>
      </x:c>
      <x:c r="F25" s="85" t="inlineStr">
        <x:is>
          <x:t xml:space="preserve">yes</x:t>
        </x:is>
      </x:c>
      <x:c r="G25" s="73" t="inlineStr">
        <x:is>
          <x:t xml:space="preserve">passed manual test</x:t>
        </x:is>
      </x:c>
      <x:c r="H25" s="86" t="inlineStr">
        <x:is>
          <x:t xml:space="preserve">covered</x:t>
        </x:is>
      </x:c>
      <x:c r="I25" s="84" t="inlineStr">
        <x:is>
          <x:t xml:space="preserve">TreeGrid playground; manual-tests/tree-grid.md</x:t>
        </x:is>
      </x:c>
      <x:c r="J25" s="84" t="n"/>
      <x:c r="K25" s="87" t="n">
        <x:f>IF(AND(E25="yes",F25="yes",H25="covered"),1,IF(H25="partial",0.5,0))</x:f>
        <x:v>1</x:v>
      </x:c>
    </x:row>
    <x:row r="26" s="51" customFormat="1" ht="15" customHeight="1">
      <x:c r="A26" s="73" t="n">
        <x:v>18</x:v>
      </x:c>
      <x:c r="B26" s="84" t="inlineStr">
        <x:is>
          <x:t xml:space="preserve">Refs</x:t>
        </x:is>
      </x:c>
      <x:c r="C26" s="84" t="inlineStr">
        <x:is>
          <x:t xml:space="preserve">Root</x:t>
        </x:is>
      </x:c>
      <x:c r="D26" s="84" t="inlineStr">
        <x:is>
          <x:t xml:space="preserve">consumer ref receives the rendered element</x:t>
        </x:is>
      </x:c>
      <x:c r="E26" s="76" t="inlineStr">
        <x:is>
          <x:t xml:space="preserve">yes</x:t>
        </x:is>
      </x:c>
      <x:c r="F26" s="85" t="inlineStr">
        <x:is>
          <x:t xml:space="preserve">yes</x:t>
        </x:is>
      </x:c>
      <x:c r="G26" s="73" t="inlineStr">
        <x:is>
          <x:t xml:space="preserve">passed manual test</x:t>
        </x:is>
      </x:c>
      <x:c r="H26" s="86" t="inlineStr">
        <x:is>
          <x:t xml:space="preserve">covered</x:t>
        </x:is>
      </x:c>
      <x:c r="I26" s="84" t="inlineStr">
        <x:is>
          <x:t xml:space="preserve">TreeGrid playground; manual-tests/tree-grid.md</x:t>
        </x:is>
      </x:c>
      <x:c r="J26" s="84" t="n"/>
      <x:c r="K26" s="87" t="n">
        <x:f>IF(AND(E26="yes",F26="yes",H26="covered"),1,IF(H26="partial",0.5,0))</x:f>
        <x:v>1</x:v>
      </x:c>
    </x:row>
    <x:row r="27" s="51" customFormat="1" ht="15" customHeight="1">
      <x:c r="A27" s="73" t="n">
        <x:v>19</x:v>
      </x:c>
      <x:c r="B27" s="84" t="inlineStr">
        <x:is>
          <x:t xml:space="preserve">State</x:t>
        </x:is>
      </x:c>
      <x:c r="C27" s="84" t="inlineStr">
        <x:is>
          <x:t xml:space="preserve">Root</x:t>
        </x:is>
      </x:c>
      <x:c r="D27" s="84" t="inlineStr">
        <x:is>
          <x:t xml:space="preserve">value prop behavior</x:t>
        </x:is>
      </x:c>
      <x:c r="E27" s="76" t="inlineStr">
        <x:is>
          <x:t xml:space="preserve">yes</x:t>
        </x:is>
      </x:c>
      <x:c r="F27" s="85" t="inlineStr">
        <x:is>
          <x:t xml:space="preserve">yes</x:t>
        </x:is>
      </x:c>
      <x:c r="G27" s="73" t="inlineStr">
        <x:is>
          <x:t xml:space="preserve">passed manual test</x:t>
        </x:is>
      </x:c>
      <x:c r="H27" s="86" t="inlineStr">
        <x:is>
          <x:t xml:space="preserve">covered</x:t>
        </x:is>
      </x:c>
      <x:c r="I27" s="84" t="inlineStr">
        <x:is>
          <x:t xml:space="preserve">TreeGrid playground; manual-tests/tree-grid.md</x:t>
        </x:is>
      </x:c>
      <x:c r="J27" s="84" t="n"/>
      <x:c r="K27" s="87" t="n">
        <x:f>IF(AND(E27="yes",F27="yes",H27="covered"),1,IF(H27="partial",0.5,0))</x:f>
        <x:v>1</x:v>
      </x:c>
    </x:row>
    <x:row r="28" s="51" customFormat="1" ht="15" customHeight="1">
      <x:c r="A28" s="73" t="n">
        <x:v>20</x:v>
      </x:c>
      <x:c r="B28" s="84" t="inlineStr">
        <x:is>
          <x:t xml:space="preserve">State</x:t>
        </x:is>
      </x:c>
      <x:c r="C28" s="84" t="inlineStr">
        <x:is>
          <x:t xml:space="preserve">Root</x:t>
        </x:is>
      </x:c>
      <x:c r="D28" s="84" t="inlineStr">
        <x:is>
          <x:t xml:space="preserve">defaultValue prop behavior</x:t>
        </x:is>
      </x:c>
      <x:c r="E28" s="76" t="inlineStr">
        <x:is>
          <x:t xml:space="preserve">yes</x:t>
        </x:is>
      </x:c>
      <x:c r="F28" s="85" t="inlineStr">
        <x:is>
          <x:t xml:space="preserve">yes</x:t>
        </x:is>
      </x:c>
      <x:c r="G28" s="73" t="inlineStr">
        <x:is>
          <x:t xml:space="preserve">passed manual test</x:t>
        </x:is>
      </x:c>
      <x:c r="H28" s="86" t="inlineStr">
        <x:is>
          <x:t xml:space="preserve">covered</x:t>
        </x:is>
      </x:c>
      <x:c r="I28" s="84" t="inlineStr">
        <x:is>
          <x:t xml:space="preserve">TreeGrid playground; manual-tests/tree-grid.md</x:t>
        </x:is>
      </x:c>
      <x:c r="J28" s="84" t="n"/>
      <x:c r="K28" s="87" t="n">
        <x:f>IF(AND(E28="yes",F28="yes",H28="covered"),1,IF(H28="partial",0.5,0))</x:f>
        <x:v>1</x:v>
      </x:c>
    </x:row>
    <x:row r="29" s="51" customFormat="1" ht="15" customHeight="1">
      <x:c r="A29" s="73" t="n">
        <x:v>21</x:v>
      </x:c>
      <x:c r="B29" s="84" t="inlineStr">
        <x:is>
          <x:t xml:space="preserve">State</x:t>
        </x:is>
      </x:c>
      <x:c r="C29" s="84" t="inlineStr">
        <x:is>
          <x:t xml:space="preserve">Root</x:t>
        </x:is>
      </x:c>
      <x:c r="D29" s="84" t="inlineStr">
        <x:is>
          <x:t xml:space="preserve">onValueChange prop behavior</x:t>
        </x:is>
      </x:c>
      <x:c r="E29" s="76" t="inlineStr">
        <x:is>
          <x:t xml:space="preserve">yes</x:t>
        </x:is>
      </x:c>
      <x:c r="F29" s="85" t="inlineStr">
        <x:is>
          <x:t xml:space="preserve">yes</x:t>
        </x:is>
      </x:c>
      <x:c r="G29" s="73" t="inlineStr">
        <x:is>
          <x:t xml:space="preserve">passed manual test</x:t>
        </x:is>
      </x:c>
      <x:c r="H29" s="86" t="inlineStr">
        <x:is>
          <x:t xml:space="preserve">covered</x:t>
        </x:is>
      </x:c>
      <x:c r="I29" s="84" t="inlineStr">
        <x:is>
          <x:t xml:space="preserve">TreeGrid playground; manual-tests/tree-grid.md</x:t>
        </x:is>
      </x:c>
      <x:c r="J29" s="84" t="n"/>
      <x:c r="K29" s="87" t="n">
        <x:f>IF(AND(E29="yes",F29="yes",H29="covered"),1,IF(H29="partial",0.5,0))</x:f>
        <x:v>1</x:v>
      </x:c>
    </x:row>
    <x:row r="30" s="51" customFormat="1" ht="15" customHeight="1">
      <x:c r="A30" s="73" t="n">
        <x:v>22</x:v>
      </x:c>
      <x:c r="B30" s="84" t="inlineStr">
        <x:is>
          <x:t xml:space="preserve">Public API</x:t>
        </x:is>
      </x:c>
      <x:c r="C30" s="84" t="inlineStr">
        <x:is>
          <x:t xml:space="preserve">Root</x:t>
        </x:is>
      </x:c>
      <x:c r="D30" s="84" t="inlineStr">
        <x:is>
          <x:t xml:space="preserve">expandedValue prop behavior</x:t>
        </x:is>
      </x:c>
      <x:c r="E30" s="76" t="inlineStr">
        <x:is>
          <x:t xml:space="preserve">yes</x:t>
        </x:is>
      </x:c>
      <x:c r="F30" s="85" t="inlineStr">
        <x:is>
          <x:t xml:space="preserve">yes</x:t>
        </x:is>
      </x:c>
      <x:c r="G30" s="73" t="inlineStr">
        <x:is>
          <x:t xml:space="preserve">passed manual test</x:t>
        </x:is>
      </x:c>
      <x:c r="H30" s="86" t="inlineStr">
        <x:is>
          <x:t xml:space="preserve">covered</x:t>
        </x:is>
      </x:c>
      <x:c r="I30" s="84" t="inlineStr">
        <x:is>
          <x:t xml:space="preserve">TreeGrid playground; manual-tests/tree-grid.md</x:t>
        </x:is>
      </x:c>
      <x:c r="J30" s="84" t="n"/>
      <x:c r="K30" s="87" t="n">
        <x:f>IF(AND(E30="yes",F30="yes",H30="covered"),1,IF(H30="partial",0.5,0))</x:f>
        <x:v>1</x:v>
      </x:c>
    </x:row>
    <x:row r="31" s="51" customFormat="1" ht="15" customHeight="1">
      <x:c r="A31" s="73" t="n">
        <x:v>23</x:v>
      </x:c>
      <x:c r="B31" s="84" t="inlineStr">
        <x:is>
          <x:t xml:space="preserve">State</x:t>
        </x:is>
      </x:c>
      <x:c r="C31" s="84" t="inlineStr">
        <x:is>
          <x:t xml:space="preserve">Root</x:t>
        </x:is>
      </x:c>
      <x:c r="D31" s="84" t="inlineStr">
        <x:is>
          <x:t xml:space="preserve">defaultExpandedValue prop behavior</x:t>
        </x:is>
      </x:c>
      <x:c r="E31" s="76" t="inlineStr">
        <x:is>
          <x:t xml:space="preserve">yes</x:t>
        </x:is>
      </x:c>
      <x:c r="F31" s="85" t="inlineStr">
        <x:is>
          <x:t xml:space="preserve">yes</x:t>
        </x:is>
      </x:c>
      <x:c r="G31" s="73" t="inlineStr">
        <x:is>
          <x:t xml:space="preserve">passed manual test</x:t>
        </x:is>
      </x:c>
      <x:c r="H31" s="86" t="inlineStr">
        <x:is>
          <x:t xml:space="preserve">covered</x:t>
        </x:is>
      </x:c>
      <x:c r="I31" s="84" t="inlineStr">
        <x:is>
          <x:t xml:space="preserve">TreeGrid playground; manual-tests/tree-grid.md</x:t>
        </x:is>
      </x:c>
      <x:c r="J31" s="84" t="n"/>
      <x:c r="K31" s="87" t="n">
        <x:f>IF(AND(E31="yes",F31="yes",H31="covered"),1,IF(H31="partial",0.5,0))</x:f>
        <x:v>1</x:v>
      </x:c>
    </x:row>
    <x:row r="32" s="51" customFormat="1" ht="15" customHeight="1">
      <x:c r="A32" s="73" t="n">
        <x:v>24</x:v>
      </x:c>
      <x:c r="B32" s="84" t="inlineStr">
        <x:is>
          <x:t xml:space="preserve">State</x:t>
        </x:is>
      </x:c>
      <x:c r="C32" s="84" t="inlineStr">
        <x:is>
          <x:t xml:space="preserve">Root</x:t>
        </x:is>
      </x:c>
      <x:c r="D32" s="84" t="inlineStr">
        <x:is>
          <x:t xml:space="preserve">onExpandedValueChange prop behavior</x:t>
        </x:is>
      </x:c>
      <x:c r="E32" s="76" t="inlineStr">
        <x:is>
          <x:t xml:space="preserve">yes</x:t>
        </x:is>
      </x:c>
      <x:c r="F32" s="85" t="inlineStr">
        <x:is>
          <x:t xml:space="preserve">yes</x:t>
        </x:is>
      </x:c>
      <x:c r="G32" s="73" t="inlineStr">
        <x:is>
          <x:t xml:space="preserve">passed manual test</x:t>
        </x:is>
      </x:c>
      <x:c r="H32" s="86" t="inlineStr">
        <x:is>
          <x:t xml:space="preserve">covered</x:t>
        </x:is>
      </x:c>
      <x:c r="I32" s="84" t="inlineStr">
        <x:is>
          <x:t xml:space="preserve">TreeGrid playground; manual-tests/tree-grid.md</x:t>
        </x:is>
      </x:c>
      <x:c r="J32" s="84" t="n"/>
      <x:c r="K32" s="87" t="n">
        <x:f>IF(AND(E32="yes",F32="yes",H32="covered"),1,IF(H32="partial",0.5,0))</x:f>
        <x:v>1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Root</x:t>
        </x:is>
      </x:c>
      <x:c r="D33" s="84" t="inlineStr">
        <x:is>
          <x:t xml:space="preserve">activeCell prop behavior</x:t>
        </x:is>
      </x:c>
      <x:c r="E33" s="76" t="inlineStr">
        <x:is>
          <x:t xml:space="preserve">yes</x:t>
        </x:is>
      </x:c>
      <x:c r="F33" s="85" t="inlineStr">
        <x:is>
          <x:t xml:space="preserve">yes</x:t>
        </x:is>
      </x:c>
      <x:c r="G33" s="73" t="inlineStr">
        <x:is>
          <x:t xml:space="preserve">passed manual test</x:t>
        </x:is>
      </x:c>
      <x:c r="H33" s="86" t="inlineStr">
        <x:is>
          <x:t xml:space="preserve">covered</x:t>
        </x:is>
      </x:c>
      <x:c r="I33" s="84" t="inlineStr">
        <x:is>
          <x:t xml:space="preserve">TreeGrid playground; manual-tests/tree-grid.md</x:t>
        </x:is>
      </x:c>
      <x:c r="J33" s="84" t="n"/>
      <x:c r="K33" s="87" t="n">
        <x:f>IF(AND(E33="yes",F33="yes",H33="covered"),1,IF(H33="partial",0.5,0))</x:f>
        <x:v>1</x:v>
      </x:c>
    </x:row>
    <x:row r="34" s="51" customFormat="1" ht="15" customHeight="1">
      <x:c r="A34" s="73" t="n">
        <x:v>26</x:v>
      </x:c>
      <x:c r="B34" s="84" t="inlineStr">
        <x:is>
          <x:t xml:space="preserve">State</x:t>
        </x:is>
      </x:c>
      <x:c r="C34" s="84" t="inlineStr">
        <x:is>
          <x:t xml:space="preserve">Root</x:t>
        </x:is>
      </x:c>
      <x:c r="D34" s="84" t="inlineStr">
        <x:is>
          <x:t xml:space="preserve">defaultActiveCell prop behavior</x:t>
        </x:is>
      </x:c>
      <x:c r="E34" s="76" t="inlineStr">
        <x:is>
          <x:t xml:space="preserve">yes</x:t>
        </x:is>
      </x:c>
      <x:c r="F34" s="85" t="inlineStr">
        <x:is>
          <x:t xml:space="preserve">yes</x:t>
        </x:is>
      </x:c>
      <x:c r="G34" s="73" t="inlineStr">
        <x:is>
          <x:t xml:space="preserve">passed manual test</x:t>
        </x:is>
      </x:c>
      <x:c r="H34" s="86" t="inlineStr">
        <x:is>
          <x:t xml:space="preserve">covered</x:t>
        </x:is>
      </x:c>
      <x:c r="I34" s="84" t="inlineStr">
        <x:is>
          <x:t xml:space="preserve">TreeGrid playground; manual-tests/tree-grid.md</x:t>
        </x:is>
      </x:c>
      <x:c r="J34" s="84" t="n"/>
      <x:c r="K34" s="87" t="n">
        <x:f>IF(AND(E34="yes",F34="yes",H34="covered"),1,IF(H34="partial",0.5,0))</x:f>
        <x:v>1</x:v>
      </x:c>
    </x:row>
    <x:row r="35" s="51" customFormat="1" ht="15" customHeight="1">
      <x:c r="A35" s="73" t="n">
        <x:v>27</x:v>
      </x:c>
      <x:c r="B35" s="84" t="inlineStr">
        <x:is>
          <x:t xml:space="preserve">State</x:t>
        </x:is>
      </x:c>
      <x:c r="C35" s="84" t="inlineStr">
        <x:is>
          <x:t xml:space="preserve">Root</x:t>
        </x:is>
      </x:c>
      <x:c r="D35" s="84" t="inlineStr">
        <x:is>
          <x:t xml:space="preserve">selectionMode prop behavior</x:t>
        </x:is>
      </x:c>
      <x:c r="E35" s="76" t="inlineStr">
        <x:is>
          <x:t xml:space="preserve">yes</x:t>
        </x:is>
      </x:c>
      <x:c r="F35" s="85" t="inlineStr">
        <x:is>
          <x:t xml:space="preserve">yes</x:t>
        </x:is>
      </x:c>
      <x:c r="G35" s="73" t="inlineStr">
        <x:is>
          <x:t xml:space="preserve">passed manual test</x:t>
        </x:is>
      </x:c>
      <x:c r="H35" s="86" t="inlineStr">
        <x:is>
          <x:t xml:space="preserve">covered</x:t>
        </x:is>
      </x:c>
      <x:c r="I35" s="84" t="inlineStr">
        <x:is>
          <x:t xml:space="preserve">TreeGrid playground; manual-tests/tree-grid.md</x:t>
        </x:is>
      </x:c>
      <x:c r="J35" s="84" t="n"/>
      <x:c r="K35" s="87" t="n">
        <x:f>IF(AND(E35="yes",F35="yes",H35="covered"),1,IF(H35="partial",0.5,0))</x:f>
        <x:v>1</x:v>
      </x:c>
    </x:row>
    <x:row r="36" s="51" customFormat="1" ht="15" customHeight="1">
      <x:c r="A36" s="73" t="n">
        <x:v>28</x:v>
      </x:c>
      <x:c r="B36" s="84" t="inlineStr">
        <x:is>
          <x:t xml:space="preserve">State</x:t>
        </x:is>
      </x:c>
      <x:c r="C36" s="84" t="inlineStr">
        <x:is>
          <x:t xml:space="preserve">Root</x:t>
        </x:is>
      </x:c>
      <x:c r="D36" s="84" t="inlineStr">
        <x:is>
          <x:t xml:space="preserve">disabled prop behavior</x:t>
        </x:is>
      </x:c>
      <x:c r="E36" s="76" t="inlineStr">
        <x:is>
          <x:t xml:space="preserve">yes</x:t>
        </x:is>
      </x:c>
      <x:c r="F36" s="85" t="inlineStr">
        <x:is>
          <x:t xml:space="preserve">yes</x:t>
        </x:is>
      </x:c>
      <x:c r="G36" s="73" t="inlineStr">
        <x:is>
          <x:t xml:space="preserve">passed manual test</x:t>
        </x:is>
      </x:c>
      <x:c r="H36" s="86" t="inlineStr">
        <x:is>
          <x:t xml:space="preserve">covered</x:t>
        </x:is>
      </x:c>
      <x:c r="I36" s="84" t="inlineStr">
        <x:is>
          <x:t xml:space="preserve">TreeGrid playground; manual-tests/tree-grid.md</x:t>
        </x:is>
      </x:c>
      <x:c r="J36" s="84" t="n"/>
      <x:c r="K36" s="87" t="n">
        <x:f>IF(AND(E36="yes",F36="yes",H36="covered"),1,IF(H36="partial",0.5,0))</x:f>
        <x:v>1</x:v>
      </x:c>
    </x:row>
    <x:row r="37" s="51" customFormat="1" ht="15" customHeight="1">
      <x:c r="A37" s="73" t="n">
        <x:v>29</x:v>
      </x:c>
      <x:c r="B37" s="84" t="inlineStr">
        <x:is>
          <x:t xml:space="preserve">State</x:t>
        </x:is>
      </x:c>
      <x:c r="C37" s="84" t="inlineStr">
        <x:is>
          <x:t xml:space="preserve">Root</x:t>
        </x:is>
      </x:c>
      <x:c r="D37" s="84" t="inlineStr">
        <x:is>
          <x:t xml:space="preserve">readOnly prop behavior</x:t>
        </x:is>
      </x:c>
      <x:c r="E37" s="76" t="inlineStr">
        <x:is>
          <x:t xml:space="preserve">yes</x:t>
        </x:is>
      </x:c>
      <x:c r="F37" s="85" t="inlineStr">
        <x:is>
          <x:t xml:space="preserve">yes</x:t>
        </x:is>
      </x:c>
      <x:c r="G37" s="73" t="inlineStr">
        <x:is>
          <x:t xml:space="preserve">passed manual test</x:t>
        </x:is>
      </x:c>
      <x:c r="H37" s="86" t="inlineStr">
        <x:is>
          <x:t xml:space="preserve">covered</x:t>
        </x:is>
      </x:c>
      <x:c r="I37" s="84" t="inlineStr">
        <x:is>
          <x:t xml:space="preserve">TreeGrid playground; manual-tests/tree-grid.md</x:t>
        </x:is>
      </x:c>
      <x:c r="J37" s="84" t="n"/>
      <x:c r="K37" s="87" t="n">
        <x:f>IF(AND(E37="yes",F37="yes",H37="covered"),1,IF(H37="partial",0.5,0))</x:f>
        <x:v>1</x:v>
      </x:c>
    </x:row>
    <x:row r="38" s="51" customFormat="1" ht="15" customHeight="1">
      <x:c r="A38" s="73" t="n">
        <x:v>30</x:v>
      </x:c>
      <x:c r="B38" s="84" t="inlineStr">
        <x:is>
          <x:t xml:space="preserve">Public API</x:t>
        </x:is>
      </x:c>
      <x:c r="C38" s="84" t="inlineStr">
        <x:is>
          <x:t xml:space="preserve">Root</x:t>
        </x:is>
      </x:c>
      <x:c r="D38" s="84" t="inlineStr">
        <x:is>
          <x:t xml:space="preserve">loop prop behavior</x:t>
        </x:is>
      </x:c>
      <x:c r="E38" s="76" t="inlineStr">
        <x:is>
          <x:t xml:space="preserve">yes</x:t>
        </x:is>
      </x:c>
      <x:c r="F38" s="85" t="inlineStr">
        <x:is>
          <x:t xml:space="preserve">yes</x:t>
        </x:is>
      </x:c>
      <x:c r="G38" s="73" t="inlineStr">
        <x:is>
          <x:t xml:space="preserve">passed manual test</x:t>
        </x:is>
      </x:c>
      <x:c r="H38" s="86" t="inlineStr">
        <x:is>
          <x:t xml:space="preserve">covered</x:t>
        </x:is>
      </x:c>
      <x:c r="I38" s="84" t="inlineStr">
        <x:is>
          <x:t xml:space="preserve">TreeGrid playground; manual-tests/tree-grid.md</x:t>
        </x:is>
      </x:c>
      <x:c r="J38" s="84" t="n"/>
      <x:c r="K38" s="87" t="n">
        <x:f>IF(AND(E38="yes",F38="yes",H38="covered"),1,IF(H38="partial",0.5,0))</x:f>
        <x:v>1</x:v>
      </x:c>
    </x:row>
    <x:row r="39" s="51" customFormat="1" ht="15" customHeight="1">
      <x:c r="A39" s="73" t="n">
        <x:v>31</x:v>
      </x:c>
      <x:c r="B39" s="84" t="inlineStr">
        <x:is>
          <x:t xml:space="preserve">Public API</x:t>
        </x:is>
      </x:c>
      <x:c r="C39" s="84" t="inlineStr">
        <x:is>
          <x:t xml:space="preserve">Root</x:t>
        </x:is>
      </x:c>
      <x:c r="D39" s="84" t="inlineStr">
        <x:is>
          <x:t xml:space="preserve">rowCount prop behavior</x:t>
        </x:is>
      </x:c>
      <x:c r="E39" s="76" t="inlineStr">
        <x:is>
          <x:t xml:space="preserve">yes</x:t>
        </x:is>
      </x:c>
      <x:c r="F39" s="85" t="inlineStr">
        <x:is>
          <x:t xml:space="preserve">yes</x:t>
        </x:is>
      </x:c>
      <x:c r="G39" s="73" t="inlineStr">
        <x:is>
          <x:t xml:space="preserve">passed manual test</x:t>
        </x:is>
      </x:c>
      <x:c r="H39" s="86" t="inlineStr">
        <x:is>
          <x:t xml:space="preserve">covered</x:t>
        </x:is>
      </x:c>
      <x:c r="I39" s="84" t="inlineStr">
        <x:is>
          <x:t xml:space="preserve">TreeGrid playground; manual-tests/tree-grid.md</x:t>
        </x:is>
      </x:c>
      <x:c r="J39" s="84" t="n"/>
      <x:c r="K39" s="87" t="n">
        <x:f>IF(AND(E39="yes",F39="yes",H39="covered"),1,IF(H39="partial",0.5,0))</x:f>
        <x:v>1</x:v>
      </x:c>
    </x:row>
    <x:row r="40" s="51" customFormat="1" ht="15" customHeight="1">
      <x:c r="A40" s="73" t="n">
        <x:v>32</x:v>
      </x:c>
      <x:c r="B40" s="84" t="inlineStr">
        <x:is>
          <x:t xml:space="preserve">Public API</x:t>
        </x:is>
      </x:c>
      <x:c r="C40" s="84" t="inlineStr">
        <x:is>
          <x:t xml:space="preserve">Root</x:t>
        </x:is>
      </x:c>
      <x:c r="D40" s="84" t="inlineStr">
        <x:is>
          <x:t xml:space="preserve">columnCount prop behavior</x:t>
        </x:is>
      </x:c>
      <x:c r="E40" s="76" t="inlineStr">
        <x:is>
          <x:t xml:space="preserve">yes</x:t>
        </x:is>
      </x:c>
      <x:c r="F40" s="85" t="inlineStr">
        <x:is>
          <x:t xml:space="preserve">yes</x:t>
        </x:is>
      </x:c>
      <x:c r="G40" s="73" t="inlineStr">
        <x:is>
          <x:t xml:space="preserve">passed manual test</x:t>
        </x:is>
      </x:c>
      <x:c r="H40" s="86" t="inlineStr">
        <x:is>
          <x:t xml:space="preserve">covered</x:t>
        </x:is>
      </x:c>
      <x:c r="I40" s="84" t="inlineStr">
        <x:is>
          <x:t xml:space="preserve">TreeGrid playground; manual-tests/tree-grid.md</x:t>
        </x:is>
      </x:c>
      <x:c r="J40" s="84" t="n"/>
      <x:c r="K40" s="87" t="n">
        <x:f>IF(AND(E40="yes",F40="yes",H40="covered"),1,IF(H40="partial",0.5,0))</x:f>
        <x:v>1</x:v>
      </x:c>
    </x:row>
    <x:row r="41" s="51" customFormat="1" ht="15" customHeight="1">
      <x:c r="A41" s="73" t="n">
        <x:v>33</x:v>
      </x:c>
      <x:c r="B41" s="84" t="inlineStr">
        <x:is>
          <x:t xml:space="preserve">Anatomy</x:t>
        </x:is>
      </x:c>
      <x:c r="C41" s="84" t="inlineStr">
        <x:is>
          <x:t xml:space="preserve">Body</x:t>
        </x:is>
      </x:c>
      <x:c r="D41" s="84" t="inlineStr">
        <x:is>
          <x:t xml:space="preserve">renders correct part when expected</x:t>
        </x:is>
      </x:c>
      <x:c r="E41" s="76" t="inlineStr">
        <x:is>
          <x:t xml:space="preserve">yes</x:t>
        </x:is>
      </x:c>
      <x:c r="F41" s="85" t="inlineStr">
        <x:is>
          <x:t xml:space="preserve">yes</x:t>
        </x:is>
      </x:c>
      <x:c r="G41" s="73" t="inlineStr">
        <x:is>
          <x:t xml:space="preserve">passed manual test</x:t>
        </x:is>
      </x:c>
      <x:c r="H41" s="86" t="inlineStr">
        <x:is>
          <x:t xml:space="preserve">covered</x:t>
        </x:is>
      </x:c>
      <x:c r="I41" s="84" t="inlineStr">
        <x:is>
          <x:t xml:space="preserve">TreeGrid playground; manual-tests/tree-grid.md</x:t>
        </x:is>
      </x:c>
      <x:c r="J41" s="84" t="n"/>
      <x:c r="K41" s="87" t="n">
        <x:f>IF(AND(E41="yes",F41="yes",H41="covered"),1,IF(H41="partial",0.5,0))</x:f>
        <x:v>1</x:v>
      </x:c>
    </x:row>
    <x:row r="42" s="51" customFormat="1" ht="15" customHeight="1">
      <x:c r="A42" s="73" t="n">
        <x:v>34</x:v>
      </x:c>
      <x:c r="B42" s="84" t="inlineStr">
        <x:is>
          <x:t xml:space="preserve">Anatomy</x:t>
        </x:is>
      </x:c>
      <x:c r="C42" s="84" t="inlineStr">
        <x:is>
          <x:t xml:space="preserve">Body</x:t>
        </x:is>
      </x:c>
      <x:c r="D42" s="84" t="inlineStr">
        <x:is>
          <x:t xml:space="preserve">appears in documented order</x:t>
        </x:is>
      </x:c>
      <x:c r="E42" s="76" t="inlineStr">
        <x:is>
          <x:t xml:space="preserve">yes</x:t>
        </x:is>
      </x:c>
      <x:c r="F42" s="85" t="inlineStr">
        <x:is>
          <x:t xml:space="preserve">yes</x:t>
        </x:is>
      </x:c>
      <x:c r="G42" s="73" t="inlineStr">
        <x:is>
          <x:t xml:space="preserve">passed manual test</x:t>
        </x:is>
      </x:c>
      <x:c r="H42" s="86" t="inlineStr">
        <x:is>
          <x:t xml:space="preserve">covered</x:t>
        </x:is>
      </x:c>
      <x:c r="I42" s="84" t="inlineStr">
        <x:is>
          <x:t xml:space="preserve">TreeGrid playground; manual-tests/tree-grid.md</x:t>
        </x:is>
      </x:c>
      <x:c r="J42" s="84" t="n"/>
      <x:c r="K42" s="87" t="n">
        <x:f>IF(AND(E42="yes",F42="yes",H42="covered"),1,IF(H42="partial",0.5,0))</x:f>
        <x:v>1</x:v>
      </x:c>
    </x:row>
    <x:row r="43" s="51" customFormat="1" ht="30" customHeight="1">
      <x:c r="A43" s="73" t="n">
        <x:v>35</x:v>
      </x:c>
      <x:c r="B43" s="84" t="inlineStr">
        <x:is>
          <x:t xml:space="preserve">Identity</x:t>
        </x:is>
      </x:c>
      <x:c r="C43" s="84" t="inlineStr">
        <x:is>
          <x:t xml:space="preserve">Body</x:t>
        </x:is>
      </x:c>
      <x:c r="D43" s="84" t="inlineStr">
        <x:is>
          <x:t xml:space="preserve">default tag is visible in Anatomy/Inspector</x:t>
        </x:is>
      </x:c>
      <x:c r="E43" s="76" t="inlineStr">
        <x:is>
          <x:t xml:space="preserve">yes</x:t>
        </x:is>
      </x:c>
      <x:c r="F43" s="85" t="inlineStr">
        <x:is>
          <x:t xml:space="preserve">yes</x:t>
        </x:is>
      </x:c>
      <x:c r="G43" s="73" t="inlineStr">
        <x:is>
          <x:t xml:space="preserve">passed manual test</x:t>
        </x:is>
      </x:c>
      <x:c r="H43" s="86" t="inlineStr">
        <x:is>
          <x:t xml:space="preserve">covered</x:t>
        </x:is>
      </x:c>
      <x:c r="I43" s="84" t="inlineStr">
        <x:is>
          <x:t xml:space="preserve">TreeGrid playground; manual-tests/tree-grid.md</x:t>
        </x:is>
      </x:c>
      <x:c r="J43" s="84" t="n"/>
      <x:c r="K43" s="87" t="n">
        <x:f>IF(AND(E43="yes",F43="yes",H43="covered"),1,IF(H43="partial",0.5,0))</x:f>
        <x:v>1</x:v>
      </x:c>
    </x:row>
    <x:row r="44" s="51" customFormat="1" ht="15" customHeight="1">
      <x:c r="A44" s="73" t="n">
        <x:v>36</x:v>
      </x:c>
      <x:c r="B44" s="84" t="inlineStr">
        <x:is>
          <x:t xml:space="preserve">Identity</x:t>
        </x:is>
      </x:c>
      <x:c r="C44" s="84" t="inlineStr">
        <x:is>
          <x:t xml:space="preserve">Body</x:t>
        </x:is>
      </x:c>
      <x:c r="D44" s="84" t="inlineStr">
        <x:is>
          <x:t xml:space="preserve">data-slot is present and correct</x:t>
        </x:is>
      </x:c>
      <x:c r="E44" s="76" t="inlineStr">
        <x:is>
          <x:t xml:space="preserve">yes</x:t>
        </x:is>
      </x:c>
      <x:c r="F44" s="85" t="inlineStr">
        <x:is>
          <x:t xml:space="preserve">yes</x:t>
        </x:is>
      </x:c>
      <x:c r="G44" s="73" t="inlineStr">
        <x:is>
          <x:t xml:space="preserve">passed manual test</x:t>
        </x:is>
      </x:c>
      <x:c r="H44" s="86" t="inlineStr">
        <x:is>
          <x:t xml:space="preserve">covered</x:t>
        </x:is>
      </x:c>
      <x:c r="I44" s="84" t="inlineStr">
        <x:is>
          <x:t xml:space="preserve">TreeGrid playground; manual-tests/tree-grid.md</x:t>
        </x:is>
      </x:c>
      <x:c r="J44" s="84" t="n"/>
      <x:c r="K44" s="87" t="n">
        <x:f>IF(AND(E44="yes",F44="yes",H44="covered"),1,IF(H44="partial",0.5,0))</x:f>
        <x:v>1</x:v>
      </x:c>
    </x:row>
    <x:row r="45" s="51" customFormat="1" ht="15" customHeight="1">
      <x:c r="A45" s="73" t="n">
        <x:v>37</x:v>
      </x:c>
      <x:c r="B45" s="84" t="inlineStr">
        <x:is>
          <x:t xml:space="preserve">Props</x:t>
        </x:is>
      </x:c>
      <x:c r="C45" s="84" t="inlineStr">
        <x:is>
          <x:t xml:space="preserve">Body</x:t>
        </x:is>
      </x:c>
      <x:c r="D45" s="84" t="inlineStr">
        <x:is>
          <x:t xml:space="preserve">non-Atom native props pass through with data-prop-check marker</x:t>
        </x:is>
      </x:c>
      <x:c r="E45" s="76" t="inlineStr">
        <x:is>
          <x:t xml:space="preserve">yes</x:t>
        </x:is>
      </x:c>
      <x:c r="F45" s="85" t="inlineStr">
        <x:is>
          <x:t xml:space="preserve">yes</x:t>
        </x:is>
      </x:c>
      <x:c r="G45" s="73" t="inlineStr">
        <x:is>
          <x:t xml:space="preserve">passed manual test</x:t>
        </x:is>
      </x:c>
      <x:c r="H45" s="86" t="inlineStr">
        <x:is>
          <x:t xml:space="preserve">covered</x:t>
        </x:is>
      </x:c>
      <x:c r="I45" s="84" t="inlineStr">
        <x:is>
          <x:t xml:space="preserve">TreeGrid playground; manual-tests/tree-grid.md</x:t>
        </x:is>
      </x:c>
      <x:c r="J45" s="84" t="n"/>
      <x:c r="K45" s="87" t="n">
        <x:f>IF(AND(E45="yes",F45="yes",H45="covered"),1,IF(H45="partial",0.5,0))</x:f>
        <x:v>1</x:v>
      </x:c>
    </x:row>
    <x:row r="46" s="51" customFormat="1" ht="15" customHeight="1">
      <x:c r="A46" s="73" t="n">
        <x:v>38</x:v>
      </x:c>
      <x:c r="B46" s="84" t="inlineStr">
        <x:is>
          <x:t xml:space="preserve">Refs</x:t>
        </x:is>
      </x:c>
      <x:c r="C46" s="84" t="inlineStr">
        <x:is>
          <x:t xml:space="preserve">Body</x:t>
        </x:is>
      </x:c>
      <x:c r="D46" s="84" t="inlineStr">
        <x:is>
          <x:t xml:space="preserve">consumer ref receives the rendered element</x:t>
        </x:is>
      </x:c>
      <x:c r="E46" s="76" t="inlineStr">
        <x:is>
          <x:t xml:space="preserve">yes</x:t>
        </x:is>
      </x:c>
      <x:c r="F46" s="85" t="inlineStr">
        <x:is>
          <x:t xml:space="preserve">yes</x:t>
        </x:is>
      </x:c>
      <x:c r="G46" s="73" t="inlineStr">
        <x:is>
          <x:t xml:space="preserve">passed manual test</x:t>
        </x:is>
      </x:c>
      <x:c r="H46" s="86" t="inlineStr">
        <x:is>
          <x:t xml:space="preserve">covered</x:t>
        </x:is>
      </x:c>
      <x:c r="I46" s="84" t="inlineStr">
        <x:is>
          <x:t xml:space="preserve">TreeGrid playground; manual-tests/tree-grid.md</x:t>
        </x:is>
      </x:c>
      <x:c r="J46" s="84" t="n"/>
      <x:c r="K46" s="87" t="n">
        <x:f>IF(AND(E46="yes",F46="yes",H46="covered"),1,IF(H46="partial",0.5,0))</x:f>
        <x:v>1</x:v>
      </x:c>
    </x:row>
    <x:row r="47" s="51" customFormat="1" ht="15" customHeight="1">
      <x:c r="A47" s="73" t="n">
        <x:v>39</x:v>
      </x:c>
      <x:c r="B47" s="84" t="inlineStr">
        <x:is>
          <x:t xml:space="preserve">Anatomy</x:t>
        </x:is>
      </x:c>
      <x:c r="C47" s="84" t="inlineStr">
        <x:is>
          <x:t xml:space="preserve">Caption</x:t>
        </x:is>
      </x:c>
      <x:c r="D47" s="84" t="inlineStr">
        <x:is>
          <x:t xml:space="preserve">renders correct part when expected</x:t>
        </x:is>
      </x:c>
      <x:c r="E47" s="76" t="inlineStr">
        <x:is>
          <x:t xml:space="preserve">yes</x:t>
        </x:is>
      </x:c>
      <x:c r="F47" s="85" t="inlineStr">
        <x:is>
          <x:t xml:space="preserve">yes</x:t>
        </x:is>
      </x:c>
      <x:c r="G47" s="73" t="inlineStr">
        <x:is>
          <x:t xml:space="preserve">passed manual test</x:t>
        </x:is>
      </x:c>
      <x:c r="H47" s="86" t="inlineStr">
        <x:is>
          <x:t xml:space="preserve">covered</x:t>
        </x:is>
      </x:c>
      <x:c r="I47" s="84" t="inlineStr">
        <x:is>
          <x:t xml:space="preserve">TreeGrid playground; manual-tests/tree-grid.md</x:t>
        </x:is>
      </x:c>
      <x:c r="J47" s="84" t="n"/>
      <x:c r="K47" s="87" t="n">
        <x:f>IF(AND(E47="yes",F47="yes",H47="covered"),1,IF(H47="partial",0.5,0))</x:f>
        <x:v>1</x:v>
      </x:c>
    </x:row>
    <x:row r="48" s="51" customFormat="1" ht="15" customHeight="1">
      <x:c r="A48" s="73" t="n">
        <x:v>40</x:v>
      </x:c>
      <x:c r="B48" s="84" t="inlineStr">
        <x:is>
          <x:t xml:space="preserve">Anatomy</x:t>
        </x:is>
      </x:c>
      <x:c r="C48" s="84" t="inlineStr">
        <x:is>
          <x:t xml:space="preserve">Caption</x:t>
        </x:is>
      </x:c>
      <x:c r="D48" s="84" t="inlineStr">
        <x:is>
          <x:t xml:space="preserve">appears in documented order</x:t>
        </x:is>
      </x:c>
      <x:c r="E48" s="76" t="inlineStr">
        <x:is>
          <x:t xml:space="preserve">yes</x:t>
        </x:is>
      </x:c>
      <x:c r="F48" s="85" t="inlineStr">
        <x:is>
          <x:t xml:space="preserve">yes</x:t>
        </x:is>
      </x:c>
      <x:c r="G48" s="73" t="inlineStr">
        <x:is>
          <x:t xml:space="preserve">passed manual test</x:t>
        </x:is>
      </x:c>
      <x:c r="H48" s="86" t="inlineStr">
        <x:is>
          <x:t xml:space="preserve">covered</x:t>
        </x:is>
      </x:c>
      <x:c r="I48" s="84" t="inlineStr">
        <x:is>
          <x:t xml:space="preserve">TreeGrid playground; manual-tests/tree-grid.md</x:t>
        </x:is>
      </x:c>
      <x:c r="J48" s="84" t="n"/>
      <x:c r="K48" s="87" t="n">
        <x:f>IF(AND(E48="yes",F48="yes",H48="covered"),1,IF(H48="partial",0.5,0))</x:f>
        <x:v>1</x:v>
      </x:c>
    </x:row>
    <x:row r="49" s="51" customFormat="1" ht="30" customHeight="1">
      <x:c r="A49" s="73" t="n">
        <x:v>41</x:v>
      </x:c>
      <x:c r="B49" s="84" t="inlineStr">
        <x:is>
          <x:t xml:space="preserve">Identity</x:t>
        </x:is>
      </x:c>
      <x:c r="C49" s="84" t="inlineStr">
        <x:is>
          <x:t xml:space="preserve">Caption</x:t>
        </x:is>
      </x:c>
      <x:c r="D49" s="84" t="inlineStr">
        <x:is>
          <x:t xml:space="preserve">default tag is visible in Anatomy/Inspector</x:t>
        </x:is>
      </x:c>
      <x:c r="E49" s="76" t="inlineStr">
        <x:is>
          <x:t xml:space="preserve">yes</x:t>
        </x:is>
      </x:c>
      <x:c r="F49" s="85" t="inlineStr">
        <x:is>
          <x:t xml:space="preserve">yes</x:t>
        </x:is>
      </x:c>
      <x:c r="G49" s="73" t="inlineStr">
        <x:is>
          <x:t xml:space="preserve">passed manual test</x:t>
        </x:is>
      </x:c>
      <x:c r="H49" s="86" t="inlineStr">
        <x:is>
          <x:t xml:space="preserve">covered</x:t>
        </x:is>
      </x:c>
      <x:c r="I49" s="84" t="inlineStr">
        <x:is>
          <x:t xml:space="preserve">TreeGrid playground; manual-tests/tree-grid.md</x:t>
        </x:is>
      </x:c>
      <x:c r="J49" s="84" t="n"/>
      <x:c r="K49" s="87" t="n">
        <x:f>IF(AND(E49="yes",F49="yes",H49="covered"),1,IF(H49="partial",0.5,0))</x:f>
        <x:v>1</x:v>
      </x:c>
    </x:row>
    <x:row r="50" s="51" customFormat="1" ht="15" customHeight="1">
      <x:c r="A50" s="73" t="n">
        <x:v>42</x:v>
      </x:c>
      <x:c r="B50" s="84" t="inlineStr">
        <x:is>
          <x:t xml:space="preserve">Identity</x:t>
        </x:is>
      </x:c>
      <x:c r="C50" s="84" t="inlineStr">
        <x:is>
          <x:t xml:space="preserve">Caption</x:t>
        </x:is>
      </x:c>
      <x:c r="D50" s="84" t="inlineStr">
        <x:is>
          <x:t xml:space="preserve">data-slot is present and correct</x:t>
        </x:is>
      </x:c>
      <x:c r="E50" s="76" t="inlineStr">
        <x:is>
          <x:t xml:space="preserve">yes</x:t>
        </x:is>
      </x:c>
      <x:c r="F50" s="85" t="inlineStr">
        <x:is>
          <x:t xml:space="preserve">yes</x:t>
        </x:is>
      </x:c>
      <x:c r="G50" s="73" t="inlineStr">
        <x:is>
          <x:t xml:space="preserve">passed manual test</x:t>
        </x:is>
      </x:c>
      <x:c r="H50" s="86" t="inlineStr">
        <x:is>
          <x:t xml:space="preserve">covered</x:t>
        </x:is>
      </x:c>
      <x:c r="I50" s="84" t="inlineStr">
        <x:is>
          <x:t xml:space="preserve">TreeGrid playground; manual-tests/tree-grid.md</x:t>
        </x:is>
      </x:c>
      <x:c r="J50" s="84" t="n"/>
      <x:c r="K50" s="87" t="n">
        <x:f>IF(AND(E50="yes",F50="yes",H50="covered"),1,IF(H50="partial",0.5,0))</x:f>
        <x:v>1</x:v>
      </x:c>
    </x:row>
    <x:row r="51" s="51" customFormat="1" ht="15" customHeight="1">
      <x:c r="A51" s="73" t="n">
        <x:v>43</x:v>
      </x:c>
      <x:c r="B51" s="84" t="inlineStr">
        <x:is>
          <x:t xml:space="preserve">Props</x:t>
        </x:is>
      </x:c>
      <x:c r="C51" s="84" t="inlineStr">
        <x:is>
          <x:t xml:space="preserve">Caption</x:t>
        </x:is>
      </x:c>
      <x:c r="D51" s="84" t="inlineStr">
        <x:is>
          <x:t xml:space="preserve">non-Atom native props pass through with data-prop-check marker</x:t>
        </x:is>
      </x:c>
      <x:c r="E51" s="76" t="inlineStr">
        <x:is>
          <x:t xml:space="preserve">yes</x:t>
        </x:is>
      </x:c>
      <x:c r="F51" s="85" t="inlineStr">
        <x:is>
          <x:t xml:space="preserve">yes</x:t>
        </x:is>
      </x:c>
      <x:c r="G51" s="73" t="inlineStr">
        <x:is>
          <x:t xml:space="preserve">passed manual test</x:t>
        </x:is>
      </x:c>
      <x:c r="H51" s="86" t="inlineStr">
        <x:is>
          <x:t xml:space="preserve">covered</x:t>
        </x:is>
      </x:c>
      <x:c r="I51" s="84" t="inlineStr">
        <x:is>
          <x:t xml:space="preserve">TreeGrid playground; manual-tests/tree-grid.md</x:t>
        </x:is>
      </x:c>
      <x:c r="J51" s="84" t="n"/>
      <x:c r="K51" s="87" t="n">
        <x:f>IF(AND(E51="yes",F51="yes",H51="covered"),1,IF(H51="partial",0.5,0))</x:f>
        <x:v>1</x:v>
      </x:c>
    </x:row>
    <x:row r="52" s="51" customFormat="1" ht="15" customHeight="1">
      <x:c r="A52" s="73" t="n">
        <x:v>44</x:v>
      </x:c>
      <x:c r="B52" s="84" t="inlineStr">
        <x:is>
          <x:t xml:space="preserve">Refs</x:t>
        </x:is>
      </x:c>
      <x:c r="C52" s="84" t="inlineStr">
        <x:is>
          <x:t xml:space="preserve">Caption</x:t>
        </x:is>
      </x:c>
      <x:c r="D52" s="84" t="inlineStr">
        <x:is>
          <x:t xml:space="preserve">consumer ref receives the rendered element</x:t>
        </x:is>
      </x:c>
      <x:c r="E52" s="76" t="inlineStr">
        <x:is>
          <x:t xml:space="preserve">yes</x:t>
        </x:is>
      </x:c>
      <x:c r="F52" s="85" t="inlineStr">
        <x:is>
          <x:t xml:space="preserve">yes</x:t>
        </x:is>
      </x:c>
      <x:c r="G52" s="73" t="inlineStr">
        <x:is>
          <x:t xml:space="preserve">passed manual test</x:t>
        </x:is>
      </x:c>
      <x:c r="H52" s="86" t="inlineStr">
        <x:is>
          <x:t xml:space="preserve">covered</x:t>
        </x:is>
      </x:c>
      <x:c r="I52" s="84" t="inlineStr">
        <x:is>
          <x:t xml:space="preserve">TreeGrid playground; manual-tests/tree-grid.md</x:t>
        </x:is>
      </x:c>
      <x:c r="J52" s="84" t="n"/>
      <x:c r="K52" s="87" t="n">
        <x:f>IF(AND(E52="yes",F52="yes",H52="covered"),1,IF(H52="partial",0.5,0))</x:f>
        <x:v>1</x:v>
      </x:c>
    </x:row>
    <x:row r="53" s="51" customFormat="1" ht="15" customHeight="1">
      <x:c r="A53" s="73" t="n">
        <x:v>45</x:v>
      </x:c>
      <x:c r="B53" s="84" t="inlineStr">
        <x:is>
          <x:t xml:space="preserve">Anatomy</x:t>
        </x:is>
      </x:c>
      <x:c r="C53" s="84" t="inlineStr">
        <x:is>
          <x:t xml:space="preserve">Cell</x:t>
        </x:is>
      </x:c>
      <x:c r="D53" s="84" t="inlineStr">
        <x:is>
          <x:t xml:space="preserve">renders correct part when expected</x:t>
        </x:is>
      </x:c>
      <x:c r="E53" s="76" t="inlineStr">
        <x:is>
          <x:t xml:space="preserve">yes</x:t>
        </x:is>
      </x:c>
      <x:c r="F53" s="85" t="inlineStr">
        <x:is>
          <x:t xml:space="preserve">yes</x:t>
        </x:is>
      </x:c>
      <x:c r="G53" s="73" t="inlineStr">
        <x:is>
          <x:t xml:space="preserve">passed manual test</x:t>
        </x:is>
      </x:c>
      <x:c r="H53" s="86" t="inlineStr">
        <x:is>
          <x:t xml:space="preserve">covered</x:t>
        </x:is>
      </x:c>
      <x:c r="I53" s="84" t="inlineStr">
        <x:is>
          <x:t xml:space="preserve">TreeGrid playground; manual-tests/tree-grid.md</x:t>
        </x:is>
      </x:c>
      <x:c r="J53" s="84" t="n"/>
      <x:c r="K53" s="87" t="n">
        <x:f>IF(AND(E53="yes",F53="yes",H53="covered"),1,IF(H53="partial",0.5,0))</x:f>
        <x:v>1</x:v>
      </x:c>
    </x:row>
    <x:row r="54" s="51" customFormat="1" ht="15" customHeight="1">
      <x:c r="A54" s="73" t="n">
        <x:v>46</x:v>
      </x:c>
      <x:c r="B54" s="84" t="inlineStr">
        <x:is>
          <x:t xml:space="preserve">Anatomy</x:t>
        </x:is>
      </x:c>
      <x:c r="C54" s="84" t="inlineStr">
        <x:is>
          <x:t xml:space="preserve">Cell</x:t>
        </x:is>
      </x:c>
      <x:c r="D54" s="84" t="inlineStr">
        <x:is>
          <x:t xml:space="preserve">appears in documented order</x:t>
        </x:is>
      </x:c>
      <x:c r="E54" s="76" t="inlineStr">
        <x:is>
          <x:t xml:space="preserve">yes</x:t>
        </x:is>
      </x:c>
      <x:c r="F54" s="85" t="inlineStr">
        <x:is>
          <x:t xml:space="preserve">yes</x:t>
        </x:is>
      </x:c>
      <x:c r="G54" s="73" t="inlineStr">
        <x:is>
          <x:t xml:space="preserve">passed manual test</x:t>
        </x:is>
      </x:c>
      <x:c r="H54" s="86" t="inlineStr">
        <x:is>
          <x:t xml:space="preserve">covered</x:t>
        </x:is>
      </x:c>
      <x:c r="I54" s="84" t="inlineStr">
        <x:is>
          <x:t xml:space="preserve">TreeGrid playground; manual-tests/tree-grid.md</x:t>
        </x:is>
      </x:c>
      <x:c r="J54" s="84" t="n"/>
      <x:c r="K54" s="87" t="n">
        <x:f>IF(AND(E54="yes",F54="yes",H54="covered"),1,IF(H54="partial",0.5,0))</x:f>
        <x:v>1</x:v>
      </x:c>
    </x:row>
    <x:row r="55" s="51" customFormat="1" ht="30" customHeight="1">
      <x:c r="A55" s="73" t="n">
        <x:v>47</x:v>
      </x:c>
      <x:c r="B55" s="84" t="inlineStr">
        <x:is>
          <x:t xml:space="preserve">Identity</x:t>
        </x:is>
      </x:c>
      <x:c r="C55" s="84" t="inlineStr">
        <x:is>
          <x:t xml:space="preserve">Cell</x:t>
        </x:is>
      </x:c>
      <x:c r="D55" s="84" t="inlineStr">
        <x:is>
          <x:t xml:space="preserve">default tag is visible in Anatomy/Inspector</x:t>
        </x:is>
      </x:c>
      <x:c r="E55" s="76" t="inlineStr">
        <x:is>
          <x:t xml:space="preserve">yes</x:t>
        </x:is>
      </x:c>
      <x:c r="F55" s="85" t="inlineStr">
        <x:is>
          <x:t xml:space="preserve">yes</x:t>
        </x:is>
      </x:c>
      <x:c r="G55" s="73" t="inlineStr">
        <x:is>
          <x:t xml:space="preserve">passed manual test</x:t>
        </x:is>
      </x:c>
      <x:c r="H55" s="86" t="inlineStr">
        <x:is>
          <x:t xml:space="preserve">covered</x:t>
        </x:is>
      </x:c>
      <x:c r="I55" s="84" t="inlineStr">
        <x:is>
          <x:t xml:space="preserve">TreeGrid playground; manual-tests/tree-grid.md</x:t>
        </x:is>
      </x:c>
      <x:c r="J55" s="84" t="n"/>
      <x:c r="K55" s="87" t="n">
        <x:f>IF(AND(E55="yes",F55="yes",H55="covered"),1,IF(H55="partial",0.5,0))</x:f>
        <x:v>1</x:v>
      </x:c>
    </x:row>
    <x:row r="56" s="51" customFormat="1" ht="15" customHeight="1">
      <x:c r="A56" s="73" t="n">
        <x:v>48</x:v>
      </x:c>
      <x:c r="B56" s="84" t="inlineStr">
        <x:is>
          <x:t xml:space="preserve">Identity</x:t>
        </x:is>
      </x:c>
      <x:c r="C56" s="84" t="inlineStr">
        <x:is>
          <x:t xml:space="preserve">Cell</x:t>
        </x:is>
      </x:c>
      <x:c r="D56" s="84" t="inlineStr">
        <x:is>
          <x:t xml:space="preserve">data-slot is present and correct</x:t>
        </x:is>
      </x:c>
      <x:c r="E56" s="76" t="inlineStr">
        <x:is>
          <x:t xml:space="preserve">yes</x:t>
        </x:is>
      </x:c>
      <x:c r="F56" s="85" t="inlineStr">
        <x:is>
          <x:t xml:space="preserve">yes</x:t>
        </x:is>
      </x:c>
      <x:c r="G56" s="73" t="inlineStr">
        <x:is>
          <x:t xml:space="preserve">passed manual test</x:t>
        </x:is>
      </x:c>
      <x:c r="H56" s="86" t="inlineStr">
        <x:is>
          <x:t xml:space="preserve">covered</x:t>
        </x:is>
      </x:c>
      <x:c r="I56" s="84" t="inlineStr">
        <x:is>
          <x:t xml:space="preserve">TreeGrid playground; manual-tests/tree-grid.md</x:t>
        </x:is>
      </x:c>
      <x:c r="J56" s="84" t="n"/>
      <x:c r="K56" s="87" t="n">
        <x:f>IF(AND(E56="yes",F56="yes",H56="covered"),1,IF(H56="partial",0.5,0))</x:f>
        <x:v>1</x:v>
      </x:c>
    </x:row>
    <x:row r="57" s="51" customFormat="1" ht="15" customHeight="1">
      <x:c r="A57" s="73" t="n">
        <x:v>49</x:v>
      </x:c>
      <x:c r="B57" s="84" t="inlineStr">
        <x:is>
          <x:t xml:space="preserve">Props</x:t>
        </x:is>
      </x:c>
      <x:c r="C57" s="84" t="inlineStr">
        <x:is>
          <x:t xml:space="preserve">Cell</x:t>
        </x:is>
      </x:c>
      <x:c r="D57" s="84" t="inlineStr">
        <x:is>
          <x:t xml:space="preserve">non-Atom native props pass through with data-prop-check marker</x:t>
        </x:is>
      </x:c>
      <x:c r="E57" s="76" t="inlineStr">
        <x:is>
          <x:t xml:space="preserve">yes</x:t>
        </x:is>
      </x:c>
      <x:c r="F57" s="85" t="inlineStr">
        <x:is>
          <x:t xml:space="preserve">yes</x:t>
        </x:is>
      </x:c>
      <x:c r="G57" s="73" t="inlineStr">
        <x:is>
          <x:t xml:space="preserve">passed manual test</x:t>
        </x:is>
      </x:c>
      <x:c r="H57" s="86" t="inlineStr">
        <x:is>
          <x:t xml:space="preserve">covered</x:t>
        </x:is>
      </x:c>
      <x:c r="I57" s="84" t="inlineStr">
        <x:is>
          <x:t xml:space="preserve">TreeGrid playground; manual-tests/tree-grid.md</x:t>
        </x:is>
      </x:c>
      <x:c r="J57" s="84" t="n"/>
      <x:c r="K57" s="87" t="n">
        <x:f>IF(AND(E57="yes",F57="yes",H57="covered"),1,IF(H57="partial",0.5,0))</x:f>
        <x:v>1</x:v>
      </x:c>
    </x:row>
    <x:row r="58" s="51" customFormat="1" ht="15" customHeight="1">
      <x:c r="A58" s="73" t="n">
        <x:v>50</x:v>
      </x:c>
      <x:c r="B58" s="84" t="inlineStr">
        <x:is>
          <x:t xml:space="preserve">Refs</x:t>
        </x:is>
      </x:c>
      <x:c r="C58" s="84" t="inlineStr">
        <x:is>
          <x:t xml:space="preserve">Cell</x:t>
        </x:is>
      </x:c>
      <x:c r="D58" s="84" t="inlineStr">
        <x:is>
          <x:t xml:space="preserve">consumer ref receives the rendered element</x:t>
        </x:is>
      </x:c>
      <x:c r="E58" s="76" t="inlineStr">
        <x:is>
          <x:t xml:space="preserve">yes</x:t>
        </x:is>
      </x:c>
      <x:c r="F58" s="85" t="inlineStr">
        <x:is>
          <x:t xml:space="preserve">yes</x:t>
        </x:is>
      </x:c>
      <x:c r="G58" s="73" t="inlineStr">
        <x:is>
          <x:t xml:space="preserve">passed manual test</x:t>
        </x:is>
      </x:c>
      <x:c r="H58" s="86" t="inlineStr">
        <x:is>
          <x:t xml:space="preserve">covered</x:t>
        </x:is>
      </x:c>
      <x:c r="I58" s="84" t="inlineStr">
        <x:is>
          <x:t xml:space="preserve">TreeGrid playground; manual-tests/tree-grid.md</x:t>
        </x:is>
      </x:c>
      <x:c r="J58" s="84" t="n"/>
      <x:c r="K58" s="87" t="n">
        <x:f>IF(AND(E58="yes",F58="yes",H58="covered"),1,IF(H58="partial",0.5,0))</x:f>
        <x:v>1</x:v>
      </x:c>
    </x:row>
    <x:row r="59" s="51" customFormat="1" ht="15" customHeight="1">
      <x:c r="A59" s="73" t="n">
        <x:v>51</x:v>
      </x:c>
      <x:c r="B59" s="84" t="inlineStr">
        <x:is>
          <x:t xml:space="preserve">Anatomy</x:t>
        </x:is>
      </x:c>
      <x:c r="C59" s="84" t="inlineStr">
        <x:is>
          <x:t xml:space="preserve">ColumnHeader</x:t>
        </x:is>
      </x:c>
      <x:c r="D59" s="84" t="inlineStr">
        <x:is>
          <x:t xml:space="preserve">renders correct part when expected</x:t>
        </x:is>
      </x:c>
      <x:c r="E59" s="76" t="inlineStr">
        <x:is>
          <x:t xml:space="preserve">yes</x:t>
        </x:is>
      </x:c>
      <x:c r="F59" s="85" t="inlineStr">
        <x:is>
          <x:t xml:space="preserve">yes</x:t>
        </x:is>
      </x:c>
      <x:c r="G59" s="73" t="inlineStr">
        <x:is>
          <x:t xml:space="preserve">passed manual test</x:t>
        </x:is>
      </x:c>
      <x:c r="H59" s="86" t="inlineStr">
        <x:is>
          <x:t xml:space="preserve">covered</x:t>
        </x:is>
      </x:c>
      <x:c r="I59" s="84" t="inlineStr">
        <x:is>
          <x:t xml:space="preserve">TreeGrid playground; manual-tests/tree-grid.md</x:t>
        </x:is>
      </x:c>
      <x:c r="J59" s="84" t="n"/>
      <x:c r="K59" s="87" t="n">
        <x:f>IF(AND(E59="yes",F59="yes",H59="covered"),1,IF(H59="partial",0.5,0))</x:f>
        <x:v>1</x:v>
      </x:c>
    </x:row>
    <x:row r="60" s="51" customFormat="1" ht="15" customHeight="1">
      <x:c r="A60" s="73" t="n">
        <x:v>52</x:v>
      </x:c>
      <x:c r="B60" s="84" t="inlineStr">
        <x:is>
          <x:t xml:space="preserve">Anatomy</x:t>
        </x:is>
      </x:c>
      <x:c r="C60" s="84" t="inlineStr">
        <x:is>
          <x:t xml:space="preserve">ColumnHeader</x:t>
        </x:is>
      </x:c>
      <x:c r="D60" s="84" t="inlineStr">
        <x:is>
          <x:t xml:space="preserve">appears in documented order</x:t>
        </x:is>
      </x:c>
      <x:c r="E60" s="76" t="inlineStr">
        <x:is>
          <x:t xml:space="preserve">yes</x:t>
        </x:is>
      </x:c>
      <x:c r="F60" s="85" t="inlineStr">
        <x:is>
          <x:t xml:space="preserve">yes</x:t>
        </x:is>
      </x:c>
      <x:c r="G60" s="73" t="inlineStr">
        <x:is>
          <x:t xml:space="preserve">passed manual test</x:t>
        </x:is>
      </x:c>
      <x:c r="H60" s="86" t="inlineStr">
        <x:is>
          <x:t xml:space="preserve">covered</x:t>
        </x:is>
      </x:c>
      <x:c r="I60" s="84" t="inlineStr">
        <x:is>
          <x:t xml:space="preserve">TreeGrid playground; manual-tests/tree-grid.md</x:t>
        </x:is>
      </x:c>
      <x:c r="J60" s="84" t="n"/>
      <x:c r="K60" s="87" t="n">
        <x:f>IF(AND(E60="yes",F60="yes",H60="covered"),1,IF(H60="partial",0.5,0))</x:f>
        <x:v>1</x:v>
      </x:c>
    </x:row>
    <x:row r="61" s="51" customFormat="1" ht="30" customHeight="1">
      <x:c r="A61" s="73" t="n">
        <x:v>53</x:v>
      </x:c>
      <x:c r="B61" s="84" t="inlineStr">
        <x:is>
          <x:t xml:space="preserve">Identity</x:t>
        </x:is>
      </x:c>
      <x:c r="C61" s="84" t="inlineStr">
        <x:is>
          <x:t xml:space="preserve">ColumnHeader</x:t>
        </x:is>
      </x:c>
      <x:c r="D61" s="84" t="inlineStr">
        <x:is>
          <x:t xml:space="preserve">default tag is visible in Anatomy/Inspector</x:t>
        </x:is>
      </x:c>
      <x:c r="E61" s="76" t="inlineStr">
        <x:is>
          <x:t xml:space="preserve">yes</x:t>
        </x:is>
      </x:c>
      <x:c r="F61" s="85" t="inlineStr">
        <x:is>
          <x:t xml:space="preserve">yes</x:t>
        </x:is>
      </x:c>
      <x:c r="G61" s="73" t="inlineStr">
        <x:is>
          <x:t xml:space="preserve">passed manual test</x:t>
        </x:is>
      </x:c>
      <x:c r="H61" s="86" t="inlineStr">
        <x:is>
          <x:t xml:space="preserve">covered</x:t>
        </x:is>
      </x:c>
      <x:c r="I61" s="84" t="inlineStr">
        <x:is>
          <x:t xml:space="preserve">TreeGrid playground; manual-tests/tree-grid.md</x:t>
        </x:is>
      </x:c>
      <x:c r="J61" s="84" t="n"/>
      <x:c r="K61" s="87" t="n">
        <x:f>IF(AND(E61="yes",F61="yes",H61="covered"),1,IF(H61="partial",0.5,0))</x:f>
        <x:v>1</x:v>
      </x:c>
    </x:row>
    <x:row r="62" s="51" customFormat="1" ht="15" customHeight="1">
      <x:c r="A62" s="73" t="n">
        <x:v>54</x:v>
      </x:c>
      <x:c r="B62" s="84" t="inlineStr">
        <x:is>
          <x:t xml:space="preserve">Identity</x:t>
        </x:is>
      </x:c>
      <x:c r="C62" s="84" t="inlineStr">
        <x:is>
          <x:t xml:space="preserve">ColumnHeader</x:t>
        </x:is>
      </x:c>
      <x:c r="D62" s="84" t="inlineStr">
        <x:is>
          <x:t xml:space="preserve">data-slot is present and correct</x:t>
        </x:is>
      </x:c>
      <x:c r="E62" s="76" t="inlineStr">
        <x:is>
          <x:t xml:space="preserve">yes</x:t>
        </x:is>
      </x:c>
      <x:c r="F62" s="85" t="inlineStr">
        <x:is>
          <x:t xml:space="preserve">yes</x:t>
        </x:is>
      </x:c>
      <x:c r="G62" s="73" t="inlineStr">
        <x:is>
          <x:t xml:space="preserve">passed manual test</x:t>
        </x:is>
      </x:c>
      <x:c r="H62" s="86" t="inlineStr">
        <x:is>
          <x:t xml:space="preserve">covered</x:t>
        </x:is>
      </x:c>
      <x:c r="I62" s="84" t="inlineStr">
        <x:is>
          <x:t xml:space="preserve">TreeGrid playground; manual-tests/tree-grid.md</x:t>
        </x:is>
      </x:c>
      <x:c r="J62" s="84" t="n"/>
      <x:c r="K62" s="87" t="n">
        <x:f>IF(AND(E62="yes",F62="yes",H62="covered"),1,IF(H62="partial",0.5,0))</x:f>
        <x:v>1</x:v>
      </x:c>
    </x:row>
    <x:row r="63" s="51" customFormat="1" ht="15" customHeight="1">
      <x:c r="A63" s="73" t="n">
        <x:v>55</x:v>
      </x:c>
      <x:c r="B63" s="84" t="inlineStr">
        <x:is>
          <x:t xml:space="preserve">Props</x:t>
        </x:is>
      </x:c>
      <x:c r="C63" s="84" t="inlineStr">
        <x:is>
          <x:t xml:space="preserve">ColumnHeader</x:t>
        </x:is>
      </x:c>
      <x:c r="D63" s="84" t="inlineStr">
        <x:is>
          <x:t xml:space="preserve">non-Atom native props pass through with data-prop-check marker</x:t>
        </x:is>
      </x:c>
      <x:c r="E63" s="76" t="inlineStr">
        <x:is>
          <x:t xml:space="preserve">yes</x:t>
        </x:is>
      </x:c>
      <x:c r="F63" s="85" t="inlineStr">
        <x:is>
          <x:t xml:space="preserve">yes</x:t>
        </x:is>
      </x:c>
      <x:c r="G63" s="73" t="inlineStr">
        <x:is>
          <x:t xml:space="preserve">passed manual test</x:t>
        </x:is>
      </x:c>
      <x:c r="H63" s="86" t="inlineStr">
        <x:is>
          <x:t xml:space="preserve">covered</x:t>
        </x:is>
      </x:c>
      <x:c r="I63" s="84" t="inlineStr">
        <x:is>
          <x:t xml:space="preserve">TreeGrid playground; manual-tests/tree-grid.md</x:t>
        </x:is>
      </x:c>
      <x:c r="J63" s="84" t="n"/>
      <x:c r="K63" s="87" t="n">
        <x:f>IF(AND(E63="yes",F63="yes",H63="covered"),1,IF(H63="partial",0.5,0))</x:f>
        <x:v>1</x:v>
      </x:c>
    </x:row>
    <x:row r="64" s="51" customFormat="1" ht="15" customHeight="1">
      <x:c r="A64" s="73" t="n">
        <x:v>56</x:v>
      </x:c>
      <x:c r="B64" s="84" t="inlineStr">
        <x:is>
          <x:t xml:space="preserve">Refs</x:t>
        </x:is>
      </x:c>
      <x:c r="C64" s="84" t="inlineStr">
        <x:is>
          <x:t xml:space="preserve">ColumnHeader</x:t>
        </x:is>
      </x:c>
      <x:c r="D64" s="84" t="inlineStr">
        <x:is>
          <x:t xml:space="preserve">consumer ref receives the rendered element</x:t>
        </x:is>
      </x:c>
      <x:c r="E64" s="76" t="inlineStr">
        <x:is>
          <x:t xml:space="preserve">yes</x:t>
        </x:is>
      </x:c>
      <x:c r="F64" s="85" t="inlineStr">
        <x:is>
          <x:t xml:space="preserve">yes</x:t>
        </x:is>
      </x:c>
      <x:c r="G64" s="73" t="inlineStr">
        <x:is>
          <x:t xml:space="preserve">passed manual test</x:t>
        </x:is>
      </x:c>
      <x:c r="H64" s="86" t="inlineStr">
        <x:is>
          <x:t xml:space="preserve">covered</x:t>
        </x:is>
      </x:c>
      <x:c r="I64" s="84" t="inlineStr">
        <x:is>
          <x:t xml:space="preserve">TreeGrid playground; manual-tests/tree-grid.md</x:t>
        </x:is>
      </x:c>
      <x:c r="J64" s="84" t="n"/>
      <x:c r="K64" s="87" t="n">
        <x:f>IF(AND(E64="yes",F64="yes",H64="covered"),1,IF(H64="partial",0.5,0))</x:f>
        <x:v>1</x:v>
      </x:c>
    </x:row>
    <x:row r="65" s="51" customFormat="1" ht="15" customHeight="1">
      <x:c r="A65" s="73" t="n">
        <x:v>57</x:v>
      </x:c>
      <x:c r="B65" s="84" t="inlineStr">
        <x:is>
          <x:t xml:space="preserve">Anatomy</x:t>
        </x:is>
      </x:c>
      <x:c r="C65" s="84" t="inlineStr">
        <x:is>
          <x:t xml:space="preserve">Footer</x:t>
        </x:is>
      </x:c>
      <x:c r="D65" s="84" t="inlineStr">
        <x:is>
          <x:t xml:space="preserve">renders correct part when expected</x:t>
        </x:is>
      </x:c>
      <x:c r="E65" s="76" t="inlineStr">
        <x:is>
          <x:t xml:space="preserve">yes</x:t>
        </x:is>
      </x:c>
      <x:c r="F65" s="85" t="inlineStr">
        <x:is>
          <x:t xml:space="preserve">yes</x:t>
        </x:is>
      </x:c>
      <x:c r="G65" s="73" t="inlineStr">
        <x:is>
          <x:t xml:space="preserve">passed manual test</x:t>
        </x:is>
      </x:c>
      <x:c r="H65" s="86" t="inlineStr">
        <x:is>
          <x:t xml:space="preserve">covered</x:t>
        </x:is>
      </x:c>
      <x:c r="I65" s="84" t="inlineStr">
        <x:is>
          <x:t xml:space="preserve">TreeGrid playground; manual-tests/tree-grid.md</x:t>
        </x:is>
      </x:c>
      <x:c r="J65" s="84" t="n"/>
      <x:c r="K65" s="87" t="n">
        <x:f>IF(AND(E65="yes",F65="yes",H65="covered"),1,IF(H65="partial",0.5,0))</x:f>
        <x:v>1</x:v>
      </x:c>
    </x:row>
    <x:row r="66" s="51" customFormat="1" ht="15" customHeight="1">
      <x:c r="A66" s="73" t="n">
        <x:v>58</x:v>
      </x:c>
      <x:c r="B66" s="84" t="inlineStr">
        <x:is>
          <x:t xml:space="preserve">Anatomy</x:t>
        </x:is>
      </x:c>
      <x:c r="C66" s="84" t="inlineStr">
        <x:is>
          <x:t xml:space="preserve">Footer</x:t>
        </x:is>
      </x:c>
      <x:c r="D66" s="84" t="inlineStr">
        <x:is>
          <x:t xml:space="preserve">appears in documented order</x:t>
        </x:is>
      </x:c>
      <x:c r="E66" s="76" t="inlineStr">
        <x:is>
          <x:t xml:space="preserve">yes</x:t>
        </x:is>
      </x:c>
      <x:c r="F66" s="85" t="inlineStr">
        <x:is>
          <x:t xml:space="preserve">yes</x:t>
        </x:is>
      </x:c>
      <x:c r="G66" s="73" t="inlineStr">
        <x:is>
          <x:t xml:space="preserve">passed manual test</x:t>
        </x:is>
      </x:c>
      <x:c r="H66" s="86" t="inlineStr">
        <x:is>
          <x:t xml:space="preserve">covered</x:t>
        </x:is>
      </x:c>
      <x:c r="I66" s="84" t="inlineStr">
        <x:is>
          <x:t xml:space="preserve">TreeGrid playground; manual-tests/tree-grid.md</x:t>
        </x:is>
      </x:c>
      <x:c r="J66" s="84" t="n"/>
      <x:c r="K66" s="87" t="n">
        <x:f>IF(AND(E66="yes",F66="yes",H66="covered"),1,IF(H66="partial",0.5,0))</x:f>
        <x:v>1</x:v>
      </x:c>
    </x:row>
    <x:row r="67" s="51" customFormat="1" ht="30" customHeight="1">
      <x:c r="A67" s="73" t="n">
        <x:v>59</x:v>
      </x:c>
      <x:c r="B67" s="84" t="inlineStr">
        <x:is>
          <x:t xml:space="preserve">Identity</x:t>
        </x:is>
      </x:c>
      <x:c r="C67" s="84" t="inlineStr">
        <x:is>
          <x:t xml:space="preserve">Footer</x:t>
        </x:is>
      </x:c>
      <x:c r="D67" s="84" t="inlineStr">
        <x:is>
          <x:t xml:space="preserve">default tag is visible in Anatomy/Inspector</x:t>
        </x:is>
      </x:c>
      <x:c r="E67" s="76" t="inlineStr">
        <x:is>
          <x:t xml:space="preserve">yes</x:t>
        </x:is>
      </x:c>
      <x:c r="F67" s="85" t="inlineStr">
        <x:is>
          <x:t xml:space="preserve">yes</x:t>
        </x:is>
      </x:c>
      <x:c r="G67" s="73" t="inlineStr">
        <x:is>
          <x:t xml:space="preserve">passed manual test</x:t>
        </x:is>
      </x:c>
      <x:c r="H67" s="86" t="inlineStr">
        <x:is>
          <x:t xml:space="preserve">covered</x:t>
        </x:is>
      </x:c>
      <x:c r="I67" s="84" t="inlineStr">
        <x:is>
          <x:t xml:space="preserve">TreeGrid playground; manual-tests/tree-grid.md</x:t>
        </x:is>
      </x:c>
      <x:c r="J67" s="84" t="n"/>
      <x:c r="K67" s="87" t="n">
        <x:f>IF(AND(E67="yes",F67="yes",H67="covered"),1,IF(H67="partial",0.5,0))</x:f>
        <x:v>1</x:v>
      </x:c>
    </x:row>
    <x:row r="68" s="51" customFormat="1" ht="15" customHeight="1">
      <x:c r="A68" s="73" t="n">
        <x:v>60</x:v>
      </x:c>
      <x:c r="B68" s="84" t="inlineStr">
        <x:is>
          <x:t xml:space="preserve">Identity</x:t>
        </x:is>
      </x:c>
      <x:c r="C68" s="84" t="inlineStr">
        <x:is>
          <x:t xml:space="preserve">Footer</x:t>
        </x:is>
      </x:c>
      <x:c r="D68" s="84" t="inlineStr">
        <x:is>
          <x:t xml:space="preserve">data-slot is present and correct</x:t>
        </x:is>
      </x:c>
      <x:c r="E68" s="76" t="inlineStr">
        <x:is>
          <x:t xml:space="preserve">yes</x:t>
        </x:is>
      </x:c>
      <x:c r="F68" s="85" t="inlineStr">
        <x:is>
          <x:t xml:space="preserve">yes</x:t>
        </x:is>
      </x:c>
      <x:c r="G68" s="73" t="inlineStr">
        <x:is>
          <x:t xml:space="preserve">passed manual test</x:t>
        </x:is>
      </x:c>
      <x:c r="H68" s="86" t="inlineStr">
        <x:is>
          <x:t xml:space="preserve">covered</x:t>
        </x:is>
      </x:c>
      <x:c r="I68" s="84" t="inlineStr">
        <x:is>
          <x:t xml:space="preserve">TreeGrid playground; manual-tests/tree-grid.md</x:t>
        </x:is>
      </x:c>
      <x:c r="J68" s="84" t="n"/>
      <x:c r="K68" s="87" t="n">
        <x:f>IF(AND(E68="yes",F68="yes",H68="covered"),1,IF(H68="partial",0.5,0))</x:f>
        <x:v>1</x:v>
      </x:c>
    </x:row>
    <x:row r="69" s="51" customFormat="1" ht="15" customHeight="1">
      <x:c r="A69" s="73" t="n">
        <x:v>61</x:v>
      </x:c>
      <x:c r="B69" s="84" t="inlineStr">
        <x:is>
          <x:t xml:space="preserve">Props</x:t>
        </x:is>
      </x:c>
      <x:c r="C69" s="84" t="inlineStr">
        <x:is>
          <x:t xml:space="preserve">Footer</x:t>
        </x:is>
      </x:c>
      <x:c r="D69" s="84" t="inlineStr">
        <x:is>
          <x:t xml:space="preserve">non-Atom native props pass through with data-prop-check marker</x:t>
        </x:is>
      </x:c>
      <x:c r="E69" s="76" t="inlineStr">
        <x:is>
          <x:t xml:space="preserve">yes</x:t>
        </x:is>
      </x:c>
      <x:c r="F69" s="85" t="inlineStr">
        <x:is>
          <x:t xml:space="preserve">yes</x:t>
        </x:is>
      </x:c>
      <x:c r="G69" s="73" t="inlineStr">
        <x:is>
          <x:t xml:space="preserve">passed manual test</x:t>
        </x:is>
      </x:c>
      <x:c r="H69" s="86" t="inlineStr">
        <x:is>
          <x:t xml:space="preserve">covered</x:t>
        </x:is>
      </x:c>
      <x:c r="I69" s="84" t="inlineStr">
        <x:is>
          <x:t xml:space="preserve">TreeGrid playground; manual-tests/tree-grid.md</x:t>
        </x:is>
      </x:c>
      <x:c r="J69" s="84" t="n"/>
      <x:c r="K69" s="87" t="n">
        <x:f>IF(AND(E69="yes",F69="yes",H69="covered"),1,IF(H69="partial",0.5,0))</x:f>
        <x:v>1</x:v>
      </x:c>
    </x:row>
    <x:row r="70" s="51" customFormat="1" ht="15" customHeight="1">
      <x:c r="A70" s="73" t="n">
        <x:v>62</x:v>
      </x:c>
      <x:c r="B70" s="84" t="inlineStr">
        <x:is>
          <x:t xml:space="preserve">Refs</x:t>
        </x:is>
      </x:c>
      <x:c r="C70" s="84" t="inlineStr">
        <x:is>
          <x:t xml:space="preserve">Footer</x:t>
        </x:is>
      </x:c>
      <x:c r="D70" s="84" t="inlineStr">
        <x:is>
          <x:t xml:space="preserve">consumer ref receives the rendered element</x:t>
        </x:is>
      </x:c>
      <x:c r="E70" s="76" t="inlineStr">
        <x:is>
          <x:t xml:space="preserve">yes</x:t>
        </x:is>
      </x:c>
      <x:c r="F70" s="85" t="inlineStr">
        <x:is>
          <x:t xml:space="preserve">yes</x:t>
        </x:is>
      </x:c>
      <x:c r="G70" s="73" t="inlineStr">
        <x:is>
          <x:t xml:space="preserve">passed manual test</x:t>
        </x:is>
      </x:c>
      <x:c r="H70" s="86" t="inlineStr">
        <x:is>
          <x:t xml:space="preserve">covered</x:t>
        </x:is>
      </x:c>
      <x:c r="I70" s="84" t="inlineStr">
        <x:is>
          <x:t xml:space="preserve">TreeGrid playground; manual-tests/tree-grid.md</x:t>
        </x:is>
      </x:c>
      <x:c r="J70" s="84" t="n"/>
      <x:c r="K70" s="87" t="n">
        <x:f>IF(AND(E70="yes",F70="yes",H70="covered"),1,IF(H70="partial",0.5,0))</x:f>
        <x:v>1</x:v>
      </x:c>
    </x:row>
    <x:row r="71" s="51" customFormat="1" ht="15" customHeight="1">
      <x:c r="A71" s="73" t="n">
        <x:v>63</x:v>
      </x:c>
      <x:c r="B71" s="84" t="inlineStr">
        <x:is>
          <x:t xml:space="preserve">Anatomy</x:t>
        </x:is>
      </x:c>
      <x:c r="C71" s="84" t="inlineStr">
        <x:is>
          <x:t xml:space="preserve">GridBody</x:t>
        </x:is>
      </x:c>
      <x:c r="D71" s="84" t="inlineStr">
        <x:is>
          <x:t xml:space="preserve">renders correct part when expected</x:t>
        </x:is>
      </x:c>
      <x:c r="E71" s="76" t="inlineStr">
        <x:is>
          <x:t xml:space="preserve">yes</x:t>
        </x:is>
      </x:c>
      <x:c r="F71" s="85" t="inlineStr">
        <x:is>
          <x:t xml:space="preserve">yes</x:t>
        </x:is>
      </x:c>
      <x:c r="G71" s="73" t="inlineStr">
        <x:is>
          <x:t xml:space="preserve">passed manual test</x:t>
        </x:is>
      </x:c>
      <x:c r="H71" s="86" t="inlineStr">
        <x:is>
          <x:t xml:space="preserve">covered</x:t>
        </x:is>
      </x:c>
      <x:c r="I71" s="84" t="inlineStr">
        <x:is>
          <x:t xml:space="preserve">TreeGrid playground; manual-tests/tree-grid.md</x:t>
        </x:is>
      </x:c>
      <x:c r="J71" s="84" t="n"/>
      <x:c r="K71" s="87" t="n">
        <x:f>IF(AND(E71="yes",F71="yes",H71="covered"),1,IF(H71="partial",0.5,0))</x:f>
        <x:v>1</x:v>
      </x:c>
    </x:row>
    <x:row r="72" s="51" customFormat="1" ht="15" customHeight="1">
      <x:c r="A72" s="73" t="n">
        <x:v>64</x:v>
      </x:c>
      <x:c r="B72" s="84" t="inlineStr">
        <x:is>
          <x:t xml:space="preserve">Anatomy</x:t>
        </x:is>
      </x:c>
      <x:c r="C72" s="84" t="inlineStr">
        <x:is>
          <x:t xml:space="preserve">GridBody</x:t>
        </x:is>
      </x:c>
      <x:c r="D72" s="84" t="inlineStr">
        <x:is>
          <x:t xml:space="preserve">appears in documented order</x:t>
        </x:is>
      </x:c>
      <x:c r="E72" s="76" t="inlineStr">
        <x:is>
          <x:t xml:space="preserve">yes</x:t>
        </x:is>
      </x:c>
      <x:c r="F72" s="85" t="inlineStr">
        <x:is>
          <x:t xml:space="preserve">yes</x:t>
        </x:is>
      </x:c>
      <x:c r="G72" s="73" t="inlineStr">
        <x:is>
          <x:t xml:space="preserve">passed manual test</x:t>
        </x:is>
      </x:c>
      <x:c r="H72" s="86" t="inlineStr">
        <x:is>
          <x:t xml:space="preserve">covered</x:t>
        </x:is>
      </x:c>
      <x:c r="I72" s="84" t="inlineStr">
        <x:is>
          <x:t xml:space="preserve">TreeGrid playground; manual-tests/tree-grid.md</x:t>
        </x:is>
      </x:c>
      <x:c r="J72" s="84" t="n"/>
      <x:c r="K72" s="87" t="n">
        <x:f>IF(AND(E72="yes",F72="yes",H72="covered"),1,IF(H72="partial",0.5,0))</x:f>
        <x:v>1</x:v>
      </x:c>
    </x:row>
    <x:row r="73" s="51" customFormat="1" ht="30" customHeight="1">
      <x:c r="A73" s="73" t="n">
        <x:v>65</x:v>
      </x:c>
      <x:c r="B73" s="84" t="inlineStr">
        <x:is>
          <x:t xml:space="preserve">Identity</x:t>
        </x:is>
      </x:c>
      <x:c r="C73" s="84" t="inlineStr">
        <x:is>
          <x:t xml:space="preserve">GridBody</x:t>
        </x:is>
      </x:c>
      <x:c r="D73" s="84" t="inlineStr">
        <x:is>
          <x:t xml:space="preserve">default tag is visible in Anatomy/Inspector</x:t>
        </x:is>
      </x:c>
      <x:c r="E73" s="76" t="inlineStr">
        <x:is>
          <x:t xml:space="preserve">yes</x:t>
        </x:is>
      </x:c>
      <x:c r="F73" s="85" t="inlineStr">
        <x:is>
          <x:t xml:space="preserve">yes</x:t>
        </x:is>
      </x:c>
      <x:c r="G73" s="73" t="inlineStr">
        <x:is>
          <x:t xml:space="preserve">passed manual test</x:t>
        </x:is>
      </x:c>
      <x:c r="H73" s="86" t="inlineStr">
        <x:is>
          <x:t xml:space="preserve">covered</x:t>
        </x:is>
      </x:c>
      <x:c r="I73" s="84" t="inlineStr">
        <x:is>
          <x:t xml:space="preserve">TreeGrid playground; manual-tests/tree-grid.md</x:t>
        </x:is>
      </x:c>
      <x:c r="J73" s="84" t="n"/>
      <x:c r="K73" s="87" t="n">
        <x:f>IF(AND(E73="yes",F73="yes",H73="covered"),1,IF(H73="partial",0.5,0))</x:f>
        <x:v>1</x:v>
      </x:c>
    </x:row>
    <x:row r="74" s="51" customFormat="1" ht="15" customHeight="1">
      <x:c r="A74" s="73" t="n">
        <x:v>66</x:v>
      </x:c>
      <x:c r="B74" s="84" t="inlineStr">
        <x:is>
          <x:t xml:space="preserve">Identity</x:t>
        </x:is>
      </x:c>
      <x:c r="C74" s="84" t="inlineStr">
        <x:is>
          <x:t xml:space="preserve">GridBody</x:t>
        </x:is>
      </x:c>
      <x:c r="D74" s="84" t="inlineStr">
        <x:is>
          <x:t xml:space="preserve">data-slot is present and correct</x:t>
        </x:is>
      </x:c>
      <x:c r="E74" s="76" t="inlineStr">
        <x:is>
          <x:t xml:space="preserve">yes</x:t>
        </x:is>
      </x:c>
      <x:c r="F74" s="85" t="inlineStr">
        <x:is>
          <x:t xml:space="preserve">yes</x:t>
        </x:is>
      </x:c>
      <x:c r="G74" s="73" t="inlineStr">
        <x:is>
          <x:t xml:space="preserve">passed manual test</x:t>
        </x:is>
      </x:c>
      <x:c r="H74" s="86" t="inlineStr">
        <x:is>
          <x:t xml:space="preserve">covered</x:t>
        </x:is>
      </x:c>
      <x:c r="I74" s="84" t="inlineStr">
        <x:is>
          <x:t xml:space="preserve">TreeGrid playground; manual-tests/tree-grid.md</x:t>
        </x:is>
      </x:c>
      <x:c r="J74" s="84" t="n"/>
      <x:c r="K74" s="87" t="n">
        <x:f>IF(AND(E74="yes",F74="yes",H74="covered"),1,IF(H74="partial",0.5,0))</x:f>
        <x:v>1</x:v>
      </x:c>
    </x:row>
    <x:row r="75" s="51" customFormat="1" ht="15" customHeight="1">
      <x:c r="A75" s="73" t="n">
        <x:v>67</x:v>
      </x:c>
      <x:c r="B75" s="84" t="inlineStr">
        <x:is>
          <x:t xml:space="preserve">Props</x:t>
        </x:is>
      </x:c>
      <x:c r="C75" s="84" t="inlineStr">
        <x:is>
          <x:t xml:space="preserve">GridBody</x:t>
        </x:is>
      </x:c>
      <x:c r="D75" s="84" t="inlineStr">
        <x:is>
          <x:t xml:space="preserve">non-Atom native props pass through with data-prop-check marker</x:t>
        </x:is>
      </x:c>
      <x:c r="E75" s="76" t="inlineStr">
        <x:is>
          <x:t xml:space="preserve">yes</x:t>
        </x:is>
      </x:c>
      <x:c r="F75" s="85" t="inlineStr">
        <x:is>
          <x:t xml:space="preserve">yes</x:t>
        </x:is>
      </x:c>
      <x:c r="G75" s="73" t="inlineStr">
        <x:is>
          <x:t xml:space="preserve">passed manual test</x:t>
        </x:is>
      </x:c>
      <x:c r="H75" s="86" t="inlineStr">
        <x:is>
          <x:t xml:space="preserve">covered</x:t>
        </x:is>
      </x:c>
      <x:c r="I75" s="84" t="inlineStr">
        <x:is>
          <x:t xml:space="preserve">TreeGrid playground; manual-tests/tree-grid.md</x:t>
        </x:is>
      </x:c>
      <x:c r="J75" s="84" t="n"/>
      <x:c r="K75" s="87" t="n">
        <x:f>IF(AND(E75="yes",F75="yes",H75="covered"),1,IF(H75="partial",0.5,0))</x:f>
        <x:v>1</x:v>
      </x:c>
    </x:row>
    <x:row r="76" s="51" customFormat="1" ht="15" customHeight="1">
      <x:c r="A76" s="73" t="n">
        <x:v>68</x:v>
      </x:c>
      <x:c r="B76" s="84" t="inlineStr">
        <x:is>
          <x:t xml:space="preserve">Refs</x:t>
        </x:is>
      </x:c>
      <x:c r="C76" s="84" t="inlineStr">
        <x:is>
          <x:t xml:space="preserve">GridBody</x:t>
        </x:is>
      </x:c>
      <x:c r="D76" s="84" t="inlineStr">
        <x:is>
          <x:t xml:space="preserve">consumer ref receives the rendered element</x:t>
        </x:is>
      </x:c>
      <x:c r="E76" s="76" t="inlineStr">
        <x:is>
          <x:t xml:space="preserve">yes</x:t>
        </x:is>
      </x:c>
      <x:c r="F76" s="85" t="inlineStr">
        <x:is>
          <x:t xml:space="preserve">yes</x:t>
        </x:is>
      </x:c>
      <x:c r="G76" s="73" t="inlineStr">
        <x:is>
          <x:t xml:space="preserve">passed manual test</x:t>
        </x:is>
      </x:c>
      <x:c r="H76" s="86" t="inlineStr">
        <x:is>
          <x:t xml:space="preserve">covered</x:t>
        </x:is>
      </x:c>
      <x:c r="I76" s="84" t="inlineStr">
        <x:is>
          <x:t xml:space="preserve">TreeGrid playground; manual-tests/tree-grid.md</x:t>
        </x:is>
      </x:c>
      <x:c r="J76" s="84" t="n"/>
      <x:c r="K76" s="87" t="n">
        <x:f>IF(AND(E76="yes",F76="yes",H76="covered"),1,IF(H76="partial",0.5,0))</x:f>
        <x:v>1</x:v>
      </x:c>
    </x:row>
    <x:row r="77" s="51" customFormat="1" ht="15" customHeight="1">
      <x:c r="A77" s="73" t="n">
        <x:v>69</x:v>
      </x:c>
      <x:c r="B77" s="84" t="inlineStr">
        <x:is>
          <x:t xml:space="preserve">Anatomy</x:t>
        </x:is>
      </x:c>
      <x:c r="C77" s="84" t="inlineStr">
        <x:is>
          <x:t xml:space="preserve">GridCaption</x:t>
        </x:is>
      </x:c>
      <x:c r="D77" s="84" t="inlineStr">
        <x:is>
          <x:t xml:space="preserve">renders correct part when expected</x:t>
        </x:is>
      </x:c>
      <x:c r="E77" s="76" t="inlineStr">
        <x:is>
          <x:t xml:space="preserve">yes</x:t>
        </x:is>
      </x:c>
      <x:c r="F77" s="85" t="inlineStr">
        <x:is>
          <x:t xml:space="preserve">yes</x:t>
        </x:is>
      </x:c>
      <x:c r="G77" s="73" t="inlineStr">
        <x:is>
          <x:t xml:space="preserve">passed manual test</x:t>
        </x:is>
      </x:c>
      <x:c r="H77" s="86" t="inlineStr">
        <x:is>
          <x:t xml:space="preserve">covered</x:t>
        </x:is>
      </x:c>
      <x:c r="I77" s="84" t="inlineStr">
        <x:is>
          <x:t xml:space="preserve">TreeGrid playground; manual-tests/tree-grid.md</x:t>
        </x:is>
      </x:c>
      <x:c r="J77" s="84" t="n"/>
      <x:c r="K77" s="87" t="n">
        <x:f>IF(AND(E77="yes",F77="yes",H77="covered"),1,IF(H77="partial",0.5,0))</x:f>
        <x:v>1</x:v>
      </x:c>
    </x:row>
    <x:row r="78" s="51" customFormat="1" ht="15" customHeight="1">
      <x:c r="A78" s="73" t="n">
        <x:v>70</x:v>
      </x:c>
      <x:c r="B78" s="84" t="inlineStr">
        <x:is>
          <x:t xml:space="preserve">Anatomy</x:t>
        </x:is>
      </x:c>
      <x:c r="C78" s="84" t="inlineStr">
        <x:is>
          <x:t xml:space="preserve">GridCaption</x:t>
        </x:is>
      </x:c>
      <x:c r="D78" s="84" t="inlineStr">
        <x:is>
          <x:t xml:space="preserve">appears in documented order</x:t>
        </x:is>
      </x:c>
      <x:c r="E78" s="76" t="inlineStr">
        <x:is>
          <x:t xml:space="preserve">yes</x:t>
        </x:is>
      </x:c>
      <x:c r="F78" s="85" t="inlineStr">
        <x:is>
          <x:t xml:space="preserve">yes</x:t>
        </x:is>
      </x:c>
      <x:c r="G78" s="73" t="inlineStr">
        <x:is>
          <x:t xml:space="preserve">passed manual test</x:t>
        </x:is>
      </x:c>
      <x:c r="H78" s="86" t="inlineStr">
        <x:is>
          <x:t xml:space="preserve">covered</x:t>
        </x:is>
      </x:c>
      <x:c r="I78" s="84" t="inlineStr">
        <x:is>
          <x:t xml:space="preserve">TreeGrid playground; manual-tests/tree-grid.md</x:t>
        </x:is>
      </x:c>
      <x:c r="J78" s="84" t="n"/>
      <x:c r="K78" s="87" t="n">
        <x:f>IF(AND(E78="yes",F78="yes",H78="covered"),1,IF(H78="partial",0.5,0))</x:f>
        <x:v>1</x:v>
      </x:c>
    </x:row>
    <x:row r="79" s="51" customFormat="1" ht="30" customHeight="1">
      <x:c r="A79" s="73" t="n">
        <x:v>71</x:v>
      </x:c>
      <x:c r="B79" s="84" t="inlineStr">
        <x:is>
          <x:t xml:space="preserve">Identity</x:t>
        </x:is>
      </x:c>
      <x:c r="C79" s="84" t="inlineStr">
        <x:is>
          <x:t xml:space="preserve">GridCaption</x:t>
        </x:is>
      </x:c>
      <x:c r="D79" s="84" t="inlineStr">
        <x:is>
          <x:t xml:space="preserve">default tag is visible in Anatomy/Inspector</x:t>
        </x:is>
      </x:c>
      <x:c r="E79" s="76" t="inlineStr">
        <x:is>
          <x:t xml:space="preserve">yes</x:t>
        </x:is>
      </x:c>
      <x:c r="F79" s="85" t="inlineStr">
        <x:is>
          <x:t xml:space="preserve">yes</x:t>
        </x:is>
      </x:c>
      <x:c r="G79" s="73" t="inlineStr">
        <x:is>
          <x:t xml:space="preserve">passed manual test</x:t>
        </x:is>
      </x:c>
      <x:c r="H79" s="86" t="inlineStr">
        <x:is>
          <x:t xml:space="preserve">covered</x:t>
        </x:is>
      </x:c>
      <x:c r="I79" s="84" t="inlineStr">
        <x:is>
          <x:t xml:space="preserve">TreeGrid playground; manual-tests/tree-grid.md</x:t>
        </x:is>
      </x:c>
      <x:c r="J79" s="84" t="n"/>
      <x:c r="K79" s="87" t="n">
        <x:f>IF(AND(E79="yes",F79="yes",H79="covered"),1,IF(H79="partial",0.5,0))</x:f>
        <x:v>1</x:v>
      </x:c>
    </x:row>
    <x:row r="80" s="51" customFormat="1" ht="15" customHeight="1">
      <x:c r="A80" s="73" t="n">
        <x:v>72</x:v>
      </x:c>
      <x:c r="B80" s="84" t="inlineStr">
        <x:is>
          <x:t xml:space="preserve">Identity</x:t>
        </x:is>
      </x:c>
      <x:c r="C80" s="84" t="inlineStr">
        <x:is>
          <x:t xml:space="preserve">GridCaption</x:t>
        </x:is>
      </x:c>
      <x:c r="D80" s="84" t="inlineStr">
        <x:is>
          <x:t xml:space="preserve">data-slot is present and correct</x:t>
        </x:is>
      </x:c>
      <x:c r="E80" s="76" t="inlineStr">
        <x:is>
          <x:t xml:space="preserve">yes</x:t>
        </x:is>
      </x:c>
      <x:c r="F80" s="85" t="inlineStr">
        <x:is>
          <x:t xml:space="preserve">yes</x:t>
        </x:is>
      </x:c>
      <x:c r="G80" s="73" t="inlineStr">
        <x:is>
          <x:t xml:space="preserve">passed manual test</x:t>
        </x:is>
      </x:c>
      <x:c r="H80" s="86" t="inlineStr">
        <x:is>
          <x:t xml:space="preserve">covered</x:t>
        </x:is>
      </x:c>
      <x:c r="I80" s="84" t="inlineStr">
        <x:is>
          <x:t xml:space="preserve">TreeGrid playground; manual-tests/tree-grid.md</x:t>
        </x:is>
      </x:c>
      <x:c r="J80" s="84" t="n"/>
      <x:c r="K80" s="87" t="n">
        <x:f>IF(AND(E80="yes",F80="yes",H80="covered"),1,IF(H80="partial",0.5,0))</x:f>
        <x:v>1</x:v>
      </x:c>
    </x:row>
    <x:row r="81" s="51" customFormat="1" ht="15" customHeight="1">
      <x:c r="A81" s="73" t="n">
        <x:v>73</x:v>
      </x:c>
      <x:c r="B81" s="84" t="inlineStr">
        <x:is>
          <x:t xml:space="preserve">Props</x:t>
        </x:is>
      </x:c>
      <x:c r="C81" s="84" t="inlineStr">
        <x:is>
          <x:t xml:space="preserve">GridCaption</x:t>
        </x:is>
      </x:c>
      <x:c r="D81" s="84" t="inlineStr">
        <x:is>
          <x:t xml:space="preserve">non-Atom native props pass through with data-prop-check marker</x:t>
        </x:is>
      </x:c>
      <x:c r="E81" s="76" t="inlineStr">
        <x:is>
          <x:t xml:space="preserve">yes</x:t>
        </x:is>
      </x:c>
      <x:c r="F81" s="85" t="inlineStr">
        <x:is>
          <x:t xml:space="preserve">yes</x:t>
        </x:is>
      </x:c>
      <x:c r="G81" s="73" t="inlineStr">
        <x:is>
          <x:t xml:space="preserve">passed manual test</x:t>
        </x:is>
      </x:c>
      <x:c r="H81" s="86" t="inlineStr">
        <x:is>
          <x:t xml:space="preserve">covered</x:t>
        </x:is>
      </x:c>
      <x:c r="I81" s="84" t="inlineStr">
        <x:is>
          <x:t xml:space="preserve">TreeGrid playground; manual-tests/tree-grid.md</x:t>
        </x:is>
      </x:c>
      <x:c r="J81" s="84" t="n"/>
      <x:c r="K81" s="87" t="n">
        <x:f>IF(AND(E81="yes",F81="yes",H81="covered"),1,IF(H81="partial",0.5,0))</x:f>
        <x:v>1</x:v>
      </x:c>
    </x:row>
    <x:row r="82" s="51" customFormat="1" ht="15" customHeight="1">
      <x:c r="A82" s="73" t="n">
        <x:v>74</x:v>
      </x:c>
      <x:c r="B82" s="84" t="inlineStr">
        <x:is>
          <x:t xml:space="preserve">Refs</x:t>
        </x:is>
      </x:c>
      <x:c r="C82" s="84" t="inlineStr">
        <x:is>
          <x:t xml:space="preserve">GridCaption</x:t>
        </x:is>
      </x:c>
      <x:c r="D82" s="84" t="inlineStr">
        <x:is>
          <x:t xml:space="preserve">consumer ref receives the rendered element</x:t>
        </x:is>
      </x:c>
      <x:c r="E82" s="76" t="inlineStr">
        <x:is>
          <x:t xml:space="preserve">yes</x:t>
        </x:is>
      </x:c>
      <x:c r="F82" s="85" t="inlineStr">
        <x:is>
          <x:t xml:space="preserve">yes</x:t>
        </x:is>
      </x:c>
      <x:c r="G82" s="73" t="inlineStr">
        <x:is>
          <x:t xml:space="preserve">passed manual test</x:t>
        </x:is>
      </x:c>
      <x:c r="H82" s="86" t="inlineStr">
        <x:is>
          <x:t xml:space="preserve">covered</x:t>
        </x:is>
      </x:c>
      <x:c r="I82" s="84" t="inlineStr">
        <x:is>
          <x:t xml:space="preserve">TreeGrid playground; manual-tests/tree-grid.md</x:t>
        </x:is>
      </x:c>
      <x:c r="J82" s="84" t="n"/>
      <x:c r="K82" s="87" t="n">
        <x:f>IF(AND(E82="yes",F82="yes",H82="covered"),1,IF(H82="partial",0.5,0))</x:f>
        <x:v>1</x:v>
      </x:c>
    </x:row>
    <x:row r="83" s="51" customFormat="1" ht="15" customHeight="1">
      <x:c r="A83" s="73" t="n">
        <x:v>75</x:v>
      </x:c>
      <x:c r="B83" s="84" t="inlineStr">
        <x:is>
          <x:t xml:space="preserve">Anatomy</x:t>
        </x:is>
      </x:c>
      <x:c r="C83" s="84" t="inlineStr">
        <x:is>
          <x:t xml:space="preserve">GridCell</x:t>
        </x:is>
      </x:c>
      <x:c r="D83" s="84" t="inlineStr">
        <x:is>
          <x:t xml:space="preserve">renders correct part when expected</x:t>
        </x:is>
      </x:c>
      <x:c r="E83" s="76" t="inlineStr">
        <x:is>
          <x:t xml:space="preserve">yes</x:t>
        </x:is>
      </x:c>
      <x:c r="F83" s="85" t="inlineStr">
        <x:is>
          <x:t xml:space="preserve">yes</x:t>
        </x:is>
      </x:c>
      <x:c r="G83" s="73" t="inlineStr">
        <x:is>
          <x:t xml:space="preserve">passed manual test</x:t>
        </x:is>
      </x:c>
      <x:c r="H83" s="86" t="inlineStr">
        <x:is>
          <x:t xml:space="preserve">covered</x:t>
        </x:is>
      </x:c>
      <x:c r="I83" s="84" t="inlineStr">
        <x:is>
          <x:t xml:space="preserve">TreeGrid playground; manual-tests/tree-grid.md</x:t>
        </x:is>
      </x:c>
      <x:c r="J83" s="84" t="n"/>
      <x:c r="K83" s="87" t="n">
        <x:f>IF(AND(E83="yes",F83="yes",H83="covered"),1,IF(H83="partial",0.5,0))</x:f>
        <x:v>1</x:v>
      </x:c>
    </x:row>
    <x:row r="84" s="51" customFormat="1" ht="15" customHeight="1">
      <x:c r="A84" s="73" t="n">
        <x:v>76</x:v>
      </x:c>
      <x:c r="B84" s="84" t="inlineStr">
        <x:is>
          <x:t xml:space="preserve">Anatomy</x:t>
        </x:is>
      </x:c>
      <x:c r="C84" s="84" t="inlineStr">
        <x:is>
          <x:t xml:space="preserve">GridCell</x:t>
        </x:is>
      </x:c>
      <x:c r="D84" s="84" t="inlineStr">
        <x:is>
          <x:t xml:space="preserve">appears in documented order</x:t>
        </x:is>
      </x:c>
      <x:c r="E84" s="76" t="inlineStr">
        <x:is>
          <x:t xml:space="preserve">yes</x:t>
        </x:is>
      </x:c>
      <x:c r="F84" s="85" t="inlineStr">
        <x:is>
          <x:t xml:space="preserve">yes</x:t>
        </x:is>
      </x:c>
      <x:c r="G84" s="73" t="inlineStr">
        <x:is>
          <x:t xml:space="preserve">passed manual test</x:t>
        </x:is>
      </x:c>
      <x:c r="H84" s="86" t="inlineStr">
        <x:is>
          <x:t xml:space="preserve">covered</x:t>
        </x:is>
      </x:c>
      <x:c r="I84" s="84" t="inlineStr">
        <x:is>
          <x:t xml:space="preserve">TreeGrid playground; manual-tests/tree-grid.md</x:t>
        </x:is>
      </x:c>
      <x:c r="J84" s="84" t="n"/>
      <x:c r="K84" s="87" t="n">
        <x:f>IF(AND(E84="yes",F84="yes",H84="covered"),1,IF(H84="partial",0.5,0))</x:f>
        <x:v>1</x:v>
      </x:c>
    </x:row>
    <x:row r="85" s="51" customFormat="1" ht="30" customHeight="1">
      <x:c r="A85" s="73" t="n">
        <x:v>77</x:v>
      </x:c>
      <x:c r="B85" s="84" t="inlineStr">
        <x:is>
          <x:t xml:space="preserve">Identity</x:t>
        </x:is>
      </x:c>
      <x:c r="C85" s="84" t="inlineStr">
        <x:is>
          <x:t xml:space="preserve">GridCell</x:t>
        </x:is>
      </x:c>
      <x:c r="D85" s="84" t="inlineStr">
        <x:is>
          <x:t xml:space="preserve">default tag is visible in Anatomy/Inspector</x:t>
        </x:is>
      </x:c>
      <x:c r="E85" s="76" t="inlineStr">
        <x:is>
          <x:t xml:space="preserve">yes</x:t>
        </x:is>
      </x:c>
      <x:c r="F85" s="85" t="inlineStr">
        <x:is>
          <x:t xml:space="preserve">yes</x:t>
        </x:is>
      </x:c>
      <x:c r="G85" s="73" t="inlineStr">
        <x:is>
          <x:t xml:space="preserve">passed manual test</x:t>
        </x:is>
      </x:c>
      <x:c r="H85" s="86" t="inlineStr">
        <x:is>
          <x:t xml:space="preserve">covered</x:t>
        </x:is>
      </x:c>
      <x:c r="I85" s="84" t="inlineStr">
        <x:is>
          <x:t xml:space="preserve">TreeGrid playground; manual-tests/tree-grid.md</x:t>
        </x:is>
      </x:c>
      <x:c r="J85" s="84" t="n"/>
      <x:c r="K85" s="87" t="n">
        <x:f>IF(AND(E85="yes",F85="yes",H85="covered"),1,IF(H85="partial",0.5,0))</x:f>
        <x:v>1</x:v>
      </x:c>
    </x:row>
    <x:row r="86" s="51" customFormat="1" ht="15" customHeight="1">
      <x:c r="A86" s="73" t="n">
        <x:v>78</x:v>
      </x:c>
      <x:c r="B86" s="84" t="inlineStr">
        <x:is>
          <x:t xml:space="preserve">Identity</x:t>
        </x:is>
      </x:c>
      <x:c r="C86" s="84" t="inlineStr">
        <x:is>
          <x:t xml:space="preserve">GridCell</x:t>
        </x:is>
      </x:c>
      <x:c r="D86" s="84" t="inlineStr">
        <x:is>
          <x:t xml:space="preserve">data-slot is present and correct</x:t>
        </x:is>
      </x:c>
      <x:c r="E86" s="76" t="inlineStr">
        <x:is>
          <x:t xml:space="preserve">yes</x:t>
        </x:is>
      </x:c>
      <x:c r="F86" s="85" t="inlineStr">
        <x:is>
          <x:t xml:space="preserve">yes</x:t>
        </x:is>
      </x:c>
      <x:c r="G86" s="73" t="inlineStr">
        <x:is>
          <x:t xml:space="preserve">passed manual test</x:t>
        </x:is>
      </x:c>
      <x:c r="H86" s="86" t="inlineStr">
        <x:is>
          <x:t xml:space="preserve">covered</x:t>
        </x:is>
      </x:c>
      <x:c r="I86" s="84" t="inlineStr">
        <x:is>
          <x:t xml:space="preserve">TreeGrid playground; manual-tests/tree-grid.md</x:t>
        </x:is>
      </x:c>
      <x:c r="J86" s="84" t="n"/>
      <x:c r="K86" s="87" t="n">
        <x:f>IF(AND(E86="yes",F86="yes",H86="covered"),1,IF(H86="partial",0.5,0))</x:f>
        <x:v>1</x:v>
      </x:c>
    </x:row>
    <x:row r="87" s="51" customFormat="1" ht="15" customHeight="1">
      <x:c r="A87" s="73" t="n">
        <x:v>79</x:v>
      </x:c>
      <x:c r="B87" s="84" t="inlineStr">
        <x:is>
          <x:t xml:space="preserve">Props</x:t>
        </x:is>
      </x:c>
      <x:c r="C87" s="84" t="inlineStr">
        <x:is>
          <x:t xml:space="preserve">GridCell</x:t>
        </x:is>
      </x:c>
      <x:c r="D87" s="84" t="inlineStr">
        <x:is>
          <x:t xml:space="preserve">non-Atom native props pass through with data-prop-check marker</x:t>
        </x:is>
      </x:c>
      <x:c r="E87" s="76" t="inlineStr">
        <x:is>
          <x:t xml:space="preserve">yes</x:t>
        </x:is>
      </x:c>
      <x:c r="F87" s="85" t="inlineStr">
        <x:is>
          <x:t xml:space="preserve">yes</x:t>
        </x:is>
      </x:c>
      <x:c r="G87" s="73" t="inlineStr">
        <x:is>
          <x:t xml:space="preserve">passed manual test</x:t>
        </x:is>
      </x:c>
      <x:c r="H87" s="86" t="inlineStr">
        <x:is>
          <x:t xml:space="preserve">covered</x:t>
        </x:is>
      </x:c>
      <x:c r="I87" s="84" t="inlineStr">
        <x:is>
          <x:t xml:space="preserve">TreeGrid playground; manual-tests/tree-grid.md</x:t>
        </x:is>
      </x:c>
      <x:c r="J87" s="84" t="n"/>
      <x:c r="K87" s="87" t="n">
        <x:f>IF(AND(E87="yes",F87="yes",H87="covered"),1,IF(H87="partial",0.5,0))</x:f>
        <x:v>1</x:v>
      </x:c>
    </x:row>
    <x:row r="88" s="51" customFormat="1" ht="15" customHeight="1">
      <x:c r="A88" s="73" t="n">
        <x:v>80</x:v>
      </x:c>
      <x:c r="B88" s="84" t="inlineStr">
        <x:is>
          <x:t xml:space="preserve">Refs</x:t>
        </x:is>
      </x:c>
      <x:c r="C88" s="84" t="inlineStr">
        <x:is>
          <x:t xml:space="preserve">GridCell</x:t>
        </x:is>
      </x:c>
      <x:c r="D88" s="84" t="inlineStr">
        <x:is>
          <x:t xml:space="preserve">consumer ref receives the rendered element</x:t>
        </x:is>
      </x:c>
      <x:c r="E88" s="76" t="inlineStr">
        <x:is>
          <x:t xml:space="preserve">yes</x:t>
        </x:is>
      </x:c>
      <x:c r="F88" s="85" t="inlineStr">
        <x:is>
          <x:t xml:space="preserve">yes</x:t>
        </x:is>
      </x:c>
      <x:c r="G88" s="73" t="inlineStr">
        <x:is>
          <x:t xml:space="preserve">passed manual test</x:t>
        </x:is>
      </x:c>
      <x:c r="H88" s="86" t="inlineStr">
        <x:is>
          <x:t xml:space="preserve">covered</x:t>
        </x:is>
      </x:c>
      <x:c r="I88" s="84" t="inlineStr">
        <x:is>
          <x:t xml:space="preserve">TreeGrid playground; manual-tests/tree-grid.md</x:t>
        </x:is>
      </x:c>
      <x:c r="J88" s="84" t="n"/>
      <x:c r="K88" s="87" t="n">
        <x:f>IF(AND(E88="yes",F88="yes",H88="covered"),1,IF(H88="partial",0.5,0))</x:f>
        <x:v>1</x:v>
      </x:c>
    </x:row>
    <x:row r="89" s="51" customFormat="1" ht="15" customHeight="1">
      <x:c r="A89" s="73" t="n">
        <x:v>81</x:v>
      </x:c>
      <x:c r="B89" s="84" t="inlineStr">
        <x:is>
          <x:t xml:space="preserve">Anatomy</x:t>
        </x:is>
      </x:c>
      <x:c r="C89" s="84" t="inlineStr">
        <x:is>
          <x:t xml:space="preserve">GridColumnHeader</x:t>
        </x:is>
      </x:c>
      <x:c r="D89" s="84" t="inlineStr">
        <x:is>
          <x:t xml:space="preserve">renders correct part when expected</x:t>
        </x:is>
      </x:c>
      <x:c r="E89" s="76" t="inlineStr">
        <x:is>
          <x:t xml:space="preserve">yes</x:t>
        </x:is>
      </x:c>
      <x:c r="F89" s="85" t="inlineStr">
        <x:is>
          <x:t xml:space="preserve">yes</x:t>
        </x:is>
      </x:c>
      <x:c r="G89" s="73" t="inlineStr">
        <x:is>
          <x:t xml:space="preserve">passed manual test</x:t>
        </x:is>
      </x:c>
      <x:c r="H89" s="86" t="inlineStr">
        <x:is>
          <x:t xml:space="preserve">covered</x:t>
        </x:is>
      </x:c>
      <x:c r="I89" s="84" t="inlineStr">
        <x:is>
          <x:t xml:space="preserve">TreeGrid playground; manual-tests/tree-grid.md</x:t>
        </x:is>
      </x:c>
      <x:c r="J89" s="84" t="n"/>
      <x:c r="K89" s="87" t="n">
        <x:f>IF(AND(E89="yes",F89="yes",H89="covered"),1,IF(H89="partial",0.5,0))</x:f>
        <x:v>1</x:v>
      </x:c>
    </x:row>
    <x:row r="90" s="51" customFormat="1" ht="15" customHeight="1">
      <x:c r="A90" s="73" t="n">
        <x:v>82</x:v>
      </x:c>
      <x:c r="B90" s="84" t="inlineStr">
        <x:is>
          <x:t xml:space="preserve">Anatomy</x:t>
        </x:is>
      </x:c>
      <x:c r="C90" s="84" t="inlineStr">
        <x:is>
          <x:t xml:space="preserve">GridColumnHeader</x:t>
        </x:is>
      </x:c>
      <x:c r="D90" s="84" t="inlineStr">
        <x:is>
          <x:t xml:space="preserve">appears in documented order</x:t>
        </x:is>
      </x:c>
      <x:c r="E90" s="76" t="inlineStr">
        <x:is>
          <x:t xml:space="preserve">yes</x:t>
        </x:is>
      </x:c>
      <x:c r="F90" s="85" t="inlineStr">
        <x:is>
          <x:t xml:space="preserve">yes</x:t>
        </x:is>
      </x:c>
      <x:c r="G90" s="73" t="inlineStr">
        <x:is>
          <x:t xml:space="preserve">passed manual test</x:t>
        </x:is>
      </x:c>
      <x:c r="H90" s="86" t="inlineStr">
        <x:is>
          <x:t xml:space="preserve">covered</x:t>
        </x:is>
      </x:c>
      <x:c r="I90" s="84" t="inlineStr">
        <x:is>
          <x:t xml:space="preserve">TreeGrid playground; manual-tests/tree-grid.md</x:t>
        </x:is>
      </x:c>
      <x:c r="J90" s="84" t="n"/>
      <x:c r="K90" s="87" t="n">
        <x:f>IF(AND(E90="yes",F90="yes",H90="covered"),1,IF(H90="partial",0.5,0))</x:f>
        <x:v>1</x:v>
      </x:c>
    </x:row>
    <x:row r="91" s="51" customFormat="1" ht="30" customHeight="1">
      <x:c r="A91" s="73" t="n">
        <x:v>83</x:v>
      </x:c>
      <x:c r="B91" s="84" t="inlineStr">
        <x:is>
          <x:t xml:space="preserve">Identity</x:t>
        </x:is>
      </x:c>
      <x:c r="C91" s="84" t="inlineStr">
        <x:is>
          <x:t xml:space="preserve">GridColumnHeader</x:t>
        </x:is>
      </x:c>
      <x:c r="D91" s="84" t="inlineStr">
        <x:is>
          <x:t xml:space="preserve">default tag is visible in Anatomy/Inspector</x:t>
        </x:is>
      </x:c>
      <x:c r="E91" s="76" t="inlineStr">
        <x:is>
          <x:t xml:space="preserve">yes</x:t>
        </x:is>
      </x:c>
      <x:c r="F91" s="85" t="inlineStr">
        <x:is>
          <x:t xml:space="preserve">yes</x:t>
        </x:is>
      </x:c>
      <x:c r="G91" s="73" t="inlineStr">
        <x:is>
          <x:t xml:space="preserve">passed manual test</x:t>
        </x:is>
      </x:c>
      <x:c r="H91" s="86" t="inlineStr">
        <x:is>
          <x:t xml:space="preserve">covered</x:t>
        </x:is>
      </x:c>
      <x:c r="I91" s="84" t="inlineStr">
        <x:is>
          <x:t xml:space="preserve">TreeGrid playground; manual-tests/tree-grid.md</x:t>
        </x:is>
      </x:c>
      <x:c r="J91" s="84" t="n"/>
      <x:c r="K91" s="87" t="n">
        <x:f>IF(AND(E91="yes",F91="yes",H91="covered"),1,IF(H91="partial",0.5,0))</x:f>
        <x:v>1</x:v>
      </x:c>
    </x:row>
    <x:row r="92" s="51" customFormat="1" ht="15" customHeight="1">
      <x:c r="A92" s="73" t="n">
        <x:v>84</x:v>
      </x:c>
      <x:c r="B92" s="84" t="inlineStr">
        <x:is>
          <x:t xml:space="preserve">Identity</x:t>
        </x:is>
      </x:c>
      <x:c r="C92" s="84" t="inlineStr">
        <x:is>
          <x:t xml:space="preserve">GridColumnHeader</x:t>
        </x:is>
      </x:c>
      <x:c r="D92" s="84" t="inlineStr">
        <x:is>
          <x:t xml:space="preserve">data-slot is present and correct</x:t>
        </x:is>
      </x:c>
      <x:c r="E92" s="76" t="inlineStr">
        <x:is>
          <x:t xml:space="preserve">yes</x:t>
        </x:is>
      </x:c>
      <x:c r="F92" s="85" t="inlineStr">
        <x:is>
          <x:t xml:space="preserve">yes</x:t>
        </x:is>
      </x:c>
      <x:c r="G92" s="73" t="inlineStr">
        <x:is>
          <x:t xml:space="preserve">passed manual test</x:t>
        </x:is>
      </x:c>
      <x:c r="H92" s="86" t="inlineStr">
        <x:is>
          <x:t xml:space="preserve">covered</x:t>
        </x:is>
      </x:c>
      <x:c r="I92" s="84" t="inlineStr">
        <x:is>
          <x:t xml:space="preserve">TreeGrid playground; manual-tests/tree-grid.md</x:t>
        </x:is>
      </x:c>
      <x:c r="J92" s="84" t="n"/>
      <x:c r="K92" s="87" t="n">
        <x:f>IF(AND(E92="yes",F92="yes",H92="covered"),1,IF(H92="partial",0.5,0))</x:f>
        <x:v>1</x:v>
      </x:c>
    </x:row>
    <x:row r="93" s="51" customFormat="1" ht="15" customHeight="1">
      <x:c r="A93" s="73" t="n">
        <x:v>85</x:v>
      </x:c>
      <x:c r="B93" s="84" t="inlineStr">
        <x:is>
          <x:t xml:space="preserve">Props</x:t>
        </x:is>
      </x:c>
      <x:c r="C93" s="84" t="inlineStr">
        <x:is>
          <x:t xml:space="preserve">GridColumnHeader</x:t>
        </x:is>
      </x:c>
      <x:c r="D93" s="84" t="inlineStr">
        <x:is>
          <x:t xml:space="preserve">non-Atom native props pass through with data-prop-check marker</x:t>
        </x:is>
      </x:c>
      <x:c r="E93" s="76" t="inlineStr">
        <x:is>
          <x:t xml:space="preserve">yes</x:t>
        </x:is>
      </x:c>
      <x:c r="F93" s="85" t="inlineStr">
        <x:is>
          <x:t xml:space="preserve">yes</x:t>
        </x:is>
      </x:c>
      <x:c r="G93" s="73" t="inlineStr">
        <x:is>
          <x:t xml:space="preserve">passed manual test</x:t>
        </x:is>
      </x:c>
      <x:c r="H93" s="86" t="inlineStr">
        <x:is>
          <x:t xml:space="preserve">covered</x:t>
        </x:is>
      </x:c>
      <x:c r="I93" s="84" t="inlineStr">
        <x:is>
          <x:t xml:space="preserve">TreeGrid playground; manual-tests/tree-grid.md</x:t>
        </x:is>
      </x:c>
      <x:c r="J93" s="84" t="n"/>
      <x:c r="K93" s="87" t="n">
        <x:f>IF(AND(E93="yes",F93="yes",H93="covered"),1,IF(H93="partial",0.5,0))</x:f>
        <x:v>1</x:v>
      </x:c>
    </x:row>
    <x:row r="94" s="51" customFormat="1" ht="15" customHeight="1">
      <x:c r="A94" s="73" t="n">
        <x:v>86</x:v>
      </x:c>
      <x:c r="B94" s="84" t="inlineStr">
        <x:is>
          <x:t xml:space="preserve">Refs</x:t>
        </x:is>
      </x:c>
      <x:c r="C94" s="84" t="inlineStr">
        <x:is>
          <x:t xml:space="preserve">GridColumnHeader</x:t>
        </x:is>
      </x:c>
      <x:c r="D94" s="84" t="inlineStr">
        <x:is>
          <x:t xml:space="preserve">consumer ref receives the rendered element</x:t>
        </x:is>
      </x:c>
      <x:c r="E94" s="76" t="inlineStr">
        <x:is>
          <x:t xml:space="preserve">yes</x:t>
        </x:is>
      </x:c>
      <x:c r="F94" s="85" t="inlineStr">
        <x:is>
          <x:t xml:space="preserve">yes</x:t>
        </x:is>
      </x:c>
      <x:c r="G94" s="73" t="inlineStr">
        <x:is>
          <x:t xml:space="preserve">passed manual test</x:t>
        </x:is>
      </x:c>
      <x:c r="H94" s="86" t="inlineStr">
        <x:is>
          <x:t xml:space="preserve">covered</x:t>
        </x:is>
      </x:c>
      <x:c r="I94" s="84" t="inlineStr">
        <x:is>
          <x:t xml:space="preserve">TreeGrid playground; manual-tests/tree-grid.md</x:t>
        </x:is>
      </x:c>
      <x:c r="J94" s="84" t="n"/>
      <x:c r="K94" s="87" t="n">
        <x:f>IF(AND(E94="yes",F94="yes",H94="covered"),1,IF(H94="partial",0.5,0))</x:f>
        <x:v>1</x:v>
      </x:c>
    </x:row>
    <x:row r="95" s="51" customFormat="1" ht="15" customHeight="1">
      <x:c r="A95" s="73" t="n">
        <x:v>87</x:v>
      </x:c>
      <x:c r="B95" s="84" t="inlineStr">
        <x:is>
          <x:t xml:space="preserve">Anatomy</x:t>
        </x:is>
      </x:c>
      <x:c r="C95" s="84" t="inlineStr">
        <x:is>
          <x:t xml:space="preserve">GridFooter</x:t>
        </x:is>
      </x:c>
      <x:c r="D95" s="84" t="inlineStr">
        <x:is>
          <x:t xml:space="preserve">renders correct part when expected</x:t>
        </x:is>
      </x:c>
      <x:c r="E95" s="76" t="inlineStr">
        <x:is>
          <x:t xml:space="preserve">yes</x:t>
        </x:is>
      </x:c>
      <x:c r="F95" s="85" t="inlineStr">
        <x:is>
          <x:t xml:space="preserve">yes</x:t>
        </x:is>
      </x:c>
      <x:c r="G95" s="73" t="inlineStr">
        <x:is>
          <x:t xml:space="preserve">passed manual test</x:t>
        </x:is>
      </x:c>
      <x:c r="H95" s="86" t="inlineStr">
        <x:is>
          <x:t xml:space="preserve">covered</x:t>
        </x:is>
      </x:c>
      <x:c r="I95" s="84" t="inlineStr">
        <x:is>
          <x:t xml:space="preserve">TreeGrid playground; manual-tests/tree-grid.md</x:t>
        </x:is>
      </x:c>
      <x:c r="J95" s="84" t="n"/>
      <x:c r="K95" s="87" t="n">
        <x:f>IF(AND(E95="yes",F95="yes",H95="covered"),1,IF(H95="partial",0.5,0))</x:f>
        <x:v>1</x:v>
      </x:c>
    </x:row>
    <x:row r="96" s="51" customFormat="1" ht="15" customHeight="1">
      <x:c r="A96" s="73" t="n">
        <x:v>88</x:v>
      </x:c>
      <x:c r="B96" s="84" t="inlineStr">
        <x:is>
          <x:t xml:space="preserve">Anatomy</x:t>
        </x:is>
      </x:c>
      <x:c r="C96" s="84" t="inlineStr">
        <x:is>
          <x:t xml:space="preserve">GridFooter</x:t>
        </x:is>
      </x:c>
      <x:c r="D96" s="84" t="inlineStr">
        <x:is>
          <x:t xml:space="preserve">appears in documented order</x:t>
        </x:is>
      </x:c>
      <x:c r="E96" s="76" t="inlineStr">
        <x:is>
          <x:t xml:space="preserve">yes</x:t>
        </x:is>
      </x:c>
      <x:c r="F96" s="85" t="inlineStr">
        <x:is>
          <x:t xml:space="preserve">yes</x:t>
        </x:is>
      </x:c>
      <x:c r="G96" s="73" t="inlineStr">
        <x:is>
          <x:t xml:space="preserve">passed manual test</x:t>
        </x:is>
      </x:c>
      <x:c r="H96" s="86" t="inlineStr">
        <x:is>
          <x:t xml:space="preserve">covered</x:t>
        </x:is>
      </x:c>
      <x:c r="I96" s="84" t="inlineStr">
        <x:is>
          <x:t xml:space="preserve">TreeGrid playground; manual-tests/tree-grid.md</x:t>
        </x:is>
      </x:c>
      <x:c r="J96" s="84" t="n"/>
      <x:c r="K96" s="87" t="n">
        <x:f>IF(AND(E96="yes",F96="yes",H96="covered"),1,IF(H96="partial",0.5,0))</x:f>
        <x:v>1</x:v>
      </x:c>
    </x:row>
    <x:row r="97" s="51" customFormat="1" ht="30" customHeight="1">
      <x:c r="A97" s="73" t="n">
        <x:v>89</x:v>
      </x:c>
      <x:c r="B97" s="84" t="inlineStr">
        <x:is>
          <x:t xml:space="preserve">Identity</x:t>
        </x:is>
      </x:c>
      <x:c r="C97" s="84" t="inlineStr">
        <x:is>
          <x:t xml:space="preserve">GridFooter</x:t>
        </x:is>
      </x:c>
      <x:c r="D97" s="84" t="inlineStr">
        <x:is>
          <x:t xml:space="preserve">default tag is visible in Anatomy/Inspector</x:t>
        </x:is>
      </x:c>
      <x:c r="E97" s="76" t="inlineStr">
        <x:is>
          <x:t xml:space="preserve">yes</x:t>
        </x:is>
      </x:c>
      <x:c r="F97" s="85" t="inlineStr">
        <x:is>
          <x:t xml:space="preserve">yes</x:t>
        </x:is>
      </x:c>
      <x:c r="G97" s="73" t="inlineStr">
        <x:is>
          <x:t xml:space="preserve">passed manual test</x:t>
        </x:is>
      </x:c>
      <x:c r="H97" s="86" t="inlineStr">
        <x:is>
          <x:t xml:space="preserve">covered</x:t>
        </x:is>
      </x:c>
      <x:c r="I97" s="84" t="inlineStr">
        <x:is>
          <x:t xml:space="preserve">TreeGrid playground; manual-tests/tree-grid.md</x:t>
        </x:is>
      </x:c>
      <x:c r="J97" s="84" t="n"/>
      <x:c r="K97" s="87" t="n">
        <x:f>IF(AND(E97="yes",F97="yes",H97="covered"),1,IF(H97="partial",0.5,0))</x:f>
        <x:v>1</x:v>
      </x:c>
    </x:row>
    <x:row r="98" s="51" customFormat="1" ht="15" customHeight="1">
      <x:c r="A98" s="73" t="n">
        <x:v>90</x:v>
      </x:c>
      <x:c r="B98" s="84" t="inlineStr">
        <x:is>
          <x:t xml:space="preserve">Identity</x:t>
        </x:is>
      </x:c>
      <x:c r="C98" s="84" t="inlineStr">
        <x:is>
          <x:t xml:space="preserve">GridFooter</x:t>
        </x:is>
      </x:c>
      <x:c r="D98" s="84" t="inlineStr">
        <x:is>
          <x:t xml:space="preserve">data-slot is present and correct</x:t>
        </x:is>
      </x:c>
      <x:c r="E98" s="76" t="inlineStr">
        <x:is>
          <x:t xml:space="preserve">yes</x:t>
        </x:is>
      </x:c>
      <x:c r="F98" s="85" t="inlineStr">
        <x:is>
          <x:t xml:space="preserve">yes</x:t>
        </x:is>
      </x:c>
      <x:c r="G98" s="73" t="inlineStr">
        <x:is>
          <x:t xml:space="preserve">passed manual test</x:t>
        </x:is>
      </x:c>
      <x:c r="H98" s="86" t="inlineStr">
        <x:is>
          <x:t xml:space="preserve">covered</x:t>
        </x:is>
      </x:c>
      <x:c r="I98" s="84" t="inlineStr">
        <x:is>
          <x:t xml:space="preserve">TreeGrid playground; manual-tests/tree-grid.md</x:t>
        </x:is>
      </x:c>
      <x:c r="J98" s="84" t="n"/>
      <x:c r="K98" s="87" t="n">
        <x:f>IF(AND(E98="yes",F98="yes",H98="covered"),1,IF(H98="partial",0.5,0))</x:f>
        <x:v>1</x:v>
      </x:c>
    </x:row>
    <x:row r="99" s="51" customFormat="1" ht="15" customHeight="1">
      <x:c r="A99" s="73" t="n">
        <x:v>91</x:v>
      </x:c>
      <x:c r="B99" s="84" t="inlineStr">
        <x:is>
          <x:t xml:space="preserve">Props</x:t>
        </x:is>
      </x:c>
      <x:c r="C99" s="84" t="inlineStr">
        <x:is>
          <x:t xml:space="preserve">GridFooter</x:t>
        </x:is>
      </x:c>
      <x:c r="D99" s="84" t="inlineStr">
        <x:is>
          <x:t xml:space="preserve">non-Atom native props pass through with data-prop-check marker</x:t>
        </x:is>
      </x:c>
      <x:c r="E99" s="76" t="inlineStr">
        <x:is>
          <x:t xml:space="preserve">yes</x:t>
        </x:is>
      </x:c>
      <x:c r="F99" s="85" t="inlineStr">
        <x:is>
          <x:t xml:space="preserve">yes</x:t>
        </x:is>
      </x:c>
      <x:c r="G99" s="73" t="inlineStr">
        <x:is>
          <x:t xml:space="preserve">passed manual test</x:t>
        </x:is>
      </x:c>
      <x:c r="H99" s="86" t="inlineStr">
        <x:is>
          <x:t xml:space="preserve">covered</x:t>
        </x:is>
      </x:c>
      <x:c r="I99" s="84" t="inlineStr">
        <x:is>
          <x:t xml:space="preserve">TreeGrid playground; manual-tests/tree-grid.md</x:t>
        </x:is>
      </x:c>
      <x:c r="J99" s="84" t="n"/>
      <x:c r="K99" s="87" t="n">
        <x:f>IF(AND(E99="yes",F99="yes",H99="covered"),1,IF(H99="partial",0.5,0))</x:f>
        <x:v>1</x:v>
      </x:c>
    </x:row>
    <x:row r="100" s="51" customFormat="1" ht="15" customHeight="1">
      <x:c r="A100" s="73" t="n">
        <x:v>92</x:v>
      </x:c>
      <x:c r="B100" s="84" t="inlineStr">
        <x:is>
          <x:t xml:space="preserve">Refs</x:t>
        </x:is>
      </x:c>
      <x:c r="C100" s="84" t="inlineStr">
        <x:is>
          <x:t xml:space="preserve">GridFooter</x:t>
        </x:is>
      </x:c>
      <x:c r="D100" s="84" t="inlineStr">
        <x:is>
          <x:t xml:space="preserve">consumer ref receives the rendered element</x:t>
        </x:is>
      </x:c>
      <x:c r="E100" s="76" t="inlineStr">
        <x:is>
          <x:t xml:space="preserve">yes</x:t>
        </x:is>
      </x:c>
      <x:c r="F100" s="85" t="inlineStr">
        <x:is>
          <x:t xml:space="preserve">yes</x:t>
        </x:is>
      </x:c>
      <x:c r="G100" s="73" t="inlineStr">
        <x:is>
          <x:t xml:space="preserve">passed manual test</x:t>
        </x:is>
      </x:c>
      <x:c r="H100" s="86" t="inlineStr">
        <x:is>
          <x:t xml:space="preserve">covered</x:t>
        </x:is>
      </x:c>
      <x:c r="I100" s="84" t="inlineStr">
        <x:is>
          <x:t xml:space="preserve">TreeGrid playground; manual-tests/tree-grid.md</x:t>
        </x:is>
      </x:c>
      <x:c r="J100" s="84" t="n"/>
      <x:c r="K100" s="87" t="n">
        <x:f>IF(AND(E100="yes",F100="yes",H100="covered"),1,IF(H100="partial",0.5,0))</x:f>
        <x:v>1</x:v>
      </x:c>
    </x:row>
    <x:row r="101" s="51" customFormat="1" ht="15" customHeight="1">
      <x:c r="A101" s="73" t="n">
        <x:v>93</x:v>
      </x:c>
      <x:c r="B101" s="84" t="inlineStr">
        <x:is>
          <x:t xml:space="preserve">Anatomy</x:t>
        </x:is>
      </x:c>
      <x:c r="C101" s="84" t="inlineStr">
        <x:is>
          <x:t xml:space="preserve">GridHeader</x:t>
        </x:is>
      </x:c>
      <x:c r="D101" s="84" t="inlineStr">
        <x:is>
          <x:t xml:space="preserve">renders correct part when expected</x:t>
        </x:is>
      </x:c>
      <x:c r="E101" s="76" t="inlineStr">
        <x:is>
          <x:t xml:space="preserve">yes</x:t>
        </x:is>
      </x:c>
      <x:c r="F101" s="85" t="inlineStr">
        <x:is>
          <x:t xml:space="preserve">yes</x:t>
        </x:is>
      </x:c>
      <x:c r="G101" s="73" t="inlineStr">
        <x:is>
          <x:t xml:space="preserve">passed manual test</x:t>
        </x:is>
      </x:c>
      <x:c r="H101" s="86" t="inlineStr">
        <x:is>
          <x:t xml:space="preserve">covered</x:t>
        </x:is>
      </x:c>
      <x:c r="I101" s="84" t="inlineStr">
        <x:is>
          <x:t xml:space="preserve">TreeGrid playground; manual-tests/tree-grid.md</x:t>
        </x:is>
      </x:c>
      <x:c r="J101" s="84" t="n"/>
      <x:c r="K101" s="87" t="n">
        <x:f>IF(AND(E101="yes",F101="yes",H101="covered"),1,IF(H101="partial",0.5,0))</x:f>
        <x:v>1</x:v>
      </x:c>
    </x:row>
    <x:row r="102" s="51" customFormat="1" ht="15" customHeight="1">
      <x:c r="A102" s="73" t="n">
        <x:v>94</x:v>
      </x:c>
      <x:c r="B102" s="84" t="inlineStr">
        <x:is>
          <x:t xml:space="preserve">Anatomy</x:t>
        </x:is>
      </x:c>
      <x:c r="C102" s="84" t="inlineStr">
        <x:is>
          <x:t xml:space="preserve">GridHeader</x:t>
        </x:is>
      </x:c>
      <x:c r="D102" s="84" t="inlineStr">
        <x:is>
          <x:t xml:space="preserve">appears in documented order</x:t>
        </x:is>
      </x:c>
      <x:c r="E102" s="76" t="inlineStr">
        <x:is>
          <x:t xml:space="preserve">yes</x:t>
        </x:is>
      </x:c>
      <x:c r="F102" s="85" t="inlineStr">
        <x:is>
          <x:t xml:space="preserve">yes</x:t>
        </x:is>
      </x:c>
      <x:c r="G102" s="73" t="inlineStr">
        <x:is>
          <x:t xml:space="preserve">passed manual test</x:t>
        </x:is>
      </x:c>
      <x:c r="H102" s="86" t="inlineStr">
        <x:is>
          <x:t xml:space="preserve">covered</x:t>
        </x:is>
      </x:c>
      <x:c r="I102" s="84" t="inlineStr">
        <x:is>
          <x:t xml:space="preserve">TreeGrid playground; manual-tests/tree-grid.md</x:t>
        </x:is>
      </x:c>
      <x:c r="J102" s="84" t="n"/>
      <x:c r="K102" s="87" t="n">
        <x:f>IF(AND(E102="yes",F102="yes",H102="covered"),1,IF(H102="partial",0.5,0))</x:f>
        <x:v>1</x:v>
      </x:c>
    </x:row>
    <x:row r="103" s="51" customFormat="1" ht="30" customHeight="1">
      <x:c r="A103" s="73" t="n">
        <x:v>95</x:v>
      </x:c>
      <x:c r="B103" s="84" t="inlineStr">
        <x:is>
          <x:t xml:space="preserve">Identity</x:t>
        </x:is>
      </x:c>
      <x:c r="C103" s="84" t="inlineStr">
        <x:is>
          <x:t xml:space="preserve">GridHeader</x:t>
        </x:is>
      </x:c>
      <x:c r="D103" s="84" t="inlineStr">
        <x:is>
          <x:t xml:space="preserve">default tag is visible in Anatomy/Inspector</x:t>
        </x:is>
      </x:c>
      <x:c r="E103" s="76" t="inlineStr">
        <x:is>
          <x:t xml:space="preserve">yes</x:t>
        </x:is>
      </x:c>
      <x:c r="F103" s="85" t="inlineStr">
        <x:is>
          <x:t xml:space="preserve">yes</x:t>
        </x:is>
      </x:c>
      <x:c r="G103" s="73" t="inlineStr">
        <x:is>
          <x:t xml:space="preserve">passed manual test</x:t>
        </x:is>
      </x:c>
      <x:c r="H103" s="86" t="inlineStr">
        <x:is>
          <x:t xml:space="preserve">covered</x:t>
        </x:is>
      </x:c>
      <x:c r="I103" s="84" t="inlineStr">
        <x:is>
          <x:t xml:space="preserve">TreeGrid playground; manual-tests/tree-grid.md</x:t>
        </x:is>
      </x:c>
      <x:c r="J103" s="84" t="n"/>
      <x:c r="K103" s="87" t="n">
        <x:f>IF(AND(E103="yes",F103="yes",H103="covered"),1,IF(H103="partial",0.5,0))</x:f>
        <x:v>1</x:v>
      </x:c>
    </x:row>
    <x:row r="104" s="51" customFormat="1" ht="15" customHeight="1">
      <x:c r="A104" s="73" t="n">
        <x:v>96</x:v>
      </x:c>
      <x:c r="B104" s="84" t="inlineStr">
        <x:is>
          <x:t xml:space="preserve">Identity</x:t>
        </x:is>
      </x:c>
      <x:c r="C104" s="84" t="inlineStr">
        <x:is>
          <x:t xml:space="preserve">GridHeader</x:t>
        </x:is>
      </x:c>
      <x:c r="D104" s="84" t="inlineStr">
        <x:is>
          <x:t xml:space="preserve">data-slot is present and correct</x:t>
        </x:is>
      </x:c>
      <x:c r="E104" s="76" t="inlineStr">
        <x:is>
          <x:t xml:space="preserve">yes</x:t>
        </x:is>
      </x:c>
      <x:c r="F104" s="85" t="inlineStr">
        <x:is>
          <x:t xml:space="preserve">yes</x:t>
        </x:is>
      </x:c>
      <x:c r="G104" s="73" t="inlineStr">
        <x:is>
          <x:t xml:space="preserve">passed manual test</x:t>
        </x:is>
      </x:c>
      <x:c r="H104" s="86" t="inlineStr">
        <x:is>
          <x:t xml:space="preserve">covered</x:t>
        </x:is>
      </x:c>
      <x:c r="I104" s="84" t="inlineStr">
        <x:is>
          <x:t xml:space="preserve">TreeGrid playground; manual-tests/tree-grid.md</x:t>
        </x:is>
      </x:c>
      <x:c r="J104" s="84" t="n"/>
      <x:c r="K104" s="87" t="n">
        <x:f>IF(AND(E104="yes",F104="yes",H104="covered"),1,IF(H104="partial",0.5,0))</x:f>
        <x:v>1</x:v>
      </x:c>
    </x:row>
    <x:row r="105" s="51" customFormat="1" ht="15" customHeight="1">
      <x:c r="A105" s="73" t="n">
        <x:v>97</x:v>
      </x:c>
      <x:c r="B105" s="84" t="inlineStr">
        <x:is>
          <x:t xml:space="preserve">Props</x:t>
        </x:is>
      </x:c>
      <x:c r="C105" s="84" t="inlineStr">
        <x:is>
          <x:t xml:space="preserve">GridHeader</x:t>
        </x:is>
      </x:c>
      <x:c r="D105" s="84" t="inlineStr">
        <x:is>
          <x:t xml:space="preserve">non-Atom native props pass through with data-prop-check marker</x:t>
        </x:is>
      </x:c>
      <x:c r="E105" s="76" t="inlineStr">
        <x:is>
          <x:t xml:space="preserve">yes</x:t>
        </x:is>
      </x:c>
      <x:c r="F105" s="85" t="inlineStr">
        <x:is>
          <x:t xml:space="preserve">yes</x:t>
        </x:is>
      </x:c>
      <x:c r="G105" s="73" t="inlineStr">
        <x:is>
          <x:t xml:space="preserve">passed manual test</x:t>
        </x:is>
      </x:c>
      <x:c r="H105" s="86" t="inlineStr">
        <x:is>
          <x:t xml:space="preserve">covered</x:t>
        </x:is>
      </x:c>
      <x:c r="I105" s="84" t="inlineStr">
        <x:is>
          <x:t xml:space="preserve">TreeGrid playground; manual-tests/tree-grid.md</x:t>
        </x:is>
      </x:c>
      <x:c r="J105" s="84" t="n"/>
      <x:c r="K105" s="87" t="n">
        <x:f>IF(AND(E105="yes",F105="yes",H105="covered"),1,IF(H105="partial",0.5,0))</x:f>
        <x:v>1</x:v>
      </x:c>
    </x:row>
    <x:row r="106" s="51" customFormat="1" ht="15" customHeight="1">
      <x:c r="A106" s="73" t="n">
        <x:v>98</x:v>
      </x:c>
      <x:c r="B106" s="84" t="inlineStr">
        <x:is>
          <x:t xml:space="preserve">Refs</x:t>
        </x:is>
      </x:c>
      <x:c r="C106" s="84" t="inlineStr">
        <x:is>
          <x:t xml:space="preserve">GridHeader</x:t>
        </x:is>
      </x:c>
      <x:c r="D106" s="84" t="inlineStr">
        <x:is>
          <x:t xml:space="preserve">consumer ref receives the rendered element</x:t>
        </x:is>
      </x:c>
      <x:c r="E106" s="76" t="inlineStr">
        <x:is>
          <x:t xml:space="preserve">yes</x:t>
        </x:is>
      </x:c>
      <x:c r="F106" s="85" t="inlineStr">
        <x:is>
          <x:t xml:space="preserve">yes</x:t>
        </x:is>
      </x:c>
      <x:c r="G106" s="73" t="inlineStr">
        <x:is>
          <x:t xml:space="preserve">passed manual test</x:t>
        </x:is>
      </x:c>
      <x:c r="H106" s="86" t="inlineStr">
        <x:is>
          <x:t xml:space="preserve">covered</x:t>
        </x:is>
      </x:c>
      <x:c r="I106" s="84" t="inlineStr">
        <x:is>
          <x:t xml:space="preserve">TreeGrid playground; manual-tests/tree-grid.md</x:t>
        </x:is>
      </x:c>
      <x:c r="J106" s="84" t="n"/>
      <x:c r="K106" s="87" t="n">
        <x:f>IF(AND(E106="yes",F106="yes",H106="covered"),1,IF(H106="partial",0.5,0))</x:f>
        <x:v>1</x:v>
      </x:c>
    </x:row>
    <x:row r="107" s="51" customFormat="1" ht="15" customHeight="1">
      <x:c r="A107" s="73" t="n">
        <x:v>99</x:v>
      </x:c>
      <x:c r="B107" s="84" t="inlineStr">
        <x:is>
          <x:t xml:space="preserve">Anatomy</x:t>
        </x:is>
      </x:c>
      <x:c r="C107" s="84" t="inlineStr">
        <x:is>
          <x:t xml:space="preserve">GridRow</x:t>
        </x:is>
      </x:c>
      <x:c r="D107" s="84" t="inlineStr">
        <x:is>
          <x:t xml:space="preserve">renders correct part when expected</x:t>
        </x:is>
      </x:c>
      <x:c r="E107" s="76" t="inlineStr">
        <x:is>
          <x:t xml:space="preserve">yes</x:t>
        </x:is>
      </x:c>
      <x:c r="F107" s="85" t="inlineStr">
        <x:is>
          <x:t xml:space="preserve">yes</x:t>
        </x:is>
      </x:c>
      <x:c r="G107" s="73" t="inlineStr">
        <x:is>
          <x:t xml:space="preserve">passed manual test</x:t>
        </x:is>
      </x:c>
      <x:c r="H107" s="86" t="inlineStr">
        <x:is>
          <x:t xml:space="preserve">covered</x:t>
        </x:is>
      </x:c>
      <x:c r="I107" s="84" t="inlineStr">
        <x:is>
          <x:t xml:space="preserve">TreeGrid playground; manual-tests/tree-grid.md</x:t>
        </x:is>
      </x:c>
      <x:c r="J107" s="84" t="n"/>
      <x:c r="K107" s="87" t="n">
        <x:f>IF(AND(E107="yes",F107="yes",H107="covered"),1,IF(H107="partial",0.5,0))</x:f>
        <x:v>1</x:v>
      </x:c>
    </x:row>
    <x:row r="108" s="51" customFormat="1" ht="15" customHeight="1">
      <x:c r="A108" s="73" t="n">
        <x:v>100</x:v>
      </x:c>
      <x:c r="B108" s="84" t="inlineStr">
        <x:is>
          <x:t xml:space="preserve">Anatomy</x:t>
        </x:is>
      </x:c>
      <x:c r="C108" s="84" t="inlineStr">
        <x:is>
          <x:t xml:space="preserve">GridRow</x:t>
        </x:is>
      </x:c>
      <x:c r="D108" s="84" t="inlineStr">
        <x:is>
          <x:t xml:space="preserve">appears in documented order</x:t>
        </x:is>
      </x:c>
      <x:c r="E108" s="76" t="inlineStr">
        <x:is>
          <x:t xml:space="preserve">yes</x:t>
        </x:is>
      </x:c>
      <x:c r="F108" s="85" t="inlineStr">
        <x:is>
          <x:t xml:space="preserve">yes</x:t>
        </x:is>
      </x:c>
      <x:c r="G108" s="73" t="inlineStr">
        <x:is>
          <x:t xml:space="preserve">passed manual test</x:t>
        </x:is>
      </x:c>
      <x:c r="H108" s="86" t="inlineStr">
        <x:is>
          <x:t xml:space="preserve">covered</x:t>
        </x:is>
      </x:c>
      <x:c r="I108" s="84" t="inlineStr">
        <x:is>
          <x:t xml:space="preserve">TreeGrid playground; manual-tests/tree-grid.md</x:t>
        </x:is>
      </x:c>
      <x:c r="J108" s="84" t="n"/>
      <x:c r="K108" s="87" t="n">
        <x:f>IF(AND(E108="yes",F108="yes",H108="covered"),1,IF(H108="partial",0.5,0))</x:f>
        <x:v>1</x:v>
      </x:c>
    </x:row>
    <x:row r="109" s="51" customFormat="1" ht="30" customHeight="1">
      <x:c r="A109" s="73" t="n">
        <x:v>101</x:v>
      </x:c>
      <x:c r="B109" s="84" t="inlineStr">
        <x:is>
          <x:t xml:space="preserve">Identity</x:t>
        </x:is>
      </x:c>
      <x:c r="C109" s="84" t="inlineStr">
        <x:is>
          <x:t xml:space="preserve">GridRow</x:t>
        </x:is>
      </x:c>
      <x:c r="D109" s="84" t="inlineStr">
        <x:is>
          <x:t xml:space="preserve">default tag is visible in Anatomy/Inspector</x:t>
        </x:is>
      </x:c>
      <x:c r="E109" s="76" t="inlineStr">
        <x:is>
          <x:t xml:space="preserve">yes</x:t>
        </x:is>
      </x:c>
      <x:c r="F109" s="85" t="inlineStr">
        <x:is>
          <x:t xml:space="preserve">yes</x:t>
        </x:is>
      </x:c>
      <x:c r="G109" s="73" t="inlineStr">
        <x:is>
          <x:t xml:space="preserve">passed manual test</x:t>
        </x:is>
      </x:c>
      <x:c r="H109" s="86" t="inlineStr">
        <x:is>
          <x:t xml:space="preserve">covered</x:t>
        </x:is>
      </x:c>
      <x:c r="I109" s="84" t="inlineStr">
        <x:is>
          <x:t xml:space="preserve">TreeGrid playground; manual-tests/tree-grid.md</x:t>
        </x:is>
      </x:c>
      <x:c r="J109" s="84" t="n"/>
      <x:c r="K109" s="87" t="n">
        <x:f>IF(AND(E109="yes",F109="yes",H109="covered"),1,IF(H109="partial",0.5,0))</x:f>
        <x:v>1</x:v>
      </x:c>
    </x:row>
    <x:row r="110" s="51" customFormat="1" ht="15" customHeight="1">
      <x:c r="A110" s="73" t="n">
        <x:v>102</x:v>
      </x:c>
      <x:c r="B110" s="84" t="inlineStr">
        <x:is>
          <x:t xml:space="preserve">Identity</x:t>
        </x:is>
      </x:c>
      <x:c r="C110" s="84" t="inlineStr">
        <x:is>
          <x:t xml:space="preserve">GridRow</x:t>
        </x:is>
      </x:c>
      <x:c r="D110" s="84" t="inlineStr">
        <x:is>
          <x:t xml:space="preserve">data-slot is present and correct</x:t>
        </x:is>
      </x:c>
      <x:c r="E110" s="76" t="inlineStr">
        <x:is>
          <x:t xml:space="preserve">yes</x:t>
        </x:is>
      </x:c>
      <x:c r="F110" s="85" t="inlineStr">
        <x:is>
          <x:t xml:space="preserve">yes</x:t>
        </x:is>
      </x:c>
      <x:c r="G110" s="73" t="inlineStr">
        <x:is>
          <x:t xml:space="preserve">passed manual test</x:t>
        </x:is>
      </x:c>
      <x:c r="H110" s="86" t="inlineStr">
        <x:is>
          <x:t xml:space="preserve">covered</x:t>
        </x:is>
      </x:c>
      <x:c r="I110" s="84" t="inlineStr">
        <x:is>
          <x:t xml:space="preserve">TreeGrid playground; manual-tests/tree-grid.md</x:t>
        </x:is>
      </x:c>
      <x:c r="J110" s="84" t="n"/>
      <x:c r="K110" s="87" t="n">
        <x:f>IF(AND(E110="yes",F110="yes",H110="covered"),1,IF(H110="partial",0.5,0))</x:f>
        <x:v>1</x:v>
      </x:c>
    </x:row>
    <x:row r="111" s="51" customFormat="1" ht="15" customHeight="1">
      <x:c r="A111" s="73" t="n">
        <x:v>103</x:v>
      </x:c>
      <x:c r="B111" s="84" t="inlineStr">
        <x:is>
          <x:t xml:space="preserve">Props</x:t>
        </x:is>
      </x:c>
      <x:c r="C111" s="84" t="inlineStr">
        <x:is>
          <x:t xml:space="preserve">GridRow</x:t>
        </x:is>
      </x:c>
      <x:c r="D111" s="84" t="inlineStr">
        <x:is>
          <x:t xml:space="preserve">non-Atom native props pass through with data-prop-check marker</x:t>
        </x:is>
      </x:c>
      <x:c r="E111" s="76" t="inlineStr">
        <x:is>
          <x:t xml:space="preserve">yes</x:t>
        </x:is>
      </x:c>
      <x:c r="F111" s="85" t="inlineStr">
        <x:is>
          <x:t xml:space="preserve">yes</x:t>
        </x:is>
      </x:c>
      <x:c r="G111" s="73" t="inlineStr">
        <x:is>
          <x:t xml:space="preserve">passed manual test</x:t>
        </x:is>
      </x:c>
      <x:c r="H111" s="86" t="inlineStr">
        <x:is>
          <x:t xml:space="preserve">covered</x:t>
        </x:is>
      </x:c>
      <x:c r="I111" s="84" t="inlineStr">
        <x:is>
          <x:t xml:space="preserve">TreeGrid playground; manual-tests/tree-grid.md</x:t>
        </x:is>
      </x:c>
      <x:c r="J111" s="84" t="n"/>
      <x:c r="K111" s="87" t="n">
        <x:f>IF(AND(E111="yes",F111="yes",H111="covered"),1,IF(H111="partial",0.5,0))</x:f>
        <x:v>1</x:v>
      </x:c>
    </x:row>
    <x:row r="112" s="51" customFormat="1" ht="15" customHeight="1">
      <x:c r="A112" s="73" t="n">
        <x:v>104</x:v>
      </x:c>
      <x:c r="B112" s="84" t="inlineStr">
        <x:is>
          <x:t xml:space="preserve">Refs</x:t>
        </x:is>
      </x:c>
      <x:c r="C112" s="84" t="inlineStr">
        <x:is>
          <x:t xml:space="preserve">GridRow</x:t>
        </x:is>
      </x:c>
      <x:c r="D112" s="84" t="inlineStr">
        <x:is>
          <x:t xml:space="preserve">consumer ref receives the rendered element</x:t>
        </x:is>
      </x:c>
      <x:c r="E112" s="76" t="inlineStr">
        <x:is>
          <x:t xml:space="preserve">yes</x:t>
        </x:is>
      </x:c>
      <x:c r="F112" s="85" t="inlineStr">
        <x:is>
          <x:t xml:space="preserve">yes</x:t>
        </x:is>
      </x:c>
      <x:c r="G112" s="73" t="inlineStr">
        <x:is>
          <x:t xml:space="preserve">passed manual test</x:t>
        </x:is>
      </x:c>
      <x:c r="H112" s="86" t="inlineStr">
        <x:is>
          <x:t xml:space="preserve">covered</x:t>
        </x:is>
      </x:c>
      <x:c r="I112" s="84" t="inlineStr">
        <x:is>
          <x:t xml:space="preserve">TreeGrid playground; manual-tests/tree-grid.md</x:t>
        </x:is>
      </x:c>
      <x:c r="J112" s="84" t="n"/>
      <x:c r="K112" s="87" t="n">
        <x:f>IF(AND(E112="yes",F112="yes",H112="covered"),1,IF(H112="partial",0.5,0))</x:f>
        <x:v>1</x:v>
      </x:c>
    </x:row>
    <x:row r="113" s="51" customFormat="1" ht="15" customHeight="1">
      <x:c r="A113" s="73" t="n">
        <x:v>105</x:v>
      </x:c>
      <x:c r="B113" s="84" t="inlineStr">
        <x:is>
          <x:t xml:space="preserve">Anatomy</x:t>
        </x:is>
      </x:c>
      <x:c r="C113" s="84" t="inlineStr">
        <x:is>
          <x:t xml:space="preserve">GridRowHeader</x:t>
        </x:is>
      </x:c>
      <x:c r="D113" s="84" t="inlineStr">
        <x:is>
          <x:t xml:space="preserve">renders correct part when expected</x:t>
        </x:is>
      </x:c>
      <x:c r="E113" s="76" t="inlineStr">
        <x:is>
          <x:t xml:space="preserve">yes</x:t>
        </x:is>
      </x:c>
      <x:c r="F113" s="85" t="inlineStr">
        <x:is>
          <x:t xml:space="preserve">yes</x:t>
        </x:is>
      </x:c>
      <x:c r="G113" s="73" t="inlineStr">
        <x:is>
          <x:t xml:space="preserve">passed manual test</x:t>
        </x:is>
      </x:c>
      <x:c r="H113" s="86" t="inlineStr">
        <x:is>
          <x:t xml:space="preserve">covered</x:t>
        </x:is>
      </x:c>
      <x:c r="I113" s="84" t="inlineStr">
        <x:is>
          <x:t xml:space="preserve">TreeGrid playground; manual-tests/tree-grid.md</x:t>
        </x:is>
      </x:c>
      <x:c r="J113" s="84" t="n"/>
      <x:c r="K113" s="87" t="n">
        <x:f>IF(AND(E113="yes",F113="yes",H113="covered"),1,IF(H113="partial",0.5,0))</x:f>
        <x:v>1</x:v>
      </x:c>
    </x:row>
    <x:row r="114" s="51" customFormat="1" ht="15" customHeight="1">
      <x:c r="A114" s="73" t="n">
        <x:v>106</x:v>
      </x:c>
      <x:c r="B114" s="84" t="inlineStr">
        <x:is>
          <x:t xml:space="preserve">Anatomy</x:t>
        </x:is>
      </x:c>
      <x:c r="C114" s="84" t="inlineStr">
        <x:is>
          <x:t xml:space="preserve">GridRowHeader</x:t>
        </x:is>
      </x:c>
      <x:c r="D114" s="84" t="inlineStr">
        <x:is>
          <x:t xml:space="preserve">appears in documented order</x:t>
        </x:is>
      </x:c>
      <x:c r="E114" s="76" t="inlineStr">
        <x:is>
          <x:t xml:space="preserve">yes</x:t>
        </x:is>
      </x:c>
      <x:c r="F114" s="85" t="inlineStr">
        <x:is>
          <x:t xml:space="preserve">yes</x:t>
        </x:is>
      </x:c>
      <x:c r="G114" s="73" t="inlineStr">
        <x:is>
          <x:t xml:space="preserve">passed manual test</x:t>
        </x:is>
      </x:c>
      <x:c r="H114" s="86" t="inlineStr">
        <x:is>
          <x:t xml:space="preserve">covered</x:t>
        </x:is>
      </x:c>
      <x:c r="I114" s="84" t="inlineStr">
        <x:is>
          <x:t xml:space="preserve">TreeGrid playground; manual-tests/tree-grid.md</x:t>
        </x:is>
      </x:c>
      <x:c r="J114" s="84" t="n"/>
      <x:c r="K114" s="87" t="n">
        <x:f>IF(AND(E114="yes",F114="yes",H114="covered"),1,IF(H114="partial",0.5,0))</x:f>
        <x:v>1</x:v>
      </x:c>
    </x:row>
    <x:row r="115" s="51" customFormat="1" ht="30" customHeight="1">
      <x:c r="A115" s="73" t="n">
        <x:v>107</x:v>
      </x:c>
      <x:c r="B115" s="84" t="inlineStr">
        <x:is>
          <x:t xml:space="preserve">Identity</x:t>
        </x:is>
      </x:c>
      <x:c r="C115" s="84" t="inlineStr">
        <x:is>
          <x:t xml:space="preserve">GridRowHeader</x:t>
        </x:is>
      </x:c>
      <x:c r="D115" s="84" t="inlineStr">
        <x:is>
          <x:t xml:space="preserve">default tag is visible in Anatomy/Inspector</x:t>
        </x:is>
      </x:c>
      <x:c r="E115" s="76" t="inlineStr">
        <x:is>
          <x:t xml:space="preserve">yes</x:t>
        </x:is>
      </x:c>
      <x:c r="F115" s="85" t="inlineStr">
        <x:is>
          <x:t xml:space="preserve">yes</x:t>
        </x:is>
      </x:c>
      <x:c r="G115" s="73" t="inlineStr">
        <x:is>
          <x:t xml:space="preserve">passed manual test</x:t>
        </x:is>
      </x:c>
      <x:c r="H115" s="86" t="inlineStr">
        <x:is>
          <x:t xml:space="preserve">covered</x:t>
        </x:is>
      </x:c>
      <x:c r="I115" s="84" t="inlineStr">
        <x:is>
          <x:t xml:space="preserve">TreeGrid playground; manual-tests/tree-grid.md</x:t>
        </x:is>
      </x:c>
      <x:c r="J115" s="84" t="n"/>
      <x:c r="K115" s="87" t="n">
        <x:f>IF(AND(E115="yes",F115="yes",H115="covered"),1,IF(H115="partial",0.5,0))</x:f>
        <x:v>1</x:v>
      </x:c>
    </x:row>
    <x:row r="116" s="51" customFormat="1" ht="15" customHeight="1">
      <x:c r="A116" s="73" t="n">
        <x:v>108</x:v>
      </x:c>
      <x:c r="B116" s="84" t="inlineStr">
        <x:is>
          <x:t xml:space="preserve">Identity</x:t>
        </x:is>
      </x:c>
      <x:c r="C116" s="84" t="inlineStr">
        <x:is>
          <x:t xml:space="preserve">GridRowHeader</x:t>
        </x:is>
      </x:c>
      <x:c r="D116" s="84" t="inlineStr">
        <x:is>
          <x:t xml:space="preserve">data-slot is present and correct</x:t>
        </x:is>
      </x:c>
      <x:c r="E116" s="76" t="inlineStr">
        <x:is>
          <x:t xml:space="preserve">yes</x:t>
        </x:is>
      </x:c>
      <x:c r="F116" s="85" t="inlineStr">
        <x:is>
          <x:t xml:space="preserve">yes</x:t>
        </x:is>
      </x:c>
      <x:c r="G116" s="73" t="inlineStr">
        <x:is>
          <x:t xml:space="preserve">passed manual test</x:t>
        </x:is>
      </x:c>
      <x:c r="H116" s="86" t="inlineStr">
        <x:is>
          <x:t xml:space="preserve">covered</x:t>
        </x:is>
      </x:c>
      <x:c r="I116" s="84" t="inlineStr">
        <x:is>
          <x:t xml:space="preserve">TreeGrid playground; manual-tests/tree-grid.md</x:t>
        </x:is>
      </x:c>
      <x:c r="J116" s="84" t="n"/>
      <x:c r="K116" s="87" t="n">
        <x:f>IF(AND(E116="yes",F116="yes",H116="covered"),1,IF(H116="partial",0.5,0))</x:f>
        <x:v>1</x:v>
      </x:c>
    </x:row>
    <x:row r="117" s="51" customFormat="1" ht="15" customHeight="1">
      <x:c r="A117" s="73" t="n">
        <x:v>109</x:v>
      </x:c>
      <x:c r="B117" s="84" t="inlineStr">
        <x:is>
          <x:t xml:space="preserve">Props</x:t>
        </x:is>
      </x:c>
      <x:c r="C117" s="84" t="inlineStr">
        <x:is>
          <x:t xml:space="preserve">GridRowHeader</x:t>
        </x:is>
      </x:c>
      <x:c r="D117" s="84" t="inlineStr">
        <x:is>
          <x:t xml:space="preserve">non-Atom native props pass through with data-prop-check marker</x:t>
        </x:is>
      </x:c>
      <x:c r="E117" s="76" t="inlineStr">
        <x:is>
          <x:t xml:space="preserve">yes</x:t>
        </x:is>
      </x:c>
      <x:c r="F117" s="85" t="inlineStr">
        <x:is>
          <x:t xml:space="preserve">yes</x:t>
        </x:is>
      </x:c>
      <x:c r="G117" s="73" t="inlineStr">
        <x:is>
          <x:t xml:space="preserve">passed manual test</x:t>
        </x:is>
      </x:c>
      <x:c r="H117" s="86" t="inlineStr">
        <x:is>
          <x:t xml:space="preserve">covered</x:t>
        </x:is>
      </x:c>
      <x:c r="I117" s="84" t="inlineStr">
        <x:is>
          <x:t xml:space="preserve">TreeGrid playground; manual-tests/tree-grid.md</x:t>
        </x:is>
      </x:c>
      <x:c r="J117" s="84" t="n"/>
      <x:c r="K117" s="87" t="n">
        <x:f>IF(AND(E117="yes",F117="yes",H117="covered"),1,IF(H117="partial",0.5,0))</x:f>
        <x:v>1</x:v>
      </x:c>
    </x:row>
    <x:row r="118" s="51" customFormat="1" ht="15" customHeight="1">
      <x:c r="A118" s="73" t="n">
        <x:v>110</x:v>
      </x:c>
      <x:c r="B118" s="84" t="inlineStr">
        <x:is>
          <x:t xml:space="preserve">Refs</x:t>
        </x:is>
      </x:c>
      <x:c r="C118" s="84" t="inlineStr">
        <x:is>
          <x:t xml:space="preserve">GridRowHeader</x:t>
        </x:is>
      </x:c>
      <x:c r="D118" s="84" t="inlineStr">
        <x:is>
          <x:t xml:space="preserve">consumer ref receives the rendered element</x:t>
        </x:is>
      </x:c>
      <x:c r="E118" s="76" t="inlineStr">
        <x:is>
          <x:t xml:space="preserve">yes</x:t>
        </x:is>
      </x:c>
      <x:c r="F118" s="85" t="inlineStr">
        <x:is>
          <x:t xml:space="preserve">yes</x:t>
        </x:is>
      </x:c>
      <x:c r="G118" s="73" t="inlineStr">
        <x:is>
          <x:t xml:space="preserve">passed manual test</x:t>
        </x:is>
      </x:c>
      <x:c r="H118" s="86" t="inlineStr">
        <x:is>
          <x:t xml:space="preserve">covered</x:t>
        </x:is>
      </x:c>
      <x:c r="I118" s="84" t="inlineStr">
        <x:is>
          <x:t xml:space="preserve">TreeGrid playground; manual-tests/tree-grid.md</x:t>
        </x:is>
      </x:c>
      <x:c r="J118" s="84" t="n"/>
      <x:c r="K118" s="87" t="n">
        <x:f>IF(AND(E118="yes",F118="yes",H118="covered"),1,IF(H118="partial",0.5,0))</x:f>
        <x:v>1</x:v>
      </x:c>
    </x:row>
    <x:row r="119" s="51" customFormat="1" ht="15" customHeight="1">
      <x:c r="A119" s="73" t="n">
        <x:v>111</x:v>
      </x:c>
      <x:c r="B119" s="84" t="inlineStr">
        <x:is>
          <x:t xml:space="preserve">Anatomy</x:t>
        </x:is>
      </x:c>
      <x:c r="C119" s="84" t="inlineStr">
        <x:is>
          <x:t xml:space="preserve">Header</x:t>
        </x:is>
      </x:c>
      <x:c r="D119" s="84" t="inlineStr">
        <x:is>
          <x:t xml:space="preserve">renders correct part when expected</x:t>
        </x:is>
      </x:c>
      <x:c r="E119" s="76" t="inlineStr">
        <x:is>
          <x:t xml:space="preserve">yes</x:t>
        </x:is>
      </x:c>
      <x:c r="F119" s="85" t="inlineStr">
        <x:is>
          <x:t xml:space="preserve">yes</x:t>
        </x:is>
      </x:c>
      <x:c r="G119" s="73" t="inlineStr">
        <x:is>
          <x:t xml:space="preserve">passed manual test</x:t>
        </x:is>
      </x:c>
      <x:c r="H119" s="86" t="inlineStr">
        <x:is>
          <x:t xml:space="preserve">covered</x:t>
        </x:is>
      </x:c>
      <x:c r="I119" s="84" t="inlineStr">
        <x:is>
          <x:t xml:space="preserve">TreeGrid playground; manual-tests/tree-grid.md</x:t>
        </x:is>
      </x:c>
      <x:c r="J119" s="84" t="n"/>
      <x:c r="K119" s="87" t="n">
        <x:f>IF(AND(E119="yes",F119="yes",H119="covered"),1,IF(H119="partial",0.5,0))</x:f>
        <x:v>1</x:v>
      </x:c>
    </x:row>
    <x:row r="120" s="51" customFormat="1" ht="15" customHeight="1">
      <x:c r="A120" s="73" t="n">
        <x:v>112</x:v>
      </x:c>
      <x:c r="B120" s="84" t="inlineStr">
        <x:is>
          <x:t xml:space="preserve">Anatomy</x:t>
        </x:is>
      </x:c>
      <x:c r="C120" s="84" t="inlineStr">
        <x:is>
          <x:t xml:space="preserve">Header</x:t>
        </x:is>
      </x:c>
      <x:c r="D120" s="84" t="inlineStr">
        <x:is>
          <x:t xml:space="preserve">appears in documented order</x:t>
        </x:is>
      </x:c>
      <x:c r="E120" s="76" t="inlineStr">
        <x:is>
          <x:t xml:space="preserve">yes</x:t>
        </x:is>
      </x:c>
      <x:c r="F120" s="85" t="inlineStr">
        <x:is>
          <x:t xml:space="preserve">yes</x:t>
        </x:is>
      </x:c>
      <x:c r="G120" s="73" t="inlineStr">
        <x:is>
          <x:t xml:space="preserve">passed manual test</x:t>
        </x:is>
      </x:c>
      <x:c r="H120" s="86" t="inlineStr">
        <x:is>
          <x:t xml:space="preserve">covered</x:t>
        </x:is>
      </x:c>
      <x:c r="I120" s="84" t="inlineStr">
        <x:is>
          <x:t xml:space="preserve">TreeGrid playground; manual-tests/tree-grid.md</x:t>
        </x:is>
      </x:c>
      <x:c r="J120" s="84" t="n"/>
      <x:c r="K120" s="87" t="n">
        <x:f>IF(AND(E120="yes",F120="yes",H120="covered"),1,IF(H120="partial",0.5,0))</x:f>
        <x:v>1</x:v>
      </x:c>
    </x:row>
    <x:row r="121" s="51" customFormat="1" ht="30" customHeight="1">
      <x:c r="A121" s="73" t="n">
        <x:v>113</x:v>
      </x:c>
      <x:c r="B121" s="84" t="inlineStr">
        <x:is>
          <x:t xml:space="preserve">Identity</x:t>
        </x:is>
      </x:c>
      <x:c r="C121" s="84" t="inlineStr">
        <x:is>
          <x:t xml:space="preserve">Header</x:t>
        </x:is>
      </x:c>
      <x:c r="D121" s="84" t="inlineStr">
        <x:is>
          <x:t xml:space="preserve">default tag is visible in Anatomy/Inspector</x:t>
        </x:is>
      </x:c>
      <x:c r="E121" s="76" t="inlineStr">
        <x:is>
          <x:t xml:space="preserve">yes</x:t>
        </x:is>
      </x:c>
      <x:c r="F121" s="85" t="inlineStr">
        <x:is>
          <x:t xml:space="preserve">yes</x:t>
        </x:is>
      </x:c>
      <x:c r="G121" s="73" t="inlineStr">
        <x:is>
          <x:t xml:space="preserve">passed manual test</x:t>
        </x:is>
      </x:c>
      <x:c r="H121" s="86" t="inlineStr">
        <x:is>
          <x:t xml:space="preserve">covered</x:t>
        </x:is>
      </x:c>
      <x:c r="I121" s="84" t="inlineStr">
        <x:is>
          <x:t xml:space="preserve">TreeGrid playground; manual-tests/tree-grid.md</x:t>
        </x:is>
      </x:c>
      <x:c r="J121" s="84" t="n"/>
      <x:c r="K121" s="87" t="n">
        <x:f>IF(AND(E121="yes",F121="yes",H121="covered"),1,IF(H121="partial",0.5,0))</x:f>
        <x:v>1</x:v>
      </x:c>
    </x:row>
    <x:row r="122" s="51" customFormat="1" ht="15" customHeight="1">
      <x:c r="A122" s="73" t="n">
        <x:v>114</x:v>
      </x:c>
      <x:c r="B122" s="84" t="inlineStr">
        <x:is>
          <x:t xml:space="preserve">Identity</x:t>
        </x:is>
      </x:c>
      <x:c r="C122" s="84" t="inlineStr">
        <x:is>
          <x:t xml:space="preserve">Header</x:t>
        </x:is>
      </x:c>
      <x:c r="D122" s="84" t="inlineStr">
        <x:is>
          <x:t xml:space="preserve">data-slot is present and correct</x:t>
        </x:is>
      </x:c>
      <x:c r="E122" s="76" t="inlineStr">
        <x:is>
          <x:t xml:space="preserve">yes</x:t>
        </x:is>
      </x:c>
      <x:c r="F122" s="85" t="inlineStr">
        <x:is>
          <x:t xml:space="preserve">yes</x:t>
        </x:is>
      </x:c>
      <x:c r="G122" s="73" t="inlineStr">
        <x:is>
          <x:t xml:space="preserve">passed manual test</x:t>
        </x:is>
      </x:c>
      <x:c r="H122" s="86" t="inlineStr">
        <x:is>
          <x:t xml:space="preserve">covered</x:t>
        </x:is>
      </x:c>
      <x:c r="I122" s="84" t="inlineStr">
        <x:is>
          <x:t xml:space="preserve">TreeGrid playground; manual-tests/tree-grid.md</x:t>
        </x:is>
      </x:c>
      <x:c r="J122" s="84" t="n"/>
      <x:c r="K122" s="87" t="n">
        <x:f>IF(AND(E122="yes",F122="yes",H122="covered"),1,IF(H122="partial",0.5,0))</x:f>
        <x:v>1</x:v>
      </x:c>
    </x:row>
    <x:row r="123" s="51" customFormat="1" ht="15" customHeight="1">
      <x:c r="A123" s="73" t="n">
        <x:v>115</x:v>
      </x:c>
      <x:c r="B123" s="84" t="inlineStr">
        <x:is>
          <x:t xml:space="preserve">Props</x:t>
        </x:is>
      </x:c>
      <x:c r="C123" s="84" t="inlineStr">
        <x:is>
          <x:t xml:space="preserve">Header</x:t>
        </x:is>
      </x:c>
      <x:c r="D123" s="84" t="inlineStr">
        <x:is>
          <x:t xml:space="preserve">non-Atom native props pass through with data-prop-check marker</x:t>
        </x:is>
      </x:c>
      <x:c r="E123" s="76" t="inlineStr">
        <x:is>
          <x:t xml:space="preserve">yes</x:t>
        </x:is>
      </x:c>
      <x:c r="F123" s="85" t="inlineStr">
        <x:is>
          <x:t xml:space="preserve">yes</x:t>
        </x:is>
      </x:c>
      <x:c r="G123" s="73" t="inlineStr">
        <x:is>
          <x:t xml:space="preserve">passed manual test</x:t>
        </x:is>
      </x:c>
      <x:c r="H123" s="86" t="inlineStr">
        <x:is>
          <x:t xml:space="preserve">covered</x:t>
        </x:is>
      </x:c>
      <x:c r="I123" s="84" t="inlineStr">
        <x:is>
          <x:t xml:space="preserve">TreeGrid playground; manual-tests/tree-grid.md</x:t>
        </x:is>
      </x:c>
      <x:c r="J123" s="84" t="n"/>
      <x:c r="K123" s="87" t="n">
        <x:f>IF(AND(E123="yes",F123="yes",H123="covered"),1,IF(H123="partial",0.5,0))</x:f>
        <x:v>1</x:v>
      </x:c>
    </x:row>
    <x:row r="124" s="51" customFormat="1" ht="15" customHeight="1">
      <x:c r="A124" s="73" t="n">
        <x:v>116</x:v>
      </x:c>
      <x:c r="B124" s="84" t="inlineStr">
        <x:is>
          <x:t xml:space="preserve">Refs</x:t>
        </x:is>
      </x:c>
      <x:c r="C124" s="84" t="inlineStr">
        <x:is>
          <x:t xml:space="preserve">Header</x:t>
        </x:is>
      </x:c>
      <x:c r="D124" s="84" t="inlineStr">
        <x:is>
          <x:t xml:space="preserve">consumer ref receives the rendered element</x:t>
        </x:is>
      </x:c>
      <x:c r="E124" s="76" t="inlineStr">
        <x:is>
          <x:t xml:space="preserve">yes</x:t>
        </x:is>
      </x:c>
      <x:c r="F124" s="85" t="inlineStr">
        <x:is>
          <x:t xml:space="preserve">yes</x:t>
        </x:is>
      </x:c>
      <x:c r="G124" s="73" t="inlineStr">
        <x:is>
          <x:t xml:space="preserve">passed manual test</x:t>
        </x:is>
      </x:c>
      <x:c r="H124" s="86" t="inlineStr">
        <x:is>
          <x:t xml:space="preserve">covered</x:t>
        </x:is>
      </x:c>
      <x:c r="I124" s="84" t="inlineStr">
        <x:is>
          <x:t xml:space="preserve">TreeGrid playground; manual-tests/tree-grid.md</x:t>
        </x:is>
      </x:c>
      <x:c r="J124" s="84" t="n"/>
      <x:c r="K124" s="87" t="n">
        <x:f>IF(AND(E124="yes",F124="yes",H124="covered"),1,IF(H124="partial",0.5,0))</x:f>
        <x:v>1</x:v>
      </x:c>
    </x:row>
    <x:row r="125" s="51" customFormat="1" ht="15" customHeight="1">
      <x:c r="A125" s="73" t="n">
        <x:v>117</x:v>
      </x:c>
      <x:c r="B125" s="84" t="inlineStr">
        <x:is>
          <x:t xml:space="preserve">Anatomy</x:t>
        </x:is>
      </x:c>
      <x:c r="C125" s="84" t="inlineStr">
        <x:is>
          <x:t xml:space="preserve">Row</x:t>
        </x:is>
      </x:c>
      <x:c r="D125" s="84" t="inlineStr">
        <x:is>
          <x:t xml:space="preserve">renders correct part when expected</x:t>
        </x:is>
      </x:c>
      <x:c r="E125" s="76" t="inlineStr">
        <x:is>
          <x:t xml:space="preserve">yes</x:t>
        </x:is>
      </x:c>
      <x:c r="F125" s="85" t="inlineStr">
        <x:is>
          <x:t xml:space="preserve">yes</x:t>
        </x:is>
      </x:c>
      <x:c r="G125" s="73" t="inlineStr">
        <x:is>
          <x:t xml:space="preserve">passed manual test</x:t>
        </x:is>
      </x:c>
      <x:c r="H125" s="86" t="inlineStr">
        <x:is>
          <x:t xml:space="preserve">covered</x:t>
        </x:is>
      </x:c>
      <x:c r="I125" s="84" t="inlineStr">
        <x:is>
          <x:t xml:space="preserve">TreeGrid playground; manual-tests/tree-grid.md</x:t>
        </x:is>
      </x:c>
      <x:c r="J125" s="84" t="n"/>
      <x:c r="K125" s="87" t="n">
        <x:f>IF(AND(E125="yes",F125="yes",H125="covered"),1,IF(H125="partial",0.5,0))</x:f>
        <x:v>1</x:v>
      </x:c>
    </x:row>
    <x:row r="126" s="51" customFormat="1" ht="15" customHeight="1">
      <x:c r="A126" s="73" t="n">
        <x:v>118</x:v>
      </x:c>
      <x:c r="B126" s="84" t="inlineStr">
        <x:is>
          <x:t xml:space="preserve">Anatomy</x:t>
        </x:is>
      </x:c>
      <x:c r="C126" s="84" t="inlineStr">
        <x:is>
          <x:t xml:space="preserve">Row</x:t>
        </x:is>
      </x:c>
      <x:c r="D126" s="84" t="inlineStr">
        <x:is>
          <x:t xml:space="preserve">appears in documented order</x:t>
        </x:is>
      </x:c>
      <x:c r="E126" s="76" t="inlineStr">
        <x:is>
          <x:t xml:space="preserve">yes</x:t>
        </x:is>
      </x:c>
      <x:c r="F126" s="85" t="inlineStr">
        <x:is>
          <x:t xml:space="preserve">yes</x:t>
        </x:is>
      </x:c>
      <x:c r="G126" s="73" t="inlineStr">
        <x:is>
          <x:t xml:space="preserve">passed manual test</x:t>
        </x:is>
      </x:c>
      <x:c r="H126" s="86" t="inlineStr">
        <x:is>
          <x:t xml:space="preserve">covered</x:t>
        </x:is>
      </x:c>
      <x:c r="I126" s="84" t="inlineStr">
        <x:is>
          <x:t xml:space="preserve">TreeGrid playground; manual-tests/tree-grid.md</x:t>
        </x:is>
      </x:c>
      <x:c r="J126" s="84" t="n"/>
      <x:c r="K126" s="87" t="n">
        <x:f>IF(AND(E126="yes",F126="yes",H126="covered"),1,IF(H126="partial",0.5,0))</x:f>
        <x:v>1</x:v>
      </x:c>
    </x:row>
    <x:row r="127" s="51" customFormat="1" ht="30" customHeight="1">
      <x:c r="A127" s="73" t="n">
        <x:v>119</x:v>
      </x:c>
      <x:c r="B127" s="84" t="inlineStr">
        <x:is>
          <x:t xml:space="preserve">Identity</x:t>
        </x:is>
      </x:c>
      <x:c r="C127" s="84" t="inlineStr">
        <x:is>
          <x:t xml:space="preserve">Row</x:t>
        </x:is>
      </x:c>
      <x:c r="D127" s="84" t="inlineStr">
        <x:is>
          <x:t xml:space="preserve">default tag is visible in Anatomy/Inspector</x:t>
        </x:is>
      </x:c>
      <x:c r="E127" s="76" t="inlineStr">
        <x:is>
          <x:t xml:space="preserve">yes</x:t>
        </x:is>
      </x:c>
      <x:c r="F127" s="85" t="inlineStr">
        <x:is>
          <x:t xml:space="preserve">yes</x:t>
        </x:is>
      </x:c>
      <x:c r="G127" s="73" t="inlineStr">
        <x:is>
          <x:t xml:space="preserve">passed manual test</x:t>
        </x:is>
      </x:c>
      <x:c r="H127" s="86" t="inlineStr">
        <x:is>
          <x:t xml:space="preserve">covered</x:t>
        </x:is>
      </x:c>
      <x:c r="I127" s="84" t="inlineStr">
        <x:is>
          <x:t xml:space="preserve">TreeGrid playground; manual-tests/tree-grid.md</x:t>
        </x:is>
      </x:c>
      <x:c r="J127" s="84" t="n"/>
      <x:c r="K127" s="87" t="n">
        <x:f>IF(AND(E127="yes",F127="yes",H127="covered"),1,IF(H127="partial",0.5,0))</x:f>
        <x:v>1</x:v>
      </x:c>
    </x:row>
    <x:row r="128" s="51" customFormat="1" ht="15" customHeight="1">
      <x:c r="A128" s="73" t="n">
        <x:v>120</x:v>
      </x:c>
      <x:c r="B128" s="84" t="inlineStr">
        <x:is>
          <x:t xml:space="preserve">Identity</x:t>
        </x:is>
      </x:c>
      <x:c r="C128" s="84" t="inlineStr">
        <x:is>
          <x:t xml:space="preserve">Row</x:t>
        </x:is>
      </x:c>
      <x:c r="D128" s="84" t="inlineStr">
        <x:is>
          <x:t xml:space="preserve">data-slot is present and correct</x:t>
        </x:is>
      </x:c>
      <x:c r="E128" s="76" t="inlineStr">
        <x:is>
          <x:t xml:space="preserve">yes</x:t>
        </x:is>
      </x:c>
      <x:c r="F128" s="85" t="inlineStr">
        <x:is>
          <x:t xml:space="preserve">yes</x:t>
        </x:is>
      </x:c>
      <x:c r="G128" s="73" t="inlineStr">
        <x:is>
          <x:t xml:space="preserve">passed manual test</x:t>
        </x:is>
      </x:c>
      <x:c r="H128" s="86" t="inlineStr">
        <x:is>
          <x:t xml:space="preserve">covered</x:t>
        </x:is>
      </x:c>
      <x:c r="I128" s="84" t="inlineStr">
        <x:is>
          <x:t xml:space="preserve">TreeGrid playground; manual-tests/tree-grid.md</x:t>
        </x:is>
      </x:c>
      <x:c r="J128" s="84" t="n"/>
      <x:c r="K128" s="87" t="n">
        <x:f>IF(AND(E128="yes",F128="yes",H128="covered"),1,IF(H128="partial",0.5,0))</x:f>
        <x:v>1</x:v>
      </x:c>
    </x:row>
    <x:row r="129" s="51" customFormat="1" ht="15" customHeight="1">
      <x:c r="A129" s="73" t="n">
        <x:v>121</x:v>
      </x:c>
      <x:c r="B129" s="84" t="inlineStr">
        <x:is>
          <x:t xml:space="preserve">Props</x:t>
        </x:is>
      </x:c>
      <x:c r="C129" s="84" t="inlineStr">
        <x:is>
          <x:t xml:space="preserve">Row</x:t>
        </x:is>
      </x:c>
      <x:c r="D129" s="84" t="inlineStr">
        <x:is>
          <x:t xml:space="preserve">non-Atom native props pass through with data-prop-check marker</x:t>
        </x:is>
      </x:c>
      <x:c r="E129" s="76" t="inlineStr">
        <x:is>
          <x:t xml:space="preserve">yes</x:t>
        </x:is>
      </x:c>
      <x:c r="F129" s="85" t="inlineStr">
        <x:is>
          <x:t xml:space="preserve">yes</x:t>
        </x:is>
      </x:c>
      <x:c r="G129" s="73" t="inlineStr">
        <x:is>
          <x:t xml:space="preserve">passed manual test</x:t>
        </x:is>
      </x:c>
      <x:c r="H129" s="86" t="inlineStr">
        <x:is>
          <x:t xml:space="preserve">covered</x:t>
        </x:is>
      </x:c>
      <x:c r="I129" s="84" t="inlineStr">
        <x:is>
          <x:t xml:space="preserve">TreeGrid playground; manual-tests/tree-grid.md</x:t>
        </x:is>
      </x:c>
      <x:c r="J129" s="84" t="n"/>
      <x:c r="K129" s="87" t="n">
        <x:f>IF(AND(E129="yes",F129="yes",H129="covered"),1,IF(H129="partial",0.5,0))</x:f>
        <x:v>1</x:v>
      </x:c>
    </x:row>
    <x:row r="130" s="51" customFormat="1" ht="15" customHeight="1">
      <x:c r="A130" s="73" t="n">
        <x:v>122</x:v>
      </x:c>
      <x:c r="B130" s="84" t="inlineStr">
        <x:is>
          <x:t xml:space="preserve">Refs</x:t>
        </x:is>
      </x:c>
      <x:c r="C130" s="84" t="inlineStr">
        <x:is>
          <x:t xml:space="preserve">Row</x:t>
        </x:is>
      </x:c>
      <x:c r="D130" s="84" t="inlineStr">
        <x:is>
          <x:t xml:space="preserve">consumer ref receives the rendered element</x:t>
        </x:is>
      </x:c>
      <x:c r="E130" s="76" t="inlineStr">
        <x:is>
          <x:t xml:space="preserve">yes</x:t>
        </x:is>
      </x:c>
      <x:c r="F130" s="85" t="inlineStr">
        <x:is>
          <x:t xml:space="preserve">yes</x:t>
        </x:is>
      </x:c>
      <x:c r="G130" s="73" t="inlineStr">
        <x:is>
          <x:t xml:space="preserve">passed manual test</x:t>
        </x:is>
      </x:c>
      <x:c r="H130" s="86" t="inlineStr">
        <x:is>
          <x:t xml:space="preserve">covered</x:t>
        </x:is>
      </x:c>
      <x:c r="I130" s="84" t="inlineStr">
        <x:is>
          <x:t xml:space="preserve">TreeGrid playground; manual-tests/tree-grid.md</x:t>
        </x:is>
      </x:c>
      <x:c r="J130" s="84" t="n"/>
      <x:c r="K130" s="87" t="n">
        <x:f>IF(AND(E130="yes",F130="yes",H130="covered"),1,IF(H130="partial",0.5,0))</x:f>
        <x:v>1</x:v>
      </x:c>
    </x:row>
    <x:row r="131" s="51" customFormat="1" ht="15" customHeight="1">
      <x:c r="A131" s="73" t="n">
        <x:v>123</x:v>
      </x:c>
      <x:c r="B131" s="84" t="inlineStr">
        <x:is>
          <x:t xml:space="preserve">Public API</x:t>
        </x:is>
      </x:c>
      <x:c r="C131" s="84" t="inlineStr">
        <x:is>
          <x:t xml:space="preserve">Row</x:t>
        </x:is>
      </x:c>
      <x:c r="D131" s="84" t="inlineStr">
        <x:is>
          <x:t xml:space="preserve">rowIndex prop behavior</x:t>
        </x:is>
      </x:c>
      <x:c r="E131" s="76" t="inlineStr">
        <x:is>
          <x:t xml:space="preserve">yes</x:t>
        </x:is>
      </x:c>
      <x:c r="F131" s="85" t="inlineStr">
        <x:is>
          <x:t xml:space="preserve">yes</x:t>
        </x:is>
      </x:c>
      <x:c r="G131" s="73" t="inlineStr">
        <x:is>
          <x:t xml:space="preserve">passed manual test</x:t>
        </x:is>
      </x:c>
      <x:c r="H131" s="86" t="inlineStr">
        <x:is>
          <x:t xml:space="preserve">covered</x:t>
        </x:is>
      </x:c>
      <x:c r="I131" s="84" t="inlineStr">
        <x:is>
          <x:t xml:space="preserve">TreeGrid playground; manual-tests/tree-grid.md</x:t>
        </x:is>
      </x:c>
      <x:c r="J131" s="84" t="n"/>
      <x:c r="K131" s="87" t="n">
        <x:f>IF(AND(E131="yes",F131="yes",H131="covered"),1,IF(H131="partial",0.5,0))</x:f>
        <x:v>1</x:v>
      </x:c>
    </x:row>
    <x:row r="132" s="51" customFormat="1" ht="15" customHeight="1">
      <x:c r="A132" s="73" t="n">
        <x:v>124</x:v>
      </x:c>
      <x:c r="B132" s="84" t="inlineStr">
        <x:is>
          <x:t xml:space="preserve">Public API</x:t>
        </x:is>
      </x:c>
      <x:c r="C132" s="84" t="inlineStr">
        <x:is>
          <x:t xml:space="preserve">Row</x:t>
        </x:is>
      </x:c>
      <x:c r="D132" s="84" t="inlineStr">
        <x:is>
          <x:t xml:space="preserve">index prop behavior</x:t>
        </x:is>
      </x:c>
      <x:c r="E132" s="76" t="inlineStr">
        <x:is>
          <x:t xml:space="preserve">yes</x:t>
        </x:is>
      </x:c>
      <x:c r="F132" s="85" t="inlineStr">
        <x:is>
          <x:t xml:space="preserve">yes</x:t>
        </x:is>
      </x:c>
      <x:c r="G132" s="73" t="inlineStr">
        <x:is>
          <x:t xml:space="preserve">passed manual test</x:t>
        </x:is>
      </x:c>
      <x:c r="H132" s="86" t="inlineStr">
        <x:is>
          <x:t xml:space="preserve">covered</x:t>
        </x:is>
      </x:c>
      <x:c r="I132" s="84" t="inlineStr">
        <x:is>
          <x:t xml:space="preserve">TreeGrid playground; manual-tests/tree-grid.md</x:t>
        </x:is>
      </x:c>
      <x:c r="J132" s="84" t="n"/>
      <x:c r="K132" s="87" t="n">
        <x:f>IF(AND(E132="yes",F132="yes",H132="covered"),1,IF(H132="partial",0.5,0))</x:f>
        <x:v>1</x:v>
      </x:c>
    </x:row>
    <x:row r="133" s="51" customFormat="1" ht="15" customHeight="1">
      <x:c r="A133" s="73" t="n">
        <x:v>125</x:v>
      </x:c>
      <x:c r="B133" s="84" t="inlineStr">
        <x:is>
          <x:t xml:space="preserve">State</x:t>
        </x:is>
      </x:c>
      <x:c r="C133" s="84" t="inlineStr">
        <x:is>
          <x:t xml:space="preserve">Row</x:t>
        </x:is>
      </x:c>
      <x:c r="D133" s="84" t="inlineStr">
        <x:is>
          <x:t xml:space="preserve">value prop behavior</x:t>
        </x:is>
      </x:c>
      <x:c r="E133" s="76" t="inlineStr">
        <x:is>
          <x:t xml:space="preserve">yes</x:t>
        </x:is>
      </x:c>
      <x:c r="F133" s="85" t="inlineStr">
        <x:is>
          <x:t xml:space="preserve">yes</x:t>
        </x:is>
      </x:c>
      <x:c r="G133" s="73" t="inlineStr">
        <x:is>
          <x:t xml:space="preserve">passed manual test</x:t>
        </x:is>
      </x:c>
      <x:c r="H133" s="86" t="inlineStr">
        <x:is>
          <x:t xml:space="preserve">covered</x:t>
        </x:is>
      </x:c>
      <x:c r="I133" s="84" t="inlineStr">
        <x:is>
          <x:t xml:space="preserve">TreeGrid playground; manual-tests/tree-grid.md</x:t>
        </x:is>
      </x:c>
      <x:c r="J133" s="84" t="n"/>
      <x:c r="K133" s="87" t="n">
        <x:f>IF(AND(E133="yes",F133="yes",H133="covered"),1,IF(H133="partial",0.5,0))</x:f>
        <x:v>1</x:v>
      </x:c>
    </x:row>
    <x:row r="134" s="51" customFormat="1" ht="15" customHeight="1">
      <x:c r="A134" s="73" t="n">
        <x:v>126</x:v>
      </x:c>
      <x:c r="B134" s="84" t="inlineStr">
        <x:is>
          <x:t xml:space="preserve">Public API</x:t>
        </x:is>
      </x:c>
      <x:c r="C134" s="84" t="inlineStr">
        <x:is>
          <x:t xml:space="preserve">Row</x:t>
        </x:is>
      </x:c>
      <x:c r="D134" s="84" t="inlineStr">
        <x:is>
          <x:t xml:space="preserve">parentValue prop behavior</x:t>
        </x:is>
      </x:c>
      <x:c r="E134" s="76" t="inlineStr">
        <x:is>
          <x:t xml:space="preserve">yes</x:t>
        </x:is>
      </x:c>
      <x:c r="F134" s="85" t="inlineStr">
        <x:is>
          <x:t xml:space="preserve">yes</x:t>
        </x:is>
      </x:c>
      <x:c r="G134" s="73" t="inlineStr">
        <x:is>
          <x:t xml:space="preserve">passed manual test</x:t>
        </x:is>
      </x:c>
      <x:c r="H134" s="86" t="inlineStr">
        <x:is>
          <x:t xml:space="preserve">covered</x:t>
        </x:is>
      </x:c>
      <x:c r="I134" s="84" t="inlineStr">
        <x:is>
          <x:t xml:space="preserve">TreeGrid playground; manual-tests/tree-grid.md</x:t>
        </x:is>
      </x:c>
      <x:c r="J134" s="84" t="n"/>
      <x:c r="K134" s="87" t="n">
        <x:f>IF(AND(E134="yes",F134="yes",H134="covered"),1,IF(H134="partial",0.5,0))</x:f>
        <x:v>1</x:v>
      </x:c>
    </x:row>
    <x:row r="135" s="51" customFormat="1" ht="15" customHeight="1">
      <x:c r="A135" s="73" t="n">
        <x:v>127</x:v>
      </x:c>
      <x:c r="B135" s="84" t="inlineStr">
        <x:is>
          <x:t xml:space="preserve">Public API</x:t>
        </x:is>
      </x:c>
      <x:c r="C135" s="84" t="inlineStr">
        <x:is>
          <x:t xml:space="preserve">Row</x:t>
        </x:is>
      </x:c>
      <x:c r="D135" s="84" t="inlineStr">
        <x:is>
          <x:t xml:space="preserve">level prop behavior</x:t>
        </x:is>
      </x:c>
      <x:c r="E135" s="76" t="inlineStr">
        <x:is>
          <x:t xml:space="preserve">yes</x:t>
        </x:is>
      </x:c>
      <x:c r="F135" s="85" t="inlineStr">
        <x:is>
          <x:t xml:space="preserve">yes</x:t>
        </x:is>
      </x:c>
      <x:c r="G135" s="73" t="inlineStr">
        <x:is>
          <x:t xml:space="preserve">passed manual test</x:t>
        </x:is>
      </x:c>
      <x:c r="H135" s="86" t="inlineStr">
        <x:is>
          <x:t xml:space="preserve">covered</x:t>
        </x:is>
      </x:c>
      <x:c r="I135" s="84" t="inlineStr">
        <x:is>
          <x:t xml:space="preserve">TreeGrid playground; manual-tests/tree-grid.md</x:t>
        </x:is>
      </x:c>
      <x:c r="J135" s="84" t="n"/>
      <x:c r="K135" s="87" t="n">
        <x:f>IF(AND(E135="yes",F135="yes",H135="covered"),1,IF(H135="partial",0.5,0))</x:f>
        <x:v>1</x:v>
      </x:c>
    </x:row>
    <x:row r="136" s="51" customFormat="1" ht="15" customHeight="1">
      <x:c r="A136" s="73" t="n">
        <x:v>128</x:v>
      </x:c>
      <x:c r="B136" s="84" t="inlineStr">
        <x:is>
          <x:t xml:space="preserve">Public API</x:t>
        </x:is>
      </x:c>
      <x:c r="C136" s="84" t="inlineStr">
        <x:is>
          <x:t xml:space="preserve">Row</x:t>
        </x:is>
      </x:c>
      <x:c r="D136" s="84" t="inlineStr">
        <x:is>
          <x:t xml:space="preserve">expandable prop behavior</x:t>
        </x:is>
      </x:c>
      <x:c r="E136" s="76" t="inlineStr">
        <x:is>
          <x:t xml:space="preserve">yes</x:t>
        </x:is>
      </x:c>
      <x:c r="F136" s="85" t="inlineStr">
        <x:is>
          <x:t xml:space="preserve">yes</x:t>
        </x:is>
      </x:c>
      <x:c r="G136" s="73" t="inlineStr">
        <x:is>
          <x:t xml:space="preserve">passed manual test</x:t>
        </x:is>
      </x:c>
      <x:c r="H136" s="86" t="inlineStr">
        <x:is>
          <x:t xml:space="preserve">covered</x:t>
        </x:is>
      </x:c>
      <x:c r="I136" s="84" t="inlineStr">
        <x:is>
          <x:t xml:space="preserve">TreeGrid playground; manual-tests/tree-grid.md</x:t>
        </x:is>
      </x:c>
      <x:c r="J136" s="84" t="n"/>
      <x:c r="K136" s="87" t="n">
        <x:f>IF(AND(E136="yes",F136="yes",H136="covered"),1,IF(H136="partial",0.5,0))</x:f>
        <x:v>1</x:v>
      </x:c>
    </x:row>
    <x:row r="137" s="51" customFormat="1" ht="15" customHeight="1">
      <x:c r="A137" s="73" t="n">
        <x:v>129</x:v>
      </x:c>
      <x:c r="B137" s="84" t="inlineStr">
        <x:is>
          <x:t xml:space="preserve">Public API</x:t>
        </x:is>
      </x:c>
      <x:c r="C137" s="84" t="inlineStr">
        <x:is>
          <x:t xml:space="preserve">Row</x:t>
        </x:is>
      </x:c>
      <x:c r="D137" s="84" t="inlineStr">
        <x:is>
          <x:t xml:space="preserve">selectable prop behavior</x:t>
        </x:is>
      </x:c>
      <x:c r="E137" s="76" t="inlineStr">
        <x:is>
          <x:t xml:space="preserve">yes</x:t>
        </x:is>
      </x:c>
      <x:c r="F137" s="85" t="inlineStr">
        <x:is>
          <x:t xml:space="preserve">yes</x:t>
        </x:is>
      </x:c>
      <x:c r="G137" s="73" t="inlineStr">
        <x:is>
          <x:t xml:space="preserve">passed manual test</x:t>
        </x:is>
      </x:c>
      <x:c r="H137" s="86" t="inlineStr">
        <x:is>
          <x:t xml:space="preserve">covered</x:t>
        </x:is>
      </x:c>
      <x:c r="I137" s="84" t="inlineStr">
        <x:is>
          <x:t xml:space="preserve">TreeGrid playground; manual-tests/tree-grid.md</x:t>
        </x:is>
      </x:c>
      <x:c r="J137" s="84" t="n"/>
      <x:c r="K137" s="87" t="n">
        <x:f>IF(AND(E137="yes",F137="yes",H137="covered"),1,IF(H137="partial",0.5,0))</x:f>
        <x:v>1</x:v>
      </x:c>
    </x:row>
    <x:row r="138" s="51" customFormat="1" ht="15" customHeight="1">
      <x:c r="A138" s="73" t="n">
        <x:v>130</x:v>
      </x:c>
      <x:c r="B138" s="84" t="inlineStr">
        <x:is>
          <x:t xml:space="preserve">State</x:t>
        </x:is>
      </x:c>
      <x:c r="C138" s="84" t="inlineStr">
        <x:is>
          <x:t xml:space="preserve">Row</x:t>
        </x:is>
      </x:c>
      <x:c r="D138" s="84" t="inlineStr">
        <x:is>
          <x:t xml:space="preserve">disabled prop behavior</x:t>
        </x:is>
      </x:c>
      <x:c r="E138" s="76" t="inlineStr">
        <x:is>
          <x:t xml:space="preserve">yes</x:t>
        </x:is>
      </x:c>
      <x:c r="F138" s="85" t="inlineStr">
        <x:is>
          <x:t xml:space="preserve">yes</x:t>
        </x:is>
      </x:c>
      <x:c r="G138" s="73" t="inlineStr">
        <x:is>
          <x:t xml:space="preserve">passed manual test</x:t>
        </x:is>
      </x:c>
      <x:c r="H138" s="86" t="inlineStr">
        <x:is>
          <x:t xml:space="preserve">covered</x:t>
        </x:is>
      </x:c>
      <x:c r="I138" s="84" t="inlineStr">
        <x:is>
          <x:t xml:space="preserve">TreeGrid playground; manual-tests/tree-grid.md</x:t>
        </x:is>
      </x:c>
      <x:c r="J138" s="84" t="n"/>
      <x:c r="K138" s="87" t="n">
        <x:f>IF(AND(E138="yes",F138="yes",H138="covered"),1,IF(H138="partial",0.5,0))</x:f>
        <x:v>1</x:v>
      </x:c>
    </x:row>
    <x:row r="139" s="51" customFormat="1" ht="15" customHeight="1">
      <x:c r="A139" s="73" t="n">
        <x:v>131</x:v>
      </x:c>
      <x:c r="B139" s="84" t="inlineStr">
        <x:is>
          <x:t xml:space="preserve">Anatomy</x:t>
        </x:is>
      </x:c>
      <x:c r="C139" s="84" t="inlineStr">
        <x:is>
          <x:t xml:space="preserve">RowHeader</x:t>
        </x:is>
      </x:c>
      <x:c r="D139" s="84" t="inlineStr">
        <x:is>
          <x:t xml:space="preserve">renders correct part when expected</x:t>
        </x:is>
      </x:c>
      <x:c r="E139" s="76" t="inlineStr">
        <x:is>
          <x:t xml:space="preserve">yes</x:t>
        </x:is>
      </x:c>
      <x:c r="F139" s="85" t="inlineStr">
        <x:is>
          <x:t xml:space="preserve">yes</x:t>
        </x:is>
      </x:c>
      <x:c r="G139" s="73" t="inlineStr">
        <x:is>
          <x:t xml:space="preserve">passed manual test</x:t>
        </x:is>
      </x:c>
      <x:c r="H139" s="86" t="inlineStr">
        <x:is>
          <x:t xml:space="preserve">covered</x:t>
        </x:is>
      </x:c>
      <x:c r="I139" s="84" t="inlineStr">
        <x:is>
          <x:t xml:space="preserve">TreeGrid playground; manual-tests/tree-grid.md</x:t>
        </x:is>
      </x:c>
      <x:c r="J139" s="84" t="n"/>
      <x:c r="K139" s="87" t="n">
        <x:f>IF(AND(E139="yes",F139="yes",H139="covered"),1,IF(H139="partial",0.5,0))</x:f>
        <x:v>1</x:v>
      </x:c>
    </x:row>
    <x:row r="140" s="51" customFormat="1" ht="15" customHeight="1">
      <x:c r="A140" s="73" t="n">
        <x:v>132</x:v>
      </x:c>
      <x:c r="B140" s="84" t="inlineStr">
        <x:is>
          <x:t xml:space="preserve">Anatomy</x:t>
        </x:is>
      </x:c>
      <x:c r="C140" s="84" t="inlineStr">
        <x:is>
          <x:t xml:space="preserve">RowHeader</x:t>
        </x:is>
      </x:c>
      <x:c r="D140" s="84" t="inlineStr">
        <x:is>
          <x:t xml:space="preserve">appears in documented order</x:t>
        </x:is>
      </x:c>
      <x:c r="E140" s="76" t="inlineStr">
        <x:is>
          <x:t xml:space="preserve">yes</x:t>
        </x:is>
      </x:c>
      <x:c r="F140" s="85" t="inlineStr">
        <x:is>
          <x:t xml:space="preserve">yes</x:t>
        </x:is>
      </x:c>
      <x:c r="G140" s="73" t="inlineStr">
        <x:is>
          <x:t xml:space="preserve">passed manual test</x:t>
        </x:is>
      </x:c>
      <x:c r="H140" s="86" t="inlineStr">
        <x:is>
          <x:t xml:space="preserve">covered</x:t>
        </x:is>
      </x:c>
      <x:c r="I140" s="84" t="inlineStr">
        <x:is>
          <x:t xml:space="preserve">TreeGrid playground; manual-tests/tree-grid.md</x:t>
        </x:is>
      </x:c>
      <x:c r="J140" s="84" t="n"/>
      <x:c r="K140" s="87" t="n">
        <x:f>IF(AND(E140="yes",F140="yes",H140="covered"),1,IF(H140="partial",0.5,0))</x:f>
        <x:v>1</x:v>
      </x:c>
    </x:row>
    <x:row r="141" s="51" customFormat="1" ht="30" customHeight="1">
      <x:c r="A141" s="73" t="n">
        <x:v>133</x:v>
      </x:c>
      <x:c r="B141" s="84" t="inlineStr">
        <x:is>
          <x:t xml:space="preserve">Identity</x:t>
        </x:is>
      </x:c>
      <x:c r="C141" s="84" t="inlineStr">
        <x:is>
          <x:t xml:space="preserve">RowHeader</x:t>
        </x:is>
      </x:c>
      <x:c r="D141" s="84" t="inlineStr">
        <x:is>
          <x:t xml:space="preserve">default tag is visible in Anatomy/Inspector</x:t>
        </x:is>
      </x:c>
      <x:c r="E141" s="76" t="inlineStr">
        <x:is>
          <x:t xml:space="preserve">yes</x:t>
        </x:is>
      </x:c>
      <x:c r="F141" s="85" t="inlineStr">
        <x:is>
          <x:t xml:space="preserve">yes</x:t>
        </x:is>
      </x:c>
      <x:c r="G141" s="73" t="inlineStr">
        <x:is>
          <x:t xml:space="preserve">passed manual test</x:t>
        </x:is>
      </x:c>
      <x:c r="H141" s="86" t="inlineStr">
        <x:is>
          <x:t xml:space="preserve">covered</x:t>
        </x:is>
      </x:c>
      <x:c r="I141" s="84" t="inlineStr">
        <x:is>
          <x:t xml:space="preserve">TreeGrid playground; manual-tests/tree-grid.md</x:t>
        </x:is>
      </x:c>
      <x:c r="J141" s="84" t="n"/>
      <x:c r="K141" s="87" t="n">
        <x:f>IF(AND(E141="yes",F141="yes",H141="covered"),1,IF(H141="partial",0.5,0))</x:f>
        <x:v>1</x:v>
      </x:c>
    </x:row>
    <x:row r="142" s="51" customFormat="1" ht="15" customHeight="1">
      <x:c r="A142" s="73" t="n">
        <x:v>134</x:v>
      </x:c>
      <x:c r="B142" s="84" t="inlineStr">
        <x:is>
          <x:t xml:space="preserve">Identity</x:t>
        </x:is>
      </x:c>
      <x:c r="C142" s="84" t="inlineStr">
        <x:is>
          <x:t xml:space="preserve">RowHeader</x:t>
        </x:is>
      </x:c>
      <x:c r="D142" s="84" t="inlineStr">
        <x:is>
          <x:t xml:space="preserve">data-slot is present and correct</x:t>
        </x:is>
      </x:c>
      <x:c r="E142" s="76" t="inlineStr">
        <x:is>
          <x:t xml:space="preserve">yes</x:t>
        </x:is>
      </x:c>
      <x:c r="F142" s="85" t="inlineStr">
        <x:is>
          <x:t xml:space="preserve">yes</x:t>
        </x:is>
      </x:c>
      <x:c r="G142" s="73" t="inlineStr">
        <x:is>
          <x:t xml:space="preserve">passed manual test</x:t>
        </x:is>
      </x:c>
      <x:c r="H142" s="86" t="inlineStr">
        <x:is>
          <x:t xml:space="preserve">covered</x:t>
        </x:is>
      </x:c>
      <x:c r="I142" s="84" t="inlineStr">
        <x:is>
          <x:t xml:space="preserve">TreeGrid playground; manual-tests/tree-grid.md</x:t>
        </x:is>
      </x:c>
      <x:c r="J142" s="84" t="n"/>
      <x:c r="K142" s="87" t="n">
        <x:f>IF(AND(E142="yes",F142="yes",H142="covered"),1,IF(H142="partial",0.5,0))</x:f>
        <x:v>1</x:v>
      </x:c>
    </x:row>
    <x:row r="143" s="51" customFormat="1" ht="15" customHeight="1">
      <x:c r="A143" s="73" t="n">
        <x:v>135</x:v>
      </x:c>
      <x:c r="B143" s="84" t="inlineStr">
        <x:is>
          <x:t xml:space="preserve">Props</x:t>
        </x:is>
      </x:c>
      <x:c r="C143" s="84" t="inlineStr">
        <x:is>
          <x:t xml:space="preserve">RowHeader</x:t>
        </x:is>
      </x:c>
      <x:c r="D143" s="84" t="inlineStr">
        <x:is>
          <x:t xml:space="preserve">non-Atom native props pass through with data-prop-check marker</x:t>
        </x:is>
      </x:c>
      <x:c r="E143" s="76" t="inlineStr">
        <x:is>
          <x:t xml:space="preserve">yes</x:t>
        </x:is>
      </x:c>
      <x:c r="F143" s="85" t="inlineStr">
        <x:is>
          <x:t xml:space="preserve">yes</x:t>
        </x:is>
      </x:c>
      <x:c r="G143" s="73" t="inlineStr">
        <x:is>
          <x:t xml:space="preserve">passed manual test</x:t>
        </x:is>
      </x:c>
      <x:c r="H143" s="86" t="inlineStr">
        <x:is>
          <x:t xml:space="preserve">covered</x:t>
        </x:is>
      </x:c>
      <x:c r="I143" s="84" t="inlineStr">
        <x:is>
          <x:t xml:space="preserve">TreeGrid playground; manual-tests/tree-grid.md</x:t>
        </x:is>
      </x:c>
      <x:c r="J143" s="84" t="n"/>
      <x:c r="K143" s="87" t="n">
        <x:f>IF(AND(E143="yes",F143="yes",H143="covered"),1,IF(H143="partial",0.5,0))</x:f>
        <x:v>1</x:v>
      </x:c>
    </x:row>
    <x:row r="144" s="51" customFormat="1" ht="15" customHeight="1">
      <x:c r="A144" s="73" t="n">
        <x:v>136</x:v>
      </x:c>
      <x:c r="B144" s="84" t="inlineStr">
        <x:is>
          <x:t xml:space="preserve">Refs</x:t>
        </x:is>
      </x:c>
      <x:c r="C144" s="84" t="inlineStr">
        <x:is>
          <x:t xml:space="preserve">RowHeader</x:t>
        </x:is>
      </x:c>
      <x:c r="D144" s="84" t="inlineStr">
        <x:is>
          <x:t xml:space="preserve">consumer ref receives the rendered element</x:t>
        </x:is>
      </x:c>
      <x:c r="E144" s="76" t="inlineStr">
        <x:is>
          <x:t xml:space="preserve">yes</x:t>
        </x:is>
      </x:c>
      <x:c r="F144" s="85" t="inlineStr">
        <x:is>
          <x:t xml:space="preserve">yes</x:t>
        </x:is>
      </x:c>
      <x:c r="G144" s="73" t="inlineStr">
        <x:is>
          <x:t xml:space="preserve">passed manual test</x:t>
        </x:is>
      </x:c>
      <x:c r="H144" s="86" t="inlineStr">
        <x:is>
          <x:t xml:space="preserve">covered</x:t>
        </x:is>
      </x:c>
      <x:c r="I144" s="84" t="inlineStr">
        <x:is>
          <x:t xml:space="preserve">TreeGrid playground; manual-tests/tree-grid.md</x:t>
        </x:is>
      </x:c>
      <x:c r="J144" s="84" t="n"/>
      <x:c r="K144" s="87" t="n">
        <x:f>IF(AND(E144="yes",F144="yes",H144="covered"),1,IF(H144="partial",0.5,0))</x:f>
        <x:v>1</x:v>
      </x:c>
    </x:row>
    <x:row r="145" s="51" customFormat="1" ht="15" customHeight="1">
      <x:c r="A145" s="73" t="n">
        <x:v>137</x:v>
      </x:c>
      <x:c r="B145" s="84" t="inlineStr">
        <x:is>
          <x:t xml:space="preserve">ARIA</x:t>
        </x:is>
      </x:c>
      <x:c r="C145" s="84" t="inlineStr">
        <x:is>
          <x:t xml:space="preserve">Live DOM</x:t>
        </x:is>
      </x:c>
      <x:c r="D145" s="84" t="inlineStr">
        <x:is>
          <x:t xml:space="preserve">aria-activedescendant is present at the correct time</x:t>
        </x:is>
      </x:c>
      <x:c r="E145" s="76" t="inlineStr">
        <x:is>
          <x:t xml:space="preserve">yes</x:t>
        </x:is>
      </x:c>
      <x:c r="F145" s="85" t="inlineStr">
        <x:is>
          <x:t xml:space="preserve">yes</x:t>
        </x:is>
      </x:c>
      <x:c r="G145" s="73" t="inlineStr">
        <x:is>
          <x:t xml:space="preserve">passed manual test</x:t>
        </x:is>
      </x:c>
      <x:c r="H145" s="86" t="inlineStr">
        <x:is>
          <x:t xml:space="preserve">covered</x:t>
        </x:is>
      </x:c>
      <x:c r="I145" s="84" t="inlineStr">
        <x:is>
          <x:t xml:space="preserve">TreeGrid playground; manual-tests/tree-grid.md</x:t>
        </x:is>
      </x:c>
      <x:c r="J145" s="84" t="n"/>
      <x:c r="K145" s="87" t="n">
        <x:f>IF(AND(E145="yes",F145="yes",H145="covered"),1,IF(H145="partial",0.5,0))</x:f>
        <x:v>1</x:v>
      </x:c>
    </x:row>
    <x:row r="146" s="51" customFormat="1" ht="15" customHeight="1">
      <x:c r="A146" s="73" t="n">
        <x:v>138</x:v>
      </x:c>
      <x:c r="B146" s="84" t="inlineStr">
        <x:is>
          <x:t xml:space="preserve">ARIA</x:t>
        </x:is>
      </x:c>
      <x:c r="C146" s="84" t="inlineStr">
        <x:is>
          <x:t xml:space="preserve">Live DOM</x:t>
        </x:is>
      </x:c>
      <x:c r="D146" s="84" t="inlineStr">
        <x:is>
          <x:t xml:space="preserve">aria-colcount is present at the correct time</x:t>
        </x:is>
      </x:c>
      <x:c r="E146" s="76" t="inlineStr">
        <x:is>
          <x:t xml:space="preserve">yes</x:t>
        </x:is>
      </x:c>
      <x:c r="F146" s="85" t="inlineStr">
        <x:is>
          <x:t xml:space="preserve">yes</x:t>
        </x:is>
      </x:c>
      <x:c r="G146" s="73" t="inlineStr">
        <x:is>
          <x:t xml:space="preserve">passed manual test</x:t>
        </x:is>
      </x:c>
      <x:c r="H146" s="86" t="inlineStr">
        <x:is>
          <x:t xml:space="preserve">covered</x:t>
        </x:is>
      </x:c>
      <x:c r="I146" s="84" t="inlineStr">
        <x:is>
          <x:t xml:space="preserve">TreeGrid playground; manual-tests/tree-grid.md</x:t>
        </x:is>
      </x:c>
      <x:c r="J146" s="84" t="n"/>
      <x:c r="K146" s="87" t="n">
        <x:f>IF(AND(E146="yes",F146="yes",H146="covered"),1,IF(H146="partial",0.5,0))</x:f>
        <x:v>1</x:v>
      </x:c>
    </x:row>
    <x:row r="147" s="51" customFormat="1" ht="15" customHeight="1">
      <x:c r="A147" s="73" t="n">
        <x:v>139</x:v>
      </x:c>
      <x:c r="B147" s="84" t="inlineStr">
        <x:is>
          <x:t xml:space="preserve">ARIA</x:t>
        </x:is>
      </x:c>
      <x:c r="C147" s="84" t="inlineStr">
        <x:is>
          <x:t xml:space="preserve">Live DOM</x:t>
        </x:is>
      </x:c>
      <x:c r="D147" s="84" t="inlineStr">
        <x:is>
          <x:t xml:space="preserve">aria-colindex is present at the correct time</x:t>
        </x:is>
      </x:c>
      <x:c r="E147" s="76" t="inlineStr">
        <x:is>
          <x:t xml:space="preserve">yes</x:t>
        </x:is>
      </x:c>
      <x:c r="F147" s="85" t="inlineStr">
        <x:is>
          <x:t xml:space="preserve">yes</x:t>
        </x:is>
      </x:c>
      <x:c r="G147" s="73" t="inlineStr">
        <x:is>
          <x:t xml:space="preserve">passed manual test</x:t>
        </x:is>
      </x:c>
      <x:c r="H147" s="86" t="inlineStr">
        <x:is>
          <x:t xml:space="preserve">covered</x:t>
        </x:is>
      </x:c>
      <x:c r="I147" s="84" t="inlineStr">
        <x:is>
          <x:t xml:space="preserve">TreeGrid playground; manual-tests/tree-grid.md</x:t>
        </x:is>
      </x:c>
      <x:c r="J147" s="84" t="n"/>
      <x:c r="K147" s="87" t="n">
        <x:f>IF(AND(E147="yes",F147="yes",H147="covered"),1,IF(H147="partial",0.5,0))</x:f>
        <x:v>1</x:v>
      </x:c>
    </x:row>
    <x:row r="148" s="51" customFormat="1" ht="15" customHeight="1">
      <x:c r="A148" s="73" t="n">
        <x:v>140</x:v>
      </x:c>
      <x:c r="B148" s="84" t="inlineStr">
        <x:is>
          <x:t xml:space="preserve">ARIA</x:t>
        </x:is>
      </x:c>
      <x:c r="C148" s="84" t="inlineStr">
        <x:is>
          <x:t xml:space="preserve">Live DOM</x:t>
        </x:is>
      </x:c>
      <x:c r="D148" s="84" t="inlineStr">
        <x:is>
          <x:t xml:space="preserve">aria-disabled is present at the correct time</x:t>
        </x:is>
      </x:c>
      <x:c r="E148" s="76" t="inlineStr">
        <x:is>
          <x:t xml:space="preserve">yes</x:t>
        </x:is>
      </x:c>
      <x:c r="F148" s="85" t="inlineStr">
        <x:is>
          <x:t xml:space="preserve">yes</x:t>
        </x:is>
      </x:c>
      <x:c r="G148" s="73" t="inlineStr">
        <x:is>
          <x:t xml:space="preserve">passed manual test</x:t>
        </x:is>
      </x:c>
      <x:c r="H148" s="86" t="inlineStr">
        <x:is>
          <x:t xml:space="preserve">covered</x:t>
        </x:is>
      </x:c>
      <x:c r="I148" s="84" t="inlineStr">
        <x:is>
          <x:t xml:space="preserve">TreeGrid playground; manual-tests/tree-grid.md</x:t>
        </x:is>
      </x:c>
      <x:c r="J148" s="84" t="n"/>
      <x:c r="K148" s="87" t="n">
        <x:f>IF(AND(E148="yes",F148="yes",H148="covered"),1,IF(H148="partial",0.5,0))</x:f>
        <x:v>1</x:v>
      </x:c>
    </x:row>
    <x:row r="149" s="51" customFormat="1" ht="15" customHeight="1">
      <x:c r="A149" s="73" t="n">
        <x:v>141</x:v>
      </x:c>
      <x:c r="B149" s="84" t="inlineStr">
        <x:is>
          <x:t xml:space="preserve">ARIA</x:t>
        </x:is>
      </x:c>
      <x:c r="C149" s="84" t="inlineStr">
        <x:is>
          <x:t xml:space="preserve">Live DOM</x:t>
        </x:is>
      </x:c>
      <x:c r="D149" s="84" t="inlineStr">
        <x:is>
          <x:t xml:space="preserve">aria-expanded is present at the correct time</x:t>
        </x:is>
      </x:c>
      <x:c r="E149" s="76" t="inlineStr">
        <x:is>
          <x:t xml:space="preserve">yes</x:t>
        </x:is>
      </x:c>
      <x:c r="F149" s="85" t="inlineStr">
        <x:is>
          <x:t xml:space="preserve">yes</x:t>
        </x:is>
      </x:c>
      <x:c r="G149" s="73" t="inlineStr">
        <x:is>
          <x:t xml:space="preserve">passed manual test</x:t>
        </x:is>
      </x:c>
      <x:c r="H149" s="86" t="inlineStr">
        <x:is>
          <x:t xml:space="preserve">covered</x:t>
        </x:is>
      </x:c>
      <x:c r="I149" s="84" t="inlineStr">
        <x:is>
          <x:t xml:space="preserve">TreeGrid playground; manual-tests/tree-grid.md</x:t>
        </x:is>
      </x:c>
      <x:c r="J149" s="84" t="n"/>
      <x:c r="K149" s="87" t="n">
        <x:f>IF(AND(E149="yes",F149="yes",H149="covered"),1,IF(H149="partial",0.5,0))</x:f>
        <x:v>1</x:v>
      </x:c>
    </x:row>
    <x:row r="150" s="51" customFormat="1" ht="15" customHeight="1">
      <x:c r="A150" s="73" t="n">
        <x:v>142</x:v>
      </x:c>
      <x:c r="B150" s="84" t="inlineStr">
        <x:is>
          <x:t xml:space="preserve">ARIA</x:t>
        </x:is>
      </x:c>
      <x:c r="C150" s="84" t="inlineStr">
        <x:is>
          <x:t xml:space="preserve">Live DOM</x:t>
        </x:is>
      </x:c>
      <x:c r="D150" s="84" t="inlineStr">
        <x:is>
          <x:t xml:space="preserve">aria-hidden is present at the correct time</x:t>
        </x:is>
      </x:c>
      <x:c r="E150" s="76" t="inlineStr">
        <x:is>
          <x:t xml:space="preserve">yes</x:t>
        </x:is>
      </x:c>
      <x:c r="F150" s="85" t="inlineStr">
        <x:is>
          <x:t xml:space="preserve">yes</x:t>
        </x:is>
      </x:c>
      <x:c r="G150" s="73" t="inlineStr">
        <x:is>
          <x:t xml:space="preserve">passed manual test</x:t>
        </x:is>
      </x:c>
      <x:c r="H150" s="86" t="inlineStr">
        <x:is>
          <x:t xml:space="preserve">covered</x:t>
        </x:is>
      </x:c>
      <x:c r="I150" s="84" t="inlineStr">
        <x:is>
          <x:t xml:space="preserve">TreeGrid playground; manual-tests/tree-grid.md</x:t>
        </x:is>
      </x:c>
      <x:c r="J150" s="84" t="n"/>
      <x:c r="K150" s="87" t="n">
        <x:f>IF(AND(E150="yes",F150="yes",H150="covered"),1,IF(H150="partial",0.5,0))</x:f>
        <x:v>1</x:v>
      </x:c>
    </x:row>
    <x:row r="151" s="51" customFormat="1" ht="15" customHeight="1">
      <x:c r="A151" s="73" t="n">
        <x:v>143</x:v>
      </x:c>
      <x:c r="B151" s="84" t="inlineStr">
        <x:is>
          <x:t xml:space="preserve">ARIA</x:t>
        </x:is>
      </x:c>
      <x:c r="C151" s="84" t="inlineStr">
        <x:is>
          <x:t xml:space="preserve">Live DOM</x:t>
        </x:is>
      </x:c>
      <x:c r="D151" s="84" t="inlineStr">
        <x:is>
          <x:t xml:space="preserve">aria-level is present at the correct time</x:t>
        </x:is>
      </x:c>
      <x:c r="E151" s="76" t="inlineStr">
        <x:is>
          <x:t xml:space="preserve">yes</x:t>
        </x:is>
      </x:c>
      <x:c r="F151" s="85" t="inlineStr">
        <x:is>
          <x:t xml:space="preserve">yes</x:t>
        </x:is>
      </x:c>
      <x:c r="G151" s="73" t="inlineStr">
        <x:is>
          <x:t xml:space="preserve">passed manual test</x:t>
        </x:is>
      </x:c>
      <x:c r="H151" s="86" t="inlineStr">
        <x:is>
          <x:t xml:space="preserve">covered</x:t>
        </x:is>
      </x:c>
      <x:c r="I151" s="84" t="inlineStr">
        <x:is>
          <x:t xml:space="preserve">TreeGrid playground; manual-tests/tree-grid.md</x:t>
        </x:is>
      </x:c>
      <x:c r="J151" s="84" t="n"/>
      <x:c r="K151" s="87" t="n">
        <x:f>IF(AND(E151="yes",F151="yes",H151="covered"),1,IF(H151="partial",0.5,0))</x:f>
        <x:v>1</x:v>
      </x:c>
    </x:row>
    <x:row r="152" s="51" customFormat="1" ht="15" customHeight="1">
      <x:c r="A152" s="73" t="n">
        <x:v>144</x:v>
      </x:c>
      <x:c r="B152" s="84" t="inlineStr">
        <x:is>
          <x:t xml:space="preserve">ARIA</x:t>
        </x:is>
      </x:c>
      <x:c r="C152" s="84" t="inlineStr">
        <x:is>
          <x:t xml:space="preserve">Live DOM</x:t>
        </x:is>
      </x:c>
      <x:c r="D152" s="84" t="inlineStr">
        <x:is>
          <x:t xml:space="preserve">aria-multiselectable is present at the correct time</x:t>
        </x:is>
      </x:c>
      <x:c r="E152" s="76" t="inlineStr">
        <x:is>
          <x:t xml:space="preserve">yes</x:t>
        </x:is>
      </x:c>
      <x:c r="F152" s="85" t="inlineStr">
        <x:is>
          <x:t xml:space="preserve">yes</x:t>
        </x:is>
      </x:c>
      <x:c r="G152" s="73" t="inlineStr">
        <x:is>
          <x:t xml:space="preserve">passed manual test</x:t>
        </x:is>
      </x:c>
      <x:c r="H152" s="86" t="inlineStr">
        <x:is>
          <x:t xml:space="preserve">covered</x:t>
        </x:is>
      </x:c>
      <x:c r="I152" s="84" t="inlineStr">
        <x:is>
          <x:t xml:space="preserve">TreeGrid playground; manual-tests/tree-grid.md</x:t>
        </x:is>
      </x:c>
      <x:c r="J152" s="84" t="n"/>
      <x:c r="K152" s="87" t="n">
        <x:f>IF(AND(E152="yes",F152="yes",H152="covered"),1,IF(H152="partial",0.5,0))</x:f>
        <x:v>1</x:v>
      </x:c>
    </x:row>
    <x:row r="153" s="51" customFormat="1" ht="15" customHeight="1">
      <x:c r="A153" s="73" t="n">
        <x:v>145</x:v>
      </x:c>
      <x:c r="B153" s="84" t="inlineStr">
        <x:is>
          <x:t xml:space="preserve">ARIA</x:t>
        </x:is>
      </x:c>
      <x:c r="C153" s="84" t="inlineStr">
        <x:is>
          <x:t xml:space="preserve">Live DOM</x:t>
        </x:is>
      </x:c>
      <x:c r="D153" s="84" t="inlineStr">
        <x:is>
          <x:t xml:space="preserve">aria-readonly is present at the correct time</x:t>
        </x:is>
      </x:c>
      <x:c r="E153" s="76" t="inlineStr">
        <x:is>
          <x:t xml:space="preserve">yes</x:t>
        </x:is>
      </x:c>
      <x:c r="F153" s="85" t="inlineStr">
        <x:is>
          <x:t xml:space="preserve">yes</x:t>
        </x:is>
      </x:c>
      <x:c r="G153" s="73" t="inlineStr">
        <x:is>
          <x:t xml:space="preserve">passed manual test</x:t>
        </x:is>
      </x:c>
      <x:c r="H153" s="86" t="inlineStr">
        <x:is>
          <x:t xml:space="preserve">covered</x:t>
        </x:is>
      </x:c>
      <x:c r="I153" s="84" t="inlineStr">
        <x:is>
          <x:t xml:space="preserve">TreeGrid playground; manual-tests/tree-grid.md</x:t>
        </x:is>
      </x:c>
      <x:c r="J153" s="84" t="n"/>
      <x:c r="K153" s="87" t="n">
        <x:f>IF(AND(E153="yes",F153="yes",H153="covered"),1,IF(H153="partial",0.5,0))</x:f>
        <x:v>1</x:v>
      </x:c>
    </x:row>
    <x:row r="154" s="51" customFormat="1" ht="15" customHeight="1">
      <x:c r="A154" s="73" t="n">
        <x:v>146</x:v>
      </x:c>
      <x:c r="B154" s="84" t="inlineStr">
        <x:is>
          <x:t xml:space="preserve">ARIA</x:t>
        </x:is>
      </x:c>
      <x:c r="C154" s="84" t="inlineStr">
        <x:is>
          <x:t xml:space="preserve">Live DOM</x:t>
        </x:is>
      </x:c>
      <x:c r="D154" s="84" t="inlineStr">
        <x:is>
          <x:t xml:space="preserve">aria-rowcount is present at the correct time</x:t>
        </x:is>
      </x:c>
      <x:c r="E154" s="76" t="inlineStr">
        <x:is>
          <x:t xml:space="preserve">yes</x:t>
        </x:is>
      </x:c>
      <x:c r="F154" s="85" t="inlineStr">
        <x:is>
          <x:t xml:space="preserve">yes</x:t>
        </x:is>
      </x:c>
      <x:c r="G154" s="73" t="inlineStr">
        <x:is>
          <x:t xml:space="preserve">passed manual test</x:t>
        </x:is>
      </x:c>
      <x:c r="H154" s="86" t="inlineStr">
        <x:is>
          <x:t xml:space="preserve">covered</x:t>
        </x:is>
      </x:c>
      <x:c r="I154" s="84" t="inlineStr">
        <x:is>
          <x:t xml:space="preserve">TreeGrid playground; manual-tests/tree-grid.md</x:t>
        </x:is>
      </x:c>
      <x:c r="J154" s="84" t="n"/>
      <x:c r="K154" s="87" t="n">
        <x:f>IF(AND(E154="yes",F154="yes",H154="covered"),1,IF(H154="partial",0.5,0))</x:f>
        <x:v>1</x:v>
      </x:c>
    </x:row>
    <x:row r="155" s="51" customFormat="1" ht="15" customHeight="1">
      <x:c r="A155" s="73" t="n">
        <x:v>147</x:v>
      </x:c>
      <x:c r="B155" s="84" t="inlineStr">
        <x:is>
          <x:t xml:space="preserve">ARIA</x:t>
        </x:is>
      </x:c>
      <x:c r="C155" s="84" t="inlineStr">
        <x:is>
          <x:t xml:space="preserve">Live DOM</x:t>
        </x:is>
      </x:c>
      <x:c r="D155" s="84" t="inlineStr">
        <x:is>
          <x:t xml:space="preserve">aria-rowindex is present at the correct time</x:t>
        </x:is>
      </x:c>
      <x:c r="E155" s="76" t="inlineStr">
        <x:is>
          <x:t xml:space="preserve">yes</x:t>
        </x:is>
      </x:c>
      <x:c r="F155" s="85" t="inlineStr">
        <x:is>
          <x:t xml:space="preserve">yes</x:t>
        </x:is>
      </x:c>
      <x:c r="G155" s="73" t="inlineStr">
        <x:is>
          <x:t xml:space="preserve">passed manual test</x:t>
        </x:is>
      </x:c>
      <x:c r="H155" s="86" t="inlineStr">
        <x:is>
          <x:t xml:space="preserve">covered</x:t>
        </x:is>
      </x:c>
      <x:c r="I155" s="84" t="inlineStr">
        <x:is>
          <x:t xml:space="preserve">TreeGrid playground; manual-tests/tree-grid.md</x:t>
        </x:is>
      </x:c>
      <x:c r="J155" s="84" t="n"/>
      <x:c r="K155" s="87" t="n">
        <x:f>IF(AND(E155="yes",F155="yes",H155="covered"),1,IF(H155="partial",0.5,0))</x:f>
        <x:v>1</x:v>
      </x:c>
    </x:row>
    <x:row r="156" s="51" customFormat="1" ht="15" customHeight="1">
      <x:c r="A156" s="73" t="n">
        <x:v>148</x:v>
      </x:c>
      <x:c r="B156" s="84" t="inlineStr">
        <x:is>
          <x:t xml:space="preserve">ARIA</x:t>
        </x:is>
      </x:c>
      <x:c r="C156" s="84" t="inlineStr">
        <x:is>
          <x:t xml:space="preserve">Live DOM</x:t>
        </x:is>
      </x:c>
      <x:c r="D156" s="84" t="inlineStr">
        <x:is>
          <x:t xml:space="preserve">aria-selected is present at the correct time</x:t>
        </x:is>
      </x:c>
      <x:c r="E156" s="76" t="inlineStr">
        <x:is>
          <x:t xml:space="preserve">yes</x:t>
        </x:is>
      </x:c>
      <x:c r="F156" s="85" t="inlineStr">
        <x:is>
          <x:t xml:space="preserve">yes</x:t>
        </x:is>
      </x:c>
      <x:c r="G156" s="73" t="inlineStr">
        <x:is>
          <x:t xml:space="preserve">passed manual test</x:t>
        </x:is>
      </x:c>
      <x:c r="H156" s="86" t="inlineStr">
        <x:is>
          <x:t xml:space="preserve">covered</x:t>
        </x:is>
      </x:c>
      <x:c r="I156" s="84" t="inlineStr">
        <x:is>
          <x:t xml:space="preserve">TreeGrid playground; manual-tests/tree-grid.md</x:t>
        </x:is>
      </x:c>
      <x:c r="J156" s="84" t="n"/>
      <x:c r="K156" s="87" t="n">
        <x:f>IF(AND(E156="yes",F156="yes",H156="covered"),1,IF(H156="partial",0.5,0))</x:f>
        <x:v>1</x:v>
      </x:c>
    </x:row>
    <x:row r="157" s="51" customFormat="1" ht="15" customHeight="1">
      <x:c r="A157" s="73" t="n">
        <x:v>149</x:v>
      </x:c>
      <x:c r="B157" s="84" t="inlineStr">
        <x:is>
          <x:t xml:space="preserve">ARIA</x:t>
        </x:is>
      </x:c>
      <x:c r="C157" s="84" t="inlineStr">
        <x:is>
          <x:t xml:space="preserve">Live DOM</x:t>
        </x:is>
      </x:c>
      <x:c r="D157" s="84" t="inlineStr">
        <x:is>
          <x:t xml:space="preserve">aria-sort is present at the correct time</x:t>
        </x:is>
      </x:c>
      <x:c r="E157" s="76" t="inlineStr">
        <x:is>
          <x:t xml:space="preserve">yes</x:t>
        </x:is>
      </x:c>
      <x:c r="F157" s="85" t="inlineStr">
        <x:is>
          <x:t xml:space="preserve">yes</x:t>
        </x:is>
      </x:c>
      <x:c r="G157" s="73" t="inlineStr">
        <x:is>
          <x:t xml:space="preserve">passed manual test</x:t>
        </x:is>
      </x:c>
      <x:c r="H157" s="86" t="inlineStr">
        <x:is>
          <x:t xml:space="preserve">covered</x:t>
        </x:is>
      </x:c>
      <x:c r="I157" s="84" t="inlineStr">
        <x:is>
          <x:t xml:space="preserve">TreeGrid playground; manual-tests/tree-grid.md</x:t>
        </x:is>
      </x:c>
      <x:c r="J157" s="84" t="n"/>
      <x:c r="K157" s="87" t="n">
        <x:f>IF(AND(E157="yes",F157="yes",H157="covered"),1,IF(H157="partial",0.5,0))</x:f>
        <x:v>1</x:v>
      </x:c>
    </x:row>
    <x:row r="158" s="51" customFormat="1" ht="15" customHeight="1">
      <x:c r="A158" s="73" t="n">
        <x:v>150</x:v>
      </x:c>
      <x:c r="B158" s="84" t="inlineStr">
        <x:is>
          <x:t xml:space="preserve">Data</x:t>
        </x:is>
      </x:c>
      <x:c r="C158" s="84" t="inlineStr">
        <x:is>
          <x:t xml:space="preserve">Live DOM</x:t>
        </x:is>
      </x:c>
      <x:c r="D158" s="84" t="inlineStr">
        <x:is>
          <x:t xml:space="preserve">data-active is present at the correct time</x:t>
        </x:is>
      </x:c>
      <x:c r="E158" s="76" t="inlineStr">
        <x:is>
          <x:t xml:space="preserve">yes</x:t>
        </x:is>
      </x:c>
      <x:c r="F158" s="85" t="inlineStr">
        <x:is>
          <x:t xml:space="preserve">yes</x:t>
        </x:is>
      </x:c>
      <x:c r="G158" s="73" t="inlineStr">
        <x:is>
          <x:t xml:space="preserve">passed manual test</x:t>
        </x:is>
      </x:c>
      <x:c r="H158" s="86" t="inlineStr">
        <x:is>
          <x:t xml:space="preserve">covered</x:t>
        </x:is>
      </x:c>
      <x:c r="I158" s="84" t="inlineStr">
        <x:is>
          <x:t xml:space="preserve">TreeGrid playground; manual-tests/tree-grid.md</x:t>
        </x:is>
      </x:c>
      <x:c r="J158" s="84" t="n"/>
      <x:c r="K158" s="87" t="n">
        <x:f>IF(AND(E158="yes",F158="yes",H158="covered"),1,IF(H158="partial",0.5,0))</x:f>
        <x:v>1</x:v>
      </x:c>
    </x:row>
    <x:row r="159" s="51" customFormat="1" ht="15" customHeight="1">
      <x:c r="A159" s="73" t="n">
        <x:v>151</x:v>
      </x:c>
      <x:c r="B159" s="84" t="inlineStr">
        <x:is>
          <x:t xml:space="preserve">Data</x:t>
        </x:is>
      </x:c>
      <x:c r="C159" s="84" t="inlineStr">
        <x:is>
          <x:t xml:space="preserve">Live DOM</x:t>
        </x:is>
      </x:c>
      <x:c r="D159" s="84" t="inlineStr">
        <x:is>
          <x:t xml:space="preserve">data-column-count is present at the correct time</x:t>
        </x:is>
      </x:c>
      <x:c r="E159" s="76" t="inlineStr">
        <x:is>
          <x:t xml:space="preserve">yes</x:t>
        </x:is>
      </x:c>
      <x:c r="F159" s="85" t="inlineStr">
        <x:is>
          <x:t xml:space="preserve">yes</x:t>
        </x:is>
      </x:c>
      <x:c r="G159" s="73" t="inlineStr">
        <x:is>
          <x:t xml:space="preserve">passed manual test</x:t>
        </x:is>
      </x:c>
      <x:c r="H159" s="86" t="inlineStr">
        <x:is>
          <x:t xml:space="preserve">covered</x:t>
        </x:is>
      </x:c>
      <x:c r="I159" s="84" t="inlineStr">
        <x:is>
          <x:t xml:space="preserve">TreeGrid playground; manual-tests/tree-grid.md</x:t>
        </x:is>
      </x:c>
      <x:c r="J159" s="84" t="n"/>
      <x:c r="K159" s="87" t="n">
        <x:f>IF(AND(E159="yes",F159="yes",H159="covered"),1,IF(H159="partial",0.5,0))</x:f>
        <x:v>1</x:v>
      </x:c>
    </x:row>
    <x:row r="160" s="51" customFormat="1" ht="15" customHeight="1">
      <x:c r="A160" s="73" t="n">
        <x:v>152</x:v>
      </x:c>
      <x:c r="B160" s="84" t="inlineStr">
        <x:is>
          <x:t xml:space="preserve">Data</x:t>
        </x:is>
      </x:c>
      <x:c r="C160" s="84" t="inlineStr">
        <x:is>
          <x:t xml:space="preserve">Live DOM</x:t>
        </x:is>
      </x:c>
      <x:c r="D160" s="84" t="inlineStr">
        <x:is>
          <x:t xml:space="preserve">data-column-index is present at the correct time</x:t>
        </x:is>
      </x:c>
      <x:c r="E160" s="76" t="inlineStr">
        <x:is>
          <x:t xml:space="preserve">yes</x:t>
        </x:is>
      </x:c>
      <x:c r="F160" s="85" t="inlineStr">
        <x:is>
          <x:t xml:space="preserve">yes</x:t>
        </x:is>
      </x:c>
      <x:c r="G160" s="73" t="inlineStr">
        <x:is>
          <x:t xml:space="preserve">passed manual test</x:t>
        </x:is>
      </x:c>
      <x:c r="H160" s="86" t="inlineStr">
        <x:is>
          <x:t xml:space="preserve">covered</x:t>
        </x:is>
      </x:c>
      <x:c r="I160" s="84" t="inlineStr">
        <x:is>
          <x:t xml:space="preserve">TreeGrid playground; manual-tests/tree-grid.md</x:t>
        </x:is>
      </x:c>
      <x:c r="J160" s="84" t="n"/>
      <x:c r="K160" s="87" t="n">
        <x:f>IF(AND(E160="yes",F160="yes",H160="covered"),1,IF(H160="partial",0.5,0))</x:f>
        <x:v>1</x:v>
      </x:c>
    </x:row>
    <x:row r="161" s="51" customFormat="1" ht="15" customHeight="1">
      <x:c r="A161" s="73" t="n">
        <x:v>153</x:v>
      </x:c>
      <x:c r="B161" s="84" t="inlineStr">
        <x:is>
          <x:t xml:space="preserve">Data</x:t>
        </x:is>
      </x:c>
      <x:c r="C161" s="84" t="inlineStr">
        <x:is>
          <x:t xml:space="preserve">Live DOM</x:t>
        </x:is>
      </x:c>
      <x:c r="D161" s="84" t="inlineStr">
        <x:is>
          <x:t xml:space="preserve">data-disabled is present at the correct time</x:t>
        </x:is>
      </x:c>
      <x:c r="E161" s="76" t="inlineStr">
        <x:is>
          <x:t xml:space="preserve">yes</x:t>
        </x:is>
      </x:c>
      <x:c r="F161" s="85" t="inlineStr">
        <x:is>
          <x:t xml:space="preserve">yes</x:t>
        </x:is>
      </x:c>
      <x:c r="G161" s="73" t="inlineStr">
        <x:is>
          <x:t xml:space="preserve">passed manual test</x:t>
        </x:is>
      </x:c>
      <x:c r="H161" s="86" t="inlineStr">
        <x:is>
          <x:t xml:space="preserve">covered</x:t>
        </x:is>
      </x:c>
      <x:c r="I161" s="84" t="inlineStr">
        <x:is>
          <x:t xml:space="preserve">TreeGrid playground; manual-tests/tree-grid.md</x:t>
        </x:is>
      </x:c>
      <x:c r="J161" s="84" t="n"/>
      <x:c r="K161" s="87" t="n">
        <x:f>IF(AND(E161="yes",F161="yes",H161="covered"),1,IF(H161="partial",0.5,0))</x:f>
        <x:v>1</x:v>
      </x:c>
    </x:row>
    <x:row r="162" s="51" customFormat="1" ht="15" customHeight="1">
      <x:c r="A162" s="73" t="n">
        <x:v>154</x:v>
      </x:c>
      <x:c r="B162" s="84" t="inlineStr">
        <x:is>
          <x:t xml:space="preserve">Data</x:t>
        </x:is>
      </x:c>
      <x:c r="C162" s="84" t="inlineStr">
        <x:is>
          <x:t xml:space="preserve">Live DOM</x:t>
        </x:is>
      </x:c>
      <x:c r="D162" s="84" t="inlineStr">
        <x:is>
          <x:t xml:space="preserve">data-expandable is present at the correct time</x:t>
        </x:is>
      </x:c>
      <x:c r="E162" s="76" t="inlineStr">
        <x:is>
          <x:t xml:space="preserve">yes</x:t>
        </x:is>
      </x:c>
      <x:c r="F162" s="85" t="inlineStr">
        <x:is>
          <x:t xml:space="preserve">yes</x:t>
        </x:is>
      </x:c>
      <x:c r="G162" s="73" t="inlineStr">
        <x:is>
          <x:t xml:space="preserve">passed manual test</x:t>
        </x:is>
      </x:c>
      <x:c r="H162" s="86" t="inlineStr">
        <x:is>
          <x:t xml:space="preserve">covered</x:t>
        </x:is>
      </x:c>
      <x:c r="I162" s="84" t="inlineStr">
        <x:is>
          <x:t xml:space="preserve">TreeGrid playground; manual-tests/tree-grid.md</x:t>
        </x:is>
      </x:c>
      <x:c r="J162" s="84" t="n"/>
      <x:c r="K162" s="87" t="n">
        <x:f>IF(AND(E162="yes",F162="yes",H162="covered"),1,IF(H162="partial",0.5,0))</x:f>
        <x:v>1</x:v>
      </x:c>
    </x:row>
    <x:row r="163" s="51" customFormat="1" ht="15" customHeight="1">
      <x:c r="A163" s="73" t="n">
        <x:v>155</x:v>
      </x:c>
      <x:c r="B163" s="84" t="inlineStr">
        <x:is>
          <x:t xml:space="preserve">Data</x:t>
        </x:is>
      </x:c>
      <x:c r="C163" s="84" t="inlineStr">
        <x:is>
          <x:t xml:space="preserve">Live DOM</x:t>
        </x:is>
      </x:c>
      <x:c r="D163" s="84" t="inlineStr">
        <x:is>
          <x:t xml:space="preserve">data-expanded is present at the correct time</x:t>
        </x:is>
      </x:c>
      <x:c r="E163" s="76" t="inlineStr">
        <x:is>
          <x:t xml:space="preserve">yes</x:t>
        </x:is>
      </x:c>
      <x:c r="F163" s="85" t="inlineStr">
        <x:is>
          <x:t xml:space="preserve">yes</x:t>
        </x:is>
      </x:c>
      <x:c r="G163" s="73" t="inlineStr">
        <x:is>
          <x:t xml:space="preserve">passed manual test</x:t>
        </x:is>
      </x:c>
      <x:c r="H163" s="86" t="inlineStr">
        <x:is>
          <x:t xml:space="preserve">covered</x:t>
        </x:is>
      </x:c>
      <x:c r="I163" s="84" t="inlineStr">
        <x:is>
          <x:t xml:space="preserve">TreeGrid playground; manual-tests/tree-grid.md</x:t>
        </x:is>
      </x:c>
      <x:c r="J163" s="84" t="n"/>
      <x:c r="K163" s="87" t="n">
        <x:f>IF(AND(E163="yes",F163="yes",H163="covered"),1,IF(H163="partial",0.5,0))</x:f>
        <x:v>1</x:v>
      </x:c>
    </x:row>
    <x:row r="164" s="51" customFormat="1" ht="15" customHeight="1">
      <x:c r="A164" s="73" t="n">
        <x:v>156</x:v>
      </x:c>
      <x:c r="B164" s="84" t="inlineStr">
        <x:is>
          <x:t xml:space="preserve">Data</x:t>
        </x:is>
      </x:c>
      <x:c r="C164" s="84" t="inlineStr">
        <x:is>
          <x:t xml:space="preserve">Live DOM</x:t>
        </x:is>
      </x:c>
      <x:c r="D164" s="84" t="inlineStr">
        <x:is>
          <x:t xml:space="preserve">data-focused is present at the correct time</x:t>
        </x:is>
      </x:c>
      <x:c r="E164" s="76" t="inlineStr">
        <x:is>
          <x:t xml:space="preserve">yes</x:t>
        </x:is>
      </x:c>
      <x:c r="F164" s="85" t="inlineStr">
        <x:is>
          <x:t xml:space="preserve">yes</x:t>
        </x:is>
      </x:c>
      <x:c r="G164" s="73" t="inlineStr">
        <x:is>
          <x:t xml:space="preserve">passed manual test</x:t>
        </x:is>
      </x:c>
      <x:c r="H164" s="86" t="inlineStr">
        <x:is>
          <x:t xml:space="preserve">covered</x:t>
        </x:is>
      </x:c>
      <x:c r="I164" s="84" t="inlineStr">
        <x:is>
          <x:t xml:space="preserve">TreeGrid playground; manual-tests/tree-grid.md</x:t>
        </x:is>
      </x:c>
      <x:c r="J164" s="84" t="n"/>
      <x:c r="K164" s="87" t="n">
        <x:f>IF(AND(E164="yes",F164="yes",H164="covered"),1,IF(H164="partial",0.5,0))</x:f>
        <x:v>1</x:v>
      </x:c>
    </x:row>
    <x:row r="165" s="51" customFormat="1" ht="15" customHeight="1">
      <x:c r="A165" s="73" t="n">
        <x:v>157</x:v>
      </x:c>
      <x:c r="B165" s="84" t="inlineStr">
        <x:is>
          <x:t xml:space="preserve">Data</x:t>
        </x:is>
      </x:c>
      <x:c r="C165" s="84" t="inlineStr">
        <x:is>
          <x:t xml:space="preserve">Live DOM</x:t>
        </x:is>
      </x:c>
      <x:c r="D165" s="84" t="inlineStr">
        <x:is>
          <x:t xml:space="preserve">data-hidden is present at the correct time</x:t>
        </x:is>
      </x:c>
      <x:c r="E165" s="76" t="inlineStr">
        <x:is>
          <x:t xml:space="preserve">yes</x:t>
        </x:is>
      </x:c>
      <x:c r="F165" s="85" t="inlineStr">
        <x:is>
          <x:t xml:space="preserve">yes</x:t>
        </x:is>
      </x:c>
      <x:c r="G165" s="73" t="inlineStr">
        <x:is>
          <x:t xml:space="preserve">passed manual test</x:t>
        </x:is>
      </x:c>
      <x:c r="H165" s="86" t="inlineStr">
        <x:is>
          <x:t xml:space="preserve">covered</x:t>
        </x:is>
      </x:c>
      <x:c r="I165" s="84" t="inlineStr">
        <x:is>
          <x:t xml:space="preserve">TreeGrid playground; manual-tests/tree-grid.md</x:t>
        </x:is>
      </x:c>
      <x:c r="J165" s="84" t="n"/>
      <x:c r="K165" s="87" t="n">
        <x:f>IF(AND(E165="yes",F165="yes",H165="covered"),1,IF(H165="partial",0.5,0))</x:f>
        <x:v>1</x:v>
      </x:c>
    </x:row>
    <x:row r="166" s="51" customFormat="1" ht="15" customHeight="1">
      <x:c r="A166" s="73" t="n">
        <x:v>158</x:v>
      </x:c>
      <x:c r="B166" s="84" t="inlineStr">
        <x:is>
          <x:t xml:space="preserve">Data</x:t>
        </x:is>
      </x:c>
      <x:c r="C166" s="84" t="inlineStr">
        <x:is>
          <x:t xml:space="preserve">Live DOM</x:t>
        </x:is>
      </x:c>
      <x:c r="D166" s="84" t="inlineStr">
        <x:is>
          <x:t xml:space="preserve">data-level is present at the correct time</x:t>
        </x:is>
      </x:c>
      <x:c r="E166" s="76" t="inlineStr">
        <x:is>
          <x:t xml:space="preserve">yes</x:t>
        </x:is>
      </x:c>
      <x:c r="F166" s="85" t="inlineStr">
        <x:is>
          <x:t xml:space="preserve">yes</x:t>
        </x:is>
      </x:c>
      <x:c r="G166" s="73" t="inlineStr">
        <x:is>
          <x:t xml:space="preserve">passed manual test</x:t>
        </x:is>
      </x:c>
      <x:c r="H166" s="86" t="inlineStr">
        <x:is>
          <x:t xml:space="preserve">covered</x:t>
        </x:is>
      </x:c>
      <x:c r="I166" s="84" t="inlineStr">
        <x:is>
          <x:t xml:space="preserve">TreeGrid playground; manual-tests/tree-grid.md</x:t>
        </x:is>
      </x:c>
      <x:c r="J166" s="84" t="n"/>
      <x:c r="K166" s="87" t="n">
        <x:f>IF(AND(E166="yes",F166="yes",H166="covered"),1,IF(H166="partial",0.5,0))</x:f>
        <x:v>1</x:v>
      </x:c>
    </x:row>
    <x:row r="167" s="51" customFormat="1" ht="15" customHeight="1">
      <x:c r="A167" s="73" t="n">
        <x:v>159</x:v>
      </x:c>
      <x:c r="B167" s="84" t="inlineStr">
        <x:is>
          <x:t xml:space="preserve">Data</x:t>
        </x:is>
      </x:c>
      <x:c r="C167" s="84" t="inlineStr">
        <x:is>
          <x:t xml:space="preserve">Live DOM</x:t>
        </x:is>
      </x:c>
      <x:c r="D167" s="84" t="inlineStr">
        <x:is>
          <x:t xml:space="preserve">data-parent-value is present at the correct time</x:t>
        </x:is>
      </x:c>
      <x:c r="E167" s="76" t="inlineStr">
        <x:is>
          <x:t xml:space="preserve">yes</x:t>
        </x:is>
      </x:c>
      <x:c r="F167" s="85" t="inlineStr">
        <x:is>
          <x:t xml:space="preserve">yes</x:t>
        </x:is>
      </x:c>
      <x:c r="G167" s="73" t="inlineStr">
        <x:is>
          <x:t xml:space="preserve">passed manual test</x:t>
        </x:is>
      </x:c>
      <x:c r="H167" s="86" t="inlineStr">
        <x:is>
          <x:t xml:space="preserve">covered</x:t>
        </x:is>
      </x:c>
      <x:c r="I167" s="84" t="inlineStr">
        <x:is>
          <x:t xml:space="preserve">TreeGrid playground; manual-tests/tree-grid.md</x:t>
        </x:is>
      </x:c>
      <x:c r="J167" s="84" t="n"/>
      <x:c r="K167" s="87" t="n">
        <x:f>IF(AND(E167="yes",F167="yes",H167="covered"),1,IF(H167="partial",0.5,0))</x:f>
        <x:v>1</x:v>
      </x:c>
    </x:row>
    <x:row r="168" s="51" customFormat="1" ht="15" customHeight="1">
      <x:c r="A168" s="73" t="n">
        <x:v>160</x:v>
      </x:c>
      <x:c r="B168" s="84" t="inlineStr">
        <x:is>
          <x:t xml:space="preserve">Data</x:t>
        </x:is>
      </x:c>
      <x:c r="C168" s="84" t="inlineStr">
        <x:is>
          <x:t xml:space="preserve">Live DOM</x:t>
        </x:is>
      </x:c>
      <x:c r="D168" s="84" t="inlineStr">
        <x:is>
          <x:t xml:space="preserve">data-readonly is present at the correct time</x:t>
        </x:is>
      </x:c>
      <x:c r="E168" s="76" t="inlineStr">
        <x:is>
          <x:t xml:space="preserve">yes</x:t>
        </x:is>
      </x:c>
      <x:c r="F168" s="85" t="inlineStr">
        <x:is>
          <x:t xml:space="preserve">yes</x:t>
        </x:is>
      </x:c>
      <x:c r="G168" s="73" t="inlineStr">
        <x:is>
          <x:t xml:space="preserve">passed manual test</x:t>
        </x:is>
      </x:c>
      <x:c r="H168" s="86" t="inlineStr">
        <x:is>
          <x:t xml:space="preserve">covered</x:t>
        </x:is>
      </x:c>
      <x:c r="I168" s="84" t="inlineStr">
        <x:is>
          <x:t xml:space="preserve">TreeGrid playground; manual-tests/tree-grid.md</x:t>
        </x:is>
      </x:c>
      <x:c r="J168" s="84" t="n"/>
      <x:c r="K168" s="87" t="n">
        <x:f>IF(AND(E168="yes",F168="yes",H168="covered"),1,IF(H168="partial",0.5,0))</x:f>
        <x:v>1</x:v>
      </x:c>
    </x:row>
    <x:row r="169" s="51" customFormat="1" ht="15" customHeight="1">
      <x:c r="A169" s="73" t="n">
        <x:v>161</x:v>
      </x:c>
      <x:c r="B169" s="84" t="inlineStr">
        <x:is>
          <x:t xml:space="preserve">Data</x:t>
        </x:is>
      </x:c>
      <x:c r="C169" s="84" t="inlineStr">
        <x:is>
          <x:t xml:space="preserve">Live DOM</x:t>
        </x:is>
      </x:c>
      <x:c r="D169" s="84" t="inlineStr">
        <x:is>
          <x:t xml:space="preserve">data-row-count is present at the correct time</x:t>
        </x:is>
      </x:c>
      <x:c r="E169" s="76" t="inlineStr">
        <x:is>
          <x:t xml:space="preserve">yes</x:t>
        </x:is>
      </x:c>
      <x:c r="F169" s="85" t="inlineStr">
        <x:is>
          <x:t xml:space="preserve">yes</x:t>
        </x:is>
      </x:c>
      <x:c r="G169" s="73" t="inlineStr">
        <x:is>
          <x:t xml:space="preserve">passed manual test</x:t>
        </x:is>
      </x:c>
      <x:c r="H169" s="86" t="inlineStr">
        <x:is>
          <x:t xml:space="preserve">covered</x:t>
        </x:is>
      </x:c>
      <x:c r="I169" s="84" t="inlineStr">
        <x:is>
          <x:t xml:space="preserve">TreeGrid playground; manual-tests/tree-grid.md</x:t>
        </x:is>
      </x:c>
      <x:c r="J169" s="84" t="n"/>
      <x:c r="K169" s="87" t="n">
        <x:f>IF(AND(E169="yes",F169="yes",H169="covered"),1,IF(H169="partial",0.5,0))</x:f>
        <x:v>1</x:v>
      </x:c>
    </x:row>
    <x:row r="170" s="51" customFormat="1" ht="15" customHeight="1">
      <x:c r="A170" s="73" t="n">
        <x:v>162</x:v>
      </x:c>
      <x:c r="B170" s="84" t="inlineStr">
        <x:is>
          <x:t xml:space="preserve">Data</x:t>
        </x:is>
      </x:c>
      <x:c r="C170" s="84" t="inlineStr">
        <x:is>
          <x:t xml:space="preserve">Live DOM</x:t>
        </x:is>
      </x:c>
      <x:c r="D170" s="84" t="inlineStr">
        <x:is>
          <x:t xml:space="preserve">data-row-index is present at the correct time</x:t>
        </x:is>
      </x:c>
      <x:c r="E170" s="76" t="inlineStr">
        <x:is>
          <x:t xml:space="preserve">yes</x:t>
        </x:is>
      </x:c>
      <x:c r="F170" s="85" t="inlineStr">
        <x:is>
          <x:t xml:space="preserve">yes</x:t>
        </x:is>
      </x:c>
      <x:c r="G170" s="73" t="inlineStr">
        <x:is>
          <x:t xml:space="preserve">passed manual test</x:t>
        </x:is>
      </x:c>
      <x:c r="H170" s="86" t="inlineStr">
        <x:is>
          <x:t xml:space="preserve">covered</x:t>
        </x:is>
      </x:c>
      <x:c r="I170" s="84" t="inlineStr">
        <x:is>
          <x:t xml:space="preserve">TreeGrid playground; manual-tests/tree-grid.md</x:t>
        </x:is>
      </x:c>
      <x:c r="J170" s="84" t="n"/>
      <x:c r="K170" s="87" t="n">
        <x:f>IF(AND(E170="yes",F170="yes",H170="covered"),1,IF(H170="partial",0.5,0))</x:f>
        <x:v>1</x:v>
      </x:c>
    </x:row>
    <x:row r="171" s="51" customFormat="1" ht="15" customHeight="1">
      <x:c r="A171" s="73" t="n">
        <x:v>163</x:v>
      </x:c>
      <x:c r="B171" s="84" t="inlineStr">
        <x:is>
          <x:t xml:space="preserve">Data</x:t>
        </x:is>
      </x:c>
      <x:c r="C171" s="84" t="inlineStr">
        <x:is>
          <x:t xml:space="preserve">Live DOM</x:t>
        </x:is>
      </x:c>
      <x:c r="D171" s="84" t="inlineStr">
        <x:is>
          <x:t xml:space="preserve">data-selectable is present at the correct time</x:t>
        </x:is>
      </x:c>
      <x:c r="E171" s="76" t="inlineStr">
        <x:is>
          <x:t xml:space="preserve">yes</x:t>
        </x:is>
      </x:c>
      <x:c r="F171" s="85" t="inlineStr">
        <x:is>
          <x:t xml:space="preserve">yes</x:t>
        </x:is>
      </x:c>
      <x:c r="G171" s="73" t="inlineStr">
        <x:is>
          <x:t xml:space="preserve">passed manual test</x:t>
        </x:is>
      </x:c>
      <x:c r="H171" s="86" t="inlineStr">
        <x:is>
          <x:t xml:space="preserve">covered</x:t>
        </x:is>
      </x:c>
      <x:c r="I171" s="84" t="inlineStr">
        <x:is>
          <x:t xml:space="preserve">TreeGrid playground; manual-tests/tree-grid.md</x:t>
        </x:is>
      </x:c>
      <x:c r="J171" s="84" t="n"/>
      <x:c r="K171" s="87" t="n">
        <x:f>IF(AND(E171="yes",F171="yes",H171="covered"),1,IF(H171="partial",0.5,0))</x:f>
        <x:v>1</x:v>
      </x:c>
    </x:row>
    <x:row r="172" s="51" customFormat="1" ht="15" customHeight="1">
      <x:c r="A172" s="73" t="n">
        <x:v>164</x:v>
      </x:c>
      <x:c r="B172" s="84" t="inlineStr">
        <x:is>
          <x:t xml:space="preserve">Data</x:t>
        </x:is>
      </x:c>
      <x:c r="C172" s="84" t="inlineStr">
        <x:is>
          <x:t xml:space="preserve">Live DOM</x:t>
        </x:is>
      </x:c>
      <x:c r="D172" s="84" t="inlineStr">
        <x:is>
          <x:t xml:space="preserve">data-selected is present at the correct time</x:t>
        </x:is>
      </x:c>
      <x:c r="E172" s="76" t="inlineStr">
        <x:is>
          <x:t xml:space="preserve">yes</x:t>
        </x:is>
      </x:c>
      <x:c r="F172" s="85" t="inlineStr">
        <x:is>
          <x:t xml:space="preserve">yes</x:t>
        </x:is>
      </x:c>
      <x:c r="G172" s="73" t="inlineStr">
        <x:is>
          <x:t xml:space="preserve">passed manual test</x:t>
        </x:is>
      </x:c>
      <x:c r="H172" s="86" t="inlineStr">
        <x:is>
          <x:t xml:space="preserve">covered</x:t>
        </x:is>
      </x:c>
      <x:c r="I172" s="84" t="inlineStr">
        <x:is>
          <x:t xml:space="preserve">TreeGrid playground; manual-tests/tree-grid.md</x:t>
        </x:is>
      </x:c>
      <x:c r="J172" s="84" t="n"/>
      <x:c r="K172" s="87" t="n">
        <x:f>IF(AND(E172="yes",F172="yes",H172="covered"),1,IF(H172="partial",0.5,0))</x:f>
        <x:v>1</x:v>
      </x:c>
    </x:row>
    <x:row r="173" s="51" customFormat="1" ht="15" customHeight="1">
      <x:c r="A173" s="73" t="n">
        <x:v>165</x:v>
      </x:c>
      <x:c r="B173" s="84" t="inlineStr">
        <x:is>
          <x:t xml:space="preserve">Data</x:t>
        </x:is>
      </x:c>
      <x:c r="C173" s="84" t="inlineStr">
        <x:is>
          <x:t xml:space="preserve">Live DOM</x:t>
        </x:is>
      </x:c>
      <x:c r="D173" s="84" t="inlineStr">
        <x:is>
          <x:t xml:space="preserve">data-selection-disabled is present at the correct time</x:t>
        </x:is>
      </x:c>
      <x:c r="E173" s="76" t="inlineStr">
        <x:is>
          <x:t xml:space="preserve">yes</x:t>
        </x:is>
      </x:c>
      <x:c r="F173" s="85" t="inlineStr">
        <x:is>
          <x:t xml:space="preserve">yes</x:t>
        </x:is>
      </x:c>
      <x:c r="G173" s="73" t="inlineStr">
        <x:is>
          <x:t xml:space="preserve">passed manual test</x:t>
        </x:is>
      </x:c>
      <x:c r="H173" s="86" t="inlineStr">
        <x:is>
          <x:t xml:space="preserve">covered</x:t>
        </x:is>
      </x:c>
      <x:c r="I173" s="84" t="inlineStr">
        <x:is>
          <x:t xml:space="preserve">TreeGrid playground; manual-tests/tree-grid.md</x:t>
        </x:is>
      </x:c>
      <x:c r="J173" s="84" t="n"/>
      <x:c r="K173" s="87" t="n">
        <x:f>IF(AND(E173="yes",F173="yes",H173="covered"),1,IF(H173="partial",0.5,0))</x:f>
        <x:v>1</x:v>
      </x:c>
    </x:row>
    <x:row r="174" s="51" customFormat="1" ht="15" customHeight="1">
      <x:c r="A174" s="73" t="n">
        <x:v>166</x:v>
      </x:c>
      <x:c r="B174" s="84" t="inlineStr">
        <x:is>
          <x:t xml:space="preserve">Data</x:t>
        </x:is>
      </x:c>
      <x:c r="C174" s="84" t="inlineStr">
        <x:is>
          <x:t xml:space="preserve">Live DOM</x:t>
        </x:is>
      </x:c>
      <x:c r="D174" s="84" t="inlineStr">
        <x:is>
          <x:t xml:space="preserve">data-selection-mode is present at the correct time</x:t>
        </x:is>
      </x:c>
      <x:c r="E174" s="76" t="inlineStr">
        <x:is>
          <x:t xml:space="preserve">yes</x:t>
        </x:is>
      </x:c>
      <x:c r="F174" s="85" t="inlineStr">
        <x:is>
          <x:t xml:space="preserve">yes</x:t>
        </x:is>
      </x:c>
      <x:c r="G174" s="73" t="inlineStr">
        <x:is>
          <x:t xml:space="preserve">passed manual test</x:t>
        </x:is>
      </x:c>
      <x:c r="H174" s="86" t="inlineStr">
        <x:is>
          <x:t xml:space="preserve">covered</x:t>
        </x:is>
      </x:c>
      <x:c r="I174" s="84" t="inlineStr">
        <x:is>
          <x:t xml:space="preserve">TreeGrid playground; manual-tests/tree-grid.md</x:t>
        </x:is>
      </x:c>
      <x:c r="J174" s="84" t="n"/>
      <x:c r="K174" s="87" t="n">
        <x:f>IF(AND(E174="yes",F174="yes",H174="covered"),1,IF(H174="partial",0.5,0))</x:f>
        <x:v>1</x:v>
      </x:c>
    </x:row>
    <x:row r="175" s="51" customFormat="1" ht="15" customHeight="1">
      <x:c r="A175" s="73" t="n">
        <x:v>167</x:v>
      </x:c>
      <x:c r="B175" s="84" t="inlineStr">
        <x:is>
          <x:t xml:space="preserve">Data</x:t>
        </x:is>
      </x:c>
      <x:c r="C175" s="84" t="inlineStr">
        <x:is>
          <x:t xml:space="preserve">Live DOM</x:t>
        </x:is>
      </x:c>
      <x:c r="D175" s="84" t="inlineStr">
        <x:is>
          <x:t xml:space="preserve">data-slot is present at the correct time</x:t>
        </x:is>
      </x:c>
      <x:c r="E175" s="76" t="inlineStr">
        <x:is>
          <x:t xml:space="preserve">yes</x:t>
        </x:is>
      </x:c>
      <x:c r="F175" s="85" t="inlineStr">
        <x:is>
          <x:t xml:space="preserve">yes</x:t>
        </x:is>
      </x:c>
      <x:c r="G175" s="73" t="inlineStr">
        <x:is>
          <x:t xml:space="preserve">passed manual test</x:t>
        </x:is>
      </x:c>
      <x:c r="H175" s="86" t="inlineStr">
        <x:is>
          <x:t xml:space="preserve">covered</x:t>
        </x:is>
      </x:c>
      <x:c r="I175" s="84" t="inlineStr">
        <x:is>
          <x:t xml:space="preserve">TreeGrid playground; manual-tests/tree-grid.md</x:t>
        </x:is>
      </x:c>
      <x:c r="J175" s="84" t="n"/>
      <x:c r="K175" s="87" t="n">
        <x:f>IF(AND(E175="yes",F175="yes",H175="covered"),1,IF(H175="partial",0.5,0))</x:f>
        <x:v>1</x:v>
      </x:c>
    </x:row>
    <x:row r="176" s="51" customFormat="1" ht="15" customHeight="1">
      <x:c r="A176" s="73" t="n">
        <x:v>168</x:v>
      </x:c>
      <x:c r="B176" s="84" t="inlineStr">
        <x:is>
          <x:t xml:space="preserve">Data</x:t>
        </x:is>
      </x:c>
      <x:c r="C176" s="84" t="inlineStr">
        <x:is>
          <x:t xml:space="preserve">Live DOM</x:t>
        </x:is>
      </x:c>
      <x:c r="D176" s="84" t="inlineStr">
        <x:is>
          <x:t xml:space="preserve">data-sort is present at the correct time</x:t>
        </x:is>
      </x:c>
      <x:c r="E176" s="76" t="inlineStr">
        <x:is>
          <x:t xml:space="preserve">yes</x:t>
        </x:is>
      </x:c>
      <x:c r="F176" s="85" t="inlineStr">
        <x:is>
          <x:t xml:space="preserve">yes</x:t>
        </x:is>
      </x:c>
      <x:c r="G176" s="73" t="inlineStr">
        <x:is>
          <x:t xml:space="preserve">passed manual test</x:t>
        </x:is>
      </x:c>
      <x:c r="H176" s="86" t="inlineStr">
        <x:is>
          <x:t xml:space="preserve">covered</x:t>
        </x:is>
      </x:c>
      <x:c r="I176" s="84" t="inlineStr">
        <x:is>
          <x:t xml:space="preserve">TreeGrid playground; manual-tests/tree-grid.md</x:t>
        </x:is>
      </x:c>
      <x:c r="J176" s="84" t="n"/>
      <x:c r="K176" s="87" t="n">
        <x:f>IF(AND(E176="yes",F176="yes",H176="covered"),1,IF(H176="partial",0.5,0))</x:f>
        <x:v>1</x:v>
      </x:c>
    </x:row>
    <x:row r="177" s="51" customFormat="1" ht="15" customHeight="1">
      <x:c r="A177" s="73" t="n">
        <x:v>169</x:v>
      </x:c>
      <x:c r="B177" s="84" t="inlineStr">
        <x:is>
          <x:t xml:space="preserve">Data</x:t>
        </x:is>
      </x:c>
      <x:c r="C177" s="84" t="inlineStr">
        <x:is>
          <x:t xml:space="preserve">Live DOM</x:t>
        </x:is>
      </x:c>
      <x:c r="D177" s="84" t="inlineStr">
        <x:is>
          <x:t xml:space="preserve">data-value is present at the correct time</x:t>
        </x:is>
      </x:c>
      <x:c r="E177" s="76" t="inlineStr">
        <x:is>
          <x:t xml:space="preserve">yes</x:t>
        </x:is>
      </x:c>
      <x:c r="F177" s="85" t="inlineStr">
        <x:is>
          <x:t xml:space="preserve">yes</x:t>
        </x:is>
      </x:c>
      <x:c r="G177" s="73" t="inlineStr">
        <x:is>
          <x:t xml:space="preserve">passed manual test</x:t>
        </x:is>
      </x:c>
      <x:c r="H177" s="86" t="inlineStr">
        <x:is>
          <x:t xml:space="preserve">covered</x:t>
        </x:is>
      </x:c>
      <x:c r="I177" s="84" t="inlineStr">
        <x:is>
          <x:t xml:space="preserve">TreeGrid playground; manual-tests/tree-grid.md</x:t>
        </x:is>
      </x:c>
      <x:c r="J177" s="84" t="n"/>
      <x:c r="K177" s="87" t="n">
        <x:f>IF(AND(E177="yes",F177="yes",H177="covered"),1,IF(H177="partial",0.5,0))</x:f>
        <x:v>1</x:v>
      </x:c>
    </x:row>
    <x:row r="178" s="51" customFormat="1" ht="30" customHeight="1">
      <x:c r="A178" s="73" t="n">
        <x:v>170</x:v>
      </x:c>
      <x:c r="B178" s="84" t="inlineStr">
        <x:is>
          <x:t xml:space="preserve">Composition</x:t>
        </x:is>
      </x:c>
      <x:c r="C178" s="84" t="inlineStr">
        <x:is>
          <x:t xml:space="preserve">All DOM parts</x:t>
        </x:is>
      </x:c>
      <x:c r="D178" s="84" t="inlineStr">
        <x:is>
          <x:t xml:space="preserve">asChild preserves child content without double nesting</x:t>
        </x:is>
      </x:c>
      <x:c r="E178" s="76" t="inlineStr">
        <x:is>
          <x:t xml:space="preserve">yes</x:t>
        </x:is>
      </x:c>
      <x:c r="F178" s="85" t="inlineStr">
        <x:is>
          <x:t xml:space="preserve">yes</x:t>
        </x:is>
      </x:c>
      <x:c r="G178" s="73" t="inlineStr">
        <x:is>
          <x:t xml:space="preserve">passed manual test</x:t>
        </x:is>
      </x:c>
      <x:c r="H178" s="86" t="inlineStr">
        <x:is>
          <x:t xml:space="preserve">covered</x:t>
        </x:is>
      </x:c>
      <x:c r="I178" s="84" t="inlineStr">
        <x:is>
          <x:t xml:space="preserve">TreeGrid playground; manual-tests/tree-grid.md</x:t>
        </x:is>
      </x:c>
      <x:c r="J178" s="84" t="n"/>
      <x:c r="K178" s="87" t="n">
        <x:f>IF(AND(E178="yes",F178="yes",H178="covered"),1,IF(H178="partial",0.5,0))</x:f>
        <x:v>1</x:v>
      </x:c>
    </x:row>
    <x:row r="179" s="51" customFormat="1" ht="15" customHeight="1">
      <x:c r="A179" s="73" t="n">
        <x:v>171</x:v>
      </x:c>
      <x:c r="B179" s="84" t="inlineStr">
        <x:is>
          <x:t xml:space="preserve">Composition</x:t>
        </x:is>
      </x:c>
      <x:c r="C179" s="84" t="inlineStr">
        <x:is>
          <x:t xml:space="preserve">All DOM parts</x:t>
        </x:is>
      </x:c>
      <x:c r="D179" s="84" t="inlineStr">
        <x:is>
          <x:t xml:space="preserve">asChild merges Atom props and consumer props</x:t>
        </x:is>
      </x:c>
      <x:c r="E179" s="76" t="inlineStr">
        <x:is>
          <x:t xml:space="preserve">yes</x:t>
        </x:is>
      </x:c>
      <x:c r="F179" s="85" t="inlineStr">
        <x:is>
          <x:t xml:space="preserve">yes</x:t>
        </x:is>
      </x:c>
      <x:c r="G179" s="73" t="inlineStr">
        <x:is>
          <x:t xml:space="preserve">passed manual test</x:t>
        </x:is>
      </x:c>
      <x:c r="H179" s="86" t="inlineStr">
        <x:is>
          <x:t xml:space="preserve">covered</x:t>
        </x:is>
      </x:c>
      <x:c r="I179" s="84" t="inlineStr">
        <x:is>
          <x:t xml:space="preserve">TreeGrid playground; manual-tests/tree-grid.md</x:t>
        </x:is>
      </x:c>
      <x:c r="J179" s="84" t="n"/>
      <x:c r="K179" s="87" t="n">
        <x:f>IF(AND(E179="yes",F179="yes",H179="covered"),1,IF(H179="partial",0.5,0))</x:f>
        <x:v>1</x:v>
      </x:c>
    </x:row>
    <x:row r="180" s="51" customFormat="1" ht="15" customHeight="1">
      <x:c r="A180" s="73" t="n">
        <x:v>172</x:v>
      </x:c>
      <x:c r="B180" s="84" t="inlineStr">
        <x:is>
          <x:t xml:space="preserve">Composition</x:t>
        </x:is>
      </x:c>
      <x:c r="C180" s="84" t="inlineStr">
        <x:is>
          <x:t xml:space="preserve">All DOM parts</x:t>
        </x:is>
      </x:c>
      <x:c r="D180" s="84" t="inlineStr">
        <x:is>
          <x:t xml:space="preserve">asChild preserves semantic roles and Atom behavior per public DOM part</x:t>
        </x:is>
      </x:c>
      <x:c r="E180" s="76" t="inlineStr">
        <x:is>
          <x:t xml:space="preserve">yes</x:t>
        </x:is>
      </x:c>
      <x:c r="F180" s="85" t="inlineStr">
        <x:is>
          <x:t xml:space="preserve">yes</x:t>
        </x:is>
      </x:c>
      <x:c r="G180" s="73" t="inlineStr">
        <x:is>
          <x:t xml:space="preserve">passed manual test</x:t>
        </x:is>
      </x:c>
      <x:c r="H180" s="86" t="inlineStr">
        <x:is>
          <x:t xml:space="preserve">covered</x:t>
        </x:is>
      </x:c>
      <x:c r="I180" s="84" t="inlineStr">
        <x:is>
          <x:t xml:space="preserve">TreeGrid playground; manual-tests/tree-grid.md</x:t>
        </x:is>
      </x:c>
      <x:c r="J180" s="84" t="n"/>
      <x:c r="K180" s="87" t="n">
        <x:f>IF(AND(E180="yes",F180="yes",H180="covered"),1,IF(H180="partial",0.5,0))</x:f>
        <x:v>1</x:v>
      </x:c>
    </x:row>
    <x:row r="181" s="51" customFormat="1" ht="15" customHeight="1">
      <x:c r="A181" s="73" t="n">
        <x:v>173</x:v>
      </x:c>
      <x:c r="B181" s="84" t="inlineStr">
        <x:is>
          <x:t xml:space="preserve">Composition</x:t>
        </x:is>
      </x:c>
      <x:c r="C181" s="84" t="inlineStr">
        <x:is>
          <x:t xml:space="preserve">All DOM parts</x:t>
        </x:is>
      </x:c>
      <x:c r="D181" s="84" t="inlineStr">
        <x:is>
          <x:t xml:space="preserve">render prop renders custom element</x:t>
        </x:is>
      </x:c>
      <x:c r="E181" s="76" t="inlineStr">
        <x:is>
          <x:t xml:space="preserve">yes</x:t>
        </x:is>
      </x:c>
      <x:c r="F181" s="85" t="inlineStr">
        <x:is>
          <x:t xml:space="preserve">yes</x:t>
        </x:is>
      </x:c>
      <x:c r="G181" s="73" t="inlineStr">
        <x:is>
          <x:t xml:space="preserve">passed manual test</x:t>
        </x:is>
      </x:c>
      <x:c r="H181" s="86" t="inlineStr">
        <x:is>
          <x:t xml:space="preserve">covered</x:t>
        </x:is>
      </x:c>
      <x:c r="I181" s="84" t="inlineStr">
        <x:is>
          <x:t xml:space="preserve">TreeGrid playground; manual-tests/tree-grid.md</x:t>
        </x:is>
      </x:c>
      <x:c r="J181" s="84" t="n"/>
      <x:c r="K181" s="87" t="n">
        <x:f>IF(AND(E181="yes",F181="yes",H181="covered"),1,IF(H181="partial",0.5,0))</x:f>
        <x:v>1</x:v>
      </x:c>
    </x:row>
    <x:row r="182" s="51" customFormat="1" ht="15" customHeight="1">
      <x:c r="A182" s="73" t="n">
        <x:v>174</x:v>
      </x:c>
      <x:c r="B182" s="84" t="inlineStr">
        <x:is>
          <x:t xml:space="preserve">Composition</x:t>
        </x:is>
      </x:c>
      <x:c r="C182" s="84" t="inlineStr">
        <x:is>
          <x:t xml:space="preserve">All DOM parts</x:t>
        </x:is>
      </x:c>
      <x:c r="D182" s="84" t="inlineStr">
        <x:is>
          <x:t xml:space="preserve">render prop preserves refs, semantic roles, and behavior props per public DOM part</x:t>
        </x:is>
      </x:c>
      <x:c r="E182" s="76" t="inlineStr">
        <x:is>
          <x:t xml:space="preserve">yes</x:t>
        </x:is>
      </x:c>
      <x:c r="F182" s="85" t="inlineStr">
        <x:is>
          <x:t xml:space="preserve">yes</x:t>
        </x:is>
      </x:c>
      <x:c r="G182" s="73" t="inlineStr">
        <x:is>
          <x:t xml:space="preserve">passed manual test</x:t>
        </x:is>
      </x:c>
      <x:c r="H182" s="86" t="inlineStr">
        <x:is>
          <x:t xml:space="preserve">covered</x:t>
        </x:is>
      </x:c>
      <x:c r="I182" s="84" t="inlineStr">
        <x:is>
          <x:t xml:space="preserve">TreeGrid playground; manual-tests/tree-grid.md</x:t>
        </x:is>
      </x:c>
      <x:c r="J182" s="84" t="n"/>
      <x:c r="K182" s="87" t="n">
        <x:f>IF(AND(E182="yes",F182="yes",H182="covered"),1,IF(H182="partial",0.5,0))</x:f>
        <x:v>1</x:v>
      </x:c>
    </x:row>
    <x:row r="183" s="51" customFormat="1" ht="15" customHeight="1">
      <x:c r="A183" s="73" t="n">
        <x:v>175</x:v>
      </x:c>
      <x:c r="B183" s="84" t="inlineStr">
        <x:is>
          <x:t xml:space="preserve">State</x:t>
        </x:is>
      </x:c>
      <x:c r="C183" s="84" t="inlineStr">
        <x:is>
          <x:t xml:space="preserve">Root</x:t>
        </x:is>
      </x:c>
      <x:c r="D183" s="84" t="inlineStr">
        <x:is>
          <x:t xml:space="preserve">controlled state path</x:t>
        </x:is>
      </x:c>
      <x:c r="E183" s="76" t="inlineStr">
        <x:is>
          <x:t xml:space="preserve">yes</x:t>
        </x:is>
      </x:c>
      <x:c r="F183" s="85" t="inlineStr">
        <x:is>
          <x:t xml:space="preserve">yes</x:t>
        </x:is>
      </x:c>
      <x:c r="G183" s="73" t="inlineStr">
        <x:is>
          <x:t xml:space="preserve">passed manual test</x:t>
        </x:is>
      </x:c>
      <x:c r="H183" s="86" t="inlineStr">
        <x:is>
          <x:t xml:space="preserve">covered</x:t>
        </x:is>
      </x:c>
      <x:c r="I183" s="84" t="inlineStr">
        <x:is>
          <x:t xml:space="preserve">TreeGrid playground; manual-tests/tree-grid.md</x:t>
        </x:is>
      </x:c>
      <x:c r="J183" s="84" t="n"/>
      <x:c r="K183" s="87" t="n">
        <x:f>IF(AND(E183="yes",F183="yes",H183="covered"),1,IF(H183="partial",0.5,0))</x:f>
        <x:v>1</x:v>
      </x:c>
    </x:row>
    <x:row r="184" s="51" customFormat="1" ht="15" customHeight="1">
      <x:c r="A184" s="73" t="n">
        <x:v>176</x:v>
      </x:c>
      <x:c r="B184" s="84" t="inlineStr">
        <x:is>
          <x:t xml:space="preserve">State</x:t>
        </x:is>
      </x:c>
      <x:c r="C184" s="84" t="inlineStr">
        <x:is>
          <x:t xml:space="preserve">Root</x:t>
        </x:is>
      </x:c>
      <x:c r="D184" s="84" t="inlineStr">
        <x:is>
          <x:t xml:space="preserve">uncontrolled default state path</x:t>
        </x:is>
      </x:c>
      <x:c r="E184" s="76" t="inlineStr">
        <x:is>
          <x:t xml:space="preserve">yes</x:t>
        </x:is>
      </x:c>
      <x:c r="F184" s="85" t="inlineStr">
        <x:is>
          <x:t xml:space="preserve">yes</x:t>
        </x:is>
      </x:c>
      <x:c r="G184" s="73" t="inlineStr">
        <x:is>
          <x:t xml:space="preserve">passed manual test</x:t>
        </x:is>
      </x:c>
      <x:c r="H184" s="86" t="inlineStr">
        <x:is>
          <x:t xml:space="preserve">covered</x:t>
        </x:is>
      </x:c>
      <x:c r="I184" s="84" t="inlineStr">
        <x:is>
          <x:t xml:space="preserve">TreeGrid playground; manual-tests/tree-grid.md</x:t>
        </x:is>
      </x:c>
      <x:c r="J184" s="84" t="n"/>
      <x:c r="K184" s="87" t="n">
        <x:f>IF(AND(E184="yes",F184="yes",H184="covered"),1,IF(H184="partial",0.5,0))</x:f>
        <x:v>1</x:v>
      </x:c>
    </x:row>
    <x:row r="185" s="51" customFormat="1" ht="15" customHeight="1">
      <x:c r="A185" s="73" t="n">
        <x:v>177</x:v>
      </x:c>
      <x:c r="B185" s="84" t="inlineStr">
        <x:is>
          <x:t xml:space="preserve">State</x:t>
        </x:is>
      </x:c>
      <x:c r="C185" s="84" t="inlineStr">
        <x:is>
          <x:t xml:space="preserve">Root</x:t>
        </x:is>
      </x:c>
      <x:c r="D185" s="84" t="inlineStr">
        <x:is>
          <x:t xml:space="preserve">state change callback fires once with correct value</x:t>
        </x:is>
      </x:c>
      <x:c r="E185" s="76" t="inlineStr">
        <x:is>
          <x:t xml:space="preserve">yes</x:t>
        </x:is>
      </x:c>
      <x:c r="F185" s="85" t="inlineStr">
        <x:is>
          <x:t xml:space="preserve">yes</x:t>
        </x:is>
      </x:c>
      <x:c r="G185" s="73" t="inlineStr">
        <x:is>
          <x:t xml:space="preserve">passed manual test</x:t>
        </x:is>
      </x:c>
      <x:c r="H185" s="86" t="inlineStr">
        <x:is>
          <x:t xml:space="preserve">covered</x:t>
        </x:is>
      </x:c>
      <x:c r="I185" s="84" t="inlineStr">
        <x:is>
          <x:t xml:space="preserve">TreeGrid playground; manual-tests/tree-grid.md</x:t>
        </x:is>
      </x:c>
      <x:c r="J185" s="84" t="n"/>
      <x:c r="K185" s="87" t="n">
        <x:f>IF(AND(E185="yes",F185="yes",H185="covered"),1,IF(H185="partial",0.5,0))</x:f>
        <x:v>1</x:v>
      </x:c>
    </x:row>
    <x:row r="186" s="51" customFormat="1" ht="15" customHeight="1">
      <x:c r="A186" s="73" t="n">
        <x:v>178</x:v>
      </x:c>
      <x:c r="B186" s="84" t="inlineStr">
        <x:is>
          <x:t xml:space="preserve">Keyboard</x:t>
        </x:is>
      </x:c>
      <x:c r="C186" s="84" t="inlineStr">
        <x:is>
          <x:t xml:space="preserve">TreeGrid</x:t>
        </x:is>
      </x:c>
      <x:c r="D186" s="84" t="inlineStr">
        <x:is>
          <x:t xml:space="preserve">Arrow key navigation follows documented orientation</x:t>
        </x:is>
      </x:c>
      <x:c r="E186" s="76" t="inlineStr">
        <x:is>
          <x:t xml:space="preserve">yes</x:t>
        </x:is>
      </x:c>
      <x:c r="F186" s="85" t="inlineStr">
        <x:is>
          <x:t xml:space="preserve">yes</x:t>
        </x:is>
      </x:c>
      <x:c r="G186" s="73" t="inlineStr">
        <x:is>
          <x:t xml:space="preserve">passed manual test</x:t>
        </x:is>
      </x:c>
      <x:c r="H186" s="86" t="inlineStr">
        <x:is>
          <x:t xml:space="preserve">covered</x:t>
        </x:is>
      </x:c>
      <x:c r="I186" s="84" t="inlineStr">
        <x:is>
          <x:t xml:space="preserve">TreeGrid playground; manual-tests/tree-grid.md</x:t>
        </x:is>
      </x:c>
      <x:c r="J186" s="84" t="n"/>
      <x:c r="K186" s="87" t="n">
        <x:f>IF(AND(E186="yes",F186="yes",H186="covered"),1,IF(H186="partial",0.5,0))</x:f>
        <x:v>1</x:v>
      </x:c>
    </x:row>
    <x:row r="187" s="51" customFormat="1" ht="15" customHeight="1">
      <x:c r="A187" s="73" t="n">
        <x:v>179</x:v>
      </x:c>
      <x:c r="B187" s="84" t="inlineStr">
        <x:is>
          <x:t xml:space="preserve">Keyboard</x:t>
        </x:is>
      </x:c>
      <x:c r="C187" s="84" t="inlineStr">
        <x:is>
          <x:t xml:space="preserve">TreeGrid</x:t>
        </x:is>
      </x:c>
      <x:c r="D187" s="84" t="inlineStr">
        <x:is>
          <x:t xml:space="preserve">Home and End navigation where supported</x:t>
        </x:is>
      </x:c>
      <x:c r="E187" s="76" t="inlineStr">
        <x:is>
          <x:t xml:space="preserve">yes</x:t>
        </x:is>
      </x:c>
      <x:c r="F187" s="85" t="inlineStr">
        <x:is>
          <x:t xml:space="preserve">yes</x:t>
        </x:is>
      </x:c>
      <x:c r="G187" s="73" t="inlineStr">
        <x:is>
          <x:t xml:space="preserve">passed manual test</x:t>
        </x:is>
      </x:c>
      <x:c r="H187" s="86" t="inlineStr">
        <x:is>
          <x:t xml:space="preserve">covered</x:t>
        </x:is>
      </x:c>
      <x:c r="I187" s="84" t="inlineStr">
        <x:is>
          <x:t xml:space="preserve">TreeGrid playground; manual-tests/tree-grid.md</x:t>
        </x:is>
      </x:c>
      <x:c r="J187" s="84" t="n"/>
      <x:c r="K187" s="87" t="n">
        <x:f>IF(AND(E187="yes",F187="yes",H187="covered"),1,IF(H187="partial",0.5,0))</x:f>
        <x:v>1</x:v>
      </x:c>
    </x:row>
    <x:row r="188" s="51" customFormat="1" ht="15" customHeight="1">
      <x:c r="A188" s="73" t="n">
        <x:v>180</x:v>
      </x:c>
      <x:c r="B188" s="84" t="inlineStr">
        <x:is>
          <x:t xml:space="preserve">Keyboard</x:t>
        </x:is>
      </x:c>
      <x:c r="C188" s="84" t="inlineStr">
        <x:is>
          <x:t xml:space="preserve">TreeGrid</x:t>
        </x:is>
      </x:c>
      <x:c r="D188" s="84" t="inlineStr">
        <x:is>
          <x:t xml:space="preserve">disabled items are skipped or exposed according to pattern</x:t>
        </x:is>
      </x:c>
      <x:c r="E188" s="76" t="inlineStr">
        <x:is>
          <x:t xml:space="preserve">yes</x:t>
        </x:is>
      </x:c>
      <x:c r="F188" s="85" t="inlineStr">
        <x:is>
          <x:t xml:space="preserve">yes</x:t>
        </x:is>
      </x:c>
      <x:c r="G188" s="73" t="inlineStr">
        <x:is>
          <x:t xml:space="preserve">passed manual test</x:t>
        </x:is>
      </x:c>
      <x:c r="H188" s="86" t="inlineStr">
        <x:is>
          <x:t xml:space="preserve">covered</x:t>
        </x:is>
      </x:c>
      <x:c r="I188" s="84" t="inlineStr">
        <x:is>
          <x:t xml:space="preserve">TreeGrid playground; manual-tests/tree-grid.md</x:t>
        </x:is>
      </x:c>
      <x:c r="J188" s="84" t="n"/>
      <x:c r="K188" s="87" t="n">
        <x:f>IF(AND(E188="yes",F188="yes",H188="covered"),1,IF(H188="partial",0.5,0))</x:f>
        <x:v>1</x:v>
      </x:c>
    </x:row>
    <x:row r="189" s="51" customFormat="1" ht="30" customHeight="1">
      <x:c r="A189" s="73" t="n">
        <x:v>181</x:v>
      </x:c>
      <x:c r="B189" s="84" t="inlineStr">
        <x:is>
          <x:t xml:space="preserve">Direction</x:t>
        </x:is>
      </x:c>
      <x:c r="C189" s="84" t="inlineStr">
        <x:is>
          <x:t xml:space="preserve">Root</x:t>
        </x:is>
      </x:c>
      <x:c r="D189" s="84" t="inlineStr">
        <x:is>
          <x:t xml:space="preserve">local dir overrides Direction.Provider and raw dir is inspectable</x:t>
        </x:is>
      </x:c>
      <x:c r="E189" s="76" t="inlineStr">
        <x:is>
          <x:t xml:space="preserve">yes</x:t>
        </x:is>
      </x:c>
      <x:c r="F189" s="85" t="inlineStr">
        <x:is>
          <x:t xml:space="preserve">yes</x:t>
        </x:is>
      </x:c>
      <x:c r="G189" s="73" t="inlineStr">
        <x:is>
          <x:t xml:space="preserve">passed manual test</x:t>
        </x:is>
      </x:c>
      <x:c r="H189" s="86" t="inlineStr">
        <x:is>
          <x:t xml:space="preserve">covered</x:t>
        </x:is>
      </x:c>
      <x:c r="I189" s="84" t="inlineStr">
        <x:is>
          <x:t xml:space="preserve">TreeGrid playground; manual-tests/tree-grid.md</x:t>
        </x:is>
      </x:c>
      <x:c r="J189" s="84" t="n"/>
      <x:c r="K189" s="87" t="n">
        <x:f>IF(AND(E189="yes",F189="yes",H189="covered"),1,IF(H189="partial",0.5,0))</x:f>
        <x:v>1</x:v>
      </x:c>
    </x:row>
    <x:row r="190" s="51" customFormat="1" ht="15" customHeight="1">
      <x:c r="A190" s="73" t="n">
        <x:v>182</x:v>
      </x:c>
      <x:c r="B190" s="84" t="inlineStr">
        <x:is>
          <x:t xml:space="preserve">Focus</x:t>
        </x:is>
      </x:c>
      <x:c r="C190" s="84" t="inlineStr">
        <x:is>
          <x:t xml:space="preserve">TreeGrid</x:t>
        </x:is>
      </x:c>
      <x:c r="D190" s="84" t="inlineStr">
        <x:is>
          <x:t xml:space="preserve">roving focus or active descendant state is visible</x:t>
        </x:is>
      </x:c>
      <x:c r="E190" s="76" t="inlineStr">
        <x:is>
          <x:t xml:space="preserve">yes</x:t>
        </x:is>
      </x:c>
      <x:c r="F190" s="85" t="inlineStr">
        <x:is>
          <x:t xml:space="preserve">yes</x:t>
        </x:is>
      </x:c>
      <x:c r="G190" s="73" t="inlineStr">
        <x:is>
          <x:t xml:space="preserve">passed manual test</x:t>
        </x:is>
      </x:c>
      <x:c r="H190" s="86" t="inlineStr">
        <x:is>
          <x:t xml:space="preserve">covered</x:t>
        </x:is>
      </x:c>
      <x:c r="I190" s="84" t="inlineStr">
        <x:is>
          <x:t xml:space="preserve">TreeGrid playground; manual-tests/tree-grid.md</x:t>
        </x:is>
      </x:c>
      <x:c r="J190" s="84" t="n"/>
      <x:c r="K190" s="87" t="n">
        <x:f>IF(AND(E190="yes",F190="yes",H190="covered"),1,IF(H190="partial",0.5,0))</x:f>
        <x:v>1</x:v>
      </x:c>
    </x:row>
    <x:row r="191" s="51" customFormat="1" ht="30" customHeight="1">
      <x:c r="A191" s="73" t="n">
        <x:v>183</x:v>
      </x:c>
      <x:c r="B191" s="84" t="inlineStr">
        <x:is>
          <x:t xml:space="preserve">Direction</x:t>
        </x:is>
      </x:c>
      <x:c r="C191" s="84" t="inlineStr">
        <x:is>
          <x:t xml:space="preserve">Root</x:t>
        </x:is>
      </x:c>
      <x:c r="D191" s="84" t="inlineStr">
        <x:is>
          <x:t xml:space="preserve">reads Direction.Provider context for horizontal cell navigation</x:t>
        </x:is>
      </x:c>
      <x:c r="E191" s="88" t="inlineStr">
        <x:is>
          <x:t xml:space="preserve">yes</x:t>
        </x:is>
      </x:c>
      <x:c r="F191" s="85" t="inlineStr">
        <x:is>
          <x:t xml:space="preserve">yes</x:t>
        </x:is>
      </x:c>
      <x:c r="G191" s="73" t="inlineStr">
        <x:is>
          <x:t xml:space="preserve">passed manual test</x:t>
        </x:is>
      </x:c>
      <x:c r="H191" s="88" t="inlineStr">
        <x:is>
          <x:t xml:space="preserve">covered</x:t>
        </x:is>
      </x:c>
      <x:c r="I191" s="84" t="inlineStr">
        <x:is>
          <x:t xml:space="preserve">TreeGrid playground; manual-tests/tree-grid.md</x:t>
        </x:is>
      </x:c>
      <x:c r="J191" s="84" t="n"/>
      <x:c r="K191" s="87" t="n">
        <x:f>IF(AND(E191="yes",F191="yes",H191="covered"),1,IF(H191="partial",0.5,0))</x:f>
        <x:v>1</x:v>
      </x:c>
    </x:row>
    <x:row r="192" s="51" customFormat="1" ht="30" customHeight="1">
      <x:c r="A192" s="73" t="n">
        <x:v>184</x:v>
      </x:c>
      <x:c r="B192" s="84" t="inlineStr">
        <x:is>
          <x:t xml:space="preserve">Direction</x:t>
        </x:is>
      </x:c>
      <x:c r="C192" s="84" t="inlineStr">
        <x:is>
          <x:t xml:space="preserve">Root</x:t>
        </x:is>
      </x:c>
      <x:c r="D192" s="84" t="inlineStr">
        <x:is>
          <x:t xml:space="preserve">RTL mirrors ArrowLeft and ArrowRight cell movement</x:t>
        </x:is>
      </x:c>
      <x:c r="E192" s="88" t="inlineStr">
        <x:is>
          <x:t xml:space="preserve">yes</x:t>
        </x:is>
      </x:c>
      <x:c r="F192" s="85" t="inlineStr">
        <x:is>
          <x:t xml:space="preserve">yes</x:t>
        </x:is>
      </x:c>
      <x:c r="G192" s="73" t="inlineStr">
        <x:is>
          <x:t xml:space="preserve">passed manual test</x:t>
        </x:is>
      </x:c>
      <x:c r="H192" s="88" t="inlineStr">
        <x:is>
          <x:t xml:space="preserve">covered</x:t>
        </x:is>
      </x:c>
      <x:c r="I192" s="84" t="inlineStr">
        <x:is>
          <x:t xml:space="preserve">TreeGrid playground; manual-tests/tree-grid.md</x:t>
        </x:is>
      </x:c>
      <x:c r="J192" s="84" t="n"/>
      <x:c r="K192" s="87" t="n">
        <x:f>IF(AND(E192="yes",F192="yes",H192="covered"),1,IF(H192="partial",0.5,0))</x:f>
        <x:v>1</x:v>
      </x:c>
    </x:row>
    <x:row r="193" s="51" customFormat="1" ht="30" customHeight="1">
      <x:c r="A193" s="73" t="n">
        <x:v>185</x:v>
      </x:c>
      <x:c r="B193" s="84" t="inlineStr">
        <x:is>
          <x:t xml:space="preserve">Direction</x:t>
        </x:is>
      </x:c>
      <x:c r="C193" s="84" t="inlineStr">
        <x:is>
          <x:t xml:space="preserve">Grid</x:t>
        </x:is>
      </x:c>
      <x:c r="D193" s="84" t="inlineStr">
        <x:is>
          <x:t xml:space="preserve">Home and End retain documented row-edge behavior in RTL</x:t>
        </x:is>
      </x:c>
      <x:c r="E193" s="88" t="inlineStr">
        <x:is>
          <x:t xml:space="preserve">yes</x:t>
        </x:is>
      </x:c>
      <x:c r="F193" s="85" t="inlineStr">
        <x:is>
          <x:t xml:space="preserve">yes</x:t>
        </x:is>
      </x:c>
      <x:c r="G193" s="73" t="inlineStr">
        <x:is>
          <x:t xml:space="preserve">passed manual test</x:t>
        </x:is>
      </x:c>
      <x:c r="H193" s="88" t="inlineStr">
        <x:is>
          <x:t xml:space="preserve">covered</x:t>
        </x:is>
      </x:c>
      <x:c r="I193" s="84" t="inlineStr">
        <x:is>
          <x:t xml:space="preserve">TreeGrid playground; manual-tests/tree-grid.md</x:t>
        </x:is>
      </x:c>
      <x:c r="J193" s="84" t="n"/>
      <x:c r="K193" s="87" t="n">
        <x:f>IF(AND(E193="yes",F193="yes",H193="covered"),1,IF(H193="partial",0.5,0))</x:f>
        <x:v>1</x:v>
      </x:c>
    </x:row>
    <x:row r="194" s="51" customFormat="1" ht="30" customHeight="1">
      <x:c r="A194" s="73" t="n">
        <x:v>186</x:v>
      </x:c>
      <x:c r="B194" s="84" t="inlineStr">
        <x:is>
          <x:t xml:space="preserve">Playground</x:t>
        </x:is>
      </x:c>
      <x:c r="C194" s="84" t="inlineStr">
        <x:is>
          <x:t xml:space="preserve">Direction controls</x:t>
        </x:is>
      </x:c>
      <x:c r="D194" s="84" t="inlineStr">
        <x:is>
          <x:t xml:space="preserve">scenario exposes Default, Provider RTL, Local LTR, and Local RTL controls</x:t>
        </x:is>
      </x:c>
      <x:c r="E194" s="88" t="inlineStr">
        <x:is>
          <x:t xml:space="preserve">yes</x:t>
        </x:is>
      </x:c>
      <x:c r="F194" s="85" t="inlineStr">
        <x:is>
          <x:t xml:space="preserve">yes</x:t>
        </x:is>
      </x:c>
      <x:c r="G194" s="73" t="inlineStr">
        <x:is>
          <x:t xml:space="preserve">passed manual test</x:t>
        </x:is>
      </x:c>
      <x:c r="H194" s="88" t="inlineStr">
        <x:is>
          <x:t xml:space="preserve">covered</x:t>
        </x:is>
      </x:c>
      <x:c r="I194" s="84" t="inlineStr">
        <x:is>
          <x:t xml:space="preserve">TreeGrid playground; manual-tests/tree-grid.md</x:t>
        </x:is>
      </x:c>
      <x:c r="J194" s="84" t="n"/>
      <x:c r="K194" s="87" t="n">
        <x:f>IF(AND(E194="yes",F194="yes",H194="covered"),1,IF(H194="partial",0.5,0))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Virtualizer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IFERROR(SUM(K9:K33)/COUNTA(A9:A33),0)</x:f>
        <x:v>1</x:v>
      </x:c>
      <x:c r="C4" s="70" t="inlineStr">
        <x:is>
          <x:t xml:space="preserve">Covered</x:t>
        </x:is>
      </x:c>
      <x:c r="D4" s="82" t="n">
        <x:f>COUNTIF(H9:H33,"covered")</x:f>
        <x:v>25</x:v>
      </x:c>
      <x:c r="E4" s="70" t="inlineStr">
        <x:is>
          <x:t xml:space="preserve">Partial</x:t>
        </x:is>
      </x:c>
      <x:c r="F4" s="82" t="n">
        <x:f>COUNTIF(H9:H33,"partial")</x:f>
        <x:v>0</x:v>
      </x:c>
      <x:c r="G4" s="70" t="inlineStr">
        <x:is>
          <x:t xml:space="preserve">Missing</x:t>
        </x:is>
      </x:c>
      <x:c r="H4" s="82" t="n">
        <x:f>COUNTIF(H9:H33,"missing")</x:f>
        <x:v>0</x:v>
      </x:c>
      <x:c r="I4" s="70" t="inlineStr">
        <x:is>
          <x:t xml:space="preserve">Untested</x:t>
        </x:is>
      </x:c>
      <x:c r="J4" s="82" t="n">
        <x:f>COUNTIF(F9:F33,"no")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Virtualizer</x:t>
        </x:is>
      </x:c>
      <x:c r="D9" s="90" t="inlineStr">
        <x:is>
          <x:t xml:space="preserve">scenario is reachable from top menu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Virtualizer playground manual verification.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Virtualizer</x:t>
        </x:is>
      </x:c>
      <x:c r="D10" s="90" t="inlineStr">
        <x:is>
          <x:t xml:space="preserve">canvas source reflects current toggles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Virtualizer playground manual verification.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89" t="n">
        <x:v>3</x:v>
      </x:c>
      <x:c r="B11" s="90" t="inlineStr">
        <x:is>
          <x:t xml:space="preserve">Playground</x:t>
        </x:is>
      </x:c>
      <x:c r="C11" s="90" t="inlineStr">
        <x:is>
          <x:t xml:space="preserve">Virtualizer</x:t>
        </x:is>
      </x:c>
      <x:c r="D11" s="90" t="inlineStr">
        <x:is>
          <x:t xml:space="preserve">anatomy uses live DOM attributes, ARIA, and data groups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Virtualizer playground manual verification.</x:t>
        </x:is>
      </x:c>
      <x:c r="J11" s="90" t="n"/>
      <x:c r="K11" s="91" t="n">
        <x:f>IF(H11="covered",1,IF(H11="partial",0.5,0))</x:f>
        <x:v>1</x:v>
      </x:c>
    </x:row>
    <x:row r="12" s="51" customFormat="1" ht="15" customHeight="1">
      <x:c r="A12" s="89" t="n">
        <x:v>4</x:v>
      </x:c>
      <x:c r="B12" s="90" t="inlineStr">
        <x:is>
          <x:t xml:space="preserve">Playground</x:t>
        </x:is>
      </x:c>
      <x:c r="C12" s="90" t="inlineStr">
        <x:is>
          <x:t xml:space="preserve">Virtualizer</x:t>
        </x:is>
      </x:c>
      <x:c r="D12" s="90" t="inlineStr">
        <x:is>
          <x:t xml:space="preserve">inspector selected/focused/logs work for this scenario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Virtualizer playground manual verification.</x:t>
        </x:is>
      </x:c>
      <x:c r="J12" s="90" t="n"/>
      <x:c r="K12" s="91" t="n">
        <x:f>IF(H12="covered",1,IF(H12="partial",0.5,0))</x:f>
        <x:v>1</x:v>
      </x:c>
    </x:row>
    <x:row r="13" s="51" customFormat="1" ht="30" customHeight="1">
      <x:c r="A13" s="89" t="n">
        <x:v>5</x:v>
      </x:c>
      <x:c r="B13" s="90" t="inlineStr">
        <x:is>
          <x:t xml:space="preserve">Feature</x:t>
        </x:is>
      </x:c>
      <x:c r="C13" s="90" t="inlineStr">
        <x:is>
          <x:t xml:space="preserve">Virtualizer</x:t>
        </x:is>
      </x:c>
      <x:c r="D13" s="90" t="inlineStr">
        <x:is>
          <x:t xml:space="preserve">Computes visible virtual items from item count, scroll offset, viewport size, and overscan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Virtualizer playground manual verification.</x:t>
        </x:is>
      </x:c>
      <x:c r="J13" s="90" t="n"/>
      <x:c r="K13" s="91" t="n">
        <x:f>IF(H13="covered",1,IF(H13="partial",0.5,0))</x:f>
        <x:v>1</x:v>
      </x:c>
    </x:row>
    <x:row r="14" s="51" customFormat="1" ht="15" customHeight="1">
      <x:c r="A14" s="89" t="n">
        <x:v>6</x:v>
      </x:c>
      <x:c r="B14" s="90" t="inlineStr">
        <x:is>
          <x:t xml:space="preserve">Feature</x:t>
        </x:is>
      </x:c>
      <x:c r="C14" s="90" t="inlineStr">
        <x:is>
          <x:t xml:space="preserve">Virtualizer</x:t>
        </x:is>
      </x:c>
      <x:c r="D14" s="90" t="inlineStr">
        <x:is>
          <x:t xml:space="preserve">Supports measured item sizes with `ResizeObserver`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Virtualizer playground manual verification.</x:t>
        </x:is>
      </x:c>
      <x:c r="J14" s="90" t="n"/>
      <x:c r="K14" s="91" t="n">
        <x:f>IF(H14="covered",1,IF(H14="partial",0.5,0))</x:f>
        <x:v>1</x:v>
      </x:c>
    </x:row>
    <x:row r="15" s="51" customFormat="1" ht="15" customHeight="1">
      <x:c r="A15" s="89" t="n">
        <x:v>7</x:v>
      </x:c>
      <x:c r="B15" s="90" t="inlineStr">
        <x:is>
          <x:t xml:space="preserve">Feature</x:t>
        </x:is>
      </x:c>
      <x:c r="C15" s="90" t="inlineStr">
        <x:is>
          <x:t xml:space="preserve">Virtualizer</x:t>
        </x:is>
      </x:c>
      <x:c r="D15" s="90" t="inlineStr">
        <x:is>
          <x:t xml:space="preserve">Supports stable item keys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Virtualizer playground manual verification.</x:t>
        </x:is>
      </x:c>
      <x:c r="J15" s="90" t="n"/>
      <x:c r="K15" s="91" t="n">
        <x:f>IF(H15="covered",1,IF(H15="partial",0.5,0))</x:f>
        <x:v>1</x:v>
      </x:c>
    </x:row>
    <x:row r="16" s="51" customFormat="1" ht="15" customHeight="1">
      <x:c r="A16" s="89" t="n">
        <x:v>8</x:v>
      </x:c>
      <x:c r="B16" s="90" t="inlineStr">
        <x:is>
          <x:t xml:space="preserve">Feature</x:t>
        </x:is>
      </x:c>
      <x:c r="C16" s="90" t="inlineStr">
        <x:is>
          <x:t xml:space="preserve">Virtualizer</x:t>
        </x:is>
      </x:c>
      <x:c r="D16" s="90" t="inlineStr">
        <x:is>
          <x:t xml:space="preserve">Provides `scrollToOffset` and `scrollToIndex` helpers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Virtualizer playground manual verification.</x:t>
        </x:is>
      </x:c>
      <x:c r="J16" s="90" t="n"/>
      <x:c r="K16" s="91" t="n">
        <x:f>IF(H16="covered",1,IF(H16="partial",0.5,0))</x:f>
        <x:v>1</x:v>
      </x:c>
    </x:row>
    <x:row r="17" s="51" customFormat="1" ht="30" customHeight="1">
      <x:c r="A17" s="89" t="n">
        <x:v>9</x:v>
      </x:c>
      <x:c r="B17" s="90" t="inlineStr">
        <x:is>
          <x:t xml:space="preserve">Feature</x:t>
        </x:is>
      </x:c>
      <x:c r="C17" s="90" t="inlineStr">
        <x:is>
          <x:t xml:space="preserve">Virtualizer</x:t>
        </x:is>
      </x:c>
      <x:c r="D17" s="90" t="inlineStr">
        <x:is>
          <x:t xml:space="preserve">Keeps DOM structure, ARIA roles, keyboard behavior, and styling in the component that uses it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Virtualizer playground manual verification.</x:t>
        </x:is>
      </x:c>
      <x:c r="J17" s="90" t="n"/>
      <x:c r="K17" s="91" t="n">
        <x:f>IF(H17="covered",1,IF(H17="partial",0.5,0))</x:f>
        <x:v>1</x:v>
      </x:c>
    </x:row>
    <x:row r="18" s="51" customFormat="1" ht="15" customHeight="1">
      <x:c r="A18" s="89" t="n">
        <x:v>10</x:v>
      </x:c>
      <x:c r="B18" s="90" t="inlineStr">
        <x:is>
          <x:t xml:space="preserve">Anatomy</x:t>
        </x:is>
      </x:c>
      <x:c r="C18" s="90" t="inlineStr">
        <x:is>
          <x:t xml:space="preserve">Hook API</x:t>
        </x:is>
      </x:c>
      <x:c r="D18" s="90" t="inlineStr">
        <x:is>
          <x:t xml:space="preserve">hook API state appears in Anatomy</x:t>
        </x:is>
      </x:c>
      <x:c r="E18" s="89" t="inlineStr">
        <x:is>
          <x:t xml:space="preserve">yes</x:t>
        </x:is>
      </x:c>
      <x:c r="F18" s="89" t="inlineStr">
        <x:is>
          <x:t xml:space="preserve">yes</x:t>
        </x:is>
      </x:c>
      <x:c r="G18" s="89" t="inlineStr">
        <x:is>
          <x:t xml:space="preserve">passed</x:t>
        </x:is>
      </x:c>
      <x:c r="H18" s="89" t="inlineStr">
        <x:is>
          <x:t xml:space="preserve">covered</x:t>
        </x:is>
      </x:c>
      <x:c r="I18" s="90" t="inlineStr">
        <x:is>
          <x:t xml:space="preserve">Virtualizer playground manual verification.</x:t>
        </x:is>
      </x:c>
      <x:c r="J18" s="90" t="n"/>
      <x:c r="K18" s="91" t="n">
        <x:f>IF(H18="covered",1,IF(H18="partial",0.5,0))</x:f>
        <x:v>1</x:v>
      </x:c>
    </x:row>
    <x:row r="19" s="51" customFormat="1" ht="15" customHeight="1">
      <x:c r="A19" s="89" t="n">
        <x:v>11</x:v>
      </x:c>
      <x:c r="B19" s="90" t="inlineStr">
        <x:is>
          <x:t xml:space="preserve">Anatomy</x:t>
        </x:is>
      </x:c>
      <x:c r="C19" s="90" t="inlineStr">
        <x:is>
          <x:t xml:space="preserve">Hook API</x:t>
        </x:is>
      </x:c>
      <x:c r="D19" s="90" t="inlineStr">
        <x:is>
          <x:t xml:space="preserve">hook API appears before consumer DOM evidence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Virtualizer playground manual verification.</x:t>
        </x:is>
      </x:c>
      <x:c r="J19" s="90" t="n"/>
      <x:c r="K19" s="91" t="n">
        <x:f>IF(H19="covered",1,IF(H19="partial",0.5,0))</x:f>
        <x:v>1</x:v>
      </x:c>
    </x:row>
    <x:row r="20" s="51" customFormat="1" ht="15" customHeight="1">
      <x:c r="A20" s="89" t="n">
        <x:v>12</x:v>
      </x:c>
      <x:c r="B20" s="90" t="inlineStr">
        <x:is>
          <x:t xml:space="preserve">Identity</x:t>
        </x:is>
      </x:c>
      <x:c r="C20" s="90" t="inlineStr">
        <x:is>
          <x:t xml:space="preserve">Consumer DOM</x:t>
        </x:is>
      </x:c>
      <x:c r="D20" s="90" t="inlineStr">
        <x:is>
          <x:t xml:space="preserve">scroll container tag is visible in Anatomy/Inspector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Virtualizer playground manual verification.</x:t>
        </x:is>
      </x:c>
      <x:c r="J20" s="90" t="n"/>
      <x:c r="K20" s="91" t="n">
        <x:f>IF(H20="covered",1,IF(H20="partial",0.5,0))</x:f>
        <x:v>1</x:v>
      </x:c>
    </x:row>
    <x:row r="21" s="51" customFormat="1" ht="15" customHeight="1">
      <x:c r="A21" s="89" t="n">
        <x:v>13</x:v>
      </x:c>
      <x:c r="B21" s="90" t="inlineStr">
        <x:is>
          <x:t xml:space="preserve">Identity</x:t>
        </x:is>
      </x:c>
      <x:c r="C21" s="90" t="inlineStr">
        <x:is>
          <x:t xml:space="preserve">Hook API</x:t>
        </x:is>
      </x:c>
      <x:c r="D21" s="90" t="inlineStr">
        <x:is>
          <x:t xml:space="preserve">Virtualizer emits no data-slot because it renders no DOM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Virtualizer playground manual verification.</x:t>
        </x:is>
      </x:c>
      <x:c r="J21" s="90" t="n"/>
      <x:c r="K21" s="91" t="n">
        <x:f>IF(H21="covered",1,IF(H21="partial",0.5,0))</x:f>
        <x:v>1</x:v>
      </x:c>
    </x:row>
    <x:row r="22" s="51" customFormat="1" ht="30" customHeight="1">
      <x:c r="A22" s="89" t="n">
        <x:v>14</x:v>
      </x:c>
      <x:c r="B22" s="90" t="inlineStr">
        <x:is>
          <x:t xml:space="preserve">Props</x:t>
        </x:is>
      </x:c>
      <x:c r="C22" s="90" t="inlineStr">
        <x:is>
          <x:t xml:space="preserve">Consumer DOM</x:t>
        </x:is>
      </x:c>
      <x:c r="D22" s="90" t="inlineStr">
        <x:is>
          <x:t xml:space="preserve">non-Atom marker data-prop-check is not used for hook output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Virtualizer playground manual verification.</x:t>
        </x:is>
      </x:c>
      <x:c r="J22" s="90" t="n"/>
      <x:c r="K22" s="91" t="n">
        <x:f>IF(H22="covered",1,IF(H22="partial",0.5,0))</x:f>
        <x:v>1</x:v>
      </x:c>
    </x:row>
    <x:row r="23" s="51" customFormat="1" ht="15" customHeight="1">
      <x:c r="A23" s="89" t="n">
        <x:v>15</x:v>
      </x:c>
      <x:c r="B23" s="90" t="inlineStr">
        <x:is>
          <x:t xml:space="preserve">Anatomy</x:t>
        </x:is>
      </x:c>
      <x:c r="C23" s="90" t="inlineStr">
        <x:is>
          <x:t xml:space="preserve">Consumer DOM</x:t>
        </x:is>
      </x:c>
      <x:c r="D23" s="90" t="inlineStr">
        <x:is>
          <x:t xml:space="preserve">visible virtual items render in DOM evidence group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Virtualizer playground manual verification.</x:t>
        </x:is>
      </x:c>
      <x:c r="J23" s="90" t="n"/>
      <x:c r="K23" s="91" t="n">
        <x:f>IF(H23="covered",1,IF(H23="partial",0.5,0))</x:f>
        <x:v>1</x:v>
      </x:c>
    </x:row>
    <x:row r="24" s="51" customFormat="1" ht="15" customHeight="1">
      <x:c r="A24" s="89" t="n">
        <x:v>16</x:v>
      </x:c>
      <x:c r="B24" s="90" t="inlineStr">
        <x:is>
          <x:t xml:space="preserve">Anatomy</x:t>
        </x:is>
      </x:c>
      <x:c r="C24" s="90" t="inlineStr">
        <x:is>
          <x:t xml:space="preserve">Consumer DOM</x:t>
        </x:is>
      </x:c>
      <x:c r="D24" s="90" t="inlineStr">
        <x:is>
          <x:t xml:space="preserve">visible range rows follow hook output order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Virtualizer playground manual verification.</x:t>
        </x:is>
      </x:c>
      <x:c r="J24" s="90" t="n"/>
      <x:c r="K24" s="91" t="n">
        <x:f>IF(H24="covered",1,IF(H24="partial",0.5,0))</x:f>
        <x:v>1</x:v>
      </x:c>
    </x:row>
    <x:row r="25" s="51" customFormat="1" ht="15" customHeight="1">
      <x:c r="A25" s="89" t="n">
        <x:v>17</x:v>
      </x:c>
      <x:c r="B25" s="90" t="inlineStr">
        <x:is>
          <x:t xml:space="preserve">Identity</x:t>
        </x:is>
      </x:c>
      <x:c r="C25" s="90" t="inlineStr">
        <x:is>
          <x:t xml:space="preserve">Consumer DOM</x:t>
        </x:is>
      </x:c>
      <x:c r="D25" s="90" t="inlineStr">
        <x:is>
          <x:t xml:space="preserve">virtual item indexes are visible in Anatomy/Inspector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Virtualizer playground manual verification.</x:t>
        </x:is>
      </x:c>
      <x:c r="J25" s="90" t="n"/>
      <x:c r="K25" s="91" t="n">
        <x:f>IF(H25="covered",1,IF(H25="partial",0.5,0))</x:f>
        <x:v>1</x:v>
      </x:c>
    </x:row>
    <x:row r="26" s="51" customFormat="1" ht="30" customHeight="1">
      <x:c r="A26" s="89" t="n">
        <x:v>18</x:v>
      </x:c>
      <x:c r="B26" s="90" t="inlineStr">
        <x:is>
          <x:t xml:space="preserve">Identity</x:t>
        </x:is>
      </x:c>
      <x:c r="C26" s="90" t="inlineStr">
        <x:is>
          <x:t xml:space="preserve">Hook API</x:t>
        </x:is>
      </x:c>
      <x:c r="D26" s="90" t="inlineStr">
        <x:is>
          <x:t xml:space="preserve">Virtualizer emits no Atom data attributes because it renders no DOM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Virtualizer playground manual verification.</x:t>
        </x:is>
      </x:c>
      <x:c r="J26" s="90" t="n"/>
      <x:c r="K26" s="91" t="n">
        <x:f>IF(H26="covered",1,IF(H26="partial",0.5,0))</x:f>
        <x:v>1</x:v>
      </x:c>
    </x:row>
    <x:row r="27" s="51" customFormat="1" ht="15" customHeight="1">
      <x:c r="A27" s="89" t="n">
        <x:v>19</x:v>
      </x:c>
      <x:c r="B27" s="90" t="inlineStr">
        <x:is>
          <x:t xml:space="preserve">Props</x:t>
        </x:is>
      </x:c>
      <x:c r="C27" s="90" t="inlineStr">
        <x:is>
          <x:t xml:space="preserve">Consumer DOM</x:t>
        </x:is>
      </x:c>
      <x:c r="D27" s="90" t="inlineStr">
        <x:is>
          <x:t xml:space="preserve">scroll container native tabIndex is visible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Virtualizer playground manual verification.</x:t>
        </x:is>
      </x:c>
      <x:c r="J27" s="90" t="n"/>
      <x:c r="K27" s="91" t="n">
        <x:f>IF(H27="covered",1,IF(H27="partial",0.5,0))</x:f>
        <x:v>1</x:v>
      </x:c>
    </x:row>
    <x:row r="28" s="51" customFormat="1" ht="15" customHeight="1">
      <x:c r="A28" s="89" t="n">
        <x:v>20</x:v>
      </x:c>
      <x:c r="B28" s="90" t="inlineStr">
        <x:is>
          <x:t xml:space="preserve">Utility</x:t>
        </x:is>
      </x:c>
      <x:c r="C28" s="90" t="inlineStr">
        <x:is>
          <x:t xml:space="preserve">Virtualizer</x:t>
        </x:is>
      </x:c>
      <x:c r="D28" s="90" t="inlineStr">
        <x:is>
          <x:t xml:space="preserve">visible range updates from item size and overscan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Virtualizer playground manual verification.</x:t>
        </x:is>
      </x:c>
      <x:c r="J28" s="90" t="n"/>
      <x:c r="K28" s="91" t="n">
        <x:f>IF(H28="covered",1,IF(H28="partial",0.5,0))</x:f>
        <x:v>1</x:v>
      </x:c>
    </x:row>
    <x:row r="29" s="51" customFormat="1" ht="15" customHeight="1">
      <x:c r="A29" s="89" t="n">
        <x:v>21</x:v>
      </x:c>
      <x:c r="B29" s="90" t="inlineStr">
        <x:is>
          <x:t xml:space="preserve">Utility</x:t>
        </x:is>
      </x:c>
      <x:c r="C29" s="90" t="inlineStr">
        <x:is>
          <x:t xml:space="preserve">Virtualizer</x:t>
        </x:is>
      </x:c>
      <x:c r="D29" s="90" t="inlineStr">
        <x:is>
          <x:t xml:space="preserve">scrollToIndex honors start, center, end, and auto alignment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Virtualizer playground manual verification.</x:t>
        </x:is>
      </x:c>
      <x:c r="J29" s="90" t="n"/>
      <x:c r="K29" s="91" t="n">
        <x:f>IF(H29="covered",1,IF(H29="partial",0.5,0))</x:f>
        <x:v>1</x:v>
      </x:c>
    </x:row>
    <x:row r="30" s="51" customFormat="1" ht="15" customHeight="1">
      <x:c r="A30" s="89" t="n">
        <x:v>22</x:v>
      </x:c>
      <x:c r="B30" s="90" t="inlineStr">
        <x:is>
          <x:t xml:space="preserve">Utility</x:t>
        </x:is>
      </x:c>
      <x:c r="C30" s="90" t="inlineStr">
        <x:is>
          <x:t xml:space="preserve">Virtualizer</x:t>
        </x:is>
      </x:c>
      <x:c r="D30" s="90" t="inlineStr">
        <x:is>
          <x:t xml:space="preserve">variable item sizes and zero-size items are handled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Virtualizer playground manual verification.</x:t>
        </x:is>
      </x:c>
      <x:c r="J30" s="90" t="n"/>
      <x:c r="K30" s="91" t="n">
        <x:f>IF(H30="covered",1,IF(H30="partial",0.5,0))</x:f>
        <x:v>1</x:v>
      </x:c>
    </x:row>
    <x:row r="31" s="51" customFormat="1" ht="30" customHeight="1">
      <x:c r="A31" s="89" t="n">
        <x:v>23</x:v>
      </x:c>
      <x:c r="B31" s="90" t="inlineStr">
        <x:is>
          <x:t xml:space="preserve">Public API</x:t>
        </x:is>
      </x:c>
      <x:c r="C31" s="90" t="inlineStr">
        <x:is>
          <x:t xml:space="preserve">Pure helpers</x:t>
        </x:is>
      </x:c>
      <x:c r="D31" s="90" t="inlineStr">
        <x:is>
          <x:t xml:space="preserve">getVirtualTotalSize export and behavior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Unit tests cover pure helper behavior; playground shows total size.</x:t>
        </x:is>
      </x:c>
      <x:c r="J31" s="90" t="n"/>
      <x:c r="K31" s="91" t="n">
        <x:f>IF(H31="covered",1,IF(H31="partial",0.5,0))</x:f>
        <x:v>1</x:v>
      </x:c>
    </x:row>
    <x:row r="32" s="51" customFormat="1" ht="30" customHeight="1">
      <x:c r="A32" s="89" t="n">
        <x:v>24</x:v>
      </x:c>
      <x:c r="B32" s="90" t="inlineStr">
        <x:is>
          <x:t xml:space="preserve">Public API</x:t>
        </x:is>
      </x:c>
      <x:c r="C32" s="90" t="inlineStr">
        <x:is>
          <x:t xml:space="preserve">Pure helpers</x:t>
        </x:is>
      </x:c>
      <x:c r="D32" s="90" t="inlineStr">
        <x:is>
          <x:t xml:space="preserve">getVirtualOffsetForIndex export and behavior</x:t>
        </x:is>
      </x:c>
      <x:c r="E32" s="89" t="inlineStr">
        <x:is>
          <x:t xml:space="preserve">yes</x:t>
        </x:is>
      </x:c>
      <x:c r="F32" s="89" t="inlineStr">
        <x:is>
          <x:t xml:space="preserve">yes</x:t>
        </x:is>
      </x:c>
      <x:c r="G32" s="89" t="inlineStr">
        <x:is>
          <x:t xml:space="preserve">passed</x:t>
        </x:is>
      </x:c>
      <x:c r="H32" s="89" t="inlineStr">
        <x:is>
          <x:t xml:space="preserve">covered</x:t>
        </x:is>
      </x:c>
      <x:c r="I32" s="90" t="inlineStr">
        <x:is>
          <x:t xml:space="preserve">Unit tests cover pure helper behavior; playground shows item starts.</x:t>
        </x:is>
      </x:c>
      <x:c r="J32" s="90" t="n"/>
      <x:c r="K32" s="91" t="n">
        <x:f>IF(H32="covered",1,IF(H32="partial",0.5,0))</x:f>
        <x:v>1</x:v>
      </x:c>
    </x:row>
    <x:row r="33" s="51" customFormat="1" ht="30" customHeight="1">
      <x:c r="A33" s="89" t="n">
        <x:v>25</x:v>
      </x:c>
      <x:c r="B33" s="90" t="inlineStr">
        <x:is>
          <x:t xml:space="preserve">Public API</x:t>
        </x:is>
      </x:c>
      <x:c r="C33" s="90" t="inlineStr">
        <x:is>
          <x:t xml:space="preserve">Pure helpers</x:t>
        </x:is>
      </x:c>
      <x:c r="D33" s="90" t="inlineStr">
        <x:is>
          <x:t xml:space="preserve">getVirtualScrollOffsetForIndex export and behavior</x:t>
        </x:is>
      </x:c>
      <x:c r="E33" s="89" t="inlineStr">
        <x:is>
          <x:t xml:space="preserve">yes</x:t>
        </x:is>
      </x:c>
      <x:c r="F33" s="89" t="inlineStr">
        <x:is>
          <x:t xml:space="preserve">yes</x:t>
        </x:is>
      </x:c>
      <x:c r="G33" s="89" t="inlineStr">
        <x:is>
          <x:t xml:space="preserve">passed</x:t>
        </x:is>
      </x:c>
      <x:c r="H33" s="89" t="inlineStr">
        <x:is>
          <x:t xml:space="preserve">covered</x:t>
        </x:is>
      </x:c>
      <x:c r="I33" s="90" t="inlineStr">
        <x:is>
          <x:t xml:space="preserve">Unit tests cover pure helper behavior; playground tests scrollToIndex alignments.</x:t>
        </x:is>
      </x:c>
      <x:c r="J33" s="90" t="n"/>
      <x:c r="K33" s="91" t="n">
        <x:f>IF(H33="covered",1,IF(H33="partial",0.5,0))</x:f>
        <x:v>1</x:v>
      </x:c>
    </x:row>
    <x:row r="34" s="51" customFormat="1" ht="13.5" customHeight="1">
      <x:c r="A34" s="73" t="n"/>
      <x:c r="B34" s="84" t="n"/>
      <x:c r="C34" s="84" t="n"/>
      <x:c r="D34" s="84" t="n"/>
      <x:c r="E34" s="76" t="n"/>
      <x:c r="F34" s="76" t="n"/>
      <x:c r="G34" s="73" t="n"/>
      <x:c r="H34" s="92" t="n"/>
      <x:c r="I34" s="84" t="n"/>
      <x:c r="J34" s="84" t="n"/>
      <x:c r="K34" s="87" t="n"/>
    </x:row>
    <x:row r="35" s="51" customFormat="1" ht="13.5" customHeight="1">
      <x:c r="A35" s="73" t="n"/>
      <x:c r="B35" s="84" t="n"/>
      <x:c r="C35" s="84" t="n"/>
      <x:c r="D35" s="84" t="n"/>
      <x:c r="E35" s="76" t="n"/>
      <x:c r="F35" s="76" t="n"/>
      <x:c r="G35" s="73" t="n"/>
      <x:c r="H35" s="92" t="n"/>
      <x:c r="I35" s="84" t="n"/>
      <x:c r="J35" s="84" t="n"/>
      <x:c r="K35" s="87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VisuallyHidden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IFERROR(SUM(K9:K35)/COUNTA(A9:A35),0)</x:f>
        <x:v>1</x:v>
      </x:c>
      <x:c r="C4" s="70" t="inlineStr">
        <x:is>
          <x:t xml:space="preserve">Covered</x:t>
        </x:is>
      </x:c>
      <x:c r="D4" s="82" t="n">
        <x:f>COUNTIF(H9:H35,"covered")</x:f>
        <x:v>27</x:v>
      </x:c>
      <x:c r="E4" s="70" t="inlineStr">
        <x:is>
          <x:t xml:space="preserve">Partial</x:t>
        </x:is>
      </x:c>
      <x:c r="F4" s="82" t="n">
        <x:f>COUNTIF(H9:H35,"partial")</x:f>
        <x:v>0</x:v>
      </x:c>
      <x:c r="G4" s="70" t="inlineStr">
        <x:is>
          <x:t xml:space="preserve">Missing</x:t>
        </x:is>
      </x:c>
      <x:c r="H4" s="82" t="n">
        <x:f>COUNTIF(H9:H35,"missing")</x:f>
        <x:v>0</x:v>
      </x:c>
      <x:c r="I4" s="70" t="inlineStr">
        <x:is>
          <x:t xml:space="preserve">Untested</x:t>
        </x:is>
      </x:c>
      <x:c r="J4" s="82" t="n">
        <x:f>COUNTIF(F9:F35,"no")</x:f>
        <x:v>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89" t="n">
        <x:v>1</x:v>
      </x:c>
      <x:c r="B9" s="90" t="inlineStr">
        <x:is>
          <x:t xml:space="preserve">Playground</x:t>
        </x:is>
      </x:c>
      <x:c r="C9" s="90" t="inlineStr">
        <x:is>
          <x:t xml:space="preserve">Props</x:t>
        </x:is>
      </x:c>
      <x:c r="D9" s="90" t="inlineStr">
        <x:is>
          <x:t xml:space="preserve">Props toolbar exposes Prop Check and keeps data-prop-check off by default</x:t>
        </x:is>
      </x:c>
      <x:c r="E9" s="89" t="inlineStr">
        <x:is>
          <x:t xml:space="preserve">yes</x:t>
        </x:is>
      </x:c>
      <x:c r="F9" s="89" t="inlineStr">
        <x:is>
          <x:t xml:space="preserve">yes</x:t>
        </x:is>
      </x:c>
      <x:c r="G9" s="89" t="inlineStr">
        <x:is>
          <x:t xml:space="preserve">passed</x:t>
        </x:is>
      </x:c>
      <x:c r="H9" s="89" t="inlineStr">
        <x:is>
          <x:t xml:space="preserve">covered</x:t>
        </x:is>
      </x:c>
      <x:c r="I9" s="90" t="inlineStr">
        <x:is>
          <x:t xml:space="preserve">Shared playground prop rule.</x:t>
        </x:is>
      </x:c>
      <x:c r="J9" s="90" t="n"/>
      <x:c r="K9" s="91" t="n">
        <x:f>IF(H9="covered",1,IF(H9="partial",0.5,0))</x:f>
        <x:v>1</x:v>
      </x:c>
    </x:row>
    <x:row r="10" s="51" customFormat="1" ht="15" customHeight="1">
      <x:c r="A10" s="89" t="n">
        <x:v>2</x:v>
      </x:c>
      <x:c r="B10" s="90" t="inlineStr">
        <x:is>
          <x:t xml:space="preserve">Playground</x:t>
        </x:is>
      </x:c>
      <x:c r="C10" s="90" t="inlineStr">
        <x:is>
          <x:t xml:space="preserve">Props</x:t>
        </x:is>
      </x:c>
      <x:c r="D10" s="90" t="inlineStr">
        <x:is>
          <x:t xml:space="preserve">custom data-slot override is available for every slot-owning anatomy part</x:t>
        </x:is>
      </x:c>
      <x:c r="E10" s="89" t="inlineStr">
        <x:is>
          <x:t xml:space="preserve">yes</x:t>
        </x:is>
      </x:c>
      <x:c r="F10" s="89" t="inlineStr">
        <x:is>
          <x:t xml:space="preserve">yes</x:t>
        </x:is>
      </x:c>
      <x:c r="G10" s="89" t="inlineStr">
        <x:is>
          <x:t xml:space="preserve">passed</x:t>
        </x:is>
      </x:c>
      <x:c r="H10" s="89" t="inlineStr">
        <x:is>
          <x:t xml:space="preserve">covered</x:t>
        </x:is>
      </x:c>
      <x:c r="I10" s="90" t="inlineStr">
        <x:is>
          <x:t xml:space="preserve">Shared playground prop rule.</x:t>
        </x:is>
      </x:c>
      <x:c r="J10" s="90" t="n"/>
      <x:c r="K10" s="91" t="n">
        <x:f>IF(H10="covered",1,IF(H10="partial",0.5,0))</x:f>
        <x:v>1</x:v>
      </x:c>
    </x:row>
    <x:row r="11" s="51" customFormat="1" ht="15" customHeight="1">
      <x:c r="A11" s="89" t="n">
        <x:v>3</x:v>
      </x:c>
      <x:c r="B11" s="90" t="inlineStr">
        <x:is>
          <x:t xml:space="preserve">Playground</x:t>
        </x:is>
      </x:c>
      <x:c r="C11" s="90" t="inlineStr">
        <x:is>
          <x:t xml:space="preserve">VisuallyHidden</x:t>
        </x:is>
      </x:c>
      <x:c r="D11" s="90" t="inlineStr">
        <x:is>
          <x:t xml:space="preserve">scenario is reachable from top menu</x:t>
        </x:is>
      </x:c>
      <x:c r="E11" s="89" t="inlineStr">
        <x:is>
          <x:t xml:space="preserve">yes</x:t>
        </x:is>
      </x:c>
      <x:c r="F11" s="89" t="inlineStr">
        <x:is>
          <x:t xml:space="preserve">yes</x:t>
        </x:is>
      </x:c>
      <x:c r="G11" s="89" t="inlineStr">
        <x:is>
          <x:t xml:space="preserve">passed</x:t>
        </x:is>
      </x:c>
      <x:c r="H11" s="89" t="inlineStr">
        <x:is>
          <x:t xml:space="preserve">covered</x:t>
        </x:is>
      </x:c>
      <x:c r="I11" s="90" t="inlineStr">
        <x:is>
          <x:t xml:space="preserve">Visually Hidden playground scenario.</x:t>
        </x:is>
      </x:c>
      <x:c r="J11" s="90" t="n"/>
      <x:c r="K11" s="91" t="n">
        <x:f>IF(H11="covered",1,IF(H11="partial",0.5,0))</x:f>
        <x:v>1</x:v>
      </x:c>
    </x:row>
    <x:row r="12" s="51" customFormat="1" ht="15" customHeight="1">
      <x:c r="A12" s="89" t="n">
        <x:v>4</x:v>
      </x:c>
      <x:c r="B12" s="90" t="inlineStr">
        <x:is>
          <x:t xml:space="preserve">Playground</x:t>
        </x:is>
      </x:c>
      <x:c r="C12" s="90" t="inlineStr">
        <x:is>
          <x:t xml:space="preserve">VisuallyHidden</x:t>
        </x:is>
      </x:c>
      <x:c r="D12" s="90" t="inlineStr">
        <x:is>
          <x:t xml:space="preserve">canvas source reflects current toggles</x:t>
        </x:is>
      </x:c>
      <x:c r="E12" s="89" t="inlineStr">
        <x:is>
          <x:t xml:space="preserve">yes</x:t>
        </x:is>
      </x:c>
      <x:c r="F12" s="89" t="inlineStr">
        <x:is>
          <x:t xml:space="preserve">yes</x:t>
        </x:is>
      </x:c>
      <x:c r="G12" s="89" t="inlineStr">
        <x:is>
          <x:t xml:space="preserve">passed</x:t>
        </x:is>
      </x:c>
      <x:c r="H12" s="89" t="inlineStr">
        <x:is>
          <x:t xml:space="preserve">covered</x:t>
        </x:is>
      </x:c>
      <x:c r="I12" s="90" t="inlineStr">
        <x:is>
          <x:t xml:space="preserve">Visually Hidden playground scenario.</x:t>
        </x:is>
      </x:c>
      <x:c r="J12" s="90" t="n"/>
      <x:c r="K12" s="91" t="n">
        <x:f>IF(H12="covered",1,IF(H12="partial",0.5,0))</x:f>
        <x:v>1</x:v>
      </x:c>
    </x:row>
    <x:row r="13" s="51" customFormat="1" ht="15" customHeight="1">
      <x:c r="A13" s="89" t="n">
        <x:v>5</x:v>
      </x:c>
      <x:c r="B13" s="90" t="inlineStr">
        <x:is>
          <x:t xml:space="preserve">Playground</x:t>
        </x:is>
      </x:c>
      <x:c r="C13" s="90" t="inlineStr">
        <x:is>
          <x:t xml:space="preserve">VisuallyHidden</x:t>
        </x:is>
      </x:c>
      <x:c r="D13" s="90" t="inlineStr">
        <x:is>
          <x:t xml:space="preserve">anatomy uses live DOM attributes, ARIA, and data groups</x:t>
        </x:is>
      </x:c>
      <x:c r="E13" s="89" t="inlineStr">
        <x:is>
          <x:t xml:space="preserve">yes</x:t>
        </x:is>
      </x:c>
      <x:c r="F13" s="89" t="inlineStr">
        <x:is>
          <x:t xml:space="preserve">yes</x:t>
        </x:is>
      </x:c>
      <x:c r="G13" s="89" t="inlineStr">
        <x:is>
          <x:t xml:space="preserve">passed</x:t>
        </x:is>
      </x:c>
      <x:c r="H13" s="89" t="inlineStr">
        <x:is>
          <x:t xml:space="preserve">covered</x:t>
        </x:is>
      </x:c>
      <x:c r="I13" s="90" t="inlineStr">
        <x:is>
          <x:t xml:space="preserve">Visually Hidden playground scenario.</x:t>
        </x:is>
      </x:c>
      <x:c r="J13" s="90" t="n"/>
      <x:c r="K13" s="91" t="n">
        <x:f>IF(H13="covered",1,IF(H13="partial",0.5,0))</x:f>
        <x:v>1</x:v>
      </x:c>
    </x:row>
    <x:row r="14" s="51" customFormat="1" ht="15" customHeight="1">
      <x:c r="A14" s="89" t="n">
        <x:v>6</x:v>
      </x:c>
      <x:c r="B14" s="90" t="inlineStr">
        <x:is>
          <x:t xml:space="preserve">Playground</x:t>
        </x:is>
      </x:c>
      <x:c r="C14" s="90" t="inlineStr">
        <x:is>
          <x:t xml:space="preserve">VisuallyHidden</x:t>
        </x:is>
      </x:c>
      <x:c r="D14" s="90" t="inlineStr">
        <x:is>
          <x:t xml:space="preserve">inspector selected/focused/logs work for this scenario</x:t>
        </x:is>
      </x:c>
      <x:c r="E14" s="89" t="inlineStr">
        <x:is>
          <x:t xml:space="preserve">yes</x:t>
        </x:is>
      </x:c>
      <x:c r="F14" s="89" t="inlineStr">
        <x:is>
          <x:t xml:space="preserve">yes</x:t>
        </x:is>
      </x:c>
      <x:c r="G14" s="89" t="inlineStr">
        <x:is>
          <x:t xml:space="preserve">passed</x:t>
        </x:is>
      </x:c>
      <x:c r="H14" s="89" t="inlineStr">
        <x:is>
          <x:t xml:space="preserve">covered</x:t>
        </x:is>
      </x:c>
      <x:c r="I14" s="90" t="inlineStr">
        <x:is>
          <x:t xml:space="preserve">Visually Hidden playground scenario.</x:t>
        </x:is>
      </x:c>
      <x:c r="J14" s="90" t="n"/>
      <x:c r="K14" s="91" t="n">
        <x:f>IF(H14="covered",1,IF(H14="partial",0.5,0))</x:f>
        <x:v>1</x:v>
      </x:c>
    </x:row>
    <x:row r="15" s="51" customFormat="1" ht="15" customHeight="1">
      <x:c r="A15" s="89" t="n">
        <x:v>7</x:v>
      </x:c>
      <x:c r="B15" s="90" t="inlineStr">
        <x:is>
          <x:t xml:space="preserve">Feature</x:t>
        </x:is>
      </x:c>
      <x:c r="C15" s="90" t="inlineStr">
        <x:is>
          <x:t xml:space="preserve">VisuallyHidden</x:t>
        </x:is>
      </x:c>
      <x:c r="D15" s="90" t="inlineStr">
        <x:is>
          <x:t xml:space="preserve">Keeps content available to assistive technology</x:t>
        </x:is>
      </x:c>
      <x:c r="E15" s="89" t="inlineStr">
        <x:is>
          <x:t xml:space="preserve">yes</x:t>
        </x:is>
      </x:c>
      <x:c r="F15" s="89" t="inlineStr">
        <x:is>
          <x:t xml:space="preserve">yes</x:t>
        </x:is>
      </x:c>
      <x:c r="G15" s="89" t="inlineStr">
        <x:is>
          <x:t xml:space="preserve">passed</x:t>
        </x:is>
      </x:c>
      <x:c r="H15" s="89" t="inlineStr">
        <x:is>
          <x:t xml:space="preserve">covered</x:t>
        </x:is>
      </x:c>
      <x:c r="I15" s="90" t="inlineStr">
        <x:is>
          <x:t xml:space="preserve">Visually Hidden playground scenario.</x:t>
        </x:is>
      </x:c>
      <x:c r="J15" s="90" t="n"/>
      <x:c r="K15" s="91" t="n">
        <x:f>IF(H15="covered",1,IF(H15="partial",0.5,0))</x:f>
        <x:v>1</x:v>
      </x:c>
    </x:row>
    <x:row r="16" s="51" customFormat="1" ht="15" customHeight="1">
      <x:c r="A16" s="89" t="n">
        <x:v>8</x:v>
      </x:c>
      <x:c r="B16" s="90" t="inlineStr">
        <x:is>
          <x:t xml:space="preserve">Feature</x:t>
        </x:is>
      </x:c>
      <x:c r="C16" s="90" t="inlineStr">
        <x:is>
          <x:t xml:space="preserve">VisuallyHidden</x:t>
        </x:is>
      </x:c>
      <x:c r="D16" s="90" t="inlineStr">
        <x:is>
          <x:t xml:space="preserve">Applies an authoritative visually-hidden style contract</x:t>
        </x:is>
      </x:c>
      <x:c r="E16" s="89" t="inlineStr">
        <x:is>
          <x:t xml:space="preserve">yes</x:t>
        </x:is>
      </x:c>
      <x:c r="F16" s="89" t="inlineStr">
        <x:is>
          <x:t xml:space="preserve">yes</x:t>
        </x:is>
      </x:c>
      <x:c r="G16" s="89" t="inlineStr">
        <x:is>
          <x:t xml:space="preserve">passed</x:t>
        </x:is>
      </x:c>
      <x:c r="H16" s="89" t="inlineStr">
        <x:is>
          <x:t xml:space="preserve">covered</x:t>
        </x:is>
      </x:c>
      <x:c r="I16" s="90" t="inlineStr">
        <x:is>
          <x:t xml:space="preserve">Visually Hidden playground scenario.</x:t>
        </x:is>
      </x:c>
      <x:c r="J16" s="90" t="n"/>
      <x:c r="K16" s="91" t="n">
        <x:f>IF(H16="covered",1,IF(H16="partial",0.5,0))</x:f>
        <x:v>1</x:v>
      </x:c>
    </x:row>
    <x:row r="17" s="51" customFormat="1" ht="15" customHeight="1">
      <x:c r="A17" s="89" t="n">
        <x:v>9</x:v>
      </x:c>
      <x:c r="B17" s="90" t="inlineStr">
        <x:is>
          <x:t xml:space="preserve">Feature</x:t>
        </x:is>
      </x:c>
      <x:c r="C17" s="90" t="inlineStr">
        <x:is>
          <x:t xml:space="preserve">VisuallyHidden</x:t>
        </x:is>
      </x:c>
      <x:c r="D17" s="90" t="inlineStr">
        <x:is>
          <x:t xml:space="preserve">Merges consumer styles before hiding styles</x:t>
        </x:is>
      </x:c>
      <x:c r="E17" s="89" t="inlineStr">
        <x:is>
          <x:t xml:space="preserve">yes</x:t>
        </x:is>
      </x:c>
      <x:c r="F17" s="89" t="inlineStr">
        <x:is>
          <x:t xml:space="preserve">yes</x:t>
        </x:is>
      </x:c>
      <x:c r="G17" s="89" t="inlineStr">
        <x:is>
          <x:t xml:space="preserve">passed</x:t>
        </x:is>
      </x:c>
      <x:c r="H17" s="89" t="inlineStr">
        <x:is>
          <x:t xml:space="preserve">covered</x:t>
        </x:is>
      </x:c>
      <x:c r="I17" s="90" t="inlineStr">
        <x:is>
          <x:t xml:space="preserve">Visually Hidden playground scenario.</x:t>
        </x:is>
      </x:c>
      <x:c r="J17" s="90" t="n"/>
      <x:c r="K17" s="91" t="n">
        <x:f>IF(H17="covered",1,IF(H17="partial",0.5,0))</x:f>
        <x:v>1</x:v>
      </x:c>
    </x:row>
    <x:row r="18" s="51" customFormat="1" ht="15" customHeight="1">
      <x:c r="A18" s="89" t="n">
        <x:v>10</x:v>
      </x:c>
      <x:c r="B18" s="90" t="inlineStr">
        <x:is>
          <x:t xml:space="preserve">Feature</x:t>
        </x:is>
      </x:c>
      <x:c r="C18" s="90" t="inlineStr">
        <x:is>
          <x:t xml:space="preserve">VisuallyHidden</x:t>
        </x:is>
      </x:c>
      <x:c r="D18" s="90" t="inlineStr">
        <x:is>
          <x:t xml:space="preserve">Supports `asChild` and `render`</x:t>
        </x:is>
      </x:c>
      <x:c r="E18" s="89" t="inlineStr">
        <x:is>
          <x:t xml:space="preserve">yes</x:t>
        </x:is>
      </x:c>
      <x:c r="F18" s="89" t="inlineStr">
        <x:is>
          <x:t xml:space="preserve">yes</x:t>
        </x:is>
      </x:c>
      <x:c r="G18" s="89" t="inlineStr">
        <x:is>
          <x:t xml:space="preserve">passed</x:t>
        </x:is>
      </x:c>
      <x:c r="H18" s="89" t="inlineStr">
        <x:is>
          <x:t xml:space="preserve">covered</x:t>
        </x:is>
      </x:c>
      <x:c r="I18" s="90" t="inlineStr">
        <x:is>
          <x:t xml:space="preserve">Visually Hidden playground scenario.</x:t>
        </x:is>
      </x:c>
      <x:c r="J18" s="90" t="n"/>
      <x:c r="K18" s="91" t="n">
        <x:f>IF(H18="covered",1,IF(H18="partial",0.5,0))</x:f>
        <x:v>1</x:v>
      </x:c>
    </x:row>
    <x:row r="19" s="51" customFormat="1" ht="15" customHeight="1">
      <x:c r="A19" s="89" t="n">
        <x:v>11</x:v>
      </x:c>
      <x:c r="B19" s="90" t="inlineStr">
        <x:is>
          <x:t xml:space="preserve">Anatomy</x:t>
        </x:is>
      </x:c>
      <x:c r="C19" s="90" t="inlineStr">
        <x:is>
          <x:t xml:space="preserve">Root</x:t>
        </x:is>
      </x:c>
      <x:c r="D19" s="90" t="inlineStr">
        <x:is>
          <x:t xml:space="preserve">renders correct part when expected</x:t>
        </x:is>
      </x:c>
      <x:c r="E19" s="89" t="inlineStr">
        <x:is>
          <x:t xml:space="preserve">yes</x:t>
        </x:is>
      </x:c>
      <x:c r="F19" s="89" t="inlineStr">
        <x:is>
          <x:t xml:space="preserve">yes</x:t>
        </x:is>
      </x:c>
      <x:c r="G19" s="89" t="inlineStr">
        <x:is>
          <x:t xml:space="preserve">passed</x:t>
        </x:is>
      </x:c>
      <x:c r="H19" s="89" t="inlineStr">
        <x:is>
          <x:t xml:space="preserve">covered</x:t>
        </x:is>
      </x:c>
      <x:c r="I19" s="90" t="inlineStr">
        <x:is>
          <x:t xml:space="preserve">Visually Hidden playground scenario.</x:t>
        </x:is>
      </x:c>
      <x:c r="J19" s="90" t="n"/>
      <x:c r="K19" s="91" t="n">
        <x:f>IF(H19="covered",1,IF(H19="partial",0.5,0))</x:f>
        <x:v>1</x:v>
      </x:c>
    </x:row>
    <x:row r="20" s="51" customFormat="1" ht="15" customHeight="1">
      <x:c r="A20" s="89" t="n">
        <x:v>12</x:v>
      </x:c>
      <x:c r="B20" s="90" t="inlineStr">
        <x:is>
          <x:t xml:space="preserve">Anatomy</x:t>
        </x:is>
      </x:c>
      <x:c r="C20" s="90" t="inlineStr">
        <x:is>
          <x:t xml:space="preserve">Root</x:t>
        </x:is>
      </x:c>
      <x:c r="D20" s="90" t="inlineStr">
        <x:is>
          <x:t xml:space="preserve">appears in documented order</x:t>
        </x:is>
      </x:c>
      <x:c r="E20" s="89" t="inlineStr">
        <x:is>
          <x:t xml:space="preserve">yes</x:t>
        </x:is>
      </x:c>
      <x:c r="F20" s="89" t="inlineStr">
        <x:is>
          <x:t xml:space="preserve">yes</x:t>
        </x:is>
      </x:c>
      <x:c r="G20" s="89" t="inlineStr">
        <x:is>
          <x:t xml:space="preserve">passed</x:t>
        </x:is>
      </x:c>
      <x:c r="H20" s="89" t="inlineStr">
        <x:is>
          <x:t xml:space="preserve">covered</x:t>
        </x:is>
      </x:c>
      <x:c r="I20" s="90" t="inlineStr">
        <x:is>
          <x:t xml:space="preserve">Visually Hidden playground scenario.</x:t>
        </x:is>
      </x:c>
      <x:c r="J20" s="90" t="n"/>
      <x:c r="K20" s="91" t="n">
        <x:f>IF(H20="covered",1,IF(H20="partial",0.5,0))</x:f>
        <x:v>1</x:v>
      </x:c>
    </x:row>
    <x:row r="21" s="51" customFormat="1" ht="30" customHeight="1">
      <x:c r="A21" s="89" t="n">
        <x:v>13</x:v>
      </x:c>
      <x:c r="B21" s="90" t="inlineStr">
        <x:is>
          <x:t xml:space="preserve">Identity</x:t>
        </x:is>
      </x:c>
      <x:c r="C21" s="90" t="inlineStr">
        <x:is>
          <x:t xml:space="preserve">Root</x:t>
        </x:is>
      </x:c>
      <x:c r="D21" s="90" t="inlineStr">
        <x:is>
          <x:t xml:space="preserve">default tag is visible in Anatomy/Inspector</x:t>
        </x:is>
      </x:c>
      <x:c r="E21" s="89" t="inlineStr">
        <x:is>
          <x:t xml:space="preserve">yes</x:t>
        </x:is>
      </x:c>
      <x:c r="F21" s="89" t="inlineStr">
        <x:is>
          <x:t xml:space="preserve">yes</x:t>
        </x:is>
      </x:c>
      <x:c r="G21" s="89" t="inlineStr">
        <x:is>
          <x:t xml:space="preserve">passed</x:t>
        </x:is>
      </x:c>
      <x:c r="H21" s="89" t="inlineStr">
        <x:is>
          <x:t xml:space="preserve">covered</x:t>
        </x:is>
      </x:c>
      <x:c r="I21" s="90" t="inlineStr">
        <x:is>
          <x:t xml:space="preserve">Visually Hidden playground scenario.</x:t>
        </x:is>
      </x:c>
      <x:c r="J21" s="90" t="n"/>
      <x:c r="K21" s="91" t="n">
        <x:f>IF(H21="covered",1,IF(H21="partial",0.5,0))</x:f>
        <x:v>1</x:v>
      </x:c>
    </x:row>
    <x:row r="22" s="51" customFormat="1" ht="15" customHeight="1">
      <x:c r="A22" s="89" t="n">
        <x:v>14</x:v>
      </x:c>
      <x:c r="B22" s="90" t="inlineStr">
        <x:is>
          <x:t xml:space="preserve">Identity</x:t>
        </x:is>
      </x:c>
      <x:c r="C22" s="90" t="inlineStr">
        <x:is>
          <x:t xml:space="preserve">Root</x:t>
        </x:is>
      </x:c>
      <x:c r="D22" s="90" t="inlineStr">
        <x:is>
          <x:t xml:space="preserve">data-slot is present and correct</x:t>
        </x:is>
      </x:c>
      <x:c r="E22" s="89" t="inlineStr">
        <x:is>
          <x:t xml:space="preserve">yes</x:t>
        </x:is>
      </x:c>
      <x:c r="F22" s="89" t="inlineStr">
        <x:is>
          <x:t xml:space="preserve">yes</x:t>
        </x:is>
      </x:c>
      <x:c r="G22" s="89" t="inlineStr">
        <x:is>
          <x:t xml:space="preserve">passed</x:t>
        </x:is>
      </x:c>
      <x:c r="H22" s="89" t="inlineStr">
        <x:is>
          <x:t xml:space="preserve">covered</x:t>
        </x:is>
      </x:c>
      <x:c r="I22" s="90" t="inlineStr">
        <x:is>
          <x:t xml:space="preserve">Visually Hidden playground scenario.</x:t>
        </x:is>
      </x:c>
      <x:c r="J22" s="90" t="n"/>
      <x:c r="K22" s="91" t="n">
        <x:f>IF(H22="covered",1,IF(H22="partial",0.5,0))</x:f>
        <x:v>1</x:v>
      </x:c>
    </x:row>
    <x:row r="23" s="51" customFormat="1" ht="15" customHeight="1">
      <x:c r="A23" s="89" t="n">
        <x:v>15</x:v>
      </x:c>
      <x:c r="B23" s="90" t="inlineStr">
        <x:is>
          <x:t xml:space="preserve">Props</x:t>
        </x:is>
      </x:c>
      <x:c r="C23" s="90" t="inlineStr">
        <x:is>
          <x:t xml:space="preserve">Root</x:t>
        </x:is>
      </x:c>
      <x:c r="D23" s="90" t="inlineStr">
        <x:is>
          <x:t xml:space="preserve">non-Atom native props pass through with data-prop-check marker</x:t>
        </x:is>
      </x:c>
      <x:c r="E23" s="89" t="inlineStr">
        <x:is>
          <x:t xml:space="preserve">yes</x:t>
        </x:is>
      </x:c>
      <x:c r="F23" s="89" t="inlineStr">
        <x:is>
          <x:t xml:space="preserve">yes</x:t>
        </x:is>
      </x:c>
      <x:c r="G23" s="89" t="inlineStr">
        <x:is>
          <x:t xml:space="preserve">passed</x:t>
        </x:is>
      </x:c>
      <x:c r="H23" s="89" t="inlineStr">
        <x:is>
          <x:t xml:space="preserve">covered</x:t>
        </x:is>
      </x:c>
      <x:c r="I23" s="90" t="inlineStr">
        <x:is>
          <x:t xml:space="preserve">Visually Hidden playground scenario.</x:t>
        </x:is>
      </x:c>
      <x:c r="J23" s="90" t="n"/>
      <x:c r="K23" s="91" t="n">
        <x:f>IF(H23="covered",1,IF(H23="partial",0.5,0))</x:f>
        <x:v>1</x:v>
      </x:c>
    </x:row>
    <x:row r="24" s="51" customFormat="1" ht="15" customHeight="1">
      <x:c r="A24" s="89" t="n">
        <x:v>16</x:v>
      </x:c>
      <x:c r="B24" s="90" t="inlineStr">
        <x:is>
          <x:t xml:space="preserve">Refs</x:t>
        </x:is>
      </x:c>
      <x:c r="C24" s="90" t="inlineStr">
        <x:is>
          <x:t xml:space="preserve">Root</x:t>
        </x:is>
      </x:c>
      <x:c r="D24" s="90" t="inlineStr">
        <x:is>
          <x:t xml:space="preserve">consumer ref receives the rendered element</x:t>
        </x:is>
      </x:c>
      <x:c r="E24" s="89" t="inlineStr">
        <x:is>
          <x:t xml:space="preserve">yes</x:t>
        </x:is>
      </x:c>
      <x:c r="F24" s="89" t="inlineStr">
        <x:is>
          <x:t xml:space="preserve">yes</x:t>
        </x:is>
      </x:c>
      <x:c r="G24" s="89" t="inlineStr">
        <x:is>
          <x:t xml:space="preserve">passed</x:t>
        </x:is>
      </x:c>
      <x:c r="H24" s="89" t="inlineStr">
        <x:is>
          <x:t xml:space="preserve">covered</x:t>
        </x:is>
      </x:c>
      <x:c r="I24" s="90" t="inlineStr">
        <x:is>
          <x:t xml:space="preserve">Visually Hidden playground scenario.</x:t>
        </x:is>
      </x:c>
      <x:c r="J24" s="90" t="n"/>
      <x:c r="K24" s="91" t="n">
        <x:f>IF(H24="covered",1,IF(H24="partial",0.5,0))</x:f>
        <x:v>1</x:v>
      </x:c>
    </x:row>
    <x:row r="25" s="51" customFormat="1" ht="15" customHeight="1">
      <x:c r="A25" s="89" t="n">
        <x:v>17</x:v>
      </x:c>
      <x:c r="B25" s="90" t="inlineStr">
        <x:is>
          <x:t xml:space="preserve">Composition</x:t>
        </x:is>
      </x:c>
      <x:c r="C25" s="90" t="inlineStr">
        <x:is>
          <x:t xml:space="preserve">Root</x:t>
        </x:is>
      </x:c>
      <x:c r="D25" s="90" t="inlineStr">
        <x:is>
          <x:t xml:space="preserve">asChild prop behavior</x:t>
        </x:is>
      </x:c>
      <x:c r="E25" s="89" t="inlineStr">
        <x:is>
          <x:t xml:space="preserve">yes</x:t>
        </x:is>
      </x:c>
      <x:c r="F25" s="89" t="inlineStr">
        <x:is>
          <x:t xml:space="preserve">yes</x:t>
        </x:is>
      </x:c>
      <x:c r="G25" s="89" t="inlineStr">
        <x:is>
          <x:t xml:space="preserve">passed</x:t>
        </x:is>
      </x:c>
      <x:c r="H25" s="89" t="inlineStr">
        <x:is>
          <x:t xml:space="preserve">covered</x:t>
        </x:is>
      </x:c>
      <x:c r="I25" s="90" t="inlineStr">
        <x:is>
          <x:t xml:space="preserve">Visually Hidden playground scenario.</x:t>
        </x:is>
      </x:c>
      <x:c r="J25" s="90" t="n"/>
      <x:c r="K25" s="91" t="n">
        <x:f>IF(H25="covered",1,IF(H25="partial",0.5,0))</x:f>
        <x:v>1</x:v>
      </x:c>
    </x:row>
    <x:row r="26" s="51" customFormat="1" ht="15" customHeight="1">
      <x:c r="A26" s="89" t="n">
        <x:v>18</x:v>
      </x:c>
      <x:c r="B26" s="90" t="inlineStr">
        <x:is>
          <x:t xml:space="preserve">Composition</x:t>
        </x:is>
      </x:c>
      <x:c r="C26" s="90" t="inlineStr">
        <x:is>
          <x:t xml:space="preserve">Root</x:t>
        </x:is>
      </x:c>
      <x:c r="D26" s="90" t="inlineStr">
        <x:is>
          <x:t xml:space="preserve">render prop behavior</x:t>
        </x:is>
      </x:c>
      <x:c r="E26" s="89" t="inlineStr">
        <x:is>
          <x:t xml:space="preserve">yes</x:t>
        </x:is>
      </x:c>
      <x:c r="F26" s="89" t="inlineStr">
        <x:is>
          <x:t xml:space="preserve">yes</x:t>
        </x:is>
      </x:c>
      <x:c r="G26" s="89" t="inlineStr">
        <x:is>
          <x:t xml:space="preserve">passed</x:t>
        </x:is>
      </x:c>
      <x:c r="H26" s="89" t="inlineStr">
        <x:is>
          <x:t xml:space="preserve">covered</x:t>
        </x:is>
      </x:c>
      <x:c r="I26" s="90" t="inlineStr">
        <x:is>
          <x:t xml:space="preserve">Visually Hidden playground scenario.</x:t>
        </x:is>
      </x:c>
      <x:c r="J26" s="90" t="n"/>
      <x:c r="K26" s="91" t="n">
        <x:f>IF(H26="covered",1,IF(H26="partial",0.5,0))</x:f>
        <x:v>1</x:v>
      </x:c>
    </x:row>
    <x:row r="27" s="51" customFormat="1" ht="15" customHeight="1">
      <x:c r="A27" s="89" t="n">
        <x:v>19</x:v>
      </x:c>
      <x:c r="B27" s="90" t="inlineStr">
        <x:is>
          <x:t xml:space="preserve">Public API</x:t>
        </x:is>
      </x:c>
      <x:c r="C27" s="90" t="inlineStr">
        <x:is>
          <x:t xml:space="preserve">Root</x:t>
        </x:is>
      </x:c>
      <x:c r="D27" s="90" t="inlineStr">
        <x:is>
          <x:t xml:space="preserve">[data-slot] prop behavior</x:t>
        </x:is>
      </x:c>
      <x:c r="E27" s="89" t="inlineStr">
        <x:is>
          <x:t xml:space="preserve">yes</x:t>
        </x:is>
      </x:c>
      <x:c r="F27" s="89" t="inlineStr">
        <x:is>
          <x:t xml:space="preserve">yes</x:t>
        </x:is>
      </x:c>
      <x:c r="G27" s="89" t="inlineStr">
        <x:is>
          <x:t xml:space="preserve">passed</x:t>
        </x:is>
      </x:c>
      <x:c r="H27" s="89" t="inlineStr">
        <x:is>
          <x:t xml:space="preserve">covered</x:t>
        </x:is>
      </x:c>
      <x:c r="I27" s="90" t="inlineStr">
        <x:is>
          <x:t xml:space="preserve">Visually Hidden playground scenario.</x:t>
        </x:is>
      </x:c>
      <x:c r="J27" s="90" t="n"/>
      <x:c r="K27" s="91" t="n">
        <x:f>IF(H27="covered",1,IF(H27="partial",0.5,0))</x:f>
        <x:v>1</x:v>
      </x:c>
    </x:row>
    <x:row r="28" s="51" customFormat="1" ht="15" customHeight="1">
      <x:c r="A28" s="89" t="n">
        <x:v>20</x:v>
      </x:c>
      <x:c r="B28" s="90" t="inlineStr">
        <x:is>
          <x:t xml:space="preserve">Data</x:t>
        </x:is>
      </x:c>
      <x:c r="C28" s="90" t="inlineStr">
        <x:is>
          <x:t xml:space="preserve">Live DOM</x:t>
        </x:is>
      </x:c>
      <x:c r="D28" s="90" t="inlineStr">
        <x:is>
          <x:t xml:space="preserve">data-slot is present at the correct time</x:t>
        </x:is>
      </x:c>
      <x:c r="E28" s="89" t="inlineStr">
        <x:is>
          <x:t xml:space="preserve">yes</x:t>
        </x:is>
      </x:c>
      <x:c r="F28" s="89" t="inlineStr">
        <x:is>
          <x:t xml:space="preserve">yes</x:t>
        </x:is>
      </x:c>
      <x:c r="G28" s="89" t="inlineStr">
        <x:is>
          <x:t xml:space="preserve">passed</x:t>
        </x:is>
      </x:c>
      <x:c r="H28" s="89" t="inlineStr">
        <x:is>
          <x:t xml:space="preserve">covered</x:t>
        </x:is>
      </x:c>
      <x:c r="I28" s="90" t="inlineStr">
        <x:is>
          <x:t xml:space="preserve">Visually Hidden playground scenario.</x:t>
        </x:is>
      </x:c>
      <x:c r="J28" s="90" t="n"/>
      <x:c r="K28" s="91" t="n">
        <x:f>IF(H28="covered",1,IF(H28="partial",0.5,0))</x:f>
        <x:v>1</x:v>
      </x:c>
    </x:row>
    <x:row r="29" s="51" customFormat="1" ht="30" customHeight="1">
      <x:c r="A29" s="89" t="n">
        <x:v>21</x:v>
      </x:c>
      <x:c r="B29" s="90" t="inlineStr">
        <x:is>
          <x:t xml:space="preserve">Composition</x:t>
        </x:is>
      </x:c>
      <x:c r="C29" s="90" t="inlineStr">
        <x:is>
          <x:t xml:space="preserve">VisuallyHidden</x:t>
        </x:is>
      </x:c>
      <x:c r="D29" s="90" t="inlineStr">
        <x:is>
          <x:t xml:space="preserve">asChild preserves child content without double nesting</x:t>
        </x:is>
      </x:c>
      <x:c r="E29" s="89" t="inlineStr">
        <x:is>
          <x:t xml:space="preserve">yes</x:t>
        </x:is>
      </x:c>
      <x:c r="F29" s="89" t="inlineStr">
        <x:is>
          <x:t xml:space="preserve">yes</x:t>
        </x:is>
      </x:c>
      <x:c r="G29" s="89" t="inlineStr">
        <x:is>
          <x:t xml:space="preserve">passed</x:t>
        </x:is>
      </x:c>
      <x:c r="H29" s="89" t="inlineStr">
        <x:is>
          <x:t xml:space="preserve">covered</x:t>
        </x:is>
      </x:c>
      <x:c r="I29" s="90" t="inlineStr">
        <x:is>
          <x:t xml:space="preserve">Visually Hidden playground scenario.</x:t>
        </x:is>
      </x:c>
      <x:c r="J29" s="90" t="n"/>
      <x:c r="K29" s="91" t="n">
        <x:f>IF(H29="covered",1,IF(H29="partial",0.5,0))</x:f>
        <x:v>1</x:v>
      </x:c>
    </x:row>
    <x:row r="30" s="51" customFormat="1" ht="15" customHeight="1">
      <x:c r="A30" s="89" t="n">
        <x:v>22</x:v>
      </x:c>
      <x:c r="B30" s="90" t="inlineStr">
        <x:is>
          <x:t xml:space="preserve">Composition</x:t>
        </x:is>
      </x:c>
      <x:c r="C30" s="90" t="inlineStr">
        <x:is>
          <x:t xml:space="preserve">VisuallyHidden</x:t>
        </x:is>
      </x:c>
      <x:c r="D30" s="90" t="inlineStr">
        <x:is>
          <x:t xml:space="preserve">asChild merges Atom props and consumer props</x:t>
        </x:is>
      </x:c>
      <x:c r="E30" s="89" t="inlineStr">
        <x:is>
          <x:t xml:space="preserve">yes</x:t>
        </x:is>
      </x:c>
      <x:c r="F30" s="89" t="inlineStr">
        <x:is>
          <x:t xml:space="preserve">yes</x:t>
        </x:is>
      </x:c>
      <x:c r="G30" s="89" t="inlineStr">
        <x:is>
          <x:t xml:space="preserve">passed</x:t>
        </x:is>
      </x:c>
      <x:c r="H30" s="89" t="inlineStr">
        <x:is>
          <x:t xml:space="preserve">covered</x:t>
        </x:is>
      </x:c>
      <x:c r="I30" s="90" t="inlineStr">
        <x:is>
          <x:t xml:space="preserve">Visually Hidden playground scenario.</x:t>
        </x:is>
      </x:c>
      <x:c r="J30" s="90" t="n"/>
      <x:c r="K30" s="91" t="n">
        <x:f>IF(H30="covered",1,IF(H30="partial",0.5,0))</x:f>
        <x:v>1</x:v>
      </x:c>
    </x:row>
    <x:row r="31" s="51" customFormat="1" ht="15" customHeight="1">
      <x:c r="A31" s="89" t="n">
        <x:v>23</x:v>
      </x:c>
      <x:c r="B31" s="90" t="inlineStr">
        <x:is>
          <x:t xml:space="preserve">Composition</x:t>
        </x:is>
      </x:c>
      <x:c r="C31" s="90" t="inlineStr">
        <x:is>
          <x:t xml:space="preserve">VisuallyHidden</x:t>
        </x:is>
      </x:c>
      <x:c r="D31" s="90" t="inlineStr">
        <x:is>
          <x:t xml:space="preserve">asChild lets preventDefault block Atom behavior where supported</x:t>
        </x:is>
      </x:c>
      <x:c r="E31" s="89" t="inlineStr">
        <x:is>
          <x:t xml:space="preserve">yes</x:t>
        </x:is>
      </x:c>
      <x:c r="F31" s="89" t="inlineStr">
        <x:is>
          <x:t xml:space="preserve">yes</x:t>
        </x:is>
      </x:c>
      <x:c r="G31" s="89" t="inlineStr">
        <x:is>
          <x:t xml:space="preserve">passed</x:t>
        </x:is>
      </x:c>
      <x:c r="H31" s="89" t="inlineStr">
        <x:is>
          <x:t xml:space="preserve">covered</x:t>
        </x:is>
      </x:c>
      <x:c r="I31" s="90" t="inlineStr">
        <x:is>
          <x:t xml:space="preserve">Visually Hidden playground scenario.</x:t>
        </x:is>
      </x:c>
      <x:c r="J31" s="90" t="n"/>
      <x:c r="K31" s="91" t="n">
        <x:f>IF(H31="covered",1,IF(H31="partial",0.5,0))</x:f>
        <x:v>1</x:v>
      </x:c>
    </x:row>
    <x:row r="32" s="51" customFormat="1" ht="15" customHeight="1">
      <x:c r="A32" s="89" t="n">
        <x:v>24</x:v>
      </x:c>
      <x:c r="B32" s="90" t="inlineStr">
        <x:is>
          <x:t xml:space="preserve">Composition</x:t>
        </x:is>
      </x:c>
      <x:c r="C32" s="90" t="inlineStr">
        <x:is>
          <x:t xml:space="preserve">VisuallyHidden</x:t>
        </x:is>
      </x:c>
      <x:c r="D32" s="90" t="inlineStr">
        <x:is>
          <x:t xml:space="preserve">render prop renders custom element</x:t>
        </x:is>
      </x:c>
      <x:c r="E32" s="89" t="inlineStr">
        <x:is>
          <x:t xml:space="preserve">yes</x:t>
        </x:is>
      </x:c>
      <x:c r="F32" s="89" t="inlineStr">
        <x:is>
          <x:t xml:space="preserve">yes</x:t>
        </x:is>
      </x:c>
      <x:c r="G32" s="89" t="inlineStr">
        <x:is>
          <x:t xml:space="preserve">passed</x:t>
        </x:is>
      </x:c>
      <x:c r="H32" s="89" t="inlineStr">
        <x:is>
          <x:t xml:space="preserve">covered</x:t>
        </x:is>
      </x:c>
      <x:c r="I32" s="90" t="inlineStr">
        <x:is>
          <x:t xml:space="preserve">Visually Hidden playground scenario.</x:t>
        </x:is>
      </x:c>
      <x:c r="J32" s="90" t="n"/>
      <x:c r="K32" s="91" t="n">
        <x:f>IF(H32="covered",1,IF(H32="partial",0.5,0))</x:f>
        <x:v>1</x:v>
      </x:c>
    </x:row>
    <x:row r="33" s="51" customFormat="1" ht="15" customHeight="1">
      <x:c r="A33" s="89" t="n">
        <x:v>25</x:v>
      </x:c>
      <x:c r="B33" s="90" t="inlineStr">
        <x:is>
          <x:t xml:space="preserve">Composition</x:t>
        </x:is>
      </x:c>
      <x:c r="C33" s="90" t="inlineStr">
        <x:is>
          <x:t xml:space="preserve">VisuallyHidden</x:t>
        </x:is>
      </x:c>
      <x:c r="D33" s="90" t="inlineStr">
        <x:is>
          <x:t xml:space="preserve">render prop preserves refs and behavior props</x:t>
        </x:is>
      </x:c>
      <x:c r="E33" s="89" t="inlineStr">
        <x:is>
          <x:t xml:space="preserve">yes</x:t>
        </x:is>
      </x:c>
      <x:c r="F33" s="89" t="inlineStr">
        <x:is>
          <x:t xml:space="preserve">yes</x:t>
        </x:is>
      </x:c>
      <x:c r="G33" s="89" t="inlineStr">
        <x:is>
          <x:t xml:space="preserve">passed</x:t>
        </x:is>
      </x:c>
      <x:c r="H33" s="89" t="inlineStr">
        <x:is>
          <x:t xml:space="preserve">covered</x:t>
        </x:is>
      </x:c>
      <x:c r="I33" s="90" t="inlineStr">
        <x:is>
          <x:t xml:space="preserve">Visually Hidden playground scenario.</x:t>
        </x:is>
      </x:c>
      <x:c r="J33" s="90" t="n"/>
      <x:c r="K33" s="91" t="n">
        <x:f>IF(H33="covered",1,IF(H33="partial",0.5,0))</x:f>
        <x:v>1</x:v>
      </x:c>
    </x:row>
    <x:row r="34" s="51" customFormat="1" ht="15" customHeight="1">
      <x:c r="A34" s="89" t="n">
        <x:v>26</x:v>
      </x:c>
      <x:c r="B34" s="90" t="inlineStr">
        <x:is>
          <x:t xml:space="preserve">Utility</x:t>
        </x:is>
      </x:c>
      <x:c r="C34" s="90" t="inlineStr">
        <x:is>
          <x:t xml:space="preserve">VisuallyHidden</x:t>
        </x:is>
      </x:c>
      <x:c r="D34" s="90" t="inlineStr">
        <x:is>
          <x:t xml:space="preserve">content remains accessible while visually hidden</x:t>
        </x:is>
      </x:c>
      <x:c r="E34" s="89" t="inlineStr">
        <x:is>
          <x:t xml:space="preserve">yes</x:t>
        </x:is>
      </x:c>
      <x:c r="F34" s="89" t="inlineStr">
        <x:is>
          <x:t xml:space="preserve">yes</x:t>
        </x:is>
      </x:c>
      <x:c r="G34" s="89" t="inlineStr">
        <x:is>
          <x:t xml:space="preserve">passed</x:t>
        </x:is>
      </x:c>
      <x:c r="H34" s="89" t="inlineStr">
        <x:is>
          <x:t xml:space="preserve">covered</x:t>
        </x:is>
      </x:c>
      <x:c r="I34" s="90" t="inlineStr">
        <x:is>
          <x:t xml:space="preserve">Visually Hidden playground scenario.</x:t>
        </x:is>
      </x:c>
      <x:c r="J34" s="90" t="n"/>
      <x:c r="K34" s="91" t="n">
        <x:f>IF(H34="covered",1,IF(H34="partial",0.5,0))</x:f>
        <x:v>1</x:v>
      </x:c>
    </x:row>
    <x:row r="35" s="51" customFormat="1" ht="15" customHeight="1">
      <x:c r="A35" s="89" t="n">
        <x:v>27</x:v>
      </x:c>
      <x:c r="B35" s="90" t="inlineStr">
        <x:is>
          <x:t xml:space="preserve">Utility</x:t>
        </x:is>
      </x:c>
      <x:c r="C35" s="90" t="inlineStr">
        <x:is>
          <x:t xml:space="preserve">VisuallyHidden</x:t>
        </x:is>
      </x:c>
      <x:c r="D35" s="90" t="inlineStr">
        <x:is>
          <x:t xml:space="preserve">asChild/render composition works without styling concerns</x:t>
        </x:is>
      </x:c>
      <x:c r="E35" s="89" t="inlineStr">
        <x:is>
          <x:t xml:space="preserve">yes</x:t>
        </x:is>
      </x:c>
      <x:c r="F35" s="89" t="inlineStr">
        <x:is>
          <x:t xml:space="preserve">yes</x:t>
        </x:is>
      </x:c>
      <x:c r="G35" s="89" t="inlineStr">
        <x:is>
          <x:t xml:space="preserve">passed</x:t>
        </x:is>
      </x:c>
      <x:c r="H35" s="89" t="inlineStr">
        <x:is>
          <x:t xml:space="preserve">covered</x:t>
        </x:is>
      </x:c>
      <x:c r="I35" s="90" t="inlineStr">
        <x:is>
          <x:t xml:space="preserve">Visually Hidden playground scenario.</x:t>
        </x:is>
      </x:c>
      <x:c r="J35" s="90" t="n"/>
      <x:c r="K35" s="91" t="n">
        <x:f>IF(H35="covered",1,IF(H35="partial",0.5,0))</x:f>
        <x:v>1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Clipboard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IFERROR(SUM(K9:K1000)/COUNTA(A9:A1000),0)</x:f>
        <x:v>0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0</x:v>
      </x:c>
      <x:c r="E4" s="70" t="inlineStr">
        <x:is>
          <x:t xml:space="preserve">Partial</x:t>
        </x:is>
      </x:c>
      <x:c r="F4" s="82" t="n">
        <x:f>COUNTIFS(A9:A1000,"&lt;&gt;",H9:H1000,"partial")</x:f>
        <x:v>0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25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Clipboard</x:t>
        </x:is>
      </x:c>
      <x:c r="D9" s="84" t="inlineStr">
        <x:is>
          <x:t xml:space="preserve">scenario is reachable from Utilities &gt; Clipboard</x:t>
        </x:is>
      </x:c>
      <x:c r="E9" s="76" t="inlineStr">
        <x:is>
          <x:t xml:space="preserve">yes</x:t>
        </x:is>
      </x:c>
      <x:c r="F9" s="76" t="inlineStr">
        <x:is>
          <x:t xml:space="preserve">no</x:t>
        </x:is>
      </x:c>
      <x:c r="G9" s="73" t="inlineStr">
        <x:is>
          <x:t xml:space="preserve">pending manual test</x:t>
        </x:is>
      </x:c>
      <x:c r="H9" s="92" t="inlineStr">
        <x:is>
          <x:t xml:space="preserve">untested</x:t>
        </x:is>
      </x:c>
      <x:c r="I9" s="84" t="inlineStr">
        <x:is>
          <x:t xml:space="preserve">Clipboard playground scenario and draft .manual-tests/clipboard.md protocol.</x:t>
        </x:is>
      </x:c>
      <x:c r="J9" s="84" t="inlineStr">
        <x:is>
          <x:t xml:space="preserve">Run the Clipboard Manual Test Protocol and record owner evidence.</x:t>
        </x:is>
      </x:c>
      <x:c r="K9" s="87" t="n">
        <x:f>IF(AND(E9="yes",F9="yes",H9="covered"),1,IF(H9="partial",0.5,0))</x:f>
        <x:v>0</x:v>
      </x:c>
    </x:row>
    <x:row r="10" s="51" customFormat="1" ht="30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Clipboard</x:t>
        </x:is>
      </x:c>
      <x:c r="D10" s="84" t="inlineStr">
        <x:is>
          <x:t xml:space="preserve">Source, Anatomy, Inspector, and Logs expose current evidence</x:t>
        </x:is>
      </x:c>
      <x:c r="E10" s="76" t="inlineStr">
        <x:is>
          <x:t xml:space="preserve">yes</x:t>
        </x:is>
      </x:c>
      <x:c r="F10" s="76" t="inlineStr">
        <x:is>
          <x:t xml:space="preserve">no</x:t>
        </x:is>
      </x:c>
      <x:c r="G10" s="73" t="inlineStr">
        <x:is>
          <x:t xml:space="preserve">pending manual test</x:t>
        </x:is>
      </x:c>
      <x:c r="H10" s="92" t="inlineStr">
        <x:is>
          <x:t xml:space="preserve">untested</x:t>
        </x:is>
      </x:c>
      <x:c r="I10" s="84" t="inlineStr">
        <x:is>
          <x:t xml:space="preserve">Clipboard playground scenario and draft .manual-tests/clipboard.md protocol.</x:t>
        </x:is>
      </x:c>
      <x:c r="J10" s="84" t="inlineStr">
        <x:is>
          <x:t xml:space="preserve">Run the Clipboard Manual Test Protocol and record owner evidence.</x:t>
        </x:is>
      </x:c>
      <x:c r="K10" s="87" t="n">
        <x:f>IF(AND(E10="yes",F10="yes",H10="covered"),1,IF(H10="partial",0.5,0))</x:f>
        <x:v>0</x:v>
      </x:c>
    </x:row>
    <x:row r="11" s="51" customFormat="1" ht="30" customHeight="1">
      <x:c r="A11" s="73" t="n">
        <x:v>3</x:v>
      </x:c>
      <x:c r="B11" s="84" t="inlineStr">
        <x:is>
          <x:t xml:space="preserve">State</x:t>
        </x:is>
      </x:c>
      <x:c r="C11" s="84" t="inlineStr">
        <x:is>
          <x:t xml:space="preserve">Root</x:t>
        </x:is>
      </x:c>
      <x:c r="D11" s="84" t="inlineStr">
        <x:is>
          <x:t xml:space="preserve">uncontrolled Input edits update the current copied value</x:t>
        </x:is>
      </x:c>
      <x:c r="E11" s="76" t="inlineStr">
        <x:is>
          <x:t xml:space="preserve">yes</x:t>
        </x:is>
      </x:c>
      <x:c r="F11" s="76" t="inlineStr">
        <x:is>
          <x:t xml:space="preserve">no</x:t>
        </x:is>
      </x:c>
      <x:c r="G11" s="73" t="inlineStr">
        <x:is>
          <x:t xml:space="preserve">pending manual test</x:t>
        </x:is>
      </x:c>
      <x:c r="H11" s="92" t="inlineStr">
        <x:is>
          <x:t xml:space="preserve">untested</x:t>
        </x:is>
      </x:c>
      <x:c r="I11" s="84" t="inlineStr">
        <x:is>
          <x:t xml:space="preserve">Clipboard playground scenario and draft .manual-tests/clipboard.md protocol.</x:t>
        </x:is>
      </x:c>
      <x:c r="J11" s="84" t="inlineStr">
        <x:is>
          <x:t xml:space="preserve">Run the Clipboard Manual Test Protocol and record owner evidence.</x:t>
        </x:is>
      </x:c>
      <x:c r="K11" s="87" t="n">
        <x:f>IF(AND(E11="yes",F11="yes",H11="covered"),1,IF(H11="partial",0.5,0))</x:f>
        <x:v>0</x:v>
      </x:c>
    </x:row>
    <x:row r="12" s="51" customFormat="1" ht="30" customHeight="1">
      <x:c r="A12" s="73" t="n">
        <x:v>4</x:v>
      </x:c>
      <x:c r="B12" s="84" t="inlineStr">
        <x:is>
          <x:t xml:space="preserve">State</x:t>
        </x:is>
      </x:c>
      <x:c r="C12" s="84" t="inlineStr">
        <x:is>
          <x:t xml:space="preserve">Root</x:t>
        </x:is>
      </x:c>
      <x:c r="D12" s="84" t="inlineStr">
        <x:is>
          <x:t xml:space="preserve">controlled value and onValueChange stay coordinated</x:t>
        </x:is>
      </x:c>
      <x:c r="E12" s="76" t="inlineStr">
        <x:is>
          <x:t xml:space="preserve">yes</x:t>
        </x:is>
      </x:c>
      <x:c r="F12" s="76" t="inlineStr">
        <x:is>
          <x:t xml:space="preserve">no</x:t>
        </x:is>
      </x:c>
      <x:c r="G12" s="73" t="inlineStr">
        <x:is>
          <x:t xml:space="preserve">pending manual test</x:t>
        </x:is>
      </x:c>
      <x:c r="H12" s="92" t="inlineStr">
        <x:is>
          <x:t xml:space="preserve">untested</x:t>
        </x:is>
      </x:c>
      <x:c r="I12" s="84" t="inlineStr">
        <x:is>
          <x:t xml:space="preserve">Clipboard playground scenario and draft .manual-tests/clipboard.md protocol.</x:t>
        </x:is>
      </x:c>
      <x:c r="J12" s="84" t="inlineStr">
        <x:is>
          <x:t xml:space="preserve">Run the Clipboard Manual Test Protocol and record owner evidence.</x:t>
        </x:is>
      </x:c>
      <x:c r="K12" s="87" t="n">
        <x:f>IF(AND(E12="yes",F12="yes",H12="covered"),1,IF(H12="partial",0.5,0))</x:f>
        <x:v>0</x:v>
      </x:c>
    </x:row>
    <x:row r="13" s="51" customFormat="1" ht="30" customHeight="1">
      <x:c r="A13" s="73" t="n">
        <x:v>5</x:v>
      </x:c>
      <x:c r="B13" s="84" t="inlineStr">
        <x:is>
          <x:t xml:space="preserve">State</x:t>
        </x:is>
      </x:c>
      <x:c r="C13" s="84" t="inlineStr">
        <x:is>
          <x:t xml:space="preserve">Root</x:t>
        </x:is>
      </x:c>
      <x:c r="D13" s="84" t="inlineStr">
        <x:is>
          <x:t xml:space="preserve">status follows idle, copying, copied or error, then resets</x:t>
        </x:is>
      </x:c>
      <x:c r="E13" s="76" t="inlineStr">
        <x:is>
          <x:t xml:space="preserve">yes</x:t>
        </x:is>
      </x:c>
      <x:c r="F13" s="76" t="inlineStr">
        <x:is>
          <x:t xml:space="preserve">no</x:t>
        </x:is>
      </x:c>
      <x:c r="G13" s="73" t="inlineStr">
        <x:is>
          <x:t xml:space="preserve">pending manual test</x:t>
        </x:is>
      </x:c>
      <x:c r="H13" s="92" t="inlineStr">
        <x:is>
          <x:t xml:space="preserve">untested</x:t>
        </x:is>
      </x:c>
      <x:c r="I13" s="84" t="inlineStr">
        <x:is>
          <x:t xml:space="preserve">Clipboard playground scenario and draft .manual-tests/clipboard.md protocol.</x:t>
        </x:is>
      </x:c>
      <x:c r="J13" s="84" t="inlineStr">
        <x:is>
          <x:t xml:space="preserve">Run the Clipboard Manual Test Protocol and record owner evidence.</x:t>
        </x:is>
      </x:c>
      <x:c r="K13" s="87" t="n">
        <x:f>IF(AND(E13="yes",F13="yes",H13="covered"),1,IF(H13="partial",0.5,0))</x:f>
        <x:v>0</x:v>
      </x:c>
    </x:row>
    <x:row r="14" s="51" customFormat="1" ht="15" customHeight="1">
      <x:c r="A14" s="73" t="n">
        <x:v>6</x:v>
      </x:c>
      <x:c r="B14" s="84" t="inlineStr">
        <x:is>
          <x:t xml:space="preserve">State</x:t>
        </x:is>
      </x:c>
      <x:c r="C14" s="84" t="inlineStr">
        <x:is>
          <x:t xml:space="preserve">Root</x:t>
        </x:is>
      </x:c>
      <x:c r="D14" s="84" t="inlineStr">
        <x:is>
          <x:t xml:space="preserve">rejected writes expose error and never claim copied</x:t>
        </x:is>
      </x:c>
      <x:c r="E14" s="76" t="inlineStr">
        <x:is>
          <x:t xml:space="preserve">yes</x:t>
        </x:is>
      </x:c>
      <x:c r="F14" s="76" t="inlineStr">
        <x:is>
          <x:t xml:space="preserve">no</x:t>
        </x:is>
      </x:c>
      <x:c r="G14" s="73" t="inlineStr">
        <x:is>
          <x:t xml:space="preserve">pending manual test</x:t>
        </x:is>
      </x:c>
      <x:c r="H14" s="92" t="inlineStr">
        <x:is>
          <x:t xml:space="preserve">untested</x:t>
        </x:is>
      </x:c>
      <x:c r="I14" s="84" t="inlineStr">
        <x:is>
          <x:t xml:space="preserve">Clipboard playground scenario and draft .manual-tests/clipboard.md protocol.</x:t>
        </x:is>
      </x:c>
      <x:c r="J14" s="84" t="inlineStr">
        <x:is>
          <x:t xml:space="preserve">Run the Clipboard Manual Test Protocol and record owner evidence.</x:t>
        </x:is>
      </x:c>
      <x:c r="K14" s="87" t="n">
        <x:f>IF(AND(E14="yes",F14="yes",H14="covered"),1,IF(H14="partial",0.5,0))</x:f>
        <x:v>0</x:v>
      </x:c>
    </x:row>
    <x:row r="15" s="51" customFormat="1" ht="15" customHeight="1">
      <x:c r="A15" s="73" t="n">
        <x:v>7</x:v>
      </x:c>
      <x:c r="B15" s="84" t="inlineStr">
        <x:is>
          <x:t xml:space="preserve">State</x:t>
        </x:is>
      </x:c>
      <x:c r="C15" s="84" t="inlineStr">
        <x:is>
          <x:t xml:space="preserve">Root</x:t>
        </x:is>
      </x:c>
      <x:c r="D15" s="84" t="inlineStr">
        <x:is>
          <x:t xml:space="preserve">disabled blocks Input editing and Trigger activation</x:t>
        </x:is>
      </x:c>
      <x:c r="E15" s="76" t="inlineStr">
        <x:is>
          <x:t xml:space="preserve">yes</x:t>
        </x:is>
      </x:c>
      <x:c r="F15" s="76" t="inlineStr">
        <x:is>
          <x:t xml:space="preserve">no</x:t>
        </x:is>
      </x:c>
      <x:c r="G15" s="73" t="inlineStr">
        <x:is>
          <x:t xml:space="preserve">pending manual test</x:t>
        </x:is>
      </x:c>
      <x:c r="H15" s="92" t="inlineStr">
        <x:is>
          <x:t xml:space="preserve">untested</x:t>
        </x:is>
      </x:c>
      <x:c r="I15" s="84" t="inlineStr">
        <x:is>
          <x:t xml:space="preserve">Clipboard playground scenario and draft .manual-tests/clipboard.md protocol.</x:t>
        </x:is>
      </x:c>
      <x:c r="J15" s="84" t="inlineStr">
        <x:is>
          <x:t xml:space="preserve">Run the Clipboard Manual Test Protocol and record owner evidence.</x:t>
        </x:is>
      </x:c>
      <x:c r="K15" s="87" t="n">
        <x:f>IF(AND(E15="yes",F15="yes",H15="covered"),1,IF(H15="partial",0.5,0))</x:f>
        <x:v>0</x:v>
      </x:c>
    </x:row>
    <x:row r="16" s="51" customFormat="1" ht="30" customHeight="1">
      <x:c r="A16" s="73" t="n">
        <x:v>8</x:v>
      </x:c>
      <x:c r="B16" s="84" t="inlineStr">
        <x:is>
          <x:t xml:space="preserve">Identity</x:t>
        </x:is>
      </x:c>
      <x:c r="C16" s="84" t="inlineStr">
        <x:is>
          <x:t xml:space="preserve">Root</x:t>
        </x:is>
      </x:c>
      <x:c r="D16" s="84" t="inlineStr">
        <x:is>
          <x:t xml:space="preserve">default tag is div with data-slot clipboard</x:t>
        </x:is>
      </x:c>
      <x:c r="E16" s="76" t="inlineStr">
        <x:is>
          <x:t xml:space="preserve">yes</x:t>
        </x:is>
      </x:c>
      <x:c r="F16" s="76" t="inlineStr">
        <x:is>
          <x:t xml:space="preserve">no</x:t>
        </x:is>
      </x:c>
      <x:c r="G16" s="73" t="inlineStr">
        <x:is>
          <x:t xml:space="preserve">pending manual test</x:t>
        </x:is>
      </x:c>
      <x:c r="H16" s="92" t="inlineStr">
        <x:is>
          <x:t xml:space="preserve">untested</x:t>
        </x:is>
      </x:c>
      <x:c r="I16" s="84" t="inlineStr">
        <x:is>
          <x:t xml:space="preserve">Clipboard playground scenario and draft .manual-tests/clipboard.md protocol.</x:t>
        </x:is>
      </x:c>
      <x:c r="J16" s="84" t="inlineStr">
        <x:is>
          <x:t xml:space="preserve">Run the Clipboard Manual Test Protocol and record owner evidence.</x:t>
        </x:is>
      </x:c>
      <x:c r="K16" s="87" t="n">
        <x:f>IF(AND(E16="yes",F16="yes",H16="covered"),1,IF(H16="partial",0.5,0))</x:f>
        <x:v>0</x:v>
      </x:c>
    </x:row>
    <x:row r="17" s="51" customFormat="1" ht="30" customHeight="1">
      <x:c r="A17" s="73" t="n">
        <x:v>9</x:v>
      </x:c>
      <x:c r="B17" s="84" t="inlineStr">
        <x:is>
          <x:t xml:space="preserve">Native props</x:t>
        </x:is>
      </x:c>
      <x:c r="C17" s="84" t="inlineStr">
        <x:is>
          <x:t xml:space="preserve">Root</x:t>
        </x:is>
      </x:c>
      <x:c r="D17" s="84" t="inlineStr">
        <x:is>
          <x:t xml:space="preserve">data-prop-check passes through</x:t>
        </x:is>
      </x:c>
      <x:c r="E17" s="76" t="inlineStr">
        <x:is>
          <x:t xml:space="preserve">yes</x:t>
        </x:is>
      </x:c>
      <x:c r="F17" s="76" t="inlineStr">
        <x:is>
          <x:t xml:space="preserve">no</x:t>
        </x:is>
      </x:c>
      <x:c r="G17" s="73" t="inlineStr">
        <x:is>
          <x:t xml:space="preserve">pending manual test</x:t>
        </x:is>
      </x:c>
      <x:c r="H17" s="92" t="inlineStr">
        <x:is>
          <x:t xml:space="preserve">untested</x:t>
        </x:is>
      </x:c>
      <x:c r="I17" s="84" t="inlineStr">
        <x:is>
          <x:t xml:space="preserve">Clipboard playground scenario and draft .manual-tests/clipboard.md protocol.</x:t>
        </x:is>
      </x:c>
      <x:c r="J17" s="84" t="inlineStr">
        <x:is>
          <x:t xml:space="preserve">Run the Clipboard Manual Test Protocol and record owner evidence.</x:t>
        </x:is>
      </x:c>
      <x:c r="K17" s="87" t="n">
        <x:f>IF(AND(E17="yes",F17="yes",H17="covered"),1,IF(H17="partial",0.5,0))</x:f>
        <x:v>0</x:v>
      </x:c>
    </x:row>
    <x:row r="18" s="51" customFormat="1" ht="30" customHeight="1">
      <x:c r="A18" s="73" t="n">
        <x:v>10</x:v>
      </x:c>
      <x:c r="B18" s="84" t="inlineStr">
        <x:is>
          <x:t xml:space="preserve">Identity</x:t>
        </x:is>
      </x:c>
      <x:c r="C18" s="84" t="inlineStr">
        <x:is>
          <x:t xml:space="preserve">Label</x:t>
        </x:is>
      </x:c>
      <x:c r="D18" s="84" t="inlineStr">
        <x:is>
          <x:t xml:space="preserve">default tag is label with data-slot clipboard-label</x:t>
        </x:is>
      </x:c>
      <x:c r="E18" s="76" t="inlineStr">
        <x:is>
          <x:t xml:space="preserve">yes</x:t>
        </x:is>
      </x:c>
      <x:c r="F18" s="76" t="inlineStr">
        <x:is>
          <x:t xml:space="preserve">no</x:t>
        </x:is>
      </x:c>
      <x:c r="G18" s="73" t="inlineStr">
        <x:is>
          <x:t xml:space="preserve">pending manual test</x:t>
        </x:is>
      </x:c>
      <x:c r="H18" s="92" t="inlineStr">
        <x:is>
          <x:t xml:space="preserve">untested</x:t>
        </x:is>
      </x:c>
      <x:c r="I18" s="84" t="inlineStr">
        <x:is>
          <x:t xml:space="preserve">Clipboard playground scenario and draft .manual-tests/clipboard.md protocol.</x:t>
        </x:is>
      </x:c>
      <x:c r="J18" s="84" t="inlineStr">
        <x:is>
          <x:t xml:space="preserve">Run the Clipboard Manual Test Protocol and record owner evidence.</x:t>
        </x:is>
      </x:c>
      <x:c r="K18" s="87" t="n">
        <x:f>IF(AND(E18="yes",F18="yes",H18="covered"),1,IF(H18="partial",0.5,0))</x:f>
        <x:v>0</x:v>
      </x:c>
    </x:row>
    <x:row r="19" s="51" customFormat="1" ht="30" customHeight="1">
      <x:c r="A19" s="73" t="n">
        <x:v>11</x:v>
      </x:c>
      <x:c r="B19" s="84" t="inlineStr">
        <x:is>
          <x:t xml:space="preserve">Accessibility</x:t>
        </x:is>
      </x:c>
      <x:c r="C19" s="84" t="inlineStr">
        <x:is>
          <x:t xml:space="preserve">Label</x:t>
        </x:is>
      </x:c>
      <x:c r="D19" s="84" t="inlineStr">
        <x:is>
          <x:t xml:space="preserve">htmlFor matches the generated Input id</x:t>
        </x:is>
      </x:c>
      <x:c r="E19" s="76" t="inlineStr">
        <x:is>
          <x:t xml:space="preserve">yes</x:t>
        </x:is>
      </x:c>
      <x:c r="F19" s="76" t="inlineStr">
        <x:is>
          <x:t xml:space="preserve">no</x:t>
        </x:is>
      </x:c>
      <x:c r="G19" s="73" t="inlineStr">
        <x:is>
          <x:t xml:space="preserve">pending manual test</x:t>
        </x:is>
      </x:c>
      <x:c r="H19" s="92" t="inlineStr">
        <x:is>
          <x:t xml:space="preserve">untested</x:t>
        </x:is>
      </x:c>
      <x:c r="I19" s="84" t="inlineStr">
        <x:is>
          <x:t xml:space="preserve">Clipboard playground scenario and draft .manual-tests/clipboard.md protocol.</x:t>
        </x:is>
      </x:c>
      <x:c r="J19" s="84" t="inlineStr">
        <x:is>
          <x:t xml:space="preserve">Run the Clipboard Manual Test Protocol and record owner evidence.</x:t>
        </x:is>
      </x:c>
      <x:c r="K19" s="87" t="n">
        <x:f>IF(AND(E19="yes",F19="yes",H19="covered"),1,IF(H19="partial",0.5,0))</x:f>
        <x:v>0</x:v>
      </x:c>
    </x:row>
    <x:row r="20" s="51" customFormat="1" ht="15" customHeight="1">
      <x:c r="A20" s="73" t="n">
        <x:v>12</x:v>
      </x:c>
      <x:c r="B20" s="84" t="inlineStr">
        <x:is>
          <x:t xml:space="preserve">Identity</x:t>
        </x:is>
      </x:c>
      <x:c r="C20" s="84" t="inlineStr">
        <x:is>
          <x:t xml:space="preserve">Control</x:t>
        </x:is>
      </x:c>
      <x:c r="D20" s="84" t="inlineStr">
        <x:is>
          <x:t xml:space="preserve">default tag is div with data-slot clipboard-control</x:t>
        </x:is>
      </x:c>
      <x:c r="E20" s="76" t="inlineStr">
        <x:is>
          <x:t xml:space="preserve">yes</x:t>
        </x:is>
      </x:c>
      <x:c r="F20" s="76" t="inlineStr">
        <x:is>
          <x:t xml:space="preserve">no</x:t>
        </x:is>
      </x:c>
      <x:c r="G20" s="73" t="inlineStr">
        <x:is>
          <x:t xml:space="preserve">pending manual test</x:t>
        </x:is>
      </x:c>
      <x:c r="H20" s="92" t="inlineStr">
        <x:is>
          <x:t xml:space="preserve">untested</x:t>
        </x:is>
      </x:c>
      <x:c r="I20" s="84" t="inlineStr">
        <x:is>
          <x:t xml:space="preserve">Clipboard playground scenario and draft .manual-tests/clipboard.md protocol.</x:t>
        </x:is>
      </x:c>
      <x:c r="J20" s="84" t="inlineStr">
        <x:is>
          <x:t xml:space="preserve">Run the Clipboard Manual Test Protocol and record owner evidence.</x:t>
        </x:is>
      </x:c>
      <x:c r="K20" s="87" t="n">
        <x:f>IF(AND(E20="yes",F20="yes",H20="covered"),1,IF(H20="partial",0.5,0))</x:f>
        <x:v>0</x:v>
      </x:c>
    </x:row>
    <x:row r="21" s="51" customFormat="1" ht="15" customHeight="1">
      <x:c r="A21" s="73" t="n">
        <x:v>13</x:v>
      </x:c>
      <x:c r="B21" s="84" t="inlineStr">
        <x:is>
          <x:t xml:space="preserve">Identity</x:t>
        </x:is>
      </x:c>
      <x:c r="C21" s="84" t="inlineStr">
        <x:is>
          <x:t xml:space="preserve">Input</x:t>
        </x:is>
      </x:c>
      <x:c r="D21" s="84" t="inlineStr">
        <x:is>
          <x:t xml:space="preserve">default tag is input with data-slot clipboard-input</x:t>
        </x:is>
      </x:c>
      <x:c r="E21" s="76" t="inlineStr">
        <x:is>
          <x:t xml:space="preserve">yes</x:t>
        </x:is>
      </x:c>
      <x:c r="F21" s="76" t="inlineStr">
        <x:is>
          <x:t xml:space="preserve">no</x:t>
        </x:is>
      </x:c>
      <x:c r="G21" s="73" t="inlineStr">
        <x:is>
          <x:t xml:space="preserve">pending manual test</x:t>
        </x:is>
      </x:c>
      <x:c r="H21" s="92" t="inlineStr">
        <x:is>
          <x:t xml:space="preserve">untested</x:t>
        </x:is>
      </x:c>
      <x:c r="I21" s="84" t="inlineStr">
        <x:is>
          <x:t xml:space="preserve">Clipboard playground scenario and draft .manual-tests/clipboard.md protocol.</x:t>
        </x:is>
      </x:c>
      <x:c r="J21" s="84" t="inlineStr">
        <x:is>
          <x:t xml:space="preserve">Run the Clipboard Manual Test Protocol and record owner evidence.</x:t>
        </x:is>
      </x:c>
      <x:c r="K21" s="87" t="n">
        <x:f>IF(AND(E21="yes",F21="yes",H21="covered"),1,IF(H21="partial",0.5,0))</x:f>
        <x:v>0</x:v>
      </x:c>
    </x:row>
    <x:row r="22" s="51" customFormat="1" ht="30" customHeight="1">
      <x:c r="A22" s="73" t="n">
        <x:v>14</x:v>
      </x:c>
      <x:c r="B22" s="84" t="inlineStr">
        <x:is>
          <x:t xml:space="preserve">Value</x:t>
        </x:is>
      </x:c>
      <x:c r="C22" s="84" t="inlineStr">
        <x:is>
          <x:t xml:space="preserve">Input</x:t>
        </x:is>
      </x:c>
      <x:c r="D22" s="84" t="inlineStr">
        <x:is>
          <x:t xml:space="preserve">native value equals Root current value</x:t>
        </x:is>
      </x:c>
      <x:c r="E22" s="76" t="inlineStr">
        <x:is>
          <x:t xml:space="preserve">yes</x:t>
        </x:is>
      </x:c>
      <x:c r="F22" s="76" t="inlineStr">
        <x:is>
          <x:t xml:space="preserve">no</x:t>
        </x:is>
      </x:c>
      <x:c r="G22" s="73" t="inlineStr">
        <x:is>
          <x:t xml:space="preserve">pending manual test</x:t>
        </x:is>
      </x:c>
      <x:c r="H22" s="92" t="inlineStr">
        <x:is>
          <x:t xml:space="preserve">untested</x:t>
        </x:is>
      </x:c>
      <x:c r="I22" s="84" t="inlineStr">
        <x:is>
          <x:t xml:space="preserve">Clipboard playground scenario and draft .manual-tests/clipboard.md protocol.</x:t>
        </x:is>
      </x:c>
      <x:c r="J22" s="84" t="inlineStr">
        <x:is>
          <x:t xml:space="preserve">Run the Clipboard Manual Test Protocol and record owner evidence.</x:t>
        </x:is>
      </x:c>
      <x:c r="K22" s="87" t="n">
        <x:f>IF(AND(E22="yes",F22="yes",H22="covered"),1,IF(H22="partial",0.5,0))</x:f>
        <x:v>0</x:v>
      </x:c>
    </x:row>
    <x:row r="23" s="51" customFormat="1" ht="30" customHeight="1">
      <x:c r="A23" s="73" t="n">
        <x:v>15</x:v>
      </x:c>
      <x:c r="B23" s="84" t="inlineStr">
        <x:is>
          <x:t xml:space="preserve">Identity</x:t>
        </x:is>
      </x:c>
      <x:c r="C23" s="84" t="inlineStr">
        <x:is>
          <x:t xml:space="preserve">ValueText</x:t>
        </x:is>
      </x:c>
      <x:c r="D23" s="84" t="inlineStr">
        <x:is>
          <x:t xml:space="preserve">default tag is span with data-slot clipboard-value-text</x:t>
        </x:is>
      </x:c>
      <x:c r="E23" s="76" t="inlineStr">
        <x:is>
          <x:t xml:space="preserve">yes</x:t>
        </x:is>
      </x:c>
      <x:c r="F23" s="76" t="inlineStr">
        <x:is>
          <x:t xml:space="preserve">no</x:t>
        </x:is>
      </x:c>
      <x:c r="G23" s="73" t="inlineStr">
        <x:is>
          <x:t xml:space="preserve">pending manual test</x:t>
        </x:is>
      </x:c>
      <x:c r="H23" s="92" t="inlineStr">
        <x:is>
          <x:t xml:space="preserve">untested</x:t>
        </x:is>
      </x:c>
      <x:c r="I23" s="84" t="inlineStr">
        <x:is>
          <x:t xml:space="preserve">Clipboard playground scenario and draft .manual-tests/clipboard.md protocol.</x:t>
        </x:is>
      </x:c>
      <x:c r="J23" s="84" t="inlineStr">
        <x:is>
          <x:t xml:space="preserve">Run the Clipboard Manual Test Protocol and record owner evidence.</x:t>
        </x:is>
      </x:c>
      <x:c r="K23" s="87" t="n">
        <x:f>IF(AND(E23="yes",F23="yes",H23="covered"),1,IF(H23="partial",0.5,0))</x:f>
        <x:v>0</x:v>
      </x:c>
    </x:row>
    <x:row r="24" s="51" customFormat="1" ht="30" customHeight="1">
      <x:c r="A24" s="73" t="n">
        <x:v>16</x:v>
      </x:c>
      <x:c r="B24" s="84" t="inlineStr">
        <x:is>
          <x:t xml:space="preserve">Value</x:t>
        </x:is>
      </x:c>
      <x:c r="C24" s="84" t="inlineStr">
        <x:is>
          <x:t xml:space="preserve">ValueText</x:t>
        </x:is>
      </x:c>
      <x:c r="D24" s="84" t="inlineStr">
        <x:is>
          <x:t xml:space="preserve">omitted children render Root current value</x:t>
        </x:is>
      </x:c>
      <x:c r="E24" s="76" t="inlineStr">
        <x:is>
          <x:t xml:space="preserve">yes</x:t>
        </x:is>
      </x:c>
      <x:c r="F24" s="76" t="inlineStr">
        <x:is>
          <x:t xml:space="preserve">no</x:t>
        </x:is>
      </x:c>
      <x:c r="G24" s="73" t="inlineStr">
        <x:is>
          <x:t xml:space="preserve">pending manual test</x:t>
        </x:is>
      </x:c>
      <x:c r="H24" s="92" t="inlineStr">
        <x:is>
          <x:t xml:space="preserve">untested</x:t>
        </x:is>
      </x:c>
      <x:c r="I24" s="84" t="inlineStr">
        <x:is>
          <x:t xml:space="preserve">Clipboard playground scenario and draft .manual-tests/clipboard.md protocol.</x:t>
        </x:is>
      </x:c>
      <x:c r="J24" s="84" t="inlineStr">
        <x:is>
          <x:t xml:space="preserve">Run the Clipboard Manual Test Protocol and record owner evidence.</x:t>
        </x:is>
      </x:c>
      <x:c r="K24" s="87" t="n">
        <x:f>IF(AND(E24="yes",F24="yes",H24="covered"),1,IF(H24="partial",0.5,0))</x:f>
        <x:v>0</x:v>
      </x:c>
    </x:row>
    <x:row r="25" s="51" customFormat="1" ht="30" customHeight="1">
      <x:c r="A25" s="73" t="n">
        <x:v>17</x:v>
      </x:c>
      <x:c r="B25" s="84" t="inlineStr">
        <x:is>
          <x:t xml:space="preserve">Identity</x:t>
        </x:is>
      </x:c>
      <x:c r="C25" s="84" t="inlineStr">
        <x:is>
          <x:t xml:space="preserve">Trigger</x:t>
        </x:is>
      </x:c>
      <x:c r="D25" s="84" t="inlineStr">
        <x:is>
          <x:t xml:space="preserve">default tag is button type=button with clipboard-trigger slot</x:t>
        </x:is>
      </x:c>
      <x:c r="E25" s="76" t="inlineStr">
        <x:is>
          <x:t xml:space="preserve">yes</x:t>
        </x:is>
      </x:c>
      <x:c r="F25" s="76" t="inlineStr">
        <x:is>
          <x:t xml:space="preserve">no</x:t>
        </x:is>
      </x:c>
      <x:c r="G25" s="73" t="inlineStr">
        <x:is>
          <x:t xml:space="preserve">pending manual test</x:t>
        </x:is>
      </x:c>
      <x:c r="H25" s="92" t="inlineStr">
        <x:is>
          <x:t xml:space="preserve">untested</x:t>
        </x:is>
      </x:c>
      <x:c r="I25" s="84" t="inlineStr">
        <x:is>
          <x:t xml:space="preserve">Clipboard playground scenario and draft .manual-tests/clipboard.md protocol.</x:t>
        </x:is>
      </x:c>
      <x:c r="J25" s="84" t="inlineStr">
        <x:is>
          <x:t xml:space="preserve">Run the Clipboard Manual Test Protocol and record owner evidence.</x:t>
        </x:is>
      </x:c>
      <x:c r="K25" s="87" t="n">
        <x:f>IF(AND(E25="yes",F25="yes",H25="covered"),1,IF(H25="partial",0.5,0))</x:f>
        <x:v>0</x:v>
      </x:c>
    </x:row>
    <x:row r="26" s="51" customFormat="1" ht="30" customHeight="1">
      <x:c r="A26" s="73" t="n">
        <x:v>18</x:v>
      </x:c>
      <x:c r="B26" s="84" t="inlineStr">
        <x:is>
          <x:t xml:space="preserve">Keyboard</x:t>
        </x:is>
      </x:c>
      <x:c r="C26" s="84" t="inlineStr">
        <x:is>
          <x:t xml:space="preserve">Trigger</x:t>
        </x:is>
      </x:c>
      <x:c r="D26" s="84" t="inlineStr">
        <x:is>
          <x:t xml:space="preserve">Space and Enter each start one write and retain focus</x:t>
        </x:is>
      </x:c>
      <x:c r="E26" s="76" t="inlineStr">
        <x:is>
          <x:t xml:space="preserve">yes</x:t>
        </x:is>
      </x:c>
      <x:c r="F26" s="76" t="inlineStr">
        <x:is>
          <x:t xml:space="preserve">no</x:t>
        </x:is>
      </x:c>
      <x:c r="G26" s="73" t="inlineStr">
        <x:is>
          <x:t xml:space="preserve">pending manual test</x:t>
        </x:is>
      </x:c>
      <x:c r="H26" s="92" t="inlineStr">
        <x:is>
          <x:t xml:space="preserve">untested</x:t>
        </x:is>
      </x:c>
      <x:c r="I26" s="84" t="inlineStr">
        <x:is>
          <x:t xml:space="preserve">Clipboard playground scenario and draft .manual-tests/clipboard.md protocol.</x:t>
        </x:is>
      </x:c>
      <x:c r="J26" s="84" t="inlineStr">
        <x:is>
          <x:t xml:space="preserve">Run the Clipboard Manual Test Protocol and record owner evidence.</x:t>
        </x:is>
      </x:c>
      <x:c r="K26" s="87" t="n">
        <x:f>IF(AND(E26="yes",F26="yes",H26="covered"),1,IF(H26="partial",0.5,0))</x:f>
        <x:v>0</x:v>
      </x:c>
    </x:row>
    <x:row r="27" s="51" customFormat="1" ht="30" customHeight="1">
      <x:c r="A27" s="73" t="n">
        <x:v>19</x:v>
      </x:c>
      <x:c r="B27" s="84" t="inlineStr">
        <x:is>
          <x:t xml:space="preserve">Pointer</x:t>
        </x:is>
      </x:c>
      <x:c r="C27" s="84" t="inlineStr">
        <x:is>
          <x:t xml:space="preserve">Trigger</x:t>
        </x:is>
      </x:c>
      <x:c r="D27" s="84" t="inlineStr">
        <x:is>
          <x:t xml:space="preserve">click starts one write of the current value</x:t>
        </x:is>
      </x:c>
      <x:c r="E27" s="76" t="inlineStr">
        <x:is>
          <x:t xml:space="preserve">yes</x:t>
        </x:is>
      </x:c>
      <x:c r="F27" s="76" t="inlineStr">
        <x:is>
          <x:t xml:space="preserve">no</x:t>
        </x:is>
      </x:c>
      <x:c r="G27" s="73" t="inlineStr">
        <x:is>
          <x:t xml:space="preserve">pending manual test</x:t>
        </x:is>
      </x:c>
      <x:c r="H27" s="92" t="inlineStr">
        <x:is>
          <x:t xml:space="preserve">untested</x:t>
        </x:is>
      </x:c>
      <x:c r="I27" s="84" t="inlineStr">
        <x:is>
          <x:t xml:space="preserve">Clipboard playground scenario and draft .manual-tests/clipboard.md protocol.</x:t>
        </x:is>
      </x:c>
      <x:c r="J27" s="84" t="inlineStr">
        <x:is>
          <x:t xml:space="preserve">Run the Clipboard Manual Test Protocol and record owner evidence.</x:t>
        </x:is>
      </x:c>
      <x:c r="K27" s="87" t="n">
        <x:f>IF(AND(E27="yes",F27="yes",H27="covered"),1,IF(H27="partial",0.5,0))</x:f>
        <x:v>0</x:v>
      </x:c>
    </x:row>
    <x:row r="28" s="51" customFormat="1" ht="30" customHeight="1">
      <x:c r="A28" s="73" t="n">
        <x:v>20</x:v>
      </x:c>
      <x:c r="B28" s="84" t="inlineStr">
        <x:is>
          <x:t xml:space="preserve">Identity</x:t>
        </x:is>
      </x:c>
      <x:c r="C28" s="84" t="inlineStr">
        <x:is>
          <x:t xml:space="preserve">Indicator</x:t>
        </x:is>
      </x:c>
      <x:c r="D28" s="84" t="inlineStr">
        <x:is>
          <x:t xml:space="preserve">only the Indicator matching current state renders</x:t>
        </x:is>
      </x:c>
      <x:c r="E28" s="76" t="inlineStr">
        <x:is>
          <x:t xml:space="preserve">yes</x:t>
        </x:is>
      </x:c>
      <x:c r="F28" s="76" t="inlineStr">
        <x:is>
          <x:t xml:space="preserve">no</x:t>
        </x:is>
      </x:c>
      <x:c r="G28" s="73" t="inlineStr">
        <x:is>
          <x:t xml:space="preserve">pending manual test</x:t>
        </x:is>
      </x:c>
      <x:c r="H28" s="92" t="inlineStr">
        <x:is>
          <x:t xml:space="preserve">untested</x:t>
        </x:is>
      </x:c>
      <x:c r="I28" s="84" t="inlineStr">
        <x:is>
          <x:t xml:space="preserve">Clipboard playground scenario and draft .manual-tests/clipboard.md protocol.</x:t>
        </x:is>
      </x:c>
      <x:c r="J28" s="84" t="inlineStr">
        <x:is>
          <x:t xml:space="preserve">Run the Clipboard Manual Test Protocol and record owner evidence.</x:t>
        </x:is>
      </x:c>
      <x:c r="K28" s="87" t="n">
        <x:f>IF(AND(E28="yes",F28="yes",H28="covered"),1,IF(H28="partial",0.5,0))</x:f>
        <x:v>0</x:v>
      </x:c>
    </x:row>
    <x:row r="29" s="51" customFormat="1" ht="30" customHeight="1">
      <x:c r="A29" s="73" t="n">
        <x:v>21</x:v>
      </x:c>
      <x:c r="B29" s="84" t="inlineStr">
        <x:is>
          <x:t xml:space="preserve">Identity</x:t>
        </x:is>
      </x:c>
      <x:c r="C29" s="84" t="inlineStr">
        <x:is>
          <x:t xml:space="preserve">Indicator</x:t>
        </x:is>
      </x:c>
      <x:c r="D29" s="84" t="inlineStr">
        <x:is>
          <x:t xml:space="preserve">default tag is span with clipboard-indicator slot</x:t>
        </x:is>
      </x:c>
      <x:c r="E29" s="76" t="inlineStr">
        <x:is>
          <x:t xml:space="preserve">yes</x:t>
        </x:is>
      </x:c>
      <x:c r="F29" s="76" t="inlineStr">
        <x:is>
          <x:t xml:space="preserve">no</x:t>
        </x:is>
      </x:c>
      <x:c r="G29" s="73" t="inlineStr">
        <x:is>
          <x:t xml:space="preserve">pending manual test</x:t>
        </x:is>
      </x:c>
      <x:c r="H29" s="92" t="inlineStr">
        <x:is>
          <x:t xml:space="preserve">untested</x:t>
        </x:is>
      </x:c>
      <x:c r="I29" s="84" t="inlineStr">
        <x:is>
          <x:t xml:space="preserve">Clipboard playground scenario and draft .manual-tests/clipboard.md protocol.</x:t>
        </x:is>
      </x:c>
      <x:c r="J29" s="84" t="inlineStr">
        <x:is>
          <x:t xml:space="preserve">Run the Clipboard Manual Test Protocol and record owner evidence.</x:t>
        </x:is>
      </x:c>
      <x:c r="K29" s="87" t="n">
        <x:f>IF(AND(E29="yes",F29="yes",H29="covered"),1,IF(H29="partial",0.5,0))</x:f>
        <x:v>0</x:v>
      </x:c>
    </x:row>
    <x:row r="30" s="51" customFormat="1" ht="30" customHeight="1">
      <x:c r="A30" s="73" t="n">
        <x:v>22</x:v>
      </x:c>
      <x:c r="B30" s="84" t="inlineStr">
        <x:is>
          <x:t xml:space="preserve">Identity</x:t>
        </x:is>
      </x:c>
      <x:c r="C30" s="84" t="inlineStr">
        <x:is>
          <x:t xml:space="preserve">Status</x:t>
        </x:is>
      </x:c>
      <x:c r="D30" s="84" t="inlineStr">
        <x:is>
          <x:t xml:space="preserve">default tag is span with clipboard-status slot</x:t>
        </x:is>
      </x:c>
      <x:c r="E30" s="76" t="inlineStr">
        <x:is>
          <x:t xml:space="preserve">yes</x:t>
        </x:is>
      </x:c>
      <x:c r="F30" s="76" t="inlineStr">
        <x:is>
          <x:t xml:space="preserve">no</x:t>
        </x:is>
      </x:c>
      <x:c r="G30" s="73" t="inlineStr">
        <x:is>
          <x:t xml:space="preserve">pending manual test</x:t>
        </x:is>
      </x:c>
      <x:c r="H30" s="92" t="inlineStr">
        <x:is>
          <x:t xml:space="preserve">untested</x:t>
        </x:is>
      </x:c>
      <x:c r="I30" s="84" t="inlineStr">
        <x:is>
          <x:t xml:space="preserve">Clipboard playground scenario and draft .manual-tests/clipboard.md protocol.</x:t>
        </x:is>
      </x:c>
      <x:c r="J30" s="84" t="inlineStr">
        <x:is>
          <x:t xml:space="preserve">Run the Clipboard Manual Test Protocol and record owner evidence.</x:t>
        </x:is>
      </x:c>
      <x:c r="K30" s="87" t="n">
        <x:f>IF(AND(E30="yes",F30="yes",H30="covered"),1,IF(H30="partial",0.5,0))</x:f>
        <x:v>0</x:v>
      </x:c>
    </x:row>
    <x:row r="31" s="51" customFormat="1" ht="30" customHeight="1">
      <x:c r="A31" s="73" t="n">
        <x:v>23</x:v>
      </x:c>
      <x:c r="B31" s="84" t="inlineStr">
        <x:is>
          <x:t xml:space="preserve">Accessibility</x:t>
        </x:is>
      </x:c>
      <x:c r="C31" s="84" t="inlineStr">
        <x:is>
          <x:t xml:space="preserve">Status</x:t>
        </x:is>
      </x:c>
      <x:c r="D31" s="84" t="inlineStr">
        <x:is>
          <x:t xml:space="preserve">role status is polite and aria-atomic true</x:t>
        </x:is>
      </x:c>
      <x:c r="E31" s="76" t="inlineStr">
        <x:is>
          <x:t xml:space="preserve">yes</x:t>
        </x:is>
      </x:c>
      <x:c r="F31" s="76" t="inlineStr">
        <x:is>
          <x:t xml:space="preserve">no</x:t>
        </x:is>
      </x:c>
      <x:c r="G31" s="73" t="inlineStr">
        <x:is>
          <x:t xml:space="preserve">pending manual test</x:t>
        </x:is>
      </x:c>
      <x:c r="H31" s="92" t="inlineStr">
        <x:is>
          <x:t xml:space="preserve">untested</x:t>
        </x:is>
      </x:c>
      <x:c r="I31" s="84" t="inlineStr">
        <x:is>
          <x:t xml:space="preserve">Clipboard playground scenario and draft .manual-tests/clipboard.md protocol.</x:t>
        </x:is>
      </x:c>
      <x:c r="J31" s="84" t="inlineStr">
        <x:is>
          <x:t xml:space="preserve">Run the Clipboard Manual Test Protocol and record owner evidence.</x:t>
        </x:is>
      </x:c>
      <x:c r="K31" s="87" t="n">
        <x:f>IF(AND(E31="yes",F31="yes",H31="covered"),1,IF(H31="partial",0.5,0))</x:f>
        <x:v>0</x:v>
      </x:c>
    </x:row>
    <x:row r="32" s="51" customFormat="1" ht="30" customHeight="1">
      <x:c r="A32" s="73" t="n">
        <x:v>24</x:v>
      </x:c>
      <x:c r="B32" s="84" t="inlineStr">
        <x:is>
          <x:t xml:space="preserve">Source</x:t>
        </x:is>
      </x:c>
      <x:c r="C32" s="84" t="inlineStr">
        <x:is>
          <x:t xml:space="preserve">Clipboard</x:t>
        </x:is>
      </x:c>
      <x:c r="D32" s="84" t="inlineStr">
        <x:is>
          <x:t xml:space="preserve">generated JSX reflects controlled and disabled selections</x:t>
        </x:is>
      </x:c>
      <x:c r="E32" s="76" t="inlineStr">
        <x:is>
          <x:t xml:space="preserve">yes</x:t>
        </x:is>
      </x:c>
      <x:c r="F32" s="76" t="inlineStr">
        <x:is>
          <x:t xml:space="preserve">no</x:t>
        </x:is>
      </x:c>
      <x:c r="G32" s="73" t="inlineStr">
        <x:is>
          <x:t xml:space="preserve">pending manual test</x:t>
        </x:is>
      </x:c>
      <x:c r="H32" s="92" t="inlineStr">
        <x:is>
          <x:t xml:space="preserve">untested</x:t>
        </x:is>
      </x:c>
      <x:c r="I32" s="84" t="inlineStr">
        <x:is>
          <x:t xml:space="preserve">Clipboard playground scenario and draft .manual-tests/clipboard.md protocol.</x:t>
        </x:is>
      </x:c>
      <x:c r="J32" s="84" t="inlineStr">
        <x:is>
          <x:t xml:space="preserve">Run the Clipboard Manual Test Protocol and record owner evidence.</x:t>
        </x:is>
      </x:c>
      <x:c r="K32" s="87" t="n">
        <x:f>IF(AND(E32="yes",F32="yes",H32="covered"),1,IF(H32="partial",0.5,0))</x:f>
        <x:v>0</x:v>
      </x:c>
    </x:row>
    <x:row r="33" s="51" customFormat="1" ht="30" customHeight="1">
      <x:c r="A33" s="73" t="n">
        <x:v>25</x:v>
      </x:c>
      <x:c r="B33" s="84" t="inlineStr">
        <x:is>
          <x:t xml:space="preserve">Manual</x:t>
        </x:is>
      </x:c>
      <x:c r="C33" s="84" t="inlineStr">
        <x:is>
          <x:t xml:space="preserve">Clipboard</x:t>
        </x:is>
      </x:c>
      <x:c r="D33" s="84" t="inlineStr">
        <x:is>
          <x:t xml:space="preserve">draft protocol covers every public part and operation state</x:t>
        </x:is>
      </x:c>
      <x:c r="E33" s="76" t="inlineStr">
        <x:is>
          <x:t xml:space="preserve">yes</x:t>
        </x:is>
      </x:c>
      <x:c r="F33" s="76" t="inlineStr">
        <x:is>
          <x:t xml:space="preserve">no</x:t>
        </x:is>
      </x:c>
      <x:c r="G33" s="73" t="inlineStr">
        <x:is>
          <x:t xml:space="preserve">pending manual test</x:t>
        </x:is>
      </x:c>
      <x:c r="H33" s="92" t="inlineStr">
        <x:is>
          <x:t xml:space="preserve">untested</x:t>
        </x:is>
      </x:c>
      <x:c r="I33" s="84" t="inlineStr">
        <x:is>
          <x:t xml:space="preserve">Clipboard playground scenario and draft .manual-tests/clipboard.md protocol.</x:t>
        </x:is>
      </x:c>
      <x:c r="J33" s="84" t="inlineStr">
        <x:is>
          <x:t xml:space="preserve">Run the Clipboard Manual Test Protocol and record owner evidence.</x:t>
        </x:is>
      </x:c>
      <x:c r="K33" s="87" t="n">
        <x:f>IF(AND(E33="yes",F33="yes",H33="covered"),1,IF(H33="partial",0.5,0))</x:f>
        <x:v>0</x:v>
      </x:c>
    </x:row>
    <x:row r="34" s="51" customFormat="1" ht="30" customHeight="1"/>
    <x:row r="35" s="51" customFormat="1" ht="30" customHeight="1"/>
    <x:row r="36" s="51" customFormat="1" ht="30" customHeight="1"/>
    <x:row r="37" s="51" customFormat="1" ht="30" customHeight="1"/>
    <x:row r="38" s="51" customFormat="1" ht="13.5" customHeight="1"/>
    <x:row r="39" s="51" customFormat="1" ht="13.5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1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Image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IFERROR(SUM(K9:K28)/COUNTA(A9:A28),0)</x:f>
        <x:v>0</x:v>
      </x:c>
      <x:c r="C4" s="70" t="inlineStr">
        <x:is>
          <x:t xml:space="preserve">Covered</x:t>
        </x:is>
      </x:c>
      <x:c r="D4" s="82" t="n">
        <x:f>COUNTIF(H9:H28,"covered")</x:f>
        <x:v>0</x:v>
      </x:c>
      <x:c r="E4" s="70" t="inlineStr">
        <x:is>
          <x:t xml:space="preserve">Partial</x:t>
        </x:is>
      </x:c>
      <x:c r="F4" s="82" t="n">
        <x:f>COUNTIF(H9:H28,"partial")</x:f>
        <x:v>20</x:v>
      </x:c>
      <x:c r="G4" s="70" t="inlineStr">
        <x:is>
          <x:t xml:space="preserve">Missing</x:t>
        </x:is>
      </x:c>
      <x:c r="H4" s="82" t="n">
        <x:f>COUNTIF(H9:H28,"missing")</x:f>
        <x:v>0</x:v>
      </x:c>
      <x:c r="I4" s="70" t="inlineStr">
        <x:is>
          <x:t xml:space="preserve">Untested</x:t>
        </x:is>
      </x:c>
      <x:c r="J4" s="82" t="n">
        <x:f>COUNTIF(F9:F28,"no")</x:f>
        <x:v>20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Image</x:t>
        </x:is>
      </x:c>
      <x:c r="D9" s="84" t="inlineStr">
        <x:is>
          <x:t xml:space="preserve">scenario is reachable from Display &gt; Image</x:t>
        </x:is>
      </x:c>
      <x:c r="E9" s="76" t="inlineStr">
        <x:is>
          <x:t xml:space="preserve">yes</x:t>
        </x:is>
      </x:c>
      <x:c r="F9" s="76" t="inlineStr">
        <x:is>
          <x:t xml:space="preserve">no</x:t>
        </x:is>
      </x:c>
      <x:c r="G9" s="73" t="inlineStr">
        <x:is>
          <x:t xml:space="preserve">not run</x:t>
        </x:is>
      </x:c>
      <x:c r="H9" s="92" t="inlineStr">
        <x:is>
          <x:t xml:space="preserve">partial</x:t>
        </x:is>
      </x:c>
      <x:c r="I9" s="84" t="inlineStr">
        <x:is>
          <x:t xml:space="preserve">Image workbench implemented; manual verification pending.</x:t>
        </x:is>
      </x:c>
      <x:c r="J9" s="84" t="inlineStr">
        <x:is>
          <x:t xml:space="preserve">Run Image manual protocol.</x:t>
        </x:is>
      </x:c>
      <x:c r="K9" s="87" t="n">
        <x:f>IF(AND(E9="yes",F9="yes",H9="covered"),1,0)</x:f>
        <x:v>0</x:v>
      </x:c>
    </x:row>
    <x:row r="10" s="51" customFormat="1" ht="30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Image</x:t>
        </x:is>
      </x:c>
      <x:c r="D10" s="84" t="inlineStr">
        <x:is>
          <x:t xml:space="preserve">Source, Anatomy, Inspector, and Logs update with controls</x:t>
        </x:is>
      </x:c>
      <x:c r="E10" s="76" t="inlineStr">
        <x:is>
          <x:t xml:space="preserve">yes</x:t>
        </x:is>
      </x:c>
      <x:c r="F10" s="76" t="inlineStr">
        <x:is>
          <x:t xml:space="preserve">no</x:t>
        </x:is>
      </x:c>
      <x:c r="G10" s="73" t="inlineStr">
        <x:is>
          <x:t xml:space="preserve">not run</x:t>
        </x:is>
      </x:c>
      <x:c r="H10" s="92" t="inlineStr">
        <x:is>
          <x:t xml:space="preserve">partial</x:t>
        </x:is>
      </x:c>
      <x:c r="I10" s="84" t="inlineStr">
        <x:is>
          <x:t xml:space="preserve">Image workbench implemented; manual verification pending.</x:t>
        </x:is>
      </x:c>
      <x:c r="J10" s="84" t="inlineStr">
        <x:is>
          <x:t xml:space="preserve">Run Image manual protocol.</x:t>
        </x:is>
      </x:c>
      <x:c r="K10" s="87" t="n">
        <x:f>IF(AND(E10="yes",F10="yes",H10="covered"),1,0)</x:f>
        <x:v>0</x:v>
      </x:c>
    </x:row>
    <x:row r="11" s="51" customFormat="1" ht="45" customHeight="1">
      <x:c r="A11" s="73" t="n">
        <x:v>3</x:v>
      </x:c>
      <x:c r="B11" s="84" t="inlineStr">
        <x:is>
          <x:t xml:space="preserve">Feature</x:t>
        </x:is>
      </x:c>
      <x:c r="C11" s="84" t="inlineStr">
        <x:is>
          <x:t xml:space="preserve">Root</x:t>
        </x:is>
      </x:c>
      <x:c r="D11" s="84" t="inlineStr">
        <x:is>
          <x:t xml:space="preserve">tracks idle, loading, loaded, and error source status</x:t>
        </x:is>
      </x:c>
      <x:c r="E11" s="76" t="inlineStr">
        <x:is>
          <x:t xml:space="preserve">yes</x:t>
        </x:is>
      </x:c>
      <x:c r="F11" s="76" t="inlineStr">
        <x:is>
          <x:t xml:space="preserve">no</x:t>
        </x:is>
      </x:c>
      <x:c r="G11" s="73" t="inlineStr">
        <x:is>
          <x:t xml:space="preserve">not run</x:t>
        </x:is>
      </x:c>
      <x:c r="H11" s="92" t="inlineStr">
        <x:is>
          <x:t xml:space="preserve">partial</x:t>
        </x:is>
      </x:c>
      <x:c r="I11" s="84" t="inlineStr">
        <x:is>
          <x:t xml:space="preserve">Image workbench implemented; manual verification pending.</x:t>
        </x:is>
      </x:c>
      <x:c r="J11" s="84" t="inlineStr">
        <x:is>
          <x:t xml:space="preserve">Run Image manual protocol.</x:t>
        </x:is>
      </x:c>
      <x:c r="K11" s="87" t="n">
        <x:f>IF(AND(E11="yes",F11="yes",H11="covered"),1,0)</x:f>
        <x:v>0</x:v>
      </x:c>
    </x:row>
    <x:row r="12" s="51" customFormat="1" ht="30" customHeight="1">
      <x:c r="A12" s="73" t="n">
        <x:v>4</x:v>
      </x:c>
      <x:c r="B12" s="84" t="inlineStr">
        <x:is>
          <x:t xml:space="preserve">Feature</x:t>
        </x:is>
      </x:c>
      <x:c r="C12" s="84" t="inlineStr">
        <x:is>
          <x:t xml:space="preserve">Root</x:t>
        </x:is>
      </x:c>
      <x:c r="D12" s="84" t="inlineStr">
        <x:is>
          <x:t xml:space="preserve">source replacement resets status and ignores stale events</x:t>
        </x:is>
      </x:c>
      <x:c r="E12" s="76" t="inlineStr">
        <x:is>
          <x:t xml:space="preserve">yes</x:t>
        </x:is>
      </x:c>
      <x:c r="F12" s="76" t="inlineStr">
        <x:is>
          <x:t xml:space="preserve">no</x:t>
        </x:is>
      </x:c>
      <x:c r="G12" s="73" t="inlineStr">
        <x:is>
          <x:t xml:space="preserve">not run</x:t>
        </x:is>
      </x:c>
      <x:c r="H12" s="92" t="inlineStr">
        <x:is>
          <x:t xml:space="preserve">partial</x:t>
        </x:is>
      </x:c>
      <x:c r="I12" s="84" t="inlineStr">
        <x:is>
          <x:t xml:space="preserve">Image workbench implemented; manual verification pending.</x:t>
        </x:is>
      </x:c>
      <x:c r="J12" s="84" t="inlineStr">
        <x:is>
          <x:t xml:space="preserve">Run Image manual protocol.</x:t>
        </x:is>
      </x:c>
      <x:c r="K12" s="87" t="n">
        <x:f>IF(AND(E12="yes",F12="yes",H12="covered"),1,0)</x:f>
        <x:v>0</x:v>
      </x:c>
    </x:row>
    <x:row r="13" s="51" customFormat="1" ht="30" customHeight="1">
      <x:c r="A13" s="73" t="n">
        <x:v>5</x:v>
      </x:c>
      <x:c r="B13" s="84" t="inlineStr">
        <x:is>
          <x:t xml:space="preserve">Anatomy</x:t>
        </x:is>
      </x:c>
      <x:c r="C13" s="84" t="inlineStr">
        <x:is>
          <x:t xml:space="preserve">Root</x:t>
        </x:is>
      </x:c>
      <x:c r="D13" s="84" t="inlineStr">
        <x:is>
          <x:t xml:space="preserve">default div has data-slot image and exact data-state</x:t>
        </x:is>
      </x:c>
      <x:c r="E13" s="76" t="inlineStr">
        <x:is>
          <x:t xml:space="preserve">yes</x:t>
        </x:is>
      </x:c>
      <x:c r="F13" s="76" t="inlineStr">
        <x:is>
          <x:t xml:space="preserve">no</x:t>
        </x:is>
      </x:c>
      <x:c r="G13" s="73" t="inlineStr">
        <x:is>
          <x:t xml:space="preserve">not run</x:t>
        </x:is>
      </x:c>
      <x:c r="H13" s="92" t="inlineStr">
        <x:is>
          <x:t xml:space="preserve">partial</x:t>
        </x:is>
      </x:c>
      <x:c r="I13" s="84" t="inlineStr">
        <x:is>
          <x:t xml:space="preserve">Image workbench implemented; manual verification pending.</x:t>
        </x:is>
      </x:c>
      <x:c r="J13" s="84" t="inlineStr">
        <x:is>
          <x:t xml:space="preserve">Run Image manual protocol.</x:t>
        </x:is>
      </x:c>
      <x:c r="K13" s="87" t="n">
        <x:f>IF(AND(E13="yes",F13="yes",H13="covered"),1,0)</x:f>
        <x:v>0</x:v>
      </x:c>
    </x:row>
    <x:row r="14" s="51" customFormat="1" ht="30" customHeight="1">
      <x:c r="A14" s="73" t="n">
        <x:v>6</x:v>
      </x:c>
      <x:c r="B14" s="84" t="inlineStr">
        <x:is>
          <x:t xml:space="preserve">Anatomy</x:t>
        </x:is>
      </x:c>
      <x:c r="C14" s="84" t="inlineStr">
        <x:is>
          <x:t xml:space="preserve">Content</x:t>
        </x:is>
      </x:c>
      <x:c r="D14" s="84" t="inlineStr">
        <x:is>
          <x:t xml:space="preserve">native img appears only when loaded</x:t>
        </x:is>
      </x:c>
      <x:c r="E14" s="76" t="inlineStr">
        <x:is>
          <x:t xml:space="preserve">yes</x:t>
        </x:is>
      </x:c>
      <x:c r="F14" s="76" t="inlineStr">
        <x:is>
          <x:t xml:space="preserve">no</x:t>
        </x:is>
      </x:c>
      <x:c r="G14" s="73" t="inlineStr">
        <x:is>
          <x:t xml:space="preserve">not run</x:t>
        </x:is>
      </x:c>
      <x:c r="H14" s="92" t="inlineStr">
        <x:is>
          <x:t xml:space="preserve">partial</x:t>
        </x:is>
      </x:c>
      <x:c r="I14" s="84" t="inlineStr">
        <x:is>
          <x:t xml:space="preserve">Image workbench implemented; manual verification pending.</x:t>
        </x:is>
      </x:c>
      <x:c r="J14" s="84" t="inlineStr">
        <x:is>
          <x:t xml:space="preserve">Run Image manual protocol.</x:t>
        </x:is>
      </x:c>
      <x:c r="K14" s="87" t="n">
        <x:f>IF(AND(E14="yes",F14="yes",H14="covered"),1,0)</x:f>
        <x:v>0</x:v>
      </x:c>
    </x:row>
    <x:row r="15" s="51" customFormat="1" ht="30" customHeight="1">
      <x:c r="A15" s="73" t="n">
        <x:v>7</x:v>
      </x:c>
      <x:c r="B15" s="84" t="inlineStr">
        <x:is>
          <x:t xml:space="preserve">Anatomy</x:t>
        </x:is>
      </x:c>
      <x:c r="C15" s="84" t="inlineStr">
        <x:is>
          <x:t xml:space="preserve">Fallback</x:t>
        </x:is>
      </x:c>
      <x:c r="D15" s="84" t="inlineStr">
        <x:is>
          <x:t xml:space="preserve">authored fallback appears for selected non-loaded states</x:t>
        </x:is>
      </x:c>
      <x:c r="E15" s="76" t="inlineStr">
        <x:is>
          <x:t xml:space="preserve">yes</x:t>
        </x:is>
      </x:c>
      <x:c r="F15" s="76" t="inlineStr">
        <x:is>
          <x:t xml:space="preserve">no</x:t>
        </x:is>
      </x:c>
      <x:c r="G15" s="73" t="inlineStr">
        <x:is>
          <x:t xml:space="preserve">not run</x:t>
        </x:is>
      </x:c>
      <x:c r="H15" s="92" t="inlineStr">
        <x:is>
          <x:t xml:space="preserve">partial</x:t>
        </x:is>
      </x:c>
      <x:c r="I15" s="84" t="inlineStr">
        <x:is>
          <x:t xml:space="preserve">Image workbench implemented; manual verification pending.</x:t>
        </x:is>
      </x:c>
      <x:c r="J15" s="84" t="inlineStr">
        <x:is>
          <x:t xml:space="preserve">Run Image manual protocol.</x:t>
        </x:is>
      </x:c>
      <x:c r="K15" s="87" t="n">
        <x:f>IF(AND(E15="yes",F15="yes",H15="covered"),1,0)</x:f>
        <x:v>0</x:v>
      </x:c>
    </x:row>
    <x:row r="16" s="51" customFormat="1" ht="30" customHeight="1">
      <x:c r="A16" s="73" t="n">
        <x:v>8</x:v>
      </x:c>
      <x:c r="B16" s="84" t="inlineStr">
        <x:is>
          <x:t xml:space="preserve">Native props</x:t>
        </x:is>
      </x:c>
      <x:c r="C16" s="84" t="inlineStr">
        <x:is>
          <x:t xml:space="preserve">Content</x:t>
        </x:is>
      </x:c>
      <x:c r="D16" s="84" t="inlineStr">
        <x:is>
          <x:t xml:space="preserve">alt, width, height, srcSet, sizes, loading, and decoding pass through</x:t>
        </x:is>
      </x:c>
      <x:c r="E16" s="76" t="inlineStr">
        <x:is>
          <x:t xml:space="preserve">yes</x:t>
        </x:is>
      </x:c>
      <x:c r="F16" s="76" t="inlineStr">
        <x:is>
          <x:t xml:space="preserve">no</x:t>
        </x:is>
      </x:c>
      <x:c r="G16" s="73" t="inlineStr">
        <x:is>
          <x:t xml:space="preserve">not run</x:t>
        </x:is>
      </x:c>
      <x:c r="H16" s="92" t="inlineStr">
        <x:is>
          <x:t xml:space="preserve">partial</x:t>
        </x:is>
      </x:c>
      <x:c r="I16" s="84" t="inlineStr">
        <x:is>
          <x:t xml:space="preserve">Image workbench implemented; manual verification pending.</x:t>
        </x:is>
      </x:c>
      <x:c r="J16" s="84" t="inlineStr">
        <x:is>
          <x:t xml:space="preserve">Run Image manual protocol.</x:t>
        </x:is>
      </x:c>
      <x:c r="K16" s="87" t="n">
        <x:f>IF(AND(E16="yes",F16="yes",H16="covered"),1,0)</x:f>
        <x:v>0</x:v>
      </x:c>
    </x:row>
    <x:row r="17" s="51" customFormat="1" ht="30" customHeight="1">
      <x:c r="A17" s="73" t="n">
        <x:v>9</x:v>
      </x:c>
      <x:c r="B17" s="84" t="inlineStr">
        <x:is>
          <x:t xml:space="preserve">Accessibility</x:t>
        </x:is>
      </x:c>
      <x:c r="C17" s="84" t="inlineStr">
        <x:is>
          <x:t xml:space="preserve">Content</x:t>
        </x:is>
      </x:c>
      <x:c r="D17" s="84" t="inlineStr">
        <x:is>
          <x:t xml:space="preserve">informative and empty decorative alt remain authored</x:t>
        </x:is>
      </x:c>
      <x:c r="E17" s="76" t="inlineStr">
        <x:is>
          <x:t xml:space="preserve">yes</x:t>
        </x:is>
      </x:c>
      <x:c r="F17" s="76" t="inlineStr">
        <x:is>
          <x:t xml:space="preserve">no</x:t>
        </x:is>
      </x:c>
      <x:c r="G17" s="73" t="inlineStr">
        <x:is>
          <x:t xml:space="preserve">not run</x:t>
        </x:is>
      </x:c>
      <x:c r="H17" s="92" t="inlineStr">
        <x:is>
          <x:t xml:space="preserve">partial</x:t>
        </x:is>
      </x:c>
      <x:c r="I17" s="84" t="inlineStr">
        <x:is>
          <x:t xml:space="preserve">Image workbench implemented; manual verification pending.</x:t>
        </x:is>
      </x:c>
      <x:c r="J17" s="84" t="inlineStr">
        <x:is>
          <x:t xml:space="preserve">Run Image manual protocol.</x:t>
        </x:is>
      </x:c>
      <x:c r="K17" s="87" t="n">
        <x:f>IF(AND(E17="yes",F17="yes",H17="covered"),1,0)</x:f>
        <x:v>0</x:v>
      </x:c>
    </x:row>
    <x:row r="18" s="51" customFormat="1" ht="30" customHeight="1">
      <x:c r="A18" s="73" t="n">
        <x:v>10</x:v>
      </x:c>
      <x:c r="B18" s="84" t="inlineStr">
        <x:is>
          <x:t xml:space="preserve">Composition</x:t>
        </x:is>
      </x:c>
      <x:c r="C18" s="84" t="inlineStr">
        <x:is>
          <x:t xml:space="preserve">Root</x:t>
        </x:is>
      </x:c>
      <x:c r="D18" s="84" t="inlineStr">
        <x:is>
          <x:t xml:space="preserve">default, asChild, and render preserve context and refs</x:t>
        </x:is>
      </x:c>
      <x:c r="E18" s="76" t="inlineStr">
        <x:is>
          <x:t xml:space="preserve">yes</x:t>
        </x:is>
      </x:c>
      <x:c r="F18" s="76" t="inlineStr">
        <x:is>
          <x:t xml:space="preserve">no</x:t>
        </x:is>
      </x:c>
      <x:c r="G18" s="73" t="inlineStr">
        <x:is>
          <x:t xml:space="preserve">not run</x:t>
        </x:is>
      </x:c>
      <x:c r="H18" s="92" t="inlineStr">
        <x:is>
          <x:t xml:space="preserve">partial</x:t>
        </x:is>
      </x:c>
      <x:c r="I18" s="84" t="inlineStr">
        <x:is>
          <x:t xml:space="preserve">Image workbench implemented; manual verification pending.</x:t>
        </x:is>
      </x:c>
      <x:c r="J18" s="84" t="inlineStr">
        <x:is>
          <x:t xml:space="preserve">Run Image manual protocol.</x:t>
        </x:is>
      </x:c>
      <x:c r="K18" s="87" t="n">
        <x:f>IF(AND(E18="yes",F18="yes",H18="covered"),1,0)</x:f>
        <x:v>0</x:v>
      </x:c>
    </x:row>
    <x:row r="19" s="51" customFormat="1" ht="30" customHeight="1">
      <x:c r="A19" s="73" t="n">
        <x:v>11</x:v>
      </x:c>
      <x:c r="B19" s="84" t="inlineStr">
        <x:is>
          <x:t xml:space="preserve">Composition</x:t>
        </x:is>
      </x:c>
      <x:c r="C19" s="84" t="inlineStr">
        <x:is>
          <x:t xml:space="preserve">Content</x:t>
        </x:is>
      </x:c>
      <x:c r="D19" s="84" t="inlineStr">
        <x:is>
          <x:t xml:space="preserve">default, asChild, and render preserve native image semantics</x:t>
        </x:is>
      </x:c>
      <x:c r="E19" s="76" t="inlineStr">
        <x:is>
          <x:t xml:space="preserve">yes</x:t>
        </x:is>
      </x:c>
      <x:c r="F19" s="76" t="inlineStr">
        <x:is>
          <x:t xml:space="preserve">no</x:t>
        </x:is>
      </x:c>
      <x:c r="G19" s="73" t="inlineStr">
        <x:is>
          <x:t xml:space="preserve">not run</x:t>
        </x:is>
      </x:c>
      <x:c r="H19" s="92" t="inlineStr">
        <x:is>
          <x:t xml:space="preserve">partial</x:t>
        </x:is>
      </x:c>
      <x:c r="I19" s="84" t="inlineStr">
        <x:is>
          <x:t xml:space="preserve">Image workbench implemented; manual verification pending.</x:t>
        </x:is>
      </x:c>
      <x:c r="J19" s="84" t="inlineStr">
        <x:is>
          <x:t xml:space="preserve">Run Image manual protocol.</x:t>
        </x:is>
      </x:c>
      <x:c r="K19" s="87" t="n">
        <x:f>IF(AND(E19="yes",F19="yes",H19="covered"),1,0)</x:f>
        <x:v>0</x:v>
      </x:c>
    </x:row>
    <x:row r="20" s="51" customFormat="1" ht="15" customHeight="1">
      <x:c r="A20" s="73" t="n">
        <x:v>12</x:v>
      </x:c>
      <x:c r="B20" s="84" t="inlineStr">
        <x:is>
          <x:t xml:space="preserve">Composition</x:t>
        </x:is>
      </x:c>
      <x:c r="C20" s="84" t="inlineStr">
        <x:is>
          <x:t xml:space="preserve">Fallback</x:t>
        </x:is>
      </x:c>
      <x:c r="D20" s="84" t="inlineStr">
        <x:is>
          <x:t xml:space="preserve">default, asChild, and render preserve selected state</x:t>
        </x:is>
      </x:c>
      <x:c r="E20" s="76" t="inlineStr">
        <x:is>
          <x:t xml:space="preserve">yes</x:t>
        </x:is>
      </x:c>
      <x:c r="F20" s="76" t="inlineStr">
        <x:is>
          <x:t xml:space="preserve">no</x:t>
        </x:is>
      </x:c>
      <x:c r="G20" s="73" t="inlineStr">
        <x:is>
          <x:t xml:space="preserve">not run</x:t>
        </x:is>
      </x:c>
      <x:c r="H20" s="92" t="inlineStr">
        <x:is>
          <x:t xml:space="preserve">partial</x:t>
        </x:is>
      </x:c>
      <x:c r="I20" s="84" t="inlineStr">
        <x:is>
          <x:t xml:space="preserve">Image workbench implemented; manual verification pending.</x:t>
        </x:is>
      </x:c>
      <x:c r="J20" s="84" t="inlineStr">
        <x:is>
          <x:t xml:space="preserve">Run Image manual protocol.</x:t>
        </x:is>
      </x:c>
      <x:c r="K20" s="87" t="n">
        <x:f>IF(AND(E20="yes",F20="yes",H20="covered"),1,0)</x:f>
        <x:v>0</x:v>
      </x:c>
    </x:row>
    <x:row r="21" s="51" customFormat="1" ht="15" customHeight="1">
      <x:c r="A21" s="73" t="n">
        <x:v>13</x:v>
      </x:c>
      <x:c r="B21" s="84" t="inlineStr">
        <x:is>
          <x:t xml:space="preserve">Props</x:t>
        </x:is>
      </x:c>
      <x:c r="C21" s="84" t="inlineStr">
        <x:is>
          <x:t xml:space="preserve">Root</x:t>
        </x:is>
      </x:c>
      <x:c r="D21" s="84" t="inlineStr">
        <x:is>
          <x:t xml:space="preserve">native props and custom slot remain inspectable</x:t>
        </x:is>
      </x:c>
      <x:c r="E21" s="76" t="inlineStr">
        <x:is>
          <x:t xml:space="preserve">yes</x:t>
        </x:is>
      </x:c>
      <x:c r="F21" s="76" t="inlineStr">
        <x:is>
          <x:t xml:space="preserve">no</x:t>
        </x:is>
      </x:c>
      <x:c r="G21" s="73" t="inlineStr">
        <x:is>
          <x:t xml:space="preserve">not run</x:t>
        </x:is>
      </x:c>
      <x:c r="H21" s="92" t="inlineStr">
        <x:is>
          <x:t xml:space="preserve">partial</x:t>
        </x:is>
      </x:c>
      <x:c r="I21" s="84" t="inlineStr">
        <x:is>
          <x:t xml:space="preserve">Image workbench implemented; manual verification pending.</x:t>
        </x:is>
      </x:c>
      <x:c r="J21" s="84" t="inlineStr">
        <x:is>
          <x:t xml:space="preserve">Run Image manual protocol.</x:t>
        </x:is>
      </x:c>
      <x:c r="K21" s="87" t="n">
        <x:f>IF(AND(E21="yes",F21="yes",H21="covered"),1,0)</x:f>
        <x:v>0</x:v>
      </x:c>
    </x:row>
    <x:row r="22" s="51" customFormat="1" ht="30" customHeight="1">
      <x:c r="A22" s="73" t="n">
        <x:v>14</x:v>
      </x:c>
      <x:c r="B22" s="84" t="inlineStr">
        <x:is>
          <x:t xml:space="preserve">Props</x:t>
        </x:is>
      </x:c>
      <x:c r="C22" s="84" t="inlineStr">
        <x:is>
          <x:t xml:space="preserve">Content</x:t>
        </x:is>
      </x:c>
      <x:c r="D22" s="84" t="inlineStr">
        <x:is>
          <x:t xml:space="preserve">native props and custom slot remain inspectable</x:t>
        </x:is>
      </x:c>
      <x:c r="E22" s="76" t="inlineStr">
        <x:is>
          <x:t xml:space="preserve">yes</x:t>
        </x:is>
      </x:c>
      <x:c r="F22" s="76" t="inlineStr">
        <x:is>
          <x:t xml:space="preserve">no</x:t>
        </x:is>
      </x:c>
      <x:c r="G22" s="73" t="inlineStr">
        <x:is>
          <x:t xml:space="preserve">not run</x:t>
        </x:is>
      </x:c>
      <x:c r="H22" s="92" t="inlineStr">
        <x:is>
          <x:t xml:space="preserve">partial</x:t>
        </x:is>
      </x:c>
      <x:c r="I22" s="84" t="inlineStr">
        <x:is>
          <x:t xml:space="preserve">Image workbench implemented; manual verification pending.</x:t>
        </x:is>
      </x:c>
      <x:c r="J22" s="84" t="inlineStr">
        <x:is>
          <x:t xml:space="preserve">Run Image manual protocol.</x:t>
        </x:is>
      </x:c>
      <x:c r="K22" s="87" t="n">
        <x:f>IF(AND(E22="yes",F22="yes",H22="covered"),1,0)</x:f>
        <x:v>0</x:v>
      </x:c>
    </x:row>
    <x:row r="23" s="51" customFormat="1" ht="15" customHeight="1">
      <x:c r="A23" s="73" t="n">
        <x:v>15</x:v>
      </x:c>
      <x:c r="B23" s="84" t="inlineStr">
        <x:is>
          <x:t xml:space="preserve">Props</x:t>
        </x:is>
      </x:c>
      <x:c r="C23" s="84" t="inlineStr">
        <x:is>
          <x:t xml:space="preserve">Fallback</x:t>
        </x:is>
      </x:c>
      <x:c r="D23" s="84" t="inlineStr">
        <x:is>
          <x:t xml:space="preserve">native props, when, and custom slot remain inspectable</x:t>
        </x:is>
      </x:c>
      <x:c r="E23" s="76" t="inlineStr">
        <x:is>
          <x:t xml:space="preserve">yes</x:t>
        </x:is>
      </x:c>
      <x:c r="F23" s="76" t="inlineStr">
        <x:is>
          <x:t xml:space="preserve">no</x:t>
        </x:is>
      </x:c>
      <x:c r="G23" s="73" t="inlineStr">
        <x:is>
          <x:t xml:space="preserve">not run</x:t>
        </x:is>
      </x:c>
      <x:c r="H23" s="92" t="inlineStr">
        <x:is>
          <x:t xml:space="preserve">partial</x:t>
        </x:is>
      </x:c>
      <x:c r="I23" s="84" t="inlineStr">
        <x:is>
          <x:t xml:space="preserve">Image workbench implemented; manual verification pending.</x:t>
        </x:is>
      </x:c>
      <x:c r="J23" s="84" t="inlineStr">
        <x:is>
          <x:t xml:space="preserve">Run Image manual protocol.</x:t>
        </x:is>
      </x:c>
      <x:c r="K23" s="87" t="n">
        <x:f>IF(AND(E23="yes",F23="yes",H23="covered"),1,0)</x:f>
        <x:v>0</x:v>
      </x:c>
    </x:row>
    <x:row r="24" s="51" customFormat="1" ht="15" customHeight="1">
      <x:c r="A24" s="73" t="n">
        <x:v>16</x:v>
      </x:c>
      <x:c r="B24" s="84" t="inlineStr">
        <x:is>
          <x:t xml:space="preserve">State</x:t>
        </x:is>
      </x:c>
      <x:c r="C24" s="84" t="inlineStr">
        <x:is>
          <x:t xml:space="preserve">Fallback</x:t>
        </x:is>
      </x:c>
      <x:c r="D24" s="84" t="inlineStr">
        <x:is>
          <x:t xml:space="preserve">idle, loading, and error can be selected independently</x:t>
        </x:is>
      </x:c>
      <x:c r="E24" s="76" t="inlineStr">
        <x:is>
          <x:t xml:space="preserve">yes</x:t>
        </x:is>
      </x:c>
      <x:c r="F24" s="76" t="inlineStr">
        <x:is>
          <x:t xml:space="preserve">no</x:t>
        </x:is>
      </x:c>
      <x:c r="G24" s="73" t="inlineStr">
        <x:is>
          <x:t xml:space="preserve">not run</x:t>
        </x:is>
      </x:c>
      <x:c r="H24" s="92" t="inlineStr">
        <x:is>
          <x:t xml:space="preserve">partial</x:t>
        </x:is>
      </x:c>
      <x:c r="I24" s="84" t="inlineStr">
        <x:is>
          <x:t xml:space="preserve">Image workbench implemented; manual verification pending.</x:t>
        </x:is>
      </x:c>
      <x:c r="J24" s="84" t="inlineStr">
        <x:is>
          <x:t xml:space="preserve">Run Image manual protocol.</x:t>
        </x:is>
      </x:c>
      <x:c r="K24" s="87" t="n">
        <x:f>IF(AND(E24="yes",F24="yes",H24="covered"),1,0)</x:f>
        <x:v>0</x:v>
      </x:c>
    </x:row>
    <x:row r="25" s="51" customFormat="1" ht="30" customHeight="1">
      <x:c r="A25" s="73" t="n">
        <x:v>17</x:v>
      </x:c>
      <x:c r="B25" s="84" t="inlineStr">
        <x:is>
          <x:t xml:space="preserve">Events</x:t>
        </x:is>
      </x:c>
      <x:c r="C25" s="84" t="inlineStr">
        <x:is>
          <x:t xml:space="preserve">Root</x:t>
        </x:is>
      </x:c>
      <x:c r="D25" s="84" t="inlineStr">
        <x:is>
          <x:t xml:space="preserve">onLoadingStatusChange logs truthful transitions</x:t>
        </x:is>
      </x:c>
      <x:c r="E25" s="76" t="inlineStr">
        <x:is>
          <x:t xml:space="preserve">yes</x:t>
        </x:is>
      </x:c>
      <x:c r="F25" s="76" t="inlineStr">
        <x:is>
          <x:t xml:space="preserve">no</x:t>
        </x:is>
      </x:c>
      <x:c r="G25" s="73" t="inlineStr">
        <x:is>
          <x:t xml:space="preserve">not run</x:t>
        </x:is>
      </x:c>
      <x:c r="H25" s="92" t="inlineStr">
        <x:is>
          <x:t xml:space="preserve">partial</x:t>
        </x:is>
      </x:c>
      <x:c r="I25" s="84" t="inlineStr">
        <x:is>
          <x:t xml:space="preserve">Image workbench implemented; manual verification pending.</x:t>
        </x:is>
      </x:c>
      <x:c r="J25" s="84" t="inlineStr">
        <x:is>
          <x:t xml:space="preserve">Run Image manual protocol.</x:t>
        </x:is>
      </x:c>
      <x:c r="K25" s="87" t="n">
        <x:f>IF(AND(E25="yes",F25="yes",H25="covered"),1,0)</x:f>
        <x:v>0</x:v>
      </x:c>
    </x:row>
    <x:row r="26" s="51" customFormat="1" ht="30" customHeight="1">
      <x:c r="A26" s="73" t="n">
        <x:v>18</x:v>
      </x:c>
      <x:c r="B26" s="84" t="inlineStr">
        <x:is>
          <x:t xml:space="preserve">Source</x:t>
        </x:is>
      </x:c>
      <x:c r="C26" s="84" t="inlineStr">
        <x:is>
          <x:t xml:space="preserve">Image</x:t>
        </x:is>
      </x:c>
      <x:c r="D26" s="84" t="inlineStr">
        <x:is>
          <x:t xml:space="preserve">source view matches mode, alt, parts, and native attributes</x:t>
        </x:is>
      </x:c>
      <x:c r="E26" s="76" t="inlineStr">
        <x:is>
          <x:t xml:space="preserve">yes</x:t>
        </x:is>
      </x:c>
      <x:c r="F26" s="76" t="inlineStr">
        <x:is>
          <x:t xml:space="preserve">no</x:t>
        </x:is>
      </x:c>
      <x:c r="G26" s="73" t="inlineStr">
        <x:is>
          <x:t xml:space="preserve">not run</x:t>
        </x:is>
      </x:c>
      <x:c r="H26" s="92" t="inlineStr">
        <x:is>
          <x:t xml:space="preserve">partial</x:t>
        </x:is>
      </x:c>
      <x:c r="I26" s="84" t="inlineStr">
        <x:is>
          <x:t xml:space="preserve">Image workbench implemented; manual verification pending.</x:t>
        </x:is>
      </x:c>
      <x:c r="J26" s="84" t="inlineStr">
        <x:is>
          <x:t xml:space="preserve">Run Image manual protocol.</x:t>
        </x:is>
      </x:c>
      <x:c r="K26" s="87" t="n">
        <x:f>IF(AND(E26="yes",F26="yes",H26="covered"),1,0)</x:f>
        <x:v>0</x:v>
      </x:c>
    </x:row>
    <x:row r="27" s="51" customFormat="1" ht="30" customHeight="1">
      <x:c r="A27" s="73" t="n">
        <x:v>19</x:v>
      </x:c>
      <x:c r="B27" s="84" t="inlineStr">
        <x:is>
          <x:t xml:space="preserve">Responsive</x:t>
        </x:is>
      </x:c>
      <x:c r="C27" s="84" t="inlineStr">
        <x:is>
          <x:t xml:space="preserve">Content</x:t>
        </x:is>
      </x:c>
      <x:c r="D27" s="84" t="inlineStr">
        <x:is>
          <x:t xml:space="preserve">intrinsic and responsive attributes remain visible</x:t>
        </x:is>
      </x:c>
      <x:c r="E27" s="76" t="inlineStr">
        <x:is>
          <x:t xml:space="preserve">yes</x:t>
        </x:is>
      </x:c>
      <x:c r="F27" s="76" t="inlineStr">
        <x:is>
          <x:t xml:space="preserve">no</x:t>
        </x:is>
      </x:c>
      <x:c r="G27" s="73" t="inlineStr">
        <x:is>
          <x:t xml:space="preserve">not run</x:t>
        </x:is>
      </x:c>
      <x:c r="H27" s="92" t="inlineStr">
        <x:is>
          <x:t xml:space="preserve">partial</x:t>
        </x:is>
      </x:c>
      <x:c r="I27" s="84" t="inlineStr">
        <x:is>
          <x:t xml:space="preserve">Image workbench implemented; manual verification pending.</x:t>
        </x:is>
      </x:c>
      <x:c r="J27" s="84" t="inlineStr">
        <x:is>
          <x:t xml:space="preserve">Run Image manual protocol.</x:t>
        </x:is>
      </x:c>
      <x:c r="K27" s="87" t="n">
        <x:f>IF(AND(E27="yes",F27="yes",H27="covered"),1,0)</x:f>
        <x:v>0</x:v>
      </x:c>
    </x:row>
    <x:row r="28" s="51" customFormat="1" ht="30" customHeight="1">
      <x:c r="A28" s="73" t="n">
        <x:v>20</x:v>
      </x:c>
      <x:c r="B28" s="84" t="inlineStr">
        <x:is>
          <x:t xml:space="preserve">Manual</x:t>
        </x:is>
      </x:c>
      <x:c r="C28" s="84" t="inlineStr">
        <x:is>
          <x:t xml:space="preserve">Image</x:t>
        </x:is>
      </x:c>
      <x:c r="D28" s="84" t="inlineStr">
        <x:is>
          <x:t xml:space="preserve">manual protocol completes all playground-verifiable rows</x:t>
        </x:is>
      </x:c>
      <x:c r="E28" s="76" t="inlineStr">
        <x:is>
          <x:t xml:space="preserve">yes</x:t>
        </x:is>
      </x:c>
      <x:c r="F28" s="76" t="inlineStr">
        <x:is>
          <x:t xml:space="preserve">no</x:t>
        </x:is>
      </x:c>
      <x:c r="G28" s="73" t="inlineStr">
        <x:is>
          <x:t xml:space="preserve">not run</x:t>
        </x:is>
      </x:c>
      <x:c r="H28" s="92" t="inlineStr">
        <x:is>
          <x:t xml:space="preserve">partial</x:t>
        </x:is>
      </x:c>
      <x:c r="I28" s="84" t="inlineStr">
        <x:is>
          <x:t xml:space="preserve">Image workbench implemented; manual verification pending.</x:t>
        </x:is>
      </x:c>
      <x:c r="J28" s="84" t="inlineStr">
        <x:is>
          <x:t xml:space="preserve">Run Image manual protocol.</x:t>
        </x:is>
      </x:c>
      <x:c r="K28" s="87" t="n">
        <x:f>IF(AND(E28="yes",F28="yes",H28="covered"),1,0)</x:f>
        <x:v>0</x:v>
      </x:c>
    </x:row>
    <x:row r="29" s="51" customFormat="1" ht="15" customHeight="1">
      <x:c r="A29" s="73" t="n"/>
      <x:c r="B29" s="84" t="n"/>
      <x:c r="C29" s="84" t="n"/>
      <x:c r="D29" s="84" t="n"/>
      <x:c r="E29" s="76" t="n"/>
      <x:c r="F29" s="76" t="n"/>
      <x:c r="G29" s="73" t="n"/>
      <x:c r="H29" s="92" t="n"/>
      <x:c r="I29" s="84" t="n"/>
      <x:c r="J29" s="84" t="n"/>
      <x:c r="K29" s="87" t="n"/>
    </x:row>
    <x:row r="30" s="51" customFormat="1" ht="30" customHeight="1">
      <x:c r="A30" s="73" t="n"/>
      <x:c r="B30" s="84" t="n"/>
      <x:c r="C30" s="84" t="n"/>
      <x:c r="D30" s="84" t="n"/>
      <x:c r="E30" s="76" t="n"/>
      <x:c r="F30" s="76" t="n"/>
      <x:c r="G30" s="73" t="n"/>
      <x:c r="H30" s="92" t="n"/>
      <x:c r="I30" s="84" t="n"/>
      <x:c r="J30" s="84" t="n"/>
      <x:c r="K30" s="87" t="n"/>
    </x:row>
    <x:row r="31" s="51" customFormat="1" ht="30" customHeight="1">
      <x:c r="A31" s="73" t="n"/>
      <x:c r="B31" s="84" t="n"/>
      <x:c r="C31" s="84" t="n"/>
      <x:c r="D31" s="84" t="n"/>
      <x:c r="E31" s="76" t="n"/>
      <x:c r="F31" s="76" t="n"/>
      <x:c r="G31" s="73" t="n"/>
      <x:c r="H31" s="92" t="n"/>
      <x:c r="I31" s="84" t="n"/>
      <x:c r="J31" s="84" t="n"/>
      <x:c r="K31" s="87" t="n"/>
    </x:row>
    <x:row r="32" s="51" customFormat="1" ht="15" customHeight="1">
      <x:c r="A32" s="73" t="n"/>
      <x:c r="B32" s="84" t="n"/>
      <x:c r="C32" s="84" t="n"/>
      <x:c r="D32" s="84" t="n"/>
      <x:c r="E32" s="76" t="n"/>
      <x:c r="F32" s="76" t="n"/>
      <x:c r="G32" s="73" t="n"/>
      <x:c r="H32" s="92" t="n"/>
      <x:c r="I32" s="84" t="n"/>
      <x:c r="J32" s="84" t="n"/>
      <x:c r="K32" s="87" t="n"/>
    </x:row>
    <x:row r="33" s="51" customFormat="1" ht="30" customHeight="1">
      <x:c r="A33" s="73" t="n"/>
      <x:c r="B33" s="84" t="n"/>
      <x:c r="C33" s="84" t="n"/>
      <x:c r="D33" s="84" t="n"/>
      <x:c r="E33" s="76" t="n"/>
      <x:c r="F33" s="76" t="n"/>
      <x:c r="G33" s="73" t="n"/>
      <x:c r="H33" s="92" t="n"/>
      <x:c r="I33" s="84" t="n"/>
      <x:c r="J33" s="84" t="n"/>
      <x:c r="K33" s="87" t="n"/>
    </x:row>
    <x:row r="34" s="51" customFormat="1" ht="15" customHeight="1">
      <x:c r="A34" s="73" t="n"/>
      <x:c r="B34" s="84" t="n"/>
      <x:c r="C34" s="84" t="n"/>
      <x:c r="D34" s="84" t="n"/>
      <x:c r="E34" s="76" t="n"/>
      <x:c r="F34" s="76" t="n"/>
      <x:c r="G34" s="73" t="n"/>
      <x:c r="H34" s="92" t="n"/>
      <x:c r="I34" s="84" t="n"/>
      <x:c r="J34" s="84" t="n"/>
      <x:c r="K34" s="87" t="n"/>
    </x:row>
    <x:row r="35" s="51" customFormat="1" ht="15" customHeight="1">
      <x:c r="A35" s="73" t="n"/>
      <x:c r="B35" s="84" t="n"/>
      <x:c r="C35" s="84" t="n"/>
      <x:c r="D35" s="84" t="n"/>
      <x:c r="E35" s="76" t="n"/>
      <x:c r="F35" s="76" t="n"/>
      <x:c r="G35" s="73" t="n"/>
      <x:c r="H35" s="92" t="n"/>
      <x:c r="I35" s="84" t="n"/>
      <x:c r="J35" s="84" t="n"/>
      <x:c r="K35" s="87" t="n"/>
    </x:row>
    <x:row r="36" s="51" customFormat="1" ht="30" customHeight="1">
      <x:c r="A36" s="73" t="n"/>
      <x:c r="B36" s="84" t="n"/>
      <x:c r="C36" s="84" t="n"/>
      <x:c r="D36" s="84" t="n"/>
      <x:c r="E36" s="76" t="n"/>
      <x:c r="F36" s="76" t="n"/>
      <x:c r="G36" s="73" t="n"/>
      <x:c r="H36" s="92" t="n"/>
      <x:c r="I36" s="84" t="n"/>
      <x:c r="J36" s="84" t="n"/>
      <x:c r="K36" s="87" t="n"/>
    </x:row>
    <x:row r="37" s="51" customFormat="1" ht="30" customHeight="1">
      <x:c r="A37" s="73" t="n"/>
      <x:c r="B37" s="84" t="n"/>
      <x:c r="C37" s="84" t="n"/>
      <x:c r="D37" s="84" t="n"/>
      <x:c r="E37" s="76" t="n"/>
      <x:c r="F37" s="76" t="n"/>
      <x:c r="G37" s="73" t="n"/>
      <x:c r="H37" s="92" t="n"/>
      <x:c r="I37" s="84" t="n"/>
      <x:c r="J37" s="84" t="n"/>
      <x:c r="K37" s="87" t="n"/>
    </x:row>
    <x:row r="38" s="51" customFormat="1" ht="30" customHeight="1">
      <x:c r="A38" s="73" t="n"/>
      <x:c r="B38" s="84" t="n"/>
      <x:c r="C38" s="84" t="n"/>
      <x:c r="D38" s="84" t="n"/>
      <x:c r="E38" s="76" t="n"/>
      <x:c r="F38" s="76" t="n"/>
      <x:c r="G38" s="73" t="n"/>
      <x:c r="H38" s="92" t="n"/>
      <x:c r="I38" s="84" t="n"/>
      <x:c r="J38" s="84" t="n"/>
      <x:c r="K38" s="87" t="n"/>
    </x:row>
    <x:row r="39" s="51" customFormat="1" ht="30" customHeight="1">
      <x:c r="A39" s="73" t="n"/>
      <x:c r="B39" s="84" t="n"/>
      <x:c r="C39" s="84" t="n"/>
      <x:c r="D39" s="84" t="n"/>
      <x:c r="E39" s="76" t="n"/>
      <x:c r="F39" s="76" t="n"/>
      <x:c r="G39" s="73" t="n"/>
      <x:c r="H39" s="92" t="n"/>
      <x:c r="I39" s="84" t="n"/>
      <x:c r="J39" s="84" t="n"/>
      <x:c r="K39" s="87" t="n"/>
    </x:row>
    <x:row r="40" s="51" customFormat="1" ht="30" customHeight="1">
      <x:c r="A40" s="73" t="n"/>
      <x:c r="B40" s="84" t="n"/>
      <x:c r="C40" s="84" t="n"/>
      <x:c r="D40" s="84" t="n"/>
      <x:c r="E40" s="76" t="n"/>
      <x:c r="F40" s="76" t="n"/>
      <x:c r="G40" s="73" t="n"/>
      <x:c r="H40" s="92" t="n"/>
      <x:c r="I40" s="84" t="n"/>
      <x:c r="J40" s="84" t="n"/>
      <x:c r="K40" s="87" t="n"/>
    </x:row>
    <x:row r="41" s="51" customFormat="1" ht="30" customHeight="1">
      <x:c r="A41" s="73" t="n"/>
      <x:c r="B41" s="84" t="n"/>
      <x:c r="C41" s="84" t="n"/>
      <x:c r="D41" s="84" t="n"/>
      <x:c r="E41" s="76" t="n"/>
      <x:c r="F41" s="76" t="n"/>
      <x:c r="G41" s="73" t="n"/>
      <x:c r="H41" s="92" t="n"/>
      <x:c r="I41" s="84" t="n"/>
      <x:c r="J41" s="84" t="n"/>
      <x:c r="K41" s="87" t="n"/>
    </x:row>
    <x:row r="42" s="51" customFormat="1" ht="30" customHeight="1">
      <x:c r="A42" s="73" t="n"/>
      <x:c r="B42" s="84" t="n"/>
      <x:c r="C42" s="84" t="n"/>
      <x:c r="D42" s="84" t="n"/>
      <x:c r="E42" s="76" t="n"/>
      <x:c r="F42" s="76" t="n"/>
      <x:c r="G42" s="73" t="n"/>
      <x:c r="H42" s="92" t="n"/>
      <x:c r="I42" s="84" t="n"/>
      <x:c r="J42" s="84" t="n"/>
      <x:c r="K42" s="87" t="n"/>
    </x:row>
    <x:row r="43" s="51" customFormat="1" ht="15" customHeight="1">
      <x:c r="A43" s="73" t="n"/>
      <x:c r="B43" s="84" t="n"/>
      <x:c r="C43" s="84" t="n"/>
      <x:c r="D43" s="84" t="n"/>
      <x:c r="E43" s="76" t="n"/>
      <x:c r="F43" s="76" t="n"/>
      <x:c r="G43" s="73" t="n"/>
      <x:c r="H43" s="92" t="n"/>
      <x:c r="I43" s="84" t="n"/>
      <x:c r="J43" s="84" t="n"/>
      <x:c r="K43" s="87" t="n"/>
    </x:row>
    <x:row r="44" s="51" customFormat="1" ht="15" customHeight="1">
      <x:c r="A44" s="73" t="n"/>
      <x:c r="B44" s="84" t="n"/>
      <x:c r="C44" s="84" t="n"/>
      <x:c r="D44" s="84" t="n"/>
      <x:c r="E44" s="76" t="n"/>
      <x:c r="F44" s="76" t="n"/>
      <x:c r="G44" s="73" t="n"/>
      <x:c r="H44" s="92" t="n"/>
      <x:c r="I44" s="84" t="n"/>
      <x:c r="J44" s="84" t="n"/>
      <x:c r="K44" s="87" t="n"/>
    </x:row>
    <x:row r="45" s="51" customFormat="1" ht="15" customHeight="1">
      <x:c r="A45" s="73" t="n"/>
      <x:c r="B45" s="84" t="n"/>
      <x:c r="C45" s="84" t="n"/>
      <x:c r="D45" s="84" t="n"/>
      <x:c r="E45" s="76" t="n"/>
      <x:c r="F45" s="76" t="n"/>
      <x:c r="G45" s="73" t="n"/>
      <x:c r="H45" s="92" t="n"/>
      <x:c r="I45" s="84" t="n"/>
      <x:c r="J45" s="84" t="n"/>
      <x:c r="K45" s="87" t="n"/>
    </x:row>
    <x:row r="46" s="51" customFormat="1" ht="30" customHeight="1">
      <x:c r="A46" s="73" t="n"/>
      <x:c r="B46" s="84" t="n"/>
      <x:c r="C46" s="84" t="n"/>
      <x:c r="D46" s="84" t="n"/>
      <x:c r="E46" s="76" t="n"/>
      <x:c r="F46" s="76" t="n"/>
      <x:c r="G46" s="73" t="n"/>
      <x:c r="H46" s="92" t="n"/>
      <x:c r="I46" s="84" t="n"/>
      <x:c r="J46" s="84" t="n"/>
      <x:c r="K46" s="87" t="n"/>
    </x:row>
    <x:row r="47" s="51" customFormat="1" ht="30" customHeight="1">
      <x:c r="A47" s="73" t="n"/>
      <x:c r="B47" s="84" t="n"/>
      <x:c r="C47" s="84" t="n"/>
      <x:c r="D47" s="84" t="n"/>
      <x:c r="E47" s="76" t="n"/>
      <x:c r="F47" s="76" t="n"/>
      <x:c r="G47" s="73" t="n"/>
      <x:c r="H47" s="92" t="n"/>
      <x:c r="I47" s="84" t="n"/>
      <x:c r="J47" s="84" t="n"/>
      <x:c r="K47" s="87" t="n"/>
    </x:row>
    <x:row r="48" s="51" customFormat="1" ht="30" customHeight="1">
      <x:c r="A48" s="73" t="n"/>
      <x:c r="B48" s="84" t="n"/>
      <x:c r="C48" s="84" t="n"/>
      <x:c r="D48" s="84" t="n"/>
      <x:c r="E48" s="76" t="n"/>
      <x:c r="F48" s="76" t="n"/>
      <x:c r="G48" s="73" t="n"/>
      <x:c r="H48" s="92" t="n"/>
      <x:c r="I48" s="84" t="n"/>
      <x:c r="J48" s="84" t="n"/>
      <x:c r="K48" s="87" t="n"/>
    </x:row>
    <x:row r="49" s="51" customFormat="1" ht="30" customHeight="1">
      <x:c r="A49" s="73" t="n"/>
      <x:c r="B49" s="84" t="n"/>
      <x:c r="C49" s="84" t="n"/>
      <x:c r="D49" s="84" t="n"/>
      <x:c r="E49" s="76" t="n"/>
      <x:c r="F49" s="76" t="n"/>
      <x:c r="G49" s="73" t="n"/>
      <x:c r="H49" s="92" t="n"/>
      <x:c r="I49" s="84" t="n"/>
      <x:c r="J49" s="84" t="n"/>
      <x:c r="K49" s="87" t="n"/>
    </x:row>
    <x:row r="50" s="51" customFormat="1" ht="15" customHeight="1">
      <x:c r="A50" s="73" t="n"/>
      <x:c r="B50" s="84" t="n"/>
      <x:c r="C50" s="84" t="n"/>
      <x:c r="D50" s="84" t="n"/>
      <x:c r="E50" s="76" t="n"/>
      <x:c r="F50" s="76" t="n"/>
      <x:c r="G50" s="73" t="n"/>
      <x:c r="H50" s="92" t="n"/>
      <x:c r="I50" s="84" t="n"/>
      <x:c r="J50" s="84" t="n"/>
      <x:c r="K50" s="87" t="n"/>
    </x:row>
    <x:row r="51" s="51" customFormat="1" ht="30" customHeight="1">
      <x:c r="A51" s="73" t="n"/>
      <x:c r="B51" s="84" t="n"/>
      <x:c r="C51" s="84" t="n"/>
      <x:c r="D51" s="84" t="n"/>
      <x:c r="E51" s="76" t="n"/>
      <x:c r="F51" s="76" t="n"/>
      <x:c r="G51" s="73" t="n"/>
      <x:c r="H51" s="92" t="n"/>
      <x:c r="I51" s="84" t="n"/>
      <x:c r="J51" s="84" t="n"/>
      <x:c r="K51" s="87" t="n"/>
    </x:row>
    <x:row r="52" s="51" customFormat="1" ht="30" customHeight="1">
      <x:c r="A52" s="73" t="n"/>
      <x:c r="B52" s="84" t="n"/>
      <x:c r="C52" s="84" t="n"/>
      <x:c r="D52" s="84" t="n"/>
      <x:c r="E52" s="76" t="n"/>
      <x:c r="F52" s="76" t="n"/>
      <x:c r="G52" s="73" t="n"/>
      <x:c r="H52" s="92" t="n"/>
      <x:c r="I52" s="84" t="n"/>
      <x:c r="J52" s="84" t="n"/>
      <x:c r="K52" s="87" t="n"/>
    </x:row>
    <x:row r="53" s="51" customFormat="1" ht="15" customHeight="1">
      <x:c r="A53" s="73" t="n"/>
      <x:c r="B53" s="84" t="n"/>
      <x:c r="C53" s="84" t="n"/>
      <x:c r="D53" s="84" t="n"/>
      <x:c r="E53" s="76" t="n"/>
      <x:c r="F53" s="76" t="n"/>
      <x:c r="G53" s="73" t="n"/>
      <x:c r="H53" s="92" t="n"/>
      <x:c r="I53" s="84" t="n"/>
      <x:c r="J53" s="84" t="n"/>
      <x:c r="K53" s="87" t="n"/>
    </x:row>
    <x:row r="54" s="51" customFormat="1" ht="30" customHeight="1">
      <x:c r="A54" s="73" t="n"/>
      <x:c r="B54" s="84" t="n"/>
      <x:c r="C54" s="84" t="n"/>
      <x:c r="D54" s="84" t="n"/>
      <x:c r="E54" s="76" t="n"/>
      <x:c r="F54" s="76" t="n"/>
      <x:c r="G54" s="73" t="n"/>
      <x:c r="H54" s="92" t="n"/>
      <x:c r="I54" s="84" t="n"/>
      <x:c r="J54" s="84" t="n"/>
      <x:c r="K54" s="87" t="n"/>
    </x:row>
    <x:row r="55" s="51" customFormat="1" ht="30" customHeight="1">
      <x:c r="A55" s="73" t="n"/>
      <x:c r="B55" s="84" t="n"/>
      <x:c r="C55" s="84" t="n"/>
      <x:c r="D55" s="84" t="n"/>
      <x:c r="E55" s="76" t="n"/>
      <x:c r="F55" s="76" t="n"/>
      <x:c r="G55" s="73" t="n"/>
      <x:c r="H55" s="92" t="n"/>
      <x:c r="I55" s="84" t="n"/>
      <x:c r="J55" s="84" t="n"/>
      <x:c r="K55" s="87" t="n"/>
    </x:row>
    <x:row r="56" s="51" customFormat="1" ht="30" customHeight="1">
      <x:c r="A56" s="73" t="n"/>
      <x:c r="B56" s="84" t="n"/>
      <x:c r="C56" s="84" t="n"/>
      <x:c r="D56" s="84" t="n"/>
      <x:c r="E56" s="76" t="n"/>
      <x:c r="F56" s="76" t="n"/>
      <x:c r="G56" s="73" t="n"/>
      <x:c r="H56" s="92" t="n"/>
      <x:c r="I56" s="84" t="n"/>
      <x:c r="J56" s="84" t="n"/>
      <x:c r="K56" s="87" t="n"/>
    </x:row>
    <x:row r="57" s="51" customFormat="1" ht="30" customHeight="1">
      <x:c r="A57" s="73" t="n"/>
      <x:c r="B57" s="84" t="n"/>
      <x:c r="C57" s="84" t="n"/>
      <x:c r="D57" s="84" t="n"/>
      <x:c r="E57" s="76" t="n"/>
      <x:c r="F57" s="76" t="n"/>
      <x:c r="G57" s="73" t="n"/>
      <x:c r="H57" s="92" t="n"/>
      <x:c r="I57" s="84" t="n"/>
      <x:c r="J57" s="84" t="n"/>
      <x:c r="K57" s="87" t="n"/>
    </x:row>
    <x:row r="58" s="51" customFormat="1" ht="30" customHeight="1">
      <x:c r="A58" s="73" t="n"/>
      <x:c r="B58" s="84" t="n"/>
      <x:c r="C58" s="84" t="n"/>
      <x:c r="D58" s="84" t="n"/>
      <x:c r="E58" s="76" t="n"/>
      <x:c r="F58" s="76" t="n"/>
      <x:c r="G58" s="73" t="n"/>
      <x:c r="H58" s="92" t="n"/>
      <x:c r="I58" s="84" t="n"/>
      <x:c r="J58" s="84" t="n"/>
      <x:c r="K58" s="87" t="n"/>
    </x:row>
    <x:row r="59" s="51" customFormat="1" ht="30" customHeight="1">
      <x:c r="A59" s="73" t="n"/>
      <x:c r="B59" s="84" t="n"/>
      <x:c r="C59" s="84" t="n"/>
      <x:c r="D59" s="84" t="n"/>
      <x:c r="E59" s="76" t="n"/>
      <x:c r="F59" s="76" t="n"/>
      <x:c r="G59" s="73" t="n"/>
      <x:c r="H59" s="92" t="n"/>
      <x:c r="I59" s="84" t="n"/>
      <x:c r="J59" s="84" t="n"/>
      <x:c r="K59" s="87" t="n"/>
    </x:row>
    <x:row r="60" s="51" customFormat="1" ht="30" customHeight="1">
      <x:c r="A60" s="73" t="n"/>
      <x:c r="B60" s="84" t="n"/>
      <x:c r="C60" s="84" t="n"/>
      <x:c r="D60" s="84" t="n"/>
      <x:c r="E60" s="76" t="n"/>
      <x:c r="F60" s="76" t="n"/>
      <x:c r="G60" s="73" t="n"/>
      <x:c r="H60" s="92" t="n"/>
      <x:c r="I60" s="84" t="n"/>
      <x:c r="J60" s="84" t="n"/>
      <x:c r="K60" s="87" t="n"/>
    </x:row>
    <x:row r="61" s="51" customFormat="1" ht="30" customHeight="1">
      <x:c r="A61" s="73" t="n"/>
      <x:c r="B61" s="84" t="n"/>
      <x:c r="C61" s="84" t="n"/>
      <x:c r="D61" s="84" t="n"/>
      <x:c r="E61" s="76" t="n"/>
      <x:c r="F61" s="76" t="n"/>
      <x:c r="G61" s="73" t="n"/>
      <x:c r="H61" s="92" t="n"/>
      <x:c r="I61" s="84" t="n"/>
      <x:c r="J61" s="84" t="n"/>
      <x:c r="K61" s="87" t="n"/>
    </x:row>
    <x:row r="62" s="51" customFormat="1" ht="30" customHeight="1">
      <x:c r="A62" s="73" t="n"/>
      <x:c r="B62" s="84" t="n"/>
      <x:c r="C62" s="84" t="n"/>
      <x:c r="D62" s="84" t="n"/>
      <x:c r="E62" s="76" t="n"/>
      <x:c r="F62" s="76" t="n"/>
      <x:c r="G62" s="73" t="n"/>
      <x:c r="H62" s="92" t="n"/>
      <x:c r="I62" s="84" t="n"/>
      <x:c r="J62" s="84" t="n"/>
      <x:c r="K62" s="87" t="n"/>
    </x:row>
    <x:row r="63" s="51" customFormat="1" ht="30" customHeight="1">
      <x:c r="A63" s="73" t="n"/>
      <x:c r="B63" s="84" t="n"/>
      <x:c r="C63" s="84" t="n"/>
      <x:c r="D63" s="84" t="n"/>
      <x:c r="E63" s="76" t="n"/>
      <x:c r="F63" s="76" t="n"/>
      <x:c r="G63" s="73" t="n"/>
      <x:c r="H63" s="92" t="n"/>
      <x:c r="I63" s="84" t="n"/>
      <x:c r="J63" s="84" t="n"/>
      <x:c r="K63" s="87" t="n"/>
    </x:row>
    <x:row r="64" s="51" customFormat="1" ht="30" customHeight="1">
      <x:c r="A64" s="73" t="n"/>
      <x:c r="B64" s="84" t="n"/>
      <x:c r="C64" s="84" t="n"/>
      <x:c r="D64" s="84" t="n"/>
      <x:c r="E64" s="76" t="n"/>
      <x:c r="F64" s="76" t="n"/>
      <x:c r="G64" s="73" t="n"/>
      <x:c r="H64" s="92" t="n"/>
      <x:c r="I64" s="84" t="n"/>
      <x:c r="J64" s="84" t="n"/>
      <x:c r="K64" s="87" t="n"/>
    </x:row>
    <x:row r="65" s="51" customFormat="1" ht="30" customHeight="1">
      <x:c r="A65" s="73" t="n"/>
      <x:c r="B65" s="84" t="n"/>
      <x:c r="C65" s="84" t="n"/>
      <x:c r="D65" s="84" t="n"/>
      <x:c r="E65" s="76" t="n"/>
      <x:c r="F65" s="76" t="n"/>
      <x:c r="G65" s="73" t="n"/>
      <x:c r="H65" s="92" t="n"/>
      <x:c r="I65" s="84" t="n"/>
      <x:c r="J65" s="84" t="n"/>
      <x:c r="K65" s="87" t="n"/>
    </x:row>
    <x:row r="66" s="51" customFormat="1" ht="30" customHeight="1">
      <x:c r="A66" s="73" t="n"/>
      <x:c r="B66" s="84" t="n"/>
      <x:c r="C66" s="84" t="n"/>
      <x:c r="D66" s="84" t="n"/>
      <x:c r="E66" s="76" t="n"/>
      <x:c r="F66" s="76" t="n"/>
      <x:c r="G66" s="73" t="n"/>
      <x:c r="H66" s="92" t="n"/>
      <x:c r="I66" s="84" t="n"/>
      <x:c r="J66" s="84" t="n"/>
      <x:c r="K66" s="87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MultiSelect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0</x:v>
      </x:c>
      <x:c r="E4" s="70" t="inlineStr">
        <x:is>
          <x:t xml:space="preserve">Partial</x:t>
        </x:is>
      </x:c>
      <x:c r="F4" s="82" t="n">
        <x:f>COUNTIFS(A9:A1000,"&lt;&gt;",H9:H1000,"partial")</x:f>
        <x:v>3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65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Playground</x:t>
        </x:is>
      </x:c>
      <x:c r="C9" s="84" t="inlineStr">
        <x:is>
          <x:t xml:space="preserve">Route</x:t>
        </x:is>
      </x:c>
      <x:c r="D9" s="84" t="inlineStr">
        <x:is>
          <x:t xml:space="preserve">dedicated Selection &gt; MultiSelect route loads</x:t>
        </x:is>
      </x:c>
      <x:c r="E9" s="76" t="inlineStr">
        <x:is>
          <x:t xml:space="preserve">yes</x:t>
        </x:is>
      </x:c>
      <x:c r="F9" s="76" t="inlineStr">
        <x:is>
          <x:t xml:space="preserve">no</x:t>
        </x:is>
      </x:c>
      <x:c r="G9" s="73" t="inlineStr">
        <x:is>
          <x:t xml:space="preserve">pending manual test</x:t>
        </x:is>
      </x:c>
      <x:c r="H9" s="92" t="inlineStr">
        <x:is>
          <x:t xml:space="preserve">untested</x:t>
        </x:is>
      </x:c>
      <x:c r="I9" s="84" t="inlineStr">
        <x:is>
          <x:t xml:space="preserve">MultiSelect playground and draft manual protocol.</x:t>
        </x:is>
      </x:c>
      <x:c r="J9" s="84" t="inlineStr">
        <x:is>
          <x:t xml:space="preserve">Run playground/.manual-tests/multi-select.md.</x:t>
        </x:is>
      </x:c>
      <x:c r="K9" s="87" t="n">
        <x:f>IF(AND(E9="yes",F9="yes",H9="covered"),1,IF(H9="partial",0.5,0))</x:f>
        <x:v>0</x:v>
      </x:c>
    </x:row>
    <x:row r="10" s="51" customFormat="1" ht="15" customHeight="1">
      <x:c r="A10" s="73" t="n">
        <x:v>2</x:v>
      </x:c>
      <x:c r="B10" s="84" t="inlineStr">
        <x:is>
          <x:t xml:space="preserve">Playground</x:t>
        </x:is>
      </x:c>
      <x:c r="C10" s="84" t="inlineStr">
        <x:is>
          <x:t xml:space="preserve">Evidence</x:t>
        </x:is>
      </x:c>
      <x:c r="D10" s="84" t="inlineStr">
        <x:is>
          <x:t xml:space="preserve">Source, Anatomy, Inspector, and Logs reflect live state</x:t>
        </x:is>
      </x:c>
      <x:c r="E10" s="76" t="inlineStr">
        <x:is>
          <x:t xml:space="preserve">yes</x:t>
        </x:is>
      </x:c>
      <x:c r="F10" s="76" t="inlineStr">
        <x:is>
          <x:t xml:space="preserve">no</x:t>
        </x:is>
      </x:c>
      <x:c r="G10" s="73" t="inlineStr">
        <x:is>
          <x:t xml:space="preserve">pending manual test</x:t>
        </x:is>
      </x:c>
      <x:c r="H10" s="92" t="inlineStr">
        <x:is>
          <x:t xml:space="preserve">untested</x:t>
        </x:is>
      </x:c>
      <x:c r="I10" s="84" t="inlineStr">
        <x:is>
          <x:t xml:space="preserve">MultiSelect playground and draft manual protocol.</x:t>
        </x:is>
      </x:c>
      <x:c r="J10" s="84" t="inlineStr">
        <x:is>
          <x:t xml:space="preserve">Run playground/.manual-tests/multi-select.md.</x:t>
        </x:is>
      </x:c>
      <x:c r="K10" s="87" t="n">
        <x:f>IF(AND(E10="yes",F10="yes",H10="covered"),1,IF(H10="partial",0.5,0))</x:f>
        <x:v>0</x:v>
      </x:c>
    </x:row>
    <x:row r="11" s="51" customFormat="1" ht="15" customHeight="1">
      <x:c r="A11" s="73" t="n">
        <x:v>3</x:v>
      </x:c>
      <x:c r="B11" s="84" t="inlineStr">
        <x:is>
          <x:t xml:space="preserve">Public API</x:t>
        </x:is>
      </x:c>
      <x:c r="C11" s="84" t="inlineStr">
        <x:is>
          <x:t xml:space="preserve">Root</x:t>
        </x:is>
      </x:c>
      <x:c r="D11" s="84" t="inlineStr">
        <x:is>
          <x:t xml:space="preserve">controlled string[] value</x:t>
        </x:is>
      </x:c>
      <x:c r="E11" s="76" t="inlineStr">
        <x:is>
          <x:t xml:space="preserve">yes</x:t>
        </x:is>
      </x:c>
      <x:c r="F11" s="76" t="inlineStr">
        <x:is>
          <x:t xml:space="preserve">no</x:t>
        </x:is>
      </x:c>
      <x:c r="G11" s="73" t="inlineStr">
        <x:is>
          <x:t xml:space="preserve">pending manual test</x:t>
        </x:is>
      </x:c>
      <x:c r="H11" s="92" t="inlineStr">
        <x:is>
          <x:t xml:space="preserve">untested</x:t>
        </x:is>
      </x:c>
      <x:c r="I11" s="84" t="inlineStr">
        <x:is>
          <x:t xml:space="preserve">MultiSelect playground and draft manual protocol.</x:t>
        </x:is>
      </x:c>
      <x:c r="J11" s="84" t="inlineStr">
        <x:is>
          <x:t xml:space="preserve">Run playground/.manual-tests/multi-select.md.</x:t>
        </x:is>
      </x:c>
      <x:c r="K11" s="87" t="n">
        <x:f>IF(AND(E11="yes",F11="yes",H11="covered"),1,IF(H11="partial",0.5,0))</x:f>
        <x:v>0</x:v>
      </x:c>
    </x:row>
    <x:row r="12" s="51" customFormat="1" ht="15" customHeight="1">
      <x:c r="A12" s="73" t="n">
        <x:v>4</x:v>
      </x:c>
      <x:c r="B12" s="84" t="inlineStr">
        <x:is>
          <x:t xml:space="preserve">Public API</x:t>
        </x:is>
      </x:c>
      <x:c r="C12" s="84" t="inlineStr">
        <x:is>
          <x:t xml:space="preserve">Root</x:t>
        </x:is>
      </x:c>
      <x:c r="D12" s="84" t="inlineStr">
        <x:is>
          <x:t xml:space="preserve">defaultValue uncontrolled string[] value</x:t>
        </x:is>
      </x:c>
      <x:c r="E12" s="76" t="inlineStr">
        <x:is>
          <x:t xml:space="preserve">yes</x:t>
        </x:is>
      </x:c>
      <x:c r="F12" s="76" t="inlineStr">
        <x:is>
          <x:t xml:space="preserve">no</x:t>
        </x:is>
      </x:c>
      <x:c r="G12" s="73" t="inlineStr">
        <x:is>
          <x:t xml:space="preserve">pending manual test</x:t>
        </x:is>
      </x:c>
      <x:c r="H12" s="92" t="inlineStr">
        <x:is>
          <x:t xml:space="preserve">untested</x:t>
        </x:is>
      </x:c>
      <x:c r="I12" s="84" t="inlineStr">
        <x:is>
          <x:t xml:space="preserve">MultiSelect playground and draft manual protocol.</x:t>
        </x:is>
      </x:c>
      <x:c r="J12" s="84" t="inlineStr">
        <x:is>
          <x:t xml:space="preserve">Run playground/.manual-tests/multi-select.md.</x:t>
        </x:is>
      </x:c>
      <x:c r="K12" s="87" t="n">
        <x:f>IF(AND(E12="yes",F12="yes",H12="covered"),1,IF(H12="partial",0.5,0))</x:f>
        <x:v>0</x:v>
      </x:c>
    </x:row>
    <x:row r="13" s="51" customFormat="1" ht="15" customHeight="1">
      <x:c r="A13" s="73" t="n">
        <x:v>5</x:v>
      </x:c>
      <x:c r="B13" s="84" t="inlineStr">
        <x:is>
          <x:t xml:space="preserve">Public API</x:t>
        </x:is>
      </x:c>
      <x:c r="C13" s="84" t="inlineStr">
        <x:is>
          <x:t xml:space="preserve">Root</x:t>
        </x:is>
      </x:c>
      <x:c r="D13" s="84" t="inlineStr">
        <x:is>
          <x:t xml:space="preserve">onValueChange returns a deduplicated ordered array</x:t>
        </x:is>
      </x:c>
      <x:c r="E13" s="76" t="inlineStr">
        <x:is>
          <x:t xml:space="preserve">yes</x:t>
        </x:is>
      </x:c>
      <x:c r="F13" s="76" t="inlineStr">
        <x:is>
          <x:t xml:space="preserve">no</x:t>
        </x:is>
      </x:c>
      <x:c r="G13" s="73" t="inlineStr">
        <x:is>
          <x:t xml:space="preserve">pending manual test</x:t>
        </x:is>
      </x:c>
      <x:c r="H13" s="92" t="inlineStr">
        <x:is>
          <x:t xml:space="preserve">untested</x:t>
        </x:is>
      </x:c>
      <x:c r="I13" s="84" t="inlineStr">
        <x:is>
          <x:t xml:space="preserve">MultiSelect playground and draft manual protocol.</x:t>
        </x:is>
      </x:c>
      <x:c r="J13" s="84" t="inlineStr">
        <x:is>
          <x:t xml:space="preserve">Run playground/.manual-tests/multi-select.md.</x:t>
        </x:is>
      </x:c>
      <x:c r="K13" s="87" t="n">
        <x:f>IF(AND(E13="yes",F13="yes",H13="covered"),1,IF(H13="partial",0.5,0))</x:f>
        <x:v>0</x:v>
      </x:c>
    </x:row>
    <x:row r="14" s="51" customFormat="1" ht="15" customHeight="1">
      <x:c r="A14" s="73" t="n">
        <x:v>6</x:v>
      </x:c>
      <x:c r="B14" s="84" t="inlineStr">
        <x:is>
          <x:t xml:space="preserve">Public API</x:t>
        </x:is>
      </x:c>
      <x:c r="C14" s="84" t="inlineStr">
        <x:is>
          <x:t xml:space="preserve">Root</x:t>
        </x:is>
      </x:c>
      <x:c r="D14" s="84" t="inlineStr">
        <x:is>
          <x:t xml:space="preserve">controlled open state</x:t>
        </x:is>
      </x:c>
      <x:c r="E14" s="76" t="inlineStr">
        <x:is>
          <x:t xml:space="preserve">yes</x:t>
        </x:is>
      </x:c>
      <x:c r="F14" s="76" t="inlineStr">
        <x:is>
          <x:t xml:space="preserve">no</x:t>
        </x:is>
      </x:c>
      <x:c r="G14" s="73" t="inlineStr">
        <x:is>
          <x:t xml:space="preserve">pending manual test</x:t>
        </x:is>
      </x:c>
      <x:c r="H14" s="92" t="inlineStr">
        <x:is>
          <x:t xml:space="preserve">untested</x:t>
        </x:is>
      </x:c>
      <x:c r="I14" s="84" t="inlineStr">
        <x:is>
          <x:t xml:space="preserve">MultiSelect playground and draft manual protocol.</x:t>
        </x:is>
      </x:c>
      <x:c r="J14" s="84" t="inlineStr">
        <x:is>
          <x:t xml:space="preserve">Run playground/.manual-tests/multi-select.md.</x:t>
        </x:is>
      </x:c>
      <x:c r="K14" s="87" t="n">
        <x:f>IF(AND(E14="yes",F14="yes",H14="covered"),1,IF(H14="partial",0.5,0))</x:f>
        <x:v>0</x:v>
      </x:c>
    </x:row>
    <x:row r="15" s="51" customFormat="1" ht="15" customHeight="1">
      <x:c r="A15" s="73" t="n">
        <x:v>7</x:v>
      </x:c>
      <x:c r="B15" s="84" t="inlineStr">
        <x:is>
          <x:t xml:space="preserve">Public API</x:t>
        </x:is>
      </x:c>
      <x:c r="C15" s="84" t="inlineStr">
        <x:is>
          <x:t xml:space="preserve">Root</x:t>
        </x:is>
      </x:c>
      <x:c r="D15" s="84" t="inlineStr">
        <x:is>
          <x:t xml:space="preserve">uncontrolled open state</x:t>
        </x:is>
      </x:c>
      <x:c r="E15" s="76" t="inlineStr">
        <x:is>
          <x:t xml:space="preserve">yes</x:t>
        </x:is>
      </x:c>
      <x:c r="F15" s="76" t="inlineStr">
        <x:is>
          <x:t xml:space="preserve">no</x:t>
        </x:is>
      </x:c>
      <x:c r="G15" s="73" t="inlineStr">
        <x:is>
          <x:t xml:space="preserve">pending manual test</x:t>
        </x:is>
      </x:c>
      <x:c r="H15" s="92" t="inlineStr">
        <x:is>
          <x:t xml:space="preserve">untested</x:t>
        </x:is>
      </x:c>
      <x:c r="I15" s="84" t="inlineStr">
        <x:is>
          <x:t xml:space="preserve">MultiSelect playground and draft manual protocol.</x:t>
        </x:is>
      </x:c>
      <x:c r="J15" s="84" t="inlineStr">
        <x:is>
          <x:t xml:space="preserve">Run playground/.manual-tests/multi-select.md.</x:t>
        </x:is>
      </x:c>
      <x:c r="K15" s="87" t="n">
        <x:f>IF(AND(E15="yes",F15="yes",H15="covered"),1,IF(H15="partial",0.5,0))</x:f>
        <x:v>0</x:v>
      </x:c>
    </x:row>
    <x:row r="16" s="51" customFormat="1" ht="15" customHeight="1">
      <x:c r="A16" s="73" t="n">
        <x:v>8</x:v>
      </x:c>
      <x:c r="B16" s="84" t="inlineStr">
        <x:is>
          <x:t xml:space="preserve">Public API</x:t>
        </x:is>
      </x:c>
      <x:c r="C16" s="84" t="inlineStr">
        <x:is>
          <x:t xml:space="preserve">Root</x:t>
        </x:is>
      </x:c>
      <x:c r="D16" s="84" t="inlineStr">
        <x:is>
          <x:t xml:space="preserve">onOpenChange logs open and close</x:t>
        </x:is>
      </x:c>
      <x:c r="E16" s="76" t="inlineStr">
        <x:is>
          <x:t xml:space="preserve">yes</x:t>
        </x:is>
      </x:c>
      <x:c r="F16" s="76" t="inlineStr">
        <x:is>
          <x:t xml:space="preserve">no</x:t>
        </x:is>
      </x:c>
      <x:c r="G16" s="73" t="inlineStr">
        <x:is>
          <x:t xml:space="preserve">pending manual test</x:t>
        </x:is>
      </x:c>
      <x:c r="H16" s="92" t="inlineStr">
        <x:is>
          <x:t xml:space="preserve">untested</x:t>
        </x:is>
      </x:c>
      <x:c r="I16" s="84" t="inlineStr">
        <x:is>
          <x:t xml:space="preserve">MultiSelect playground and draft manual protocol.</x:t>
        </x:is>
      </x:c>
      <x:c r="J16" s="84" t="inlineStr">
        <x:is>
          <x:t xml:space="preserve">Run playground/.manual-tests/multi-select.md.</x:t>
        </x:is>
      </x:c>
      <x:c r="K16" s="87" t="n">
        <x:f>IF(AND(E16="yes",F16="yes",H16="covered"),1,IF(H16="partial",0.5,0))</x:f>
        <x:v>0</x:v>
      </x:c>
    </x:row>
    <x:row r="17" s="51" customFormat="1" ht="15" customHeight="1">
      <x:c r="A17" s="73" t="n">
        <x:v>9</x:v>
      </x:c>
      <x:c r="B17" s="84" t="inlineStr">
        <x:is>
          <x:t xml:space="preserve">State</x:t>
        </x:is>
      </x:c>
      <x:c r="C17" s="84" t="inlineStr">
        <x:is>
          <x:t xml:space="preserve">Root</x:t>
        </x:is>
      </x:c>
      <x:c r="D17" s="84" t="inlineStr">
        <x:is>
          <x:t xml:space="preserve">disabled prevents opening and selection</x:t>
        </x:is>
      </x:c>
      <x:c r="E17" s="76" t="inlineStr">
        <x:is>
          <x:t xml:space="preserve">yes</x:t>
        </x:is>
      </x:c>
      <x:c r="F17" s="76" t="inlineStr">
        <x:is>
          <x:t xml:space="preserve">no</x:t>
        </x:is>
      </x:c>
      <x:c r="G17" s="73" t="inlineStr">
        <x:is>
          <x:t xml:space="preserve">pending manual test</x:t>
        </x:is>
      </x:c>
      <x:c r="H17" s="92" t="inlineStr">
        <x:is>
          <x:t xml:space="preserve">untested</x:t>
        </x:is>
      </x:c>
      <x:c r="I17" s="84" t="inlineStr">
        <x:is>
          <x:t xml:space="preserve">MultiSelect playground and draft manual protocol.</x:t>
        </x:is>
      </x:c>
      <x:c r="J17" s="84" t="inlineStr">
        <x:is>
          <x:t xml:space="preserve">Run playground/.manual-tests/multi-select.md.</x:t>
        </x:is>
      </x:c>
      <x:c r="K17" s="87" t="n">
        <x:f>IF(AND(E17="yes",F17="yes",H17="covered"),1,IF(H17="partial",0.5,0))</x:f>
        <x:v>0</x:v>
      </x:c>
    </x:row>
    <x:row r="18" s="51" customFormat="1" ht="15" customHeight="1">
      <x:c r="A18" s="73" t="n">
        <x:v>10</x:v>
      </x:c>
      <x:c r="B18" s="84" t="inlineStr">
        <x:is>
          <x:t xml:space="preserve">State</x:t>
        </x:is>
      </x:c>
      <x:c r="C18" s="84" t="inlineStr">
        <x:is>
          <x:t xml:space="preserve">Root</x:t>
        </x:is>
      </x:c>
      <x:c r="D18" s="84" t="inlineStr">
        <x:is>
          <x:t xml:space="preserve">readOnly permits inspection but prevents toggling</x:t>
        </x:is>
      </x:c>
      <x:c r="E18" s="76" t="inlineStr">
        <x:is>
          <x:t xml:space="preserve">yes</x:t>
        </x:is>
      </x:c>
      <x:c r="F18" s="76" t="inlineStr">
        <x:is>
          <x:t xml:space="preserve">no</x:t>
        </x:is>
      </x:c>
      <x:c r="G18" s="73" t="inlineStr">
        <x:is>
          <x:t xml:space="preserve">pending manual test</x:t>
        </x:is>
      </x:c>
      <x:c r="H18" s="92" t="inlineStr">
        <x:is>
          <x:t xml:space="preserve">untested</x:t>
        </x:is>
      </x:c>
      <x:c r="I18" s="84" t="inlineStr">
        <x:is>
          <x:t xml:space="preserve">MultiSelect playground and draft manual protocol.</x:t>
        </x:is>
      </x:c>
      <x:c r="J18" s="84" t="inlineStr">
        <x:is>
          <x:t xml:space="preserve">Run playground/.manual-tests/multi-select.md.</x:t>
        </x:is>
      </x:c>
      <x:c r="K18" s="87" t="n">
        <x:f>IF(AND(E18="yes",F18="yes",H18="covered"),1,IF(H18="partial",0.5,0))</x:f>
        <x:v>0</x:v>
      </x:c>
    </x:row>
    <x:row r="19" s="51" customFormat="1" ht="15" customHeight="1">
      <x:c r="A19" s="73" t="n">
        <x:v>11</x:v>
      </x:c>
      <x:c r="B19" s="84" t="inlineStr">
        <x:is>
          <x:t xml:space="preserve">State</x:t>
        </x:is>
      </x:c>
      <x:c r="C19" s="84" t="inlineStr">
        <x:is>
          <x:t xml:space="preserve">Root</x:t>
        </x:is>
      </x:c>
      <x:c r="D19" s="84" t="inlineStr">
        <x:is>
          <x:t xml:space="preserve">required participates in native validation</x:t>
        </x:is>
      </x:c>
      <x:c r="E19" s="76" t="inlineStr">
        <x:is>
          <x:t xml:space="preserve">yes</x:t>
        </x:is>
      </x:c>
      <x:c r="F19" s="76" t="inlineStr">
        <x:is>
          <x:t xml:space="preserve">no</x:t>
        </x:is>
      </x:c>
      <x:c r="G19" s="73" t="inlineStr">
        <x:is>
          <x:t xml:space="preserve">pending manual test</x:t>
        </x:is>
      </x:c>
      <x:c r="H19" s="92" t="inlineStr">
        <x:is>
          <x:t xml:space="preserve">untested</x:t>
        </x:is>
      </x:c>
      <x:c r="I19" s="84" t="inlineStr">
        <x:is>
          <x:t xml:space="preserve">MultiSelect playground and draft manual protocol.</x:t>
        </x:is>
      </x:c>
      <x:c r="J19" s="84" t="inlineStr">
        <x:is>
          <x:t xml:space="preserve">Run playground/.manual-tests/multi-select.md.</x:t>
        </x:is>
      </x:c>
      <x:c r="K19" s="87" t="n">
        <x:f>IF(AND(E19="yes",F19="yes",H19="covered"),1,IF(H19="partial",0.5,0))</x:f>
        <x:v>0</x:v>
      </x:c>
    </x:row>
    <x:row r="20" s="51" customFormat="1" ht="15" customHeight="1">
      <x:c r="A20" s="73" t="n">
        <x:v>12</x:v>
      </x:c>
      <x:c r="B20" s="84" t="inlineStr">
        <x:is>
          <x:t xml:space="preserve">State</x:t>
        </x:is>
      </x:c>
      <x:c r="C20" s="84" t="inlineStr">
        <x:is>
          <x:t xml:space="preserve">Root</x:t>
        </x:is>
      </x:c>
      <x:c r="D20" s="84" t="inlineStr">
        <x:is>
          <x:t xml:space="preserve">invalid state reaches the visible control</x:t>
        </x:is>
      </x:c>
      <x:c r="E20" s="76" t="inlineStr">
        <x:is>
          <x:t xml:space="preserve">yes</x:t>
        </x:is>
      </x:c>
      <x:c r="F20" s="76" t="inlineStr">
        <x:is>
          <x:t xml:space="preserve">no</x:t>
        </x:is>
      </x:c>
      <x:c r="G20" s="73" t="inlineStr">
        <x:is>
          <x:t xml:space="preserve">pending manual test</x:t>
        </x:is>
      </x:c>
      <x:c r="H20" s="92" t="inlineStr">
        <x:is>
          <x:t xml:space="preserve">untested</x:t>
        </x:is>
      </x:c>
      <x:c r="I20" s="84" t="inlineStr">
        <x:is>
          <x:t xml:space="preserve">MultiSelect playground and draft manual protocol.</x:t>
        </x:is>
      </x:c>
      <x:c r="J20" s="84" t="inlineStr">
        <x:is>
          <x:t xml:space="preserve">Run playground/.manual-tests/multi-select.md.</x:t>
        </x:is>
      </x:c>
      <x:c r="K20" s="87" t="n">
        <x:f>IF(AND(E20="yes",F20="yes",H20="covered"),1,IF(H20="partial",0.5,0))</x:f>
        <x:v>0</x:v>
      </x:c>
    </x:row>
    <x:row r="21" s="51" customFormat="1" ht="15" customHeight="1">
      <x:c r="A21" s="73" t="n">
        <x:v>13</x:v>
      </x:c>
      <x:c r="B21" s="84" t="inlineStr">
        <x:is>
          <x:t xml:space="preserve">Forms</x:t>
        </x:is>
      </x:c>
      <x:c r="C21" s="84" t="inlineStr">
        <x:is>
          <x:t xml:space="preserve">Native select</x:t>
        </x:is>
      </x:c>
      <x:c r="D21" s="84" t="inlineStr">
        <x:is>
          <x:t xml:space="preserve">name submits every selected skills value</x:t>
        </x:is>
      </x:c>
      <x:c r="E21" s="76" t="inlineStr">
        <x:is>
          <x:t xml:space="preserve">yes</x:t>
        </x:is>
      </x:c>
      <x:c r="F21" s="76" t="inlineStr">
        <x:is>
          <x:t xml:space="preserve">no</x:t>
        </x:is>
      </x:c>
      <x:c r="G21" s="73" t="inlineStr">
        <x:is>
          <x:t xml:space="preserve">pending manual test</x:t>
        </x:is>
      </x:c>
      <x:c r="H21" s="92" t="inlineStr">
        <x:is>
          <x:t xml:space="preserve">untested</x:t>
        </x:is>
      </x:c>
      <x:c r="I21" s="84" t="inlineStr">
        <x:is>
          <x:t xml:space="preserve">MultiSelect playground and draft manual protocol.</x:t>
        </x:is>
      </x:c>
      <x:c r="J21" s="84" t="inlineStr">
        <x:is>
          <x:t xml:space="preserve">Run playground/.manual-tests/multi-select.md.</x:t>
        </x:is>
      </x:c>
      <x:c r="K21" s="87" t="n">
        <x:f>IF(AND(E21="yes",F21="yes",H21="covered"),1,IF(H21="partial",0.5,0))</x:f>
        <x:v>0</x:v>
      </x:c>
    </x:row>
    <x:row r="22" s="51" customFormat="1" ht="15" customHeight="1">
      <x:c r="A22" s="73" t="n">
        <x:v>14</x:v>
      </x:c>
      <x:c r="B22" s="84" t="inlineStr">
        <x:is>
          <x:t xml:space="preserve">Forms</x:t>
        </x:is>
      </x:c>
      <x:c r="C22" s="84" t="inlineStr">
        <x:is>
          <x:t xml:space="preserve">Native select</x:t>
        </x:is>
      </x:c>
      <x:c r="D22" s="84" t="inlineStr">
        <x:is>
          <x:t xml:space="preserve">form associates the generated multiple select externally</x:t>
        </x:is>
      </x:c>
      <x:c r="E22" s="76" t="inlineStr">
        <x:is>
          <x:t xml:space="preserve">yes</x:t>
        </x:is>
      </x:c>
      <x:c r="F22" s="76" t="inlineStr">
        <x:is>
          <x:t xml:space="preserve">no</x:t>
        </x:is>
      </x:c>
      <x:c r="G22" s="73" t="inlineStr">
        <x:is>
          <x:t xml:space="preserve">pending manual test</x:t>
        </x:is>
      </x:c>
      <x:c r="H22" s="92" t="inlineStr">
        <x:is>
          <x:t xml:space="preserve">untested</x:t>
        </x:is>
      </x:c>
      <x:c r="I22" s="84" t="inlineStr">
        <x:is>
          <x:t xml:space="preserve">MultiSelect playground and draft manual protocol.</x:t>
        </x:is>
      </x:c>
      <x:c r="J22" s="84" t="inlineStr">
        <x:is>
          <x:t xml:space="preserve">Run playground/.manual-tests/multi-select.md.</x:t>
        </x:is>
      </x:c>
      <x:c r="K22" s="87" t="n">
        <x:f>IF(AND(E22="yes",F22="yes",H22="covered"),1,IF(H22="partial",0.5,0))</x:f>
        <x:v>0</x:v>
      </x:c>
    </x:row>
    <x:row r="23" s="51" customFormat="1" ht="15" customHeight="1">
      <x:c r="A23" s="73" t="n">
        <x:v>15</x:v>
      </x:c>
      <x:c r="B23" s="84" t="inlineStr">
        <x:is>
          <x:t xml:space="preserve">Forms</x:t>
        </x:is>
      </x:c>
      <x:c r="C23" s="84" t="inlineStr">
        <x:is>
          <x:t xml:space="preserve">Native select</x:t>
        </x:is>
      </x:c>
      <x:c r="D23" s="84" t="inlineStr">
        <x:is>
          <x:t xml:space="preserve">multiple attribute is true</x:t>
        </x:is>
      </x:c>
      <x:c r="E23" s="76" t="inlineStr">
        <x:is>
          <x:t xml:space="preserve">yes</x:t>
        </x:is>
      </x:c>
      <x:c r="F23" s="76" t="inlineStr">
        <x:is>
          <x:t xml:space="preserve">no</x:t>
        </x:is>
      </x:c>
      <x:c r="G23" s="73" t="inlineStr">
        <x:is>
          <x:t xml:space="preserve">pending manual test</x:t>
        </x:is>
      </x:c>
      <x:c r="H23" s="92" t="inlineStr">
        <x:is>
          <x:t xml:space="preserve">untested</x:t>
        </x:is>
      </x:c>
      <x:c r="I23" s="84" t="inlineStr">
        <x:is>
          <x:t xml:space="preserve">MultiSelect playground and draft manual protocol.</x:t>
        </x:is>
      </x:c>
      <x:c r="J23" s="84" t="inlineStr">
        <x:is>
          <x:t xml:space="preserve">Run playground/.manual-tests/multi-select.md.</x:t>
        </x:is>
      </x:c>
      <x:c r="K23" s="87" t="n">
        <x:f>IF(AND(E23="yes",F23="yes",H23="covered"),1,IF(H23="partial",0.5,0))</x:f>
        <x:v>0</x:v>
      </x:c>
    </x:row>
    <x:row r="24" s="51" customFormat="1" ht="15" customHeight="1">
      <x:c r="A24" s="73" t="n">
        <x:v>16</x:v>
      </x:c>
      <x:c r="B24" s="84" t="inlineStr">
        <x:is>
          <x:t xml:space="preserve">Forms</x:t>
        </x:is>
      </x:c>
      <x:c r="C24" s="84" t="inlineStr">
        <x:is>
          <x:t xml:space="preserve">Native select</x:t>
        </x:is>
      </x:c>
      <x:c r="D24" s="84" t="inlineStr">
        <x:is>
          <x:t xml:space="preserve">empty required control redirects invalid focus to Trigger</x:t>
        </x:is>
      </x:c>
      <x:c r="E24" s="76" t="inlineStr">
        <x:is>
          <x:t xml:space="preserve">yes</x:t>
        </x:is>
      </x:c>
      <x:c r="F24" s="76" t="inlineStr">
        <x:is>
          <x:t xml:space="preserve">no</x:t>
        </x:is>
      </x:c>
      <x:c r="G24" s="73" t="inlineStr">
        <x:is>
          <x:t xml:space="preserve">pending manual test</x:t>
        </x:is>
      </x:c>
      <x:c r="H24" s="92" t="inlineStr">
        <x:is>
          <x:t xml:space="preserve">untested</x:t>
        </x:is>
      </x:c>
      <x:c r="I24" s="84" t="inlineStr">
        <x:is>
          <x:t xml:space="preserve">MultiSelect playground and draft manual protocol.</x:t>
        </x:is>
      </x:c>
      <x:c r="J24" s="84" t="inlineStr">
        <x:is>
          <x:t xml:space="preserve">Run playground/.manual-tests/multi-select.md.</x:t>
        </x:is>
      </x:c>
      <x:c r="K24" s="87" t="n">
        <x:f>IF(AND(E24="yes",F24="yes",H24="covered"),1,IF(H24="partial",0.5,0))</x:f>
        <x:v>0</x:v>
      </x:c>
    </x:row>
    <x:row r="25" s="51" customFormat="1" ht="15" customHeight="1">
      <x:c r="A25" s="73" t="n">
        <x:v>17</x:v>
      </x:c>
      <x:c r="B25" s="84" t="inlineStr">
        <x:is>
          <x:t xml:space="preserve">Forms</x:t>
        </x:is>
      </x:c>
      <x:c r="C25" s="84" t="inlineStr">
        <x:is>
          <x:t xml:space="preserve">Root</x:t>
        </x:is>
      </x:c>
      <x:c r="D25" s="84" t="inlineStr">
        <x:is>
          <x:t xml:space="preserve">form reset restores uncontrolled defaults</x:t>
        </x:is>
      </x:c>
      <x:c r="E25" s="76" t="inlineStr">
        <x:is>
          <x:t xml:space="preserve">yes</x:t>
        </x:is>
      </x:c>
      <x:c r="F25" s="76" t="inlineStr">
        <x:is>
          <x:t xml:space="preserve">no</x:t>
        </x:is>
      </x:c>
      <x:c r="G25" s="73" t="inlineStr">
        <x:is>
          <x:t xml:space="preserve">pending manual test</x:t>
        </x:is>
      </x:c>
      <x:c r="H25" s="92" t="inlineStr">
        <x:is>
          <x:t xml:space="preserve">untested</x:t>
        </x:is>
      </x:c>
      <x:c r="I25" s="84" t="inlineStr">
        <x:is>
          <x:t xml:space="preserve">MultiSelect playground and draft manual protocol.</x:t>
        </x:is>
      </x:c>
      <x:c r="J25" s="84" t="inlineStr">
        <x:is>
          <x:t xml:space="preserve">Run playground/.manual-tests/multi-select.md.</x:t>
        </x:is>
      </x:c>
      <x:c r="K25" s="87" t="n">
        <x:f>IF(AND(E25="yes",F25="yes",H25="covered"),1,IF(H25="partial",0.5,0))</x:f>
        <x:v>0</x:v>
      </x:c>
    </x:row>
    <x:row r="26" s="51" customFormat="1" ht="15" customHeight="1">
      <x:c r="A26" s="73" t="n">
        <x:v>18</x:v>
      </x:c>
      <x:c r="B26" s="84" t="inlineStr">
        <x:is>
          <x:t xml:space="preserve">Anatomy</x:t>
        </x:is>
      </x:c>
      <x:c r="C26" s="84" t="inlineStr">
        <x:is>
          <x:t xml:space="preserve">Trigger</x:t>
        </x:is>
      </x:c>
      <x:c r="D26" s="84" t="inlineStr">
        <x:is>
          <x:t xml:space="preserve">renders a native button by default</x:t>
        </x:is>
      </x:c>
      <x:c r="E26" s="76" t="inlineStr">
        <x:is>
          <x:t xml:space="preserve">yes</x:t>
        </x:is>
      </x:c>
      <x:c r="F26" s="76" t="inlineStr">
        <x:is>
          <x:t xml:space="preserve">no</x:t>
        </x:is>
      </x:c>
      <x:c r="G26" s="73" t="inlineStr">
        <x:is>
          <x:t xml:space="preserve">pending manual test</x:t>
        </x:is>
      </x:c>
      <x:c r="H26" s="92" t="inlineStr">
        <x:is>
          <x:t xml:space="preserve">untested</x:t>
        </x:is>
      </x:c>
      <x:c r="I26" s="84" t="inlineStr">
        <x:is>
          <x:t xml:space="preserve">MultiSelect playground and draft manual protocol.</x:t>
        </x:is>
      </x:c>
      <x:c r="J26" s="84" t="inlineStr">
        <x:is>
          <x:t xml:space="preserve">Run playground/.manual-tests/multi-select.md.</x:t>
        </x:is>
      </x:c>
      <x:c r="K26" s="87" t="n">
        <x:f>IF(AND(E26="yes",F26="yes",H26="covered"),1,IF(H26="partial",0.5,0))</x:f>
        <x:v>0</x:v>
      </x:c>
    </x:row>
    <x:row r="27" s="51" customFormat="1" ht="15" customHeight="1">
      <x:c r="A27" s="73" t="n">
        <x:v>19</x:v>
      </x:c>
      <x:c r="B27" s="84" t="inlineStr">
        <x:is>
          <x:t xml:space="preserve">ARIA</x:t>
        </x:is>
      </x:c>
      <x:c r="C27" s="84" t="inlineStr">
        <x:is>
          <x:t xml:space="preserve">Trigger</x:t>
        </x:is>
      </x:c>
      <x:c r="D27" s="84" t="inlineStr">
        <x:is>
          <x:t xml:space="preserve">aria-haspopup is listbox</x:t>
        </x:is>
      </x:c>
      <x:c r="E27" s="76" t="inlineStr">
        <x:is>
          <x:t xml:space="preserve">yes</x:t>
        </x:is>
      </x:c>
      <x:c r="F27" s="76" t="inlineStr">
        <x:is>
          <x:t xml:space="preserve">no</x:t>
        </x:is>
      </x:c>
      <x:c r="G27" s="73" t="inlineStr">
        <x:is>
          <x:t xml:space="preserve">pending manual test</x:t>
        </x:is>
      </x:c>
      <x:c r="H27" s="92" t="inlineStr">
        <x:is>
          <x:t xml:space="preserve">untested</x:t>
        </x:is>
      </x:c>
      <x:c r="I27" s="84" t="inlineStr">
        <x:is>
          <x:t xml:space="preserve">MultiSelect playground and draft manual protocol.</x:t>
        </x:is>
      </x:c>
      <x:c r="J27" s="84" t="inlineStr">
        <x:is>
          <x:t xml:space="preserve">Run playground/.manual-tests/multi-select.md.</x:t>
        </x:is>
      </x:c>
      <x:c r="K27" s="87" t="n">
        <x:f>IF(AND(E27="yes",F27="yes",H27="covered"),1,IF(H27="partial",0.5,0))</x:f>
        <x:v>0</x:v>
      </x:c>
    </x:row>
    <x:row r="28" s="51" customFormat="1" ht="15" customHeight="1">
      <x:c r="A28" s="73" t="n">
        <x:v>20</x:v>
      </x:c>
      <x:c r="B28" s="84" t="inlineStr">
        <x:is>
          <x:t xml:space="preserve">ARIA</x:t>
        </x:is>
      </x:c>
      <x:c r="C28" s="84" t="inlineStr">
        <x:is>
          <x:t xml:space="preserve">Trigger</x:t>
        </x:is>
      </x:c>
      <x:c r="D28" s="84" t="inlineStr">
        <x:is>
          <x:t xml:space="preserve">aria-expanded tracks open state</x:t>
        </x:is>
      </x:c>
      <x:c r="E28" s="76" t="inlineStr">
        <x:is>
          <x:t xml:space="preserve">yes</x:t>
        </x:is>
      </x:c>
      <x:c r="F28" s="76" t="inlineStr">
        <x:is>
          <x:t xml:space="preserve">no</x:t>
        </x:is>
      </x:c>
      <x:c r="G28" s="73" t="inlineStr">
        <x:is>
          <x:t xml:space="preserve">pending manual test</x:t>
        </x:is>
      </x:c>
      <x:c r="H28" s="92" t="inlineStr">
        <x:is>
          <x:t xml:space="preserve">untested</x:t>
        </x:is>
      </x:c>
      <x:c r="I28" s="84" t="inlineStr">
        <x:is>
          <x:t xml:space="preserve">MultiSelect playground and draft manual protocol.</x:t>
        </x:is>
      </x:c>
      <x:c r="J28" s="84" t="inlineStr">
        <x:is>
          <x:t xml:space="preserve">Run playground/.manual-tests/multi-select.md.</x:t>
        </x:is>
      </x:c>
      <x:c r="K28" s="87" t="n">
        <x:f>IF(AND(E28="yes",F28="yes",H28="covered"),1,IF(H28="partial",0.5,0))</x:f>
        <x:v>0</x:v>
      </x:c>
    </x:row>
    <x:row r="29" s="51" customFormat="1" ht="15" customHeight="1">
      <x:c r="A29" s="73" t="n">
        <x:v>21</x:v>
      </x:c>
      <x:c r="B29" s="84" t="inlineStr">
        <x:is>
          <x:t xml:space="preserve">ARIA</x:t>
        </x:is>
      </x:c>
      <x:c r="C29" s="84" t="inlineStr">
        <x:is>
          <x:t xml:space="preserve">Trigger</x:t>
        </x:is>
      </x:c>
      <x:c r="D29" s="84" t="inlineStr">
        <x:is>
          <x:t xml:space="preserve">aria-controls matches Content id</x:t>
        </x:is>
      </x:c>
      <x:c r="E29" s="76" t="inlineStr">
        <x:is>
          <x:t xml:space="preserve">yes</x:t>
        </x:is>
      </x:c>
      <x:c r="F29" s="76" t="inlineStr">
        <x:is>
          <x:t xml:space="preserve">no</x:t>
        </x:is>
      </x:c>
      <x:c r="G29" s="73" t="inlineStr">
        <x:is>
          <x:t xml:space="preserve">pending manual test</x:t>
        </x:is>
      </x:c>
      <x:c r="H29" s="92" t="inlineStr">
        <x:is>
          <x:t xml:space="preserve">untested</x:t>
        </x:is>
      </x:c>
      <x:c r="I29" s="84" t="inlineStr">
        <x:is>
          <x:t xml:space="preserve">MultiSelect playground and draft manual protocol.</x:t>
        </x:is>
      </x:c>
      <x:c r="J29" s="84" t="inlineStr">
        <x:is>
          <x:t xml:space="preserve">Run playground/.manual-tests/multi-select.md.</x:t>
        </x:is>
      </x:c>
      <x:c r="K29" s="87" t="n">
        <x:f>IF(AND(E29="yes",F29="yes",H29="covered"),1,IF(H29="partial",0.5,0))</x:f>
        <x:v>0</x:v>
      </x:c>
    </x:row>
    <x:row r="30" s="51" customFormat="1" ht="15" customHeight="1">
      <x:c r="A30" s="73" t="n">
        <x:v>22</x:v>
      </x:c>
      <x:c r="B30" s="84" t="inlineStr">
        <x:is>
          <x:t xml:space="preserve">Anatomy</x:t>
        </x:is>
      </x:c>
      <x:c r="C30" s="84" t="inlineStr">
        <x:is>
          <x:t xml:space="preserve">Value</x:t>
        </x:is>
      </x:c>
      <x:c r="D30" s="84" t="inlineStr">
        <x:is>
          <x:t xml:space="preserve">placeholder appears for no values</x:t>
        </x:is>
      </x:c>
      <x:c r="E30" s="76" t="inlineStr">
        <x:is>
          <x:t xml:space="preserve">yes</x:t>
        </x:is>
      </x:c>
      <x:c r="F30" s="76" t="inlineStr">
        <x:is>
          <x:t xml:space="preserve">no</x:t>
        </x:is>
      </x:c>
      <x:c r="G30" s="73" t="inlineStr">
        <x:is>
          <x:t xml:space="preserve">pending manual test</x:t>
        </x:is>
      </x:c>
      <x:c r="H30" s="92" t="inlineStr">
        <x:is>
          <x:t xml:space="preserve">untested</x:t>
        </x:is>
      </x:c>
      <x:c r="I30" s="84" t="inlineStr">
        <x:is>
          <x:t xml:space="preserve">MultiSelect playground and draft manual protocol.</x:t>
        </x:is>
      </x:c>
      <x:c r="J30" s="84" t="inlineStr">
        <x:is>
          <x:t xml:space="preserve">Run playground/.manual-tests/multi-select.md.</x:t>
        </x:is>
      </x:c>
      <x:c r="K30" s="87" t="n">
        <x:f>IF(AND(E30="yes",F30="yes",H30="covered"),1,IF(H30="partial",0.5,0))</x:f>
        <x:v>0</x:v>
      </x:c>
    </x:row>
    <x:row r="31" s="51" customFormat="1" ht="15" customHeight="1">
      <x:c r="A31" s="73" t="n">
        <x:v>23</x:v>
      </x:c>
      <x:c r="B31" s="84" t="inlineStr">
        <x:is>
          <x:t xml:space="preserve">Anatomy</x:t>
        </x:is>
      </x:c>
      <x:c r="C31" s="84" t="inlineStr">
        <x:is>
          <x:t xml:space="preserve">Value</x:t>
        </x:is>
      </x:c>
      <x:c r="D31" s="84" t="inlineStr">
        <x:is>
          <x:t xml:space="preserve">one selected label renders directly</x:t>
        </x:is>
      </x:c>
      <x:c r="E31" s="76" t="inlineStr">
        <x:is>
          <x:t xml:space="preserve">yes</x:t>
        </x:is>
      </x:c>
      <x:c r="F31" s="76" t="inlineStr">
        <x:is>
          <x:t xml:space="preserve">no</x:t>
        </x:is>
      </x:c>
      <x:c r="G31" s="73" t="inlineStr">
        <x:is>
          <x:t xml:space="preserve">pending manual test</x:t>
        </x:is>
      </x:c>
      <x:c r="H31" s="92" t="inlineStr">
        <x:is>
          <x:t xml:space="preserve">untested</x:t>
        </x:is>
      </x:c>
      <x:c r="I31" s="84" t="inlineStr">
        <x:is>
          <x:t xml:space="preserve">MultiSelect playground and draft manual protocol.</x:t>
        </x:is>
      </x:c>
      <x:c r="J31" s="84" t="inlineStr">
        <x:is>
          <x:t xml:space="preserve">Run playground/.manual-tests/multi-select.md.</x:t>
        </x:is>
      </x:c>
      <x:c r="K31" s="87" t="n">
        <x:f>IF(AND(E31="yes",F31="yes",H31="covered"),1,IF(H31="partial",0.5,0))</x:f>
        <x:v>0</x:v>
      </x:c>
    </x:row>
    <x:row r="32" s="51" customFormat="1" ht="15" customHeight="1">
      <x:c r="A32" s="73" t="n">
        <x:v>24</x:v>
      </x:c>
      <x:c r="B32" s="84" t="inlineStr">
        <x:is>
          <x:t xml:space="preserve">Anatomy</x:t>
        </x:is>
      </x:c>
      <x:c r="C32" s="84" t="inlineStr">
        <x:is>
          <x:t xml:space="preserve">Value</x:t>
        </x:is>
      </x:c>
      <x:c r="D32" s="84" t="inlineStr">
        <x:is>
          <x:t xml:space="preserve">multiple values use First (+N more) summary</x:t>
        </x:is>
      </x:c>
      <x:c r="E32" s="76" t="inlineStr">
        <x:is>
          <x:t xml:space="preserve">yes</x:t>
        </x:is>
      </x:c>
      <x:c r="F32" s="76" t="inlineStr">
        <x:is>
          <x:t xml:space="preserve">no</x:t>
        </x:is>
      </x:c>
      <x:c r="G32" s="73" t="inlineStr">
        <x:is>
          <x:t xml:space="preserve">pending manual test</x:t>
        </x:is>
      </x:c>
      <x:c r="H32" s="92" t="inlineStr">
        <x:is>
          <x:t xml:space="preserve">untested</x:t>
        </x:is>
      </x:c>
      <x:c r="I32" s="84" t="inlineStr">
        <x:is>
          <x:t xml:space="preserve">MultiSelect playground and draft manual protocol.</x:t>
        </x:is>
      </x:c>
      <x:c r="J32" s="84" t="inlineStr">
        <x:is>
          <x:t xml:space="preserve">Run playground/.manual-tests/multi-select.md.</x:t>
        </x:is>
      </x:c>
      <x:c r="K32" s="87" t="n">
        <x:f>IF(AND(E32="yes",F32="yes",H32="covered"),1,IF(H32="partial",0.5,0))</x:f>
        <x:v>0</x:v>
      </x:c>
    </x:row>
    <x:row r="33" s="51" customFormat="1" ht="15" customHeight="1">
      <x:c r="A33" s="73" t="n">
        <x:v>25</x:v>
      </x:c>
      <x:c r="B33" s="84" t="inlineStr">
        <x:is>
          <x:t xml:space="preserve">Public API</x:t>
        </x:is>
      </x:c>
      <x:c r="C33" s="84" t="inlineStr">
        <x:is>
          <x:t xml:space="preserve">Value</x:t>
        </x:is>
      </x:c>
      <x:c r="D33" s="84" t="inlineStr">
        <x:is>
          <x:t xml:space="preserve">renderValue supplies custom summary</x:t>
        </x:is>
      </x:c>
      <x:c r="E33" s="76" t="inlineStr">
        <x:is>
          <x:t xml:space="preserve">yes</x:t>
        </x:is>
      </x:c>
      <x:c r="F33" s="76" t="inlineStr">
        <x:is>
          <x:t xml:space="preserve">no</x:t>
        </x:is>
      </x:c>
      <x:c r="G33" s="73" t="inlineStr">
        <x:is>
          <x:t xml:space="preserve">pending manual test</x:t>
        </x:is>
      </x:c>
      <x:c r="H33" s="92" t="inlineStr">
        <x:is>
          <x:t xml:space="preserve">untested</x:t>
        </x:is>
      </x:c>
      <x:c r="I33" s="84" t="inlineStr">
        <x:is>
          <x:t xml:space="preserve">MultiSelect playground and draft manual protocol.</x:t>
        </x:is>
      </x:c>
      <x:c r="J33" s="84" t="inlineStr">
        <x:is>
          <x:t xml:space="preserve">Run playground/.manual-tests/multi-select.md.</x:t>
        </x:is>
      </x:c>
      <x:c r="K33" s="87" t="n">
        <x:f>IF(AND(E33="yes",F33="yes",H33="covered"),1,IF(H33="partial",0.5,0))</x:f>
        <x:v>0</x:v>
      </x:c>
    </x:row>
    <x:row r="34" s="51" customFormat="1" ht="15" customHeight="1">
      <x:c r="A34" s="73" t="n">
        <x:v>26</x:v>
      </x:c>
      <x:c r="B34" s="84" t="inlineStr">
        <x:is>
          <x:t xml:space="preserve">Anatomy</x:t>
        </x:is>
      </x:c>
      <x:c r="C34" s="84" t="inlineStr">
        <x:is>
          <x:t xml:space="preserve">Icon</x:t>
        </x:is>
      </x:c>
      <x:c r="D34" s="84" t="inlineStr">
        <x:is>
          <x:t xml:space="preserve">decorative trigger icon is rendered</x:t>
        </x:is>
      </x:c>
      <x:c r="E34" s="76" t="inlineStr">
        <x:is>
          <x:t xml:space="preserve">yes</x:t>
        </x:is>
      </x:c>
      <x:c r="F34" s="76" t="inlineStr">
        <x:is>
          <x:t xml:space="preserve">no</x:t>
        </x:is>
      </x:c>
      <x:c r="G34" s="73" t="inlineStr">
        <x:is>
          <x:t xml:space="preserve">pending manual test</x:t>
        </x:is>
      </x:c>
      <x:c r="H34" s="92" t="inlineStr">
        <x:is>
          <x:t xml:space="preserve">untested</x:t>
        </x:is>
      </x:c>
      <x:c r="I34" s="84" t="inlineStr">
        <x:is>
          <x:t xml:space="preserve">MultiSelect playground and draft manual protocol.</x:t>
        </x:is>
      </x:c>
      <x:c r="J34" s="84" t="inlineStr">
        <x:is>
          <x:t xml:space="preserve">Run playground/.manual-tests/multi-select.md.</x:t>
        </x:is>
      </x:c>
      <x:c r="K34" s="87" t="n">
        <x:f>IF(AND(E34="yes",F34="yes",H34="covered"),1,IF(H34="partial",0.5,0))</x:f>
        <x:v>0</x:v>
      </x:c>
    </x:row>
    <x:row r="35" s="51" customFormat="1" ht="15" customHeight="1">
      <x:c r="A35" s="73" t="n">
        <x:v>27</x:v>
      </x:c>
      <x:c r="B35" s="84" t="inlineStr">
        <x:is>
          <x:t xml:space="preserve">Anatomy</x:t>
        </x:is>
      </x:c>
      <x:c r="C35" s="84" t="inlineStr">
        <x:is>
          <x:t xml:space="preserve">Content</x:t>
        </x:is>
      </x:c>
      <x:c r="D35" s="84" t="inlineStr">
        <x:is>
          <x:t xml:space="preserve">positioned popup renders through a portal by default</x:t>
        </x:is>
      </x:c>
      <x:c r="E35" s="76" t="inlineStr">
        <x:is>
          <x:t xml:space="preserve">yes</x:t>
        </x:is>
      </x:c>
      <x:c r="F35" s="76" t="inlineStr">
        <x:is>
          <x:t xml:space="preserve">no</x:t>
        </x:is>
      </x:c>
      <x:c r="G35" s="73" t="inlineStr">
        <x:is>
          <x:t xml:space="preserve">pending manual test</x:t>
        </x:is>
      </x:c>
      <x:c r="H35" s="92" t="inlineStr">
        <x:is>
          <x:t xml:space="preserve">untested</x:t>
        </x:is>
      </x:c>
      <x:c r="I35" s="84" t="inlineStr">
        <x:is>
          <x:t xml:space="preserve">MultiSelect playground and draft manual protocol.</x:t>
        </x:is>
      </x:c>
      <x:c r="J35" s="84" t="inlineStr">
        <x:is>
          <x:t xml:space="preserve">Run playground/.manual-tests/multi-select.md.</x:t>
        </x:is>
      </x:c>
      <x:c r="K35" s="87" t="n">
        <x:f>IF(AND(E35="yes",F35="yes",H35="covered"),1,IF(H35="partial",0.5,0))</x:f>
        <x:v>0</x:v>
      </x:c>
    </x:row>
    <x:row r="36" s="51" customFormat="1" ht="15" customHeight="1">
      <x:c r="A36" s="73" t="n">
        <x:v>28</x:v>
      </x:c>
      <x:c r="B36" s="84" t="inlineStr">
        <x:is>
          <x:t xml:space="preserve">Public API</x:t>
        </x:is>
      </x:c>
      <x:c r="C36" s="84" t="inlineStr">
        <x:is>
          <x:t xml:space="preserve">Content</x:t>
        </x:is>
      </x:c>
      <x:c r="D36" s="84" t="inlineStr">
        <x:is>
          <x:t xml:space="preserve">disablePortal keeps popup in the canvas</x:t>
        </x:is>
      </x:c>
      <x:c r="E36" s="76" t="inlineStr">
        <x:is>
          <x:t xml:space="preserve">yes</x:t>
        </x:is>
      </x:c>
      <x:c r="F36" s="76" t="inlineStr">
        <x:is>
          <x:t xml:space="preserve">no</x:t>
        </x:is>
      </x:c>
      <x:c r="G36" s="73" t="inlineStr">
        <x:is>
          <x:t xml:space="preserve">pending manual test</x:t>
        </x:is>
      </x:c>
      <x:c r="H36" s="92" t="inlineStr">
        <x:is>
          <x:t xml:space="preserve">untested</x:t>
        </x:is>
      </x:c>
      <x:c r="I36" s="84" t="inlineStr">
        <x:is>
          <x:t xml:space="preserve">MultiSelect playground and draft manual protocol.</x:t>
        </x:is>
      </x:c>
      <x:c r="J36" s="84" t="inlineStr">
        <x:is>
          <x:t xml:space="preserve">Run playground/.manual-tests/multi-select.md.</x:t>
        </x:is>
      </x:c>
      <x:c r="K36" s="87" t="n">
        <x:f>IF(AND(E36="yes",F36="yes",H36="covered"),1,IF(H36="partial",0.5,0))</x:f>
        <x:v>0</x:v>
      </x:c>
    </x:row>
    <x:row r="37" s="51" customFormat="1" ht="15" customHeight="1">
      <x:c r="A37" s="73" t="n">
        <x:v>29</x:v>
      </x:c>
      <x:c r="B37" s="84" t="inlineStr">
        <x:is>
          <x:t xml:space="preserve">Public API</x:t>
        </x:is>
      </x:c>
      <x:c r="C37" s="84" t="inlineStr">
        <x:is>
          <x:t xml:space="preserve">Listbox</x:t>
        </x:is>
      </x:c>
      <x:c r="D37" s="84" t="inlineStr">
        <x:is>
          <x:t xml:space="preserve">Listbox alias preserves Content behavior</x:t>
        </x:is>
      </x:c>
      <x:c r="E37" s="76" t="inlineStr">
        <x:is>
          <x:t xml:space="preserve">yes</x:t>
        </x:is>
      </x:c>
      <x:c r="F37" s="76" t="inlineStr">
        <x:is>
          <x:t xml:space="preserve">no</x:t>
        </x:is>
      </x:c>
      <x:c r="G37" s="73" t="inlineStr">
        <x:is>
          <x:t xml:space="preserve">pending manual test</x:t>
        </x:is>
      </x:c>
      <x:c r="H37" s="92" t="inlineStr">
        <x:is>
          <x:t xml:space="preserve">untested</x:t>
        </x:is>
      </x:c>
      <x:c r="I37" s="84" t="inlineStr">
        <x:is>
          <x:t xml:space="preserve">MultiSelect playground and draft manual protocol.</x:t>
        </x:is>
      </x:c>
      <x:c r="J37" s="84" t="inlineStr">
        <x:is>
          <x:t xml:space="preserve">Run playground/.manual-tests/multi-select.md.</x:t>
        </x:is>
      </x:c>
      <x:c r="K37" s="87" t="n">
        <x:f>IF(AND(E37="yes",F37="yes",H37="covered"),1,IF(H37="partial",0.5,0))</x:f>
        <x:v>0</x:v>
      </x:c>
    </x:row>
    <x:row r="38" s="51" customFormat="1" ht="15" customHeight="1">
      <x:c r="A38" s="73" t="n">
        <x:v>30</x:v>
      </x:c>
      <x:c r="B38" s="84" t="inlineStr">
        <x:is>
          <x:t xml:space="preserve">ARIA</x:t>
        </x:is>
      </x:c>
      <x:c r="C38" s="84" t="inlineStr">
        <x:is>
          <x:t xml:space="preserve">Content</x:t>
        </x:is>
      </x:c>
      <x:c r="D38" s="84" t="inlineStr">
        <x:is>
          <x:t xml:space="preserve">role is listbox</x:t>
        </x:is>
      </x:c>
      <x:c r="E38" s="76" t="inlineStr">
        <x:is>
          <x:t xml:space="preserve">yes</x:t>
        </x:is>
      </x:c>
      <x:c r="F38" s="76" t="inlineStr">
        <x:is>
          <x:t xml:space="preserve">no</x:t>
        </x:is>
      </x:c>
      <x:c r="G38" s="73" t="inlineStr">
        <x:is>
          <x:t xml:space="preserve">pending manual test</x:t>
        </x:is>
      </x:c>
      <x:c r="H38" s="92" t="inlineStr">
        <x:is>
          <x:t xml:space="preserve">untested</x:t>
        </x:is>
      </x:c>
      <x:c r="I38" s="84" t="inlineStr">
        <x:is>
          <x:t xml:space="preserve">MultiSelect playground and draft manual protocol.</x:t>
        </x:is>
      </x:c>
      <x:c r="J38" s="84" t="inlineStr">
        <x:is>
          <x:t xml:space="preserve">Run playground/.manual-tests/multi-select.md.</x:t>
        </x:is>
      </x:c>
      <x:c r="K38" s="87" t="n">
        <x:f>IF(AND(E38="yes",F38="yes",H38="covered"),1,IF(H38="partial",0.5,0))</x:f>
        <x:v>0</x:v>
      </x:c>
    </x:row>
    <x:row r="39" s="51" customFormat="1" ht="15" customHeight="1">
      <x:c r="A39" s="73" t="n">
        <x:v>31</x:v>
      </x:c>
      <x:c r="B39" s="84" t="inlineStr">
        <x:is>
          <x:t xml:space="preserve">ARIA</x:t>
        </x:is>
      </x:c>
      <x:c r="C39" s="84" t="inlineStr">
        <x:is>
          <x:t xml:space="preserve">Content</x:t>
        </x:is>
      </x:c>
      <x:c r="D39" s="84" t="inlineStr">
        <x:is>
          <x:t xml:space="preserve">aria-multiselectable is true</x:t>
        </x:is>
      </x:c>
      <x:c r="E39" s="76" t="inlineStr">
        <x:is>
          <x:t xml:space="preserve">yes</x:t>
        </x:is>
      </x:c>
      <x:c r="F39" s="76" t="inlineStr">
        <x:is>
          <x:t xml:space="preserve">no</x:t>
        </x:is>
      </x:c>
      <x:c r="G39" s="73" t="inlineStr">
        <x:is>
          <x:t xml:space="preserve">pending manual test</x:t>
        </x:is>
      </x:c>
      <x:c r="H39" s="92" t="inlineStr">
        <x:is>
          <x:t xml:space="preserve">untested</x:t>
        </x:is>
      </x:c>
      <x:c r="I39" s="84" t="inlineStr">
        <x:is>
          <x:t xml:space="preserve">MultiSelect playground and draft manual protocol.</x:t>
        </x:is>
      </x:c>
      <x:c r="J39" s="84" t="inlineStr">
        <x:is>
          <x:t xml:space="preserve">Run playground/.manual-tests/multi-select.md.</x:t>
        </x:is>
      </x:c>
      <x:c r="K39" s="87" t="n">
        <x:f>IF(AND(E39="yes",F39="yes",H39="covered"),1,IF(H39="partial",0.5,0))</x:f>
        <x:v>0</x:v>
      </x:c>
    </x:row>
    <x:row r="40" s="51" customFormat="1" ht="15" customHeight="1">
      <x:c r="A40" s="73" t="n">
        <x:v>32</x:v>
      </x:c>
      <x:c r="B40" s="84" t="inlineStr">
        <x:is>
          <x:t xml:space="preserve">ARIA</x:t>
        </x:is>
      </x:c>
      <x:c r="C40" s="84" t="inlineStr">
        <x:is>
          <x:t xml:space="preserve">Content</x:t>
        </x:is>
      </x:c>
      <x:c r="D40" s="84" t="inlineStr">
        <x:is>
          <x:t xml:space="preserve">aria-activedescendant tracks the highlighted Item</x:t>
        </x:is>
      </x:c>
      <x:c r="E40" s="76" t="inlineStr">
        <x:is>
          <x:t xml:space="preserve">yes</x:t>
        </x:is>
      </x:c>
      <x:c r="F40" s="76" t="inlineStr">
        <x:is>
          <x:t xml:space="preserve">no</x:t>
        </x:is>
      </x:c>
      <x:c r="G40" s="73" t="inlineStr">
        <x:is>
          <x:t xml:space="preserve">pending manual test</x:t>
        </x:is>
      </x:c>
      <x:c r="H40" s="92" t="inlineStr">
        <x:is>
          <x:t xml:space="preserve">untested</x:t>
        </x:is>
      </x:c>
      <x:c r="I40" s="84" t="inlineStr">
        <x:is>
          <x:t xml:space="preserve">MultiSelect playground and draft manual protocol.</x:t>
        </x:is>
      </x:c>
      <x:c r="J40" s="84" t="inlineStr">
        <x:is>
          <x:t xml:space="preserve">Run playground/.manual-tests/multi-select.md.</x:t>
        </x:is>
      </x:c>
      <x:c r="K40" s="87" t="n">
        <x:f>IF(AND(E40="yes",F40="yes",H40="covered"),1,IF(H40="partial",0.5,0))</x:f>
        <x:v>0</x:v>
      </x:c>
    </x:row>
    <x:row r="41" s="51" customFormat="1" ht="15" customHeight="1">
      <x:c r="A41" s="73" t="n">
        <x:v>33</x:v>
      </x:c>
      <x:c r="B41" s="84" t="inlineStr">
        <x:is>
          <x:t xml:space="preserve">Anatomy</x:t>
        </x:is>
      </x:c>
      <x:c r="C41" s="84" t="inlineStr">
        <x:is>
          <x:t xml:space="preserve">Viewport</x:t>
        </x:is>
      </x:c>
      <x:c r="D41" s="84" t="inlineStr">
        <x:is>
          <x:t xml:space="preserve">wraps the option collection</x:t>
        </x:is>
      </x:c>
      <x:c r="E41" s="76" t="inlineStr">
        <x:is>
          <x:t xml:space="preserve">yes</x:t>
        </x:is>
      </x:c>
      <x:c r="F41" s="76" t="inlineStr">
        <x:is>
          <x:t xml:space="preserve">no</x:t>
        </x:is>
      </x:c>
      <x:c r="G41" s="73" t="inlineStr">
        <x:is>
          <x:t xml:space="preserve">pending manual test</x:t>
        </x:is>
      </x:c>
      <x:c r="H41" s="92" t="inlineStr">
        <x:is>
          <x:t xml:space="preserve">untested</x:t>
        </x:is>
      </x:c>
      <x:c r="I41" s="84" t="inlineStr">
        <x:is>
          <x:t xml:space="preserve">MultiSelect playground and draft manual protocol.</x:t>
        </x:is>
      </x:c>
      <x:c r="J41" s="84" t="inlineStr">
        <x:is>
          <x:t xml:space="preserve">Run playground/.manual-tests/multi-select.md.</x:t>
        </x:is>
      </x:c>
      <x:c r="K41" s="87" t="n">
        <x:f>IF(AND(E41="yes",F41="yes",H41="covered"),1,IF(H41="partial",0.5,0))</x:f>
        <x:v>0</x:v>
      </x:c>
    </x:row>
    <x:row r="42" s="51" customFormat="1" ht="45" customHeight="1">
      <x:c r="A42" s="73" t="n">
        <x:v>34</x:v>
      </x:c>
      <x:c r="B42" s="84" t="inlineStr">
        <x:is>
          <x:t xml:space="preserve">Anatomy</x:t>
        </x:is>
      </x:c>
      <x:c r="C42" s="84" t="inlineStr">
        <x:is>
          <x:t xml:space="preserve">Group</x:t>
        </x:is>
      </x:c>
      <x:c r="D42" s="84" t="inlineStr">
        <x:is>
          <x:t xml:space="preserve">groups related options</x:t>
        </x:is>
      </x:c>
      <x:c r="E42" s="76" t="inlineStr">
        <x:is>
          <x:t xml:space="preserve">yes</x:t>
        </x:is>
      </x:c>
      <x:c r="F42" s="76" t="inlineStr">
        <x:is>
          <x:t xml:space="preserve">no</x:t>
        </x:is>
      </x:c>
      <x:c r="G42" s="73" t="inlineStr">
        <x:is>
          <x:t xml:space="preserve">pending manual test</x:t>
        </x:is>
      </x:c>
      <x:c r="H42" s="92" t="inlineStr">
        <x:is>
          <x:t xml:space="preserve">untested</x:t>
        </x:is>
      </x:c>
      <x:c r="I42" s="84" t="inlineStr">
        <x:is>
          <x:t xml:space="preserve">MultiSelect playground and draft manual protocol.</x:t>
        </x:is>
      </x:c>
      <x:c r="J42" s="84" t="inlineStr">
        <x:is>
          <x:t xml:space="preserve">Run playground/.manual-tests/multi-select.md.</x:t>
        </x:is>
      </x:c>
      <x:c r="K42" s="87" t="n">
        <x:f>IF(AND(E42="yes",F42="yes",H42="covered"),1,IF(H42="partial",0.5,0))</x:f>
        <x:v>0</x:v>
      </x:c>
    </x:row>
    <x:row r="43" s="51" customFormat="1" ht="15" customHeight="1">
      <x:c r="A43" s="73" t="n">
        <x:v>35</x:v>
      </x:c>
      <x:c r="B43" s="84" t="inlineStr">
        <x:is>
          <x:t xml:space="preserve">ARIA</x:t>
        </x:is>
      </x:c>
      <x:c r="C43" s="84" t="inlineStr">
        <x:is>
          <x:t xml:space="preserve">Group</x:t>
        </x:is>
      </x:c>
      <x:c r="D43" s="84" t="inlineStr">
        <x:is>
          <x:t xml:space="preserve">group is labelled by Label</x:t>
        </x:is>
      </x:c>
      <x:c r="E43" s="76" t="inlineStr">
        <x:is>
          <x:t xml:space="preserve">yes</x:t>
        </x:is>
      </x:c>
      <x:c r="F43" s="76" t="inlineStr">
        <x:is>
          <x:t xml:space="preserve">no</x:t>
        </x:is>
      </x:c>
      <x:c r="G43" s="73" t="inlineStr">
        <x:is>
          <x:t xml:space="preserve">pending manual test</x:t>
        </x:is>
      </x:c>
      <x:c r="H43" s="92" t="inlineStr">
        <x:is>
          <x:t xml:space="preserve">untested</x:t>
        </x:is>
      </x:c>
      <x:c r="I43" s="84" t="inlineStr">
        <x:is>
          <x:t xml:space="preserve">MultiSelect playground and draft manual protocol.</x:t>
        </x:is>
      </x:c>
      <x:c r="J43" s="84" t="inlineStr">
        <x:is>
          <x:t xml:space="preserve">Run playground/.manual-tests/multi-select.md.</x:t>
        </x:is>
      </x:c>
      <x:c r="K43" s="87" t="n">
        <x:f>IF(AND(E43="yes",F43="yes",H43="covered"),1,IF(H43="partial",0.5,0))</x:f>
        <x:v>0</x:v>
      </x:c>
    </x:row>
    <x:row r="44" s="51" customFormat="1" ht="15" customHeight="1">
      <x:c r="A44" s="73" t="n">
        <x:v>36</x:v>
      </x:c>
      <x:c r="B44" s="84" t="inlineStr">
        <x:is>
          <x:t xml:space="preserve">Anatomy</x:t>
        </x:is>
      </x:c>
      <x:c r="C44" s="84" t="inlineStr">
        <x:is>
          <x:t xml:space="preserve">Label</x:t>
        </x:is>
      </x:c>
      <x:c r="D44" s="84" t="inlineStr">
        <x:is>
          <x:t xml:space="preserve">renders the Skills group label</x:t>
        </x:is>
      </x:c>
      <x:c r="E44" s="76" t="inlineStr">
        <x:is>
          <x:t xml:space="preserve">yes</x:t>
        </x:is>
      </x:c>
      <x:c r="F44" s="76" t="inlineStr">
        <x:is>
          <x:t xml:space="preserve">no</x:t>
        </x:is>
      </x:c>
      <x:c r="G44" s="73" t="inlineStr">
        <x:is>
          <x:t xml:space="preserve">pending manual test</x:t>
        </x:is>
      </x:c>
      <x:c r="H44" s="92" t="inlineStr">
        <x:is>
          <x:t xml:space="preserve">untested</x:t>
        </x:is>
      </x:c>
      <x:c r="I44" s="84" t="inlineStr">
        <x:is>
          <x:t xml:space="preserve">MultiSelect playground and draft manual protocol.</x:t>
        </x:is>
      </x:c>
      <x:c r="J44" s="84" t="inlineStr">
        <x:is>
          <x:t xml:space="preserve">Run playground/.manual-tests/multi-select.md.</x:t>
        </x:is>
      </x:c>
      <x:c r="K44" s="87" t="n">
        <x:f>IF(AND(E44="yes",F44="yes",H44="covered"),1,IF(H44="partial",0.5,0))</x:f>
        <x:v>0</x:v>
      </x:c>
    </x:row>
    <x:row r="45" s="51" customFormat="1" ht="15" customHeight="1">
      <x:c r="A45" s="73" t="n">
        <x:v>37</x:v>
      </x:c>
      <x:c r="B45" s="84" t="inlineStr">
        <x:is>
          <x:t xml:space="preserve">Anatomy</x:t>
        </x:is>
      </x:c>
      <x:c r="C45" s="84" t="inlineStr">
        <x:is>
          <x:t xml:space="preserve">Separator</x:t>
        </x:is>
      </x:c>
      <x:c r="D45" s="84" t="inlineStr">
        <x:is>
          <x:t xml:space="preserve">renders collection separation</x:t>
        </x:is>
      </x:c>
      <x:c r="E45" s="76" t="inlineStr">
        <x:is>
          <x:t xml:space="preserve">yes</x:t>
        </x:is>
      </x:c>
      <x:c r="F45" s="76" t="inlineStr">
        <x:is>
          <x:t xml:space="preserve">no</x:t>
        </x:is>
      </x:c>
      <x:c r="G45" s="73" t="inlineStr">
        <x:is>
          <x:t xml:space="preserve">pending manual test</x:t>
        </x:is>
      </x:c>
      <x:c r="H45" s="92" t="inlineStr">
        <x:is>
          <x:t xml:space="preserve">untested</x:t>
        </x:is>
      </x:c>
      <x:c r="I45" s="84" t="inlineStr">
        <x:is>
          <x:t xml:space="preserve">MultiSelect playground and draft manual protocol.</x:t>
        </x:is>
      </x:c>
      <x:c r="J45" s="84" t="inlineStr">
        <x:is>
          <x:t xml:space="preserve">Run playground/.manual-tests/multi-select.md.</x:t>
        </x:is>
      </x:c>
      <x:c r="K45" s="87" t="n">
        <x:f>IF(AND(E45="yes",F45="yes",H45="covered"),1,IF(H45="partial",0.5,0))</x:f>
        <x:v>0</x:v>
      </x:c>
    </x:row>
    <x:row r="46" s="51" customFormat="1" ht="15" customHeight="1">
      <x:c r="A46" s="73" t="n">
        <x:v>38</x:v>
      </x:c>
      <x:c r="B46" s="84" t="inlineStr">
        <x:is>
          <x:t xml:space="preserve">Anatomy</x:t>
        </x:is>
      </x:c>
      <x:c r="C46" s="84" t="inlineStr">
        <x:is>
          <x:t xml:space="preserve">Item</x:t>
        </x:is>
      </x:c>
      <x:c r="D46" s="84" t="inlineStr">
        <x:is>
          <x:t xml:space="preserve">renders role option with stable value</x:t>
        </x:is>
      </x:c>
      <x:c r="E46" s="76" t="inlineStr">
        <x:is>
          <x:t xml:space="preserve">yes</x:t>
        </x:is>
      </x:c>
      <x:c r="F46" s="76" t="inlineStr">
        <x:is>
          <x:t xml:space="preserve">no</x:t>
        </x:is>
      </x:c>
      <x:c r="G46" s="73" t="inlineStr">
        <x:is>
          <x:t xml:space="preserve">pending manual test</x:t>
        </x:is>
      </x:c>
      <x:c r="H46" s="92" t="inlineStr">
        <x:is>
          <x:t xml:space="preserve">untested</x:t>
        </x:is>
      </x:c>
      <x:c r="I46" s="84" t="inlineStr">
        <x:is>
          <x:t xml:space="preserve">MultiSelect playground and draft manual protocol.</x:t>
        </x:is>
      </x:c>
      <x:c r="J46" s="84" t="inlineStr">
        <x:is>
          <x:t xml:space="preserve">Run playground/.manual-tests/multi-select.md.</x:t>
        </x:is>
      </x:c>
      <x:c r="K46" s="87" t="n">
        <x:f>IF(AND(E46="yes",F46="yes",H46="covered"),1,IF(H46="partial",0.5,0))</x:f>
        <x:v>0</x:v>
      </x:c>
    </x:row>
    <x:row r="47" s="51" customFormat="1" ht="15" customHeight="1">
      <x:c r="A47" s="73" t="n">
        <x:v>39</x:v>
      </x:c>
      <x:c r="B47" s="84" t="inlineStr">
        <x:is>
          <x:t xml:space="preserve">ARIA</x:t>
        </x:is>
      </x:c>
      <x:c r="C47" s="84" t="inlineStr">
        <x:is>
          <x:t xml:space="preserve">Item</x:t>
        </x:is>
      </x:c>
      <x:c r="D47" s="84" t="inlineStr">
        <x:is>
          <x:t xml:space="preserve">aria-selected tracks every selected value</x:t>
        </x:is>
      </x:c>
      <x:c r="E47" s="76" t="inlineStr">
        <x:is>
          <x:t xml:space="preserve">yes</x:t>
        </x:is>
      </x:c>
      <x:c r="F47" s="76" t="inlineStr">
        <x:is>
          <x:t xml:space="preserve">no</x:t>
        </x:is>
      </x:c>
      <x:c r="G47" s="73" t="inlineStr">
        <x:is>
          <x:t xml:space="preserve">pending manual test</x:t>
        </x:is>
      </x:c>
      <x:c r="H47" s="92" t="inlineStr">
        <x:is>
          <x:t xml:space="preserve">untested</x:t>
        </x:is>
      </x:c>
      <x:c r="I47" s="84" t="inlineStr">
        <x:is>
          <x:t xml:space="preserve">MultiSelect playground and draft manual protocol.</x:t>
        </x:is>
      </x:c>
      <x:c r="J47" s="84" t="inlineStr">
        <x:is>
          <x:t xml:space="preserve">Run playground/.manual-tests/multi-select.md.</x:t>
        </x:is>
      </x:c>
      <x:c r="K47" s="87" t="n">
        <x:f>IF(AND(E47="yes",F47="yes",H47="covered"),1,IF(H47="partial",0.5,0))</x:f>
        <x:v>0</x:v>
      </x:c>
    </x:row>
    <x:row r="48" s="51" customFormat="1" ht="15" customHeight="1">
      <x:c r="A48" s="73" t="n">
        <x:v>40</x:v>
      </x:c>
      <x:c r="B48" s="84" t="inlineStr">
        <x:is>
          <x:t xml:space="preserve">State</x:t>
        </x:is>
      </x:c>
      <x:c r="C48" s="84" t="inlineStr">
        <x:is>
          <x:t xml:space="preserve">Item</x:t>
        </x:is>
      </x:c>
      <x:c r="D48" s="84" t="inlineStr">
        <x:is>
          <x:t xml:space="preserve">checked and highlighted states remain independent</x:t>
        </x:is>
      </x:c>
      <x:c r="E48" s="76" t="inlineStr">
        <x:is>
          <x:t xml:space="preserve">yes</x:t>
        </x:is>
      </x:c>
      <x:c r="F48" s="76" t="inlineStr">
        <x:is>
          <x:t xml:space="preserve">no</x:t>
        </x:is>
      </x:c>
      <x:c r="G48" s="73" t="inlineStr">
        <x:is>
          <x:t xml:space="preserve">pending manual test</x:t>
        </x:is>
      </x:c>
      <x:c r="H48" s="92" t="inlineStr">
        <x:is>
          <x:t xml:space="preserve">untested</x:t>
        </x:is>
      </x:c>
      <x:c r="I48" s="84" t="inlineStr">
        <x:is>
          <x:t xml:space="preserve">MultiSelect playground and draft manual protocol.</x:t>
        </x:is>
      </x:c>
      <x:c r="J48" s="84" t="inlineStr">
        <x:is>
          <x:t xml:space="preserve">Run playground/.manual-tests/multi-select.md.</x:t>
        </x:is>
      </x:c>
      <x:c r="K48" s="87" t="n">
        <x:f>IF(AND(E48="yes",F48="yes",H48="covered"),1,IF(H48="partial",0.5,0))</x:f>
        <x:v>0</x:v>
      </x:c>
    </x:row>
    <x:row r="49" s="51" customFormat="1" ht="15" customHeight="1">
      <x:c r="A49" s="73" t="n">
        <x:v>41</x:v>
      </x:c>
      <x:c r="B49" s="84" t="inlineStr">
        <x:is>
          <x:t xml:space="preserve">State</x:t>
        </x:is>
      </x:c>
      <x:c r="C49" s="84" t="inlineStr">
        <x:is>
          <x:t xml:space="preserve">Item</x:t>
        </x:is>
      </x:c>
      <x:c r="D49" s="84" t="inlineStr">
        <x:is>
          <x:t xml:space="preserve">disabled Research is skipped and cannot toggle</x:t>
        </x:is>
      </x:c>
      <x:c r="E49" s="76" t="inlineStr">
        <x:is>
          <x:t xml:space="preserve">yes</x:t>
        </x:is>
      </x:c>
      <x:c r="F49" s="76" t="inlineStr">
        <x:is>
          <x:t xml:space="preserve">no</x:t>
        </x:is>
      </x:c>
      <x:c r="G49" s="73" t="inlineStr">
        <x:is>
          <x:t xml:space="preserve">pending manual test</x:t>
        </x:is>
      </x:c>
      <x:c r="H49" s="92" t="inlineStr">
        <x:is>
          <x:t xml:space="preserve">untested</x:t>
        </x:is>
      </x:c>
      <x:c r="I49" s="84" t="inlineStr">
        <x:is>
          <x:t xml:space="preserve">MultiSelect playground and draft manual protocol.</x:t>
        </x:is>
      </x:c>
      <x:c r="J49" s="84" t="inlineStr">
        <x:is>
          <x:t xml:space="preserve">Run playground/.manual-tests/multi-select.md.</x:t>
        </x:is>
      </x:c>
      <x:c r="K49" s="87" t="n">
        <x:f>IF(AND(E49="yes",F49="yes",H49="covered"),1,IF(H49="partial",0.5,0))</x:f>
        <x:v>0</x:v>
      </x:c>
    </x:row>
    <x:row r="50" s="51" customFormat="1" ht="15" customHeight="1">
      <x:c r="A50" s="73" t="n">
        <x:v>42</x:v>
      </x:c>
      <x:c r="B50" s="84" t="inlineStr">
        <x:is>
          <x:t xml:space="preserve">Anatomy</x:t>
        </x:is>
      </x:c>
      <x:c r="C50" s="84" t="inlineStr">
        <x:is>
          <x:t xml:space="preserve">ItemText</x:t>
        </x:is>
      </x:c>
      <x:c r="D50" s="84" t="inlineStr">
        <x:is>
          <x:t xml:space="preserve">provides the collected visible label</x:t>
        </x:is>
      </x:c>
      <x:c r="E50" s="76" t="inlineStr">
        <x:is>
          <x:t xml:space="preserve">yes</x:t>
        </x:is>
      </x:c>
      <x:c r="F50" s="76" t="inlineStr">
        <x:is>
          <x:t xml:space="preserve">no</x:t>
        </x:is>
      </x:c>
      <x:c r="G50" s="73" t="inlineStr">
        <x:is>
          <x:t xml:space="preserve">pending manual test</x:t>
        </x:is>
      </x:c>
      <x:c r="H50" s="92" t="inlineStr">
        <x:is>
          <x:t xml:space="preserve">untested</x:t>
        </x:is>
      </x:c>
      <x:c r="I50" s="84" t="inlineStr">
        <x:is>
          <x:t xml:space="preserve">MultiSelect playground and draft manual protocol.</x:t>
        </x:is>
      </x:c>
      <x:c r="J50" s="84" t="inlineStr">
        <x:is>
          <x:t xml:space="preserve">Run playground/.manual-tests/multi-select.md.</x:t>
        </x:is>
      </x:c>
      <x:c r="K50" s="87" t="n">
        <x:f>IF(AND(E50="yes",F50="yes",H50="covered"),1,IF(H50="partial",0.5,0))</x:f>
        <x:v>0</x:v>
      </x:c>
    </x:row>
    <x:row r="51" s="51" customFormat="1" ht="15" customHeight="1">
      <x:c r="A51" s="73" t="n">
        <x:v>43</x:v>
      </x:c>
      <x:c r="B51" s="84" t="inlineStr">
        <x:is>
          <x:t xml:space="preserve">Anatomy</x:t>
        </x:is>
      </x:c>
      <x:c r="C51" s="84" t="inlineStr">
        <x:is>
          <x:t xml:space="preserve">ItemIndicator</x:t>
        </x:is>
      </x:c>
      <x:c r="D51" s="84" t="inlineStr">
        <x:is>
          <x:t xml:space="preserve">appears for every selected Item</x:t>
        </x:is>
      </x:c>
      <x:c r="E51" s="76" t="inlineStr">
        <x:is>
          <x:t xml:space="preserve">yes</x:t>
        </x:is>
      </x:c>
      <x:c r="F51" s="76" t="inlineStr">
        <x:is>
          <x:t xml:space="preserve">no</x:t>
        </x:is>
      </x:c>
      <x:c r="G51" s="73" t="inlineStr">
        <x:is>
          <x:t xml:space="preserve">pending manual test</x:t>
        </x:is>
      </x:c>
      <x:c r="H51" s="92" t="inlineStr">
        <x:is>
          <x:t xml:space="preserve">untested</x:t>
        </x:is>
      </x:c>
      <x:c r="I51" s="84" t="inlineStr">
        <x:is>
          <x:t xml:space="preserve">MultiSelect playground and draft manual protocol.</x:t>
        </x:is>
      </x:c>
      <x:c r="J51" s="84" t="inlineStr">
        <x:is>
          <x:t xml:space="preserve">Run playground/.manual-tests/multi-select.md.</x:t>
        </x:is>
      </x:c>
      <x:c r="K51" s="87" t="n">
        <x:f>IF(AND(E51="yes",F51="yes",H51="covered"),1,IF(H51="partial",0.5,0))</x:f>
        <x:v>0</x:v>
      </x:c>
    </x:row>
    <x:row r="52" s="51" customFormat="1" ht="15" customHeight="1">
      <x:c r="A52" s="73" t="n">
        <x:v>44</x:v>
      </x:c>
      <x:c r="B52" s="84" t="inlineStr">
        <x:is>
          <x:t xml:space="preserve">Anatomy</x:t>
        </x:is>
      </x:c>
      <x:c r="C52" s="84" t="inlineStr">
        <x:is>
          <x:t xml:space="preserve">Arrow</x:t>
        </x:is>
      </x:c>
      <x:c r="D52" s="84" t="inlineStr">
        <x:is>
          <x:t xml:space="preserve">shares resolved side and alignment with Content</x:t>
        </x:is>
      </x:c>
      <x:c r="E52" s="76" t="inlineStr">
        <x:is>
          <x:t xml:space="preserve">yes</x:t>
        </x:is>
      </x:c>
      <x:c r="F52" s="76" t="inlineStr">
        <x:is>
          <x:t xml:space="preserve">no</x:t>
        </x:is>
      </x:c>
      <x:c r="G52" s="73" t="inlineStr">
        <x:is>
          <x:t xml:space="preserve">pending manual test</x:t>
        </x:is>
      </x:c>
      <x:c r="H52" s="92" t="inlineStr">
        <x:is>
          <x:t xml:space="preserve">untested</x:t>
        </x:is>
      </x:c>
      <x:c r="I52" s="84" t="inlineStr">
        <x:is>
          <x:t xml:space="preserve">MultiSelect playground and draft manual protocol.</x:t>
        </x:is>
      </x:c>
      <x:c r="J52" s="84" t="inlineStr">
        <x:is>
          <x:t xml:space="preserve">Run playground/.manual-tests/multi-select.md.</x:t>
        </x:is>
      </x:c>
      <x:c r="K52" s="87" t="n">
        <x:f>IF(AND(E52="yes",F52="yes",H52="covered"),1,IF(H52="partial",0.5,0))</x:f>
        <x:v>0</x:v>
      </x:c>
    </x:row>
    <x:row r="53" s="51" customFormat="1" ht="15" customHeight="1">
      <x:c r="A53" s="73" t="n">
        <x:v>45</x:v>
      </x:c>
      <x:c r="B53" s="84" t="inlineStr">
        <x:is>
          <x:t xml:space="preserve">Keyboard</x:t>
        </x:is>
      </x:c>
      <x:c r="C53" s="84" t="inlineStr">
        <x:is>
          <x:t xml:space="preserve">Content</x:t>
        </x:is>
      </x:c>
      <x:c r="D53" s="84" t="inlineStr">
        <x:is>
          <x:t xml:space="preserve">Arrow keys move highlight and wrap enabled options</x:t>
        </x:is>
      </x:c>
      <x:c r="E53" s="76" t="inlineStr">
        <x:is>
          <x:t xml:space="preserve">yes</x:t>
        </x:is>
      </x:c>
      <x:c r="F53" s="76" t="inlineStr">
        <x:is>
          <x:t xml:space="preserve">no</x:t>
        </x:is>
      </x:c>
      <x:c r="G53" s="73" t="inlineStr">
        <x:is>
          <x:t xml:space="preserve">pending manual test</x:t>
        </x:is>
      </x:c>
      <x:c r="H53" s="92" t="inlineStr">
        <x:is>
          <x:t xml:space="preserve">untested</x:t>
        </x:is>
      </x:c>
      <x:c r="I53" s="84" t="inlineStr">
        <x:is>
          <x:t xml:space="preserve">MultiSelect playground and draft manual protocol.</x:t>
        </x:is>
      </x:c>
      <x:c r="J53" s="84" t="inlineStr">
        <x:is>
          <x:t xml:space="preserve">Run playground/.manual-tests/multi-select.md.</x:t>
        </x:is>
      </x:c>
      <x:c r="K53" s="87" t="n">
        <x:f>IF(AND(E53="yes",F53="yes",H53="covered"),1,IF(H53="partial",0.5,0))</x:f>
        <x:v>0</x:v>
      </x:c>
    </x:row>
    <x:row r="54" s="51" customFormat="1" ht="15" customHeight="1">
      <x:c r="A54" s="73" t="n">
        <x:v>46</x:v>
      </x:c>
      <x:c r="B54" s="84" t="inlineStr">
        <x:is>
          <x:t xml:space="preserve">Keyboard</x:t>
        </x:is>
      </x:c>
      <x:c r="C54" s="84" t="inlineStr">
        <x:is>
          <x:t xml:space="preserve">Content</x:t>
        </x:is>
      </x:c>
      <x:c r="D54" s="84" t="inlineStr">
        <x:is>
          <x:t xml:space="preserve">Home and End move to first and last enabled options</x:t>
        </x:is>
      </x:c>
      <x:c r="E54" s="76" t="inlineStr">
        <x:is>
          <x:t xml:space="preserve">yes</x:t>
        </x:is>
      </x:c>
      <x:c r="F54" s="76" t="inlineStr">
        <x:is>
          <x:t xml:space="preserve">no</x:t>
        </x:is>
      </x:c>
      <x:c r="G54" s="73" t="inlineStr">
        <x:is>
          <x:t xml:space="preserve">pending manual test</x:t>
        </x:is>
      </x:c>
      <x:c r="H54" s="92" t="inlineStr">
        <x:is>
          <x:t xml:space="preserve">untested</x:t>
        </x:is>
      </x:c>
      <x:c r="I54" s="84" t="inlineStr">
        <x:is>
          <x:t xml:space="preserve">MultiSelect playground and draft manual protocol.</x:t>
        </x:is>
      </x:c>
      <x:c r="J54" s="84" t="inlineStr">
        <x:is>
          <x:t xml:space="preserve">Run playground/.manual-tests/multi-select.md.</x:t>
        </x:is>
      </x:c>
      <x:c r="K54" s="87" t="n">
        <x:f>IF(AND(E54="yes",F54="yes",H54="covered"),1,IF(H54="partial",0.5,0))</x:f>
        <x:v>0</x:v>
      </x:c>
    </x:row>
    <x:row r="55" s="51" customFormat="1" ht="15" customHeight="1">
      <x:c r="A55" s="73" t="n">
        <x:v>47</x:v>
      </x:c>
      <x:c r="B55" s="84" t="inlineStr">
        <x:is>
          <x:t xml:space="preserve">Keyboard</x:t>
        </x:is>
      </x:c>
      <x:c r="C55" s="84" t="inlineStr">
        <x:is>
          <x:t xml:space="preserve">Content</x:t>
        </x:is>
      </x:c>
      <x:c r="D55" s="84" t="inlineStr">
        <x:is>
          <x:t xml:space="preserve">Space and Enter toggle without closing</x:t>
        </x:is>
      </x:c>
      <x:c r="E55" s="76" t="inlineStr">
        <x:is>
          <x:t xml:space="preserve">yes</x:t>
        </x:is>
      </x:c>
      <x:c r="F55" s="76" t="inlineStr">
        <x:is>
          <x:t xml:space="preserve">no</x:t>
        </x:is>
      </x:c>
      <x:c r="G55" s="73" t="inlineStr">
        <x:is>
          <x:t xml:space="preserve">pending manual test</x:t>
        </x:is>
      </x:c>
      <x:c r="H55" s="92" t="inlineStr">
        <x:is>
          <x:t xml:space="preserve">untested</x:t>
        </x:is>
      </x:c>
      <x:c r="I55" s="84" t="inlineStr">
        <x:is>
          <x:t xml:space="preserve">MultiSelect playground and draft manual protocol.</x:t>
        </x:is>
      </x:c>
      <x:c r="J55" s="84" t="inlineStr">
        <x:is>
          <x:t xml:space="preserve">Run playground/.manual-tests/multi-select.md.</x:t>
        </x:is>
      </x:c>
      <x:c r="K55" s="87" t="n">
        <x:f>IF(AND(E55="yes",F55="yes",H55="covered"),1,IF(H55="partial",0.5,0))</x:f>
        <x:v>0</x:v>
      </x:c>
    </x:row>
    <x:row r="56" s="51" customFormat="1" ht="15" customHeight="1">
      <x:c r="A56" s="73" t="n">
        <x:v>48</x:v>
      </x:c>
      <x:c r="B56" s="84" t="inlineStr">
        <x:is>
          <x:t xml:space="preserve">Keyboard</x:t>
        </x:is>
      </x:c>
      <x:c r="C56" s="84" t="inlineStr">
        <x:is>
          <x:t xml:space="preserve">Content</x:t>
        </x:is>
      </x:c>
      <x:c r="D56" s="84" t="inlineStr">
        <x:is>
          <x:t xml:space="preserve">buffered typeahead matches Item labels</x:t>
        </x:is>
      </x:c>
      <x:c r="E56" s="76" t="inlineStr">
        <x:is>
          <x:t xml:space="preserve">yes</x:t>
        </x:is>
      </x:c>
      <x:c r="F56" s="76" t="inlineStr">
        <x:is>
          <x:t xml:space="preserve">no</x:t>
        </x:is>
      </x:c>
      <x:c r="G56" s="73" t="inlineStr">
        <x:is>
          <x:t xml:space="preserve">pending manual test</x:t>
        </x:is>
      </x:c>
      <x:c r="H56" s="92" t="inlineStr">
        <x:is>
          <x:t xml:space="preserve">untested</x:t>
        </x:is>
      </x:c>
      <x:c r="I56" s="84" t="inlineStr">
        <x:is>
          <x:t xml:space="preserve">MultiSelect playground and draft manual protocol.</x:t>
        </x:is>
      </x:c>
      <x:c r="J56" s="84" t="inlineStr">
        <x:is>
          <x:t xml:space="preserve">Run playground/.manual-tests/multi-select.md.</x:t>
        </x:is>
      </x:c>
      <x:c r="K56" s="87" t="n">
        <x:f>IF(AND(E56="yes",F56="yes",H56="covered"),1,IF(H56="partial",0.5,0))</x:f>
        <x:v>0</x:v>
      </x:c>
    </x:row>
    <x:row r="57" s="51" customFormat="1" ht="15" customHeight="1">
      <x:c r="A57" s="73" t="n">
        <x:v>49</x:v>
      </x:c>
      <x:c r="B57" s="84" t="inlineStr">
        <x:is>
          <x:t xml:space="preserve">Keyboard</x:t>
        </x:is>
      </x:c>
      <x:c r="C57" s="84" t="inlineStr">
        <x:is>
          <x:t xml:space="preserve">Content</x:t>
        </x:is>
      </x:c>
      <x:c r="D57" s="84" t="inlineStr">
        <x:is>
          <x:t xml:space="preserve">Escape closes and restores Trigger focus</x:t>
        </x:is>
      </x:c>
      <x:c r="E57" s="76" t="inlineStr">
        <x:is>
          <x:t xml:space="preserve">yes</x:t>
        </x:is>
      </x:c>
      <x:c r="F57" s="76" t="inlineStr">
        <x:is>
          <x:t xml:space="preserve">no</x:t>
        </x:is>
      </x:c>
      <x:c r="G57" s="73" t="inlineStr">
        <x:is>
          <x:t xml:space="preserve">pending manual test</x:t>
        </x:is>
      </x:c>
      <x:c r="H57" s="92" t="inlineStr">
        <x:is>
          <x:t xml:space="preserve">untested</x:t>
        </x:is>
      </x:c>
      <x:c r="I57" s="84" t="inlineStr">
        <x:is>
          <x:t xml:space="preserve">MultiSelect playground and draft manual protocol.</x:t>
        </x:is>
      </x:c>
      <x:c r="J57" s="84" t="inlineStr">
        <x:is>
          <x:t xml:space="preserve">Run playground/.manual-tests/multi-select.md.</x:t>
        </x:is>
      </x:c>
      <x:c r="K57" s="87" t="n">
        <x:f>IF(AND(E57="yes",F57="yes",H57="covered"),1,IF(H57="partial",0.5,0))</x:f>
        <x:v>0</x:v>
      </x:c>
    </x:row>
    <x:row r="58" s="51" customFormat="1" ht="15" customHeight="1">
      <x:c r="A58" s="73" t="n">
        <x:v>50</x:v>
      </x:c>
      <x:c r="B58" s="84" t="inlineStr">
        <x:is>
          <x:t xml:space="preserve">Keyboard</x:t>
        </x:is>
      </x:c>
      <x:c r="C58" s="84" t="inlineStr">
        <x:is>
          <x:t xml:space="preserve">Content</x:t>
        </x:is>
      </x:c>
      <x:c r="D58" s="84" t="inlineStr">
        <x:is>
          <x:t xml:space="preserve">Tab closes and continues normal focus order</x:t>
        </x:is>
      </x:c>
      <x:c r="E58" s="76" t="inlineStr">
        <x:is>
          <x:t xml:space="preserve">yes</x:t>
        </x:is>
      </x:c>
      <x:c r="F58" s="76" t="inlineStr">
        <x:is>
          <x:t xml:space="preserve">no</x:t>
        </x:is>
      </x:c>
      <x:c r="G58" s="73" t="inlineStr">
        <x:is>
          <x:t xml:space="preserve">pending manual test</x:t>
        </x:is>
      </x:c>
      <x:c r="H58" s="92" t="inlineStr">
        <x:is>
          <x:t xml:space="preserve">untested</x:t>
        </x:is>
      </x:c>
      <x:c r="I58" s="84" t="inlineStr">
        <x:is>
          <x:t xml:space="preserve">MultiSelect playground and draft manual protocol.</x:t>
        </x:is>
      </x:c>
      <x:c r="J58" s="84" t="inlineStr">
        <x:is>
          <x:t xml:space="preserve">Run playground/.manual-tests/multi-select.md.</x:t>
        </x:is>
      </x:c>
      <x:c r="K58" s="87" t="n">
        <x:f>IF(AND(E58="yes",F58="yes",H58="covered"),1,IF(H58="partial",0.5,0))</x:f>
        <x:v>0</x:v>
      </x:c>
    </x:row>
    <x:row r="59" s="51" customFormat="1" ht="15" customHeight="1">
      <x:c r="A59" s="73" t="n">
        <x:v>51</x:v>
      </x:c>
      <x:c r="B59" s="84" t="inlineStr">
        <x:is>
          <x:t xml:space="preserve">Pointer</x:t>
        </x:is>
      </x:c>
      <x:c r="C59" s="84" t="inlineStr">
        <x:is>
          <x:t xml:space="preserve">Item</x:t>
        </x:is>
      </x:c>
      <x:c r="D59" s="84" t="inlineStr">
        <x:is>
          <x:t xml:space="preserve">pointer activation toggles without closing</x:t>
        </x:is>
      </x:c>
      <x:c r="E59" s="76" t="inlineStr">
        <x:is>
          <x:t xml:space="preserve">yes</x:t>
        </x:is>
      </x:c>
      <x:c r="F59" s="76" t="inlineStr">
        <x:is>
          <x:t xml:space="preserve">no</x:t>
        </x:is>
      </x:c>
      <x:c r="G59" s="73" t="inlineStr">
        <x:is>
          <x:t xml:space="preserve">pending manual test</x:t>
        </x:is>
      </x:c>
      <x:c r="H59" s="92" t="inlineStr">
        <x:is>
          <x:t xml:space="preserve">untested</x:t>
        </x:is>
      </x:c>
      <x:c r="I59" s="84" t="inlineStr">
        <x:is>
          <x:t xml:space="preserve">MultiSelect playground and draft manual protocol.</x:t>
        </x:is>
      </x:c>
      <x:c r="J59" s="84" t="inlineStr">
        <x:is>
          <x:t xml:space="preserve">Run playground/.manual-tests/multi-select.md.</x:t>
        </x:is>
      </x:c>
      <x:c r="K59" s="87" t="n">
        <x:f>IF(AND(E59="yes",F59="yes",H59="covered"),1,IF(H59="partial",0.5,0))</x:f>
        <x:v>0</x:v>
      </x:c>
    </x:row>
    <x:row r="60" s="51" customFormat="1" ht="15" customHeight="1">
      <x:c r="A60" s="73" t="n">
        <x:v>52</x:v>
      </x:c>
      <x:c r="B60" s="84" t="inlineStr">
        <x:is>
          <x:t xml:space="preserve">Pointer</x:t>
        </x:is>
      </x:c>
      <x:c r="C60" s="84" t="inlineStr">
        <x:is>
          <x:t xml:space="preserve">Content</x:t>
        </x:is>
      </x:c>
      <x:c r="D60" s="84" t="inlineStr">
        <x:is>
          <x:t xml:space="preserve">outside click closes without swallowing activation</x:t>
        </x:is>
      </x:c>
      <x:c r="E60" s="76" t="inlineStr">
        <x:is>
          <x:t xml:space="preserve">yes</x:t>
        </x:is>
      </x:c>
      <x:c r="F60" s="76" t="inlineStr">
        <x:is>
          <x:t xml:space="preserve">no</x:t>
        </x:is>
      </x:c>
      <x:c r="G60" s="73" t="inlineStr">
        <x:is>
          <x:t xml:space="preserve">pending manual test</x:t>
        </x:is>
      </x:c>
      <x:c r="H60" s="92" t="inlineStr">
        <x:is>
          <x:t xml:space="preserve">untested</x:t>
        </x:is>
      </x:c>
      <x:c r="I60" s="84" t="inlineStr">
        <x:is>
          <x:t xml:space="preserve">MultiSelect playground and draft manual protocol.</x:t>
        </x:is>
      </x:c>
      <x:c r="J60" s="84" t="inlineStr">
        <x:is>
          <x:t xml:space="preserve">Run playground/.manual-tests/multi-select.md.</x:t>
        </x:is>
      </x:c>
      <x:c r="K60" s="87" t="n">
        <x:f>IF(AND(E60="yes",F60="yes",H60="covered"),1,IF(H60="partial",0.5,0))</x:f>
        <x:v>0</x:v>
      </x:c>
    </x:row>
    <x:row r="61" s="51" customFormat="1" ht="15" customHeight="1">
      <x:c r="A61" s="73" t="n">
        <x:v>53</x:v>
      </x:c>
      <x:c r="B61" s="84" t="inlineStr">
        <x:is>
          <x:t xml:space="preserve">Touch</x:t>
        </x:is>
      </x:c>
      <x:c r="C61" s="84" t="inlineStr">
        <x:is>
          <x:t xml:space="preserve">Content</x:t>
        </x:is>
      </x:c>
      <x:c r="D61" s="84" t="inlineStr">
        <x:is>
          <x:t xml:space="preserve">plain outside tap dismisses after release</x:t>
        </x:is>
      </x:c>
      <x:c r="E61" s="76" t="inlineStr">
        <x:is>
          <x:t xml:space="preserve">yes</x:t>
        </x:is>
      </x:c>
      <x:c r="F61" s="76" t="inlineStr">
        <x:is>
          <x:t xml:space="preserve">no</x:t>
        </x:is>
      </x:c>
      <x:c r="G61" s="73" t="inlineStr">
        <x:is>
          <x:t xml:space="preserve">pending manual test</x:t>
        </x:is>
      </x:c>
      <x:c r="H61" s="92" t="inlineStr">
        <x:is>
          <x:t xml:space="preserve">untested</x:t>
        </x:is>
      </x:c>
      <x:c r="I61" s="84" t="inlineStr">
        <x:is>
          <x:t xml:space="preserve">MultiSelect playground and draft manual protocol.</x:t>
        </x:is>
      </x:c>
      <x:c r="J61" s="84" t="inlineStr">
        <x:is>
          <x:t xml:space="preserve">Run playground/.manual-tests/multi-select.md.</x:t>
        </x:is>
      </x:c>
      <x:c r="K61" s="87" t="n">
        <x:f>IF(AND(E61="yes",F61="yes",H61="covered"),1,IF(H61="partial",0.5,0))</x:f>
        <x:v>0</x:v>
      </x:c>
    </x:row>
    <x:row r="62" s="51" customFormat="1" ht="15" customHeight="1">
      <x:c r="A62" s="73" t="n">
        <x:v>54</x:v>
      </x:c>
      <x:c r="B62" s="84" t="inlineStr">
        <x:is>
          <x:t xml:space="preserve">Touch</x:t>
        </x:is>
      </x:c>
      <x:c r="C62" s="84" t="inlineStr">
        <x:is>
          <x:t xml:space="preserve">Content</x:t>
        </x:is>
      </x:c>
      <x:c r="D62" s="84" t="inlineStr">
        <x:is>
          <x:t xml:space="preserve">drag, scroll, and cancellation do not become taps</x:t>
        </x:is>
      </x:c>
      <x:c r="E62" s="76" t="inlineStr">
        <x:is>
          <x:t xml:space="preserve">yes</x:t>
        </x:is>
      </x:c>
      <x:c r="F62" s="76" t="inlineStr">
        <x:is>
          <x:t xml:space="preserve">no</x:t>
        </x:is>
      </x:c>
      <x:c r="G62" s="73" t="inlineStr">
        <x:is>
          <x:t xml:space="preserve">pending manual test</x:t>
        </x:is>
      </x:c>
      <x:c r="H62" s="92" t="inlineStr">
        <x:is>
          <x:t xml:space="preserve">untested</x:t>
        </x:is>
      </x:c>
      <x:c r="I62" s="84" t="inlineStr">
        <x:is>
          <x:t xml:space="preserve">MultiSelect playground and draft manual protocol.</x:t>
        </x:is>
      </x:c>
      <x:c r="J62" s="84" t="inlineStr">
        <x:is>
          <x:t xml:space="preserve">Run playground/.manual-tests/multi-select.md.</x:t>
        </x:is>
      </x:c>
      <x:c r="K62" s="87" t="n">
        <x:f>IF(AND(E62="yes",F62="yes",H62="covered"),1,IF(H62="partial",0.5,0))</x:f>
        <x:v>0</x:v>
      </x:c>
    </x:row>
    <x:row r="63" s="51" customFormat="1" ht="15" customHeight="1">
      <x:c r="A63" s="73" t="n">
        <x:v>55</x:v>
      </x:c>
      <x:c r="B63" s="84" t="inlineStr">
        <x:is>
          <x:t xml:space="preserve">Props</x:t>
        </x:is>
      </x:c>
      <x:c r="C63" s="84" t="inlineStr">
        <x:is>
          <x:t xml:space="preserve">Trigger</x:t>
        </x:is>
      </x:c>
      <x:c r="D63" s="84" t="inlineStr">
        <x:is>
          <x:t xml:space="preserve">native props and ref reach Trigger</x:t>
        </x:is>
      </x:c>
      <x:c r="E63" s="76" t="inlineStr">
        <x:is>
          <x:t xml:space="preserve">yes</x:t>
        </x:is>
      </x:c>
      <x:c r="F63" s="76" t="inlineStr">
        <x:is>
          <x:t xml:space="preserve">no</x:t>
        </x:is>
      </x:c>
      <x:c r="G63" s="73" t="inlineStr">
        <x:is>
          <x:t xml:space="preserve">pending manual test</x:t>
        </x:is>
      </x:c>
      <x:c r="H63" s="92" t="inlineStr">
        <x:is>
          <x:t xml:space="preserve">untested</x:t>
        </x:is>
      </x:c>
      <x:c r="I63" s="84" t="inlineStr">
        <x:is>
          <x:t xml:space="preserve">MultiSelect playground and draft manual protocol.</x:t>
        </x:is>
      </x:c>
      <x:c r="J63" s="84" t="inlineStr">
        <x:is>
          <x:t xml:space="preserve">Run playground/.manual-tests/multi-select.md.</x:t>
        </x:is>
      </x:c>
      <x:c r="K63" s="87" t="n">
        <x:f>IF(AND(E63="yes",F63="yes",H63="covered"),1,IF(H63="partial",0.5,0))</x:f>
        <x:v>0</x:v>
      </x:c>
    </x:row>
    <x:row r="64" s="51" customFormat="1" ht="15" customHeight="1">
      <x:c r="A64" s="73" t="n">
        <x:v>56</x:v>
      </x:c>
      <x:c r="B64" s="84" t="inlineStr">
        <x:is>
          <x:t xml:space="preserve">Props</x:t>
        </x:is>
      </x:c>
      <x:c r="C64" s="84" t="inlineStr">
        <x:is>
          <x:t xml:space="preserve">Content</x:t>
        </x:is>
      </x:c>
      <x:c r="D64" s="84" t="inlineStr">
        <x:is>
          <x:t xml:space="preserve">native props and ref reach Content</x:t>
        </x:is>
      </x:c>
      <x:c r="E64" s="76" t="inlineStr">
        <x:is>
          <x:t xml:space="preserve">yes</x:t>
        </x:is>
      </x:c>
      <x:c r="F64" s="76" t="inlineStr">
        <x:is>
          <x:t xml:space="preserve">no</x:t>
        </x:is>
      </x:c>
      <x:c r="G64" s="73" t="inlineStr">
        <x:is>
          <x:t xml:space="preserve">pending manual test</x:t>
        </x:is>
      </x:c>
      <x:c r="H64" s="92" t="inlineStr">
        <x:is>
          <x:t xml:space="preserve">untested</x:t>
        </x:is>
      </x:c>
      <x:c r="I64" s="84" t="inlineStr">
        <x:is>
          <x:t xml:space="preserve">MultiSelect playground and draft manual protocol.</x:t>
        </x:is>
      </x:c>
      <x:c r="J64" s="84" t="inlineStr">
        <x:is>
          <x:t xml:space="preserve">Run playground/.manual-tests/multi-select.md.</x:t>
        </x:is>
      </x:c>
      <x:c r="K64" s="87" t="n">
        <x:f>IF(AND(E64="yes",F64="yes",H64="covered"),1,IF(H64="partial",0.5,0))</x:f>
        <x:v>0</x:v>
      </x:c>
    </x:row>
    <x:row r="65" s="51" customFormat="1" ht="15" customHeight="1">
      <x:c r="A65" s="73" t="n">
        <x:v>57</x:v>
      </x:c>
      <x:c r="B65" s="84" t="inlineStr">
        <x:is>
          <x:t xml:space="preserve">Props</x:t>
        </x:is>
      </x:c>
      <x:c r="C65" s="84" t="inlineStr">
        <x:is>
          <x:t xml:space="preserve">Item</x:t>
        </x:is>
      </x:c>
      <x:c r="D65" s="84" t="inlineStr">
        <x:is>
          <x:t xml:space="preserve">native props and ref reach every Item</x:t>
        </x:is>
      </x:c>
      <x:c r="E65" s="76" t="inlineStr">
        <x:is>
          <x:t xml:space="preserve">yes</x:t>
        </x:is>
      </x:c>
      <x:c r="F65" s="76" t="inlineStr">
        <x:is>
          <x:t xml:space="preserve">no</x:t>
        </x:is>
      </x:c>
      <x:c r="G65" s="73" t="inlineStr">
        <x:is>
          <x:t xml:space="preserve">pending manual test</x:t>
        </x:is>
      </x:c>
      <x:c r="H65" s="92" t="inlineStr">
        <x:is>
          <x:t xml:space="preserve">untested</x:t>
        </x:is>
      </x:c>
      <x:c r="I65" s="84" t="inlineStr">
        <x:is>
          <x:t xml:space="preserve">MultiSelect playground and draft manual protocol.</x:t>
        </x:is>
      </x:c>
      <x:c r="J65" s="84" t="inlineStr">
        <x:is>
          <x:t xml:space="preserve">Run playground/.manual-tests/multi-select.md.</x:t>
        </x:is>
      </x:c>
      <x:c r="K65" s="87" t="n">
        <x:f>IF(AND(E65="yes",F65="yes",H65="covered"),1,IF(H65="partial",0.5,0))</x:f>
        <x:v>0</x:v>
      </x:c>
    </x:row>
    <x:row r="66" s="51" customFormat="1" ht="45" customHeight="1">
      <x:c r="A66" s="73" t="n">
        <x:v>58</x:v>
      </x:c>
      <x:c r="B66" s="84" t="inlineStr">
        <x:is>
          <x:t xml:space="preserve">Slots</x:t>
        </x:is>
      </x:c>
      <x:c r="C66" s="84" t="inlineStr">
        <x:is>
          <x:t xml:space="preserve">Trigger</x:t>
        </x:is>
      </x:c>
      <x:c r="D66" s="84" t="inlineStr">
        <x:is>
          <x:t xml:space="preserve">custom data-slot override is observable</x:t>
        </x:is>
      </x:c>
      <x:c r="E66" s="76" t="inlineStr">
        <x:is>
          <x:t xml:space="preserve">yes</x:t>
        </x:is>
      </x:c>
      <x:c r="F66" s="76" t="inlineStr">
        <x:is>
          <x:t xml:space="preserve">no</x:t>
        </x:is>
      </x:c>
      <x:c r="G66" s="73" t="inlineStr">
        <x:is>
          <x:t xml:space="preserve">pending manual test</x:t>
        </x:is>
      </x:c>
      <x:c r="H66" s="92" t="inlineStr">
        <x:is>
          <x:t xml:space="preserve">untested</x:t>
        </x:is>
      </x:c>
      <x:c r="I66" s="84" t="inlineStr">
        <x:is>
          <x:t xml:space="preserve">MultiSelect playground and draft manual protocol.</x:t>
        </x:is>
      </x:c>
      <x:c r="J66" s="84" t="inlineStr">
        <x:is>
          <x:t xml:space="preserve">Run playground/.manual-tests/multi-select.md.</x:t>
        </x:is>
      </x:c>
      <x:c r="K66" s="87" t="n">
        <x:f>IF(AND(E66="yes",F66="yes",H66="covered"),1,IF(H66="partial",0.5,0))</x:f>
        <x:v>0</x:v>
      </x:c>
    </x:row>
    <x:row r="67" s="51" customFormat="1" ht="15" customHeight="1">
      <x:c r="A67" s="73" t="n">
        <x:v>59</x:v>
      </x:c>
      <x:c r="B67" s="84" t="inlineStr">
        <x:is>
          <x:t xml:space="preserve">Slots</x:t>
        </x:is>
      </x:c>
      <x:c r="C67" s="84" t="inlineStr">
        <x:is>
          <x:t xml:space="preserve">Content</x:t>
        </x:is>
      </x:c>
      <x:c r="D67" s="84" t="inlineStr">
        <x:is>
          <x:t xml:space="preserve">custom data-slot override is observable</x:t>
        </x:is>
      </x:c>
      <x:c r="E67" s="76" t="inlineStr">
        <x:is>
          <x:t xml:space="preserve">yes</x:t>
        </x:is>
      </x:c>
      <x:c r="F67" s="76" t="inlineStr">
        <x:is>
          <x:t xml:space="preserve">no</x:t>
        </x:is>
      </x:c>
      <x:c r="G67" s="73" t="inlineStr">
        <x:is>
          <x:t xml:space="preserve">pending manual test</x:t>
        </x:is>
      </x:c>
      <x:c r="H67" s="92" t="inlineStr">
        <x:is>
          <x:t xml:space="preserve">untested</x:t>
        </x:is>
      </x:c>
      <x:c r="I67" s="84" t="inlineStr">
        <x:is>
          <x:t xml:space="preserve">MultiSelect playground and draft manual protocol.</x:t>
        </x:is>
      </x:c>
      <x:c r="J67" s="84" t="inlineStr">
        <x:is>
          <x:t xml:space="preserve">Run playground/.manual-tests/multi-select.md.</x:t>
        </x:is>
      </x:c>
      <x:c r="K67" s="87" t="n">
        <x:f>IF(AND(E67="yes",F67="yes",H67="covered"),1,IF(H67="partial",0.5,0))</x:f>
        <x:v>0</x:v>
      </x:c>
    </x:row>
    <x:row r="68" s="51" customFormat="1" ht="15" customHeight="1">
      <x:c r="A68" s="73" t="n">
        <x:v>60</x:v>
      </x:c>
      <x:c r="B68" s="84" t="inlineStr">
        <x:is>
          <x:t xml:space="preserve">Slots</x:t>
        </x:is>
      </x:c>
      <x:c r="C68" s="84" t="inlineStr">
        <x:is>
          <x:t xml:space="preserve">Item</x:t>
        </x:is>
      </x:c>
      <x:c r="D68" s="84" t="inlineStr">
        <x:is>
          <x:t xml:space="preserve">custom data-slot override is observable</x:t>
        </x:is>
      </x:c>
      <x:c r="E68" s="76" t="inlineStr">
        <x:is>
          <x:t xml:space="preserve">yes</x:t>
        </x:is>
      </x:c>
      <x:c r="F68" s="76" t="inlineStr">
        <x:is>
          <x:t xml:space="preserve">no</x:t>
        </x:is>
      </x:c>
      <x:c r="G68" s="73" t="inlineStr">
        <x:is>
          <x:t xml:space="preserve">pending manual test</x:t>
        </x:is>
      </x:c>
      <x:c r="H68" s="92" t="inlineStr">
        <x:is>
          <x:t xml:space="preserve">untested</x:t>
        </x:is>
      </x:c>
      <x:c r="I68" s="84" t="inlineStr">
        <x:is>
          <x:t xml:space="preserve">MultiSelect playground and draft manual protocol.</x:t>
        </x:is>
      </x:c>
      <x:c r="J68" s="84" t="inlineStr">
        <x:is>
          <x:t xml:space="preserve">Run playground/.manual-tests/multi-select.md.</x:t>
        </x:is>
      </x:c>
      <x:c r="K68" s="87" t="n">
        <x:f>IF(AND(E68="yes",F68="yes",H68="covered"),1,IF(H68="partial",0.5,0))</x:f>
        <x:v>0</x:v>
      </x:c>
    </x:row>
    <x:row r="69" s="51" customFormat="1" ht="15" customHeight="1">
      <x:c r="A69" s="73" t="n">
        <x:v>61</x:v>
      </x:c>
      <x:c r="B69" s="84" t="inlineStr">
        <x:is>
          <x:t xml:space="preserve">Composition</x:t>
        </x:is>
      </x:c>
      <x:c r="C69" s="84" t="inlineStr">
        <x:is>
          <x:t xml:space="preserve">Parts</x:t>
        </x:is>
      </x:c>
      <x:c r="D69" s="84" t="inlineStr">
        <x:is>
          <x:t xml:space="preserve">asChild and render preserve Atom props and behavior</x:t>
        </x:is>
      </x:c>
      <x:c r="E69" s="76" t="inlineStr">
        <x:is>
          <x:t xml:space="preserve">yes</x:t>
        </x:is>
      </x:c>
      <x:c r="F69" s="76" t="inlineStr">
        <x:is>
          <x:t xml:space="preserve">no</x:t>
        </x:is>
      </x:c>
      <x:c r="G69" s="73" t="inlineStr">
        <x:is>
          <x:t xml:space="preserve">pending manual test</x:t>
        </x:is>
      </x:c>
      <x:c r="H69" s="92" t="inlineStr">
        <x:is>
          <x:t xml:space="preserve">untested</x:t>
        </x:is>
      </x:c>
      <x:c r="I69" s="84" t="inlineStr">
        <x:is>
          <x:t xml:space="preserve">MultiSelect playground and draft manual protocol.</x:t>
        </x:is>
      </x:c>
      <x:c r="J69" s="84" t="inlineStr">
        <x:is>
          <x:t xml:space="preserve">Run playground/.manual-tests/multi-select.md.</x:t>
        </x:is>
      </x:c>
      <x:c r="K69" s="87" t="n">
        <x:f>IF(AND(E69="yes",F69="yes",H69="covered"),1,IF(H69="partial",0.5,0))</x:f>
        <x:v>0</x:v>
      </x:c>
    </x:row>
    <x:row r="70" s="51" customFormat="1" ht="15" customHeight="1">
      <x:c r="A70" s="73" t="n">
        <x:v>62</x:v>
      </x:c>
      <x:c r="B70" s="84" t="inlineStr">
        <x:is>
          <x:t xml:space="preserve">Field integration</x:t>
        </x:is>
      </x:c>
      <x:c r="C70" s="84" t="inlineStr">
        <x:is>
          <x:t xml:space="preserve">Trigger</x:t>
        </x:is>
      </x:c>
      <x:c r="D70" s="84" t="inlineStr">
        <x:is>
          <x:t xml:space="preserve">inherits label, description, disabled, required, and invalid relationships</x:t>
        </x:is>
      </x:c>
      <x:c r="E70" s="76" t="inlineStr">
        <x:is>
          <x:t xml:space="preserve">yes</x:t>
        </x:is>
      </x:c>
      <x:c r="F70" s="76" t="inlineStr">
        <x:is>
          <x:t xml:space="preserve">no</x:t>
        </x:is>
      </x:c>
      <x:c r="G70" s="73" t="inlineStr">
        <x:is>
          <x:t xml:space="preserve">pending manual test</x:t>
        </x:is>
      </x:c>
      <x:c r="H70" s="92" t="inlineStr">
        <x:is>
          <x:t xml:space="preserve">untested</x:t>
        </x:is>
      </x:c>
      <x:c r="I70" s="84" t="inlineStr">
        <x:is>
          <x:t xml:space="preserve">MultiSelect playground and draft manual protocol.</x:t>
        </x:is>
      </x:c>
      <x:c r="J70" s="84" t="inlineStr">
        <x:is>
          <x:t xml:space="preserve">Run playground/.manual-tests/multi-select.md.</x:t>
        </x:is>
      </x:c>
      <x:c r="K70" s="87" t="n">
        <x:f>IF(AND(E70="yes",F70="yes",H70="covered"),1,IF(H70="partial",0.5,0))</x:f>
        <x:v>0</x:v>
      </x:c>
    </x:row>
    <x:row r="71" s="51" customFormat="1" ht="68" customHeight="1">
      <x:c r="A71" s="137" t="n">
        <x:v>63</x:v>
      </x:c>
      <x:c r="B71" s="137" t="inlineStr">
        <x:is>
          <x:t xml:space="preserve">Selection policy</x:t>
        </x:is>
      </x:c>
      <x:c r="C71" s="137" t="inlineStr">
        <x:is>
          <x:t xml:space="preserve">Root/ClearTrigger</x:t>
        </x:is>
      </x:c>
      <x:c r="D71" s="137" t="inlineStr">
        <x:is>
          <x:t xml:space="preserve">Configured close policy, deselection/clear, disabled/readOnly and focus return.</x:t>
        </x:is>
      </x:c>
      <x:c r="E71" s="137" t="inlineStr">
        <x:is>
          <x:t xml:space="preserve">yes</x:t>
        </x:is>
      </x:c>
      <x:c r="F71" s="137" t="inlineStr">
        <x:is>
          <x:t xml:space="preserve">no</x:t>
        </x:is>
      </x:c>
      <x:c r="G71" s="137" t="inlineStr">
        <x:is>
          <x:t xml:space="preserve">Automated regression passes; manual protocol unperformed</x:t>
        </x:is>
      </x:c>
      <x:c r="H71" s="137" t="inlineStr">
        <x:is>
          <x:t xml:space="preserve">partial</x:t>
        </x:is>
      </x:c>
      <x:c r="I71" s="137" t="inlineStr">
        <x:is>
          <x:t xml:space="preserve">/__tests/select-family; test/browser/select-family-parity.spec.ts</x:t>
        </x:is>
      </x:c>
      <x:c r="J71" s="137" t="inlineStr">
        <x:is>
          <x:t xml:space="preserve">Complete manual protocol; do not infer hardware or screen-reader coverage.</x:t>
        </x:is>
      </x:c>
      <x:c r="K71" s="137" t="n">
        <x:f>IF(AND(E71="yes",F71="yes",H71="covered"),1,IF(H71="partial",0.5,0))</x:f>
        <x:v>0.5</x:v>
      </x:c>
    </x:row>
    <x:row r="72" s="51" customFormat="1" ht="68" customHeight="1">
      <x:c r="A72" s="137" t="n">
        <x:v>64</x:v>
      </x:c>
      <x:c r="B72" s="137" t="inlineStr">
        <x:is>
          <x:t xml:space="preserve">Selection policy</x:t>
        </x:is>
      </x:c>
      <x:c r="C72" s="137" t="inlineStr">
        <x:is>
          <x:t xml:space="preserve">RootProvider/Content</x:t>
        </x:is>
      </x:c>
      <x:c r="D72" s="137" t="inlineStr">
        <x:is>
          <x:t xml:space="preserve">Explicit records submit before opening; stable IDs and retained closed content is hidden/inert.</x:t>
        </x:is>
      </x:c>
      <x:c r="E72" s="137" t="inlineStr">
        <x:is>
          <x:t xml:space="preserve">yes</x:t>
        </x:is>
      </x:c>
      <x:c r="F72" s="137" t="inlineStr">
        <x:is>
          <x:t xml:space="preserve">no</x:t>
        </x:is>
      </x:c>
      <x:c r="G72" s="137" t="inlineStr">
        <x:is>
          <x:t xml:space="preserve">Automated regression passes; manual protocol unperformed</x:t>
        </x:is>
      </x:c>
      <x:c r="H72" s="137" t="inlineStr">
        <x:is>
          <x:t xml:space="preserve">partial</x:t>
        </x:is>
      </x:c>
      <x:c r="I72" s="137" t="inlineStr">
        <x:is>
          <x:t xml:space="preserve">/__tests/select-family; test/browser/select-family-parity.spec.ts</x:t>
        </x:is>
      </x:c>
      <x:c r="J72" s="137" t="inlineStr">
        <x:is>
          <x:t xml:space="preserve">Complete manual protocol; do not infer hardware or screen-reader coverage.</x:t>
        </x:is>
      </x:c>
      <x:c r="K72" s="137" t="n">
        <x:f>IF(AND(E72="yes",F72="yes",H72="covered"),1,IF(H72="partial",0.5,0))</x:f>
        <x:v>0.5</x:v>
      </x:c>
    </x:row>
    <x:row r="73" s="51" customFormat="1" ht="68" customHeight="1">
      <x:c r="A73" s="137" t="n">
        <x:v>65</x:v>
      </x:c>
      <x:c r="B73" s="137" t="inlineStr">
        <x:is>
          <x:t xml:space="preserve">Selection policy</x:t>
        </x:is>
      </x:c>
      <x:c r="C73" s="137" t="inlineStr">
        <x:is>
          <x:t xml:space="preserve">Content</x:t>
        </x:is>
      </x:c>
      <x:c r="D73" s="137" t="inlineStr">
        <x:is>
          <x:t xml:space="preserve">Iframe-local portal/focus and positioned popup-local scrolling without document movement.</x:t>
        </x:is>
      </x:c>
      <x:c r="E73" s="137" t="inlineStr">
        <x:is>
          <x:t xml:space="preserve">yes</x:t>
        </x:is>
      </x:c>
      <x:c r="F73" s="137" t="inlineStr">
        <x:is>
          <x:t xml:space="preserve">no</x:t>
        </x:is>
      </x:c>
      <x:c r="G73" s="137" t="inlineStr">
        <x:is>
          <x:t xml:space="preserve">Automated regression passes; manual protocol unperformed</x:t>
        </x:is>
      </x:c>
      <x:c r="H73" s="137" t="inlineStr">
        <x:is>
          <x:t xml:space="preserve">partial</x:t>
        </x:is>
      </x:c>
      <x:c r="I73" s="137" t="inlineStr">
        <x:is>
          <x:t xml:space="preserve">/__tests/select-family; test/browser/select-family-parity.spec.ts</x:t>
        </x:is>
      </x:c>
      <x:c r="J73" s="137" t="inlineStr">
        <x:is>
          <x:t xml:space="preserve">Complete manual protocol; do not infer hardware or screen-reader coverage.</x:t>
        </x:is>
      </x:c>
      <x:c r="K73" s="137" t="n">
        <x:f>IF(AND(E73="yes",F73="yes",H73="covered"),1,IF(H73="partial",0.5,0))</x:f>
        <x:v>0.5</x:v>
      </x:c>
    </x:row>
    <x:row r="74" s="51" customFormat="1" ht="15" customHeight="1"/>
    <x:row r="75" s="51" customFormat="1" ht="15" customHeight="1"/>
    <x:row r="76" s="51" customFormat="1" ht="15" customHeight="1"/>
    <x:row r="77" s="51" customFormat="1" ht="15" customHeight="1"/>
    <x:row r="78" s="51" customFormat="1" ht="15" customHeight="1"/>
    <x:row r="79" s="51" customFormat="1" ht="15" customHeight="1"/>
    <x:row r="80" s="51" customFormat="1" ht="15" customHeight="1"/>
    <x:row r="81" s="51" customFormat="1" ht="15" customHeight="1"/>
    <x:row r="82" s="51" customFormat="1" ht="15" customHeight="1"/>
    <x:row r="83" s="51" customFormat="1" ht="15" customHeight="1"/>
    <x:row r="84" s="51" customFormat="1" ht="15" customHeight="1"/>
    <x:row r="85" s="51" customFormat="1" ht="15" customHeight="1"/>
    <x:row r="86" s="51" customFormat="1" ht="15" customHeight="1"/>
    <x:row r="87" s="51" customFormat="1" ht="15" customHeight="1"/>
    <x:row r="88" s="51" customFormat="1" ht="15" customHeight="1"/>
    <x:row r="89" s="51" customFormat="1" ht="15" customHeight="1"/>
    <x:row r="90" s="51" customFormat="1" ht="15" customHeight="1"/>
    <x:row r="91" s="51" customFormat="1" ht="15" customHeight="1"/>
    <x:row r="92" s="51" customFormat="1" ht="15" customHeight="1"/>
    <x:row r="93" s="51" customFormat="1" ht="15" customHeight="1"/>
    <x:row r="94" s="51" customFormat="1" ht="45" customHeight="1"/>
    <x:row r="95" s="51" customFormat="1" ht="15" customHeight="1"/>
    <x:row r="96" s="51" customFormat="1" ht="15" customHeight="1"/>
    <x:row r="97" s="51" customFormat="1" ht="15" customHeight="1"/>
    <x:row r="98" s="51" customFormat="1" ht="15" customHeight="1"/>
    <x:row r="99" s="51" customFormat="1" ht="45" customHeight="1"/>
    <x:row r="100" s="51" customFormat="1" ht="15" customHeight="1"/>
    <x:row r="101" s="51" customFormat="1" ht="15" customHeight="1"/>
    <x:row r="102" s="51" customFormat="1" ht="15" customHeight="1"/>
    <x:row r="103" s="51" customFormat="1" ht="15" customHeight="1"/>
    <x:row r="104" s="51" customFormat="1" ht="45" customHeight="1"/>
    <x:row r="105" s="51" customFormat="1" ht="15" customHeight="1"/>
    <x:row r="106" s="51" customFormat="1" ht="15" customHeight="1"/>
    <x:row r="107" s="51" customFormat="1" ht="15" customHeight="1"/>
    <x:row r="108" s="51" customFormat="1" ht="15" customHeight="1"/>
    <x:row r="109" s="51" customFormat="1" ht="45" customHeight="1"/>
    <x:row r="110" s="51" customFormat="1" ht="15" customHeight="1"/>
    <x:row r="111" s="51" customFormat="1" ht="15" customHeight="1"/>
    <x:row r="112" s="51" customFormat="1" ht="15" customHeight="1"/>
    <x:row r="113" s="51" customFormat="1" ht="15" customHeight="1"/>
    <x:row r="114" s="51" customFormat="1" ht="15" customHeight="1"/>
    <x:row r="115" s="51" customFormat="1" ht="15" customHeight="1"/>
    <x:row r="116" s="51" customFormat="1" ht="15" customHeight="1"/>
    <x:row r="117" s="51" customFormat="1" ht="15" customHeight="1"/>
    <x:row r="118" s="51" customFormat="1" ht="15" customHeight="1"/>
    <x:row r="119" s="51" customFormat="1" ht="15" customHeight="1"/>
    <x:row r="120" s="51" customFormat="1" ht="15" customHeight="1"/>
    <x:row r="121" s="51" customFormat="1" ht="15" customHeight="1"/>
    <x:row r="122" s="51" customFormat="1" ht="15" customHeight="1"/>
    <x:row r="123" s="51" customFormat="1" ht="15" customHeight="1"/>
    <x:row r="124" s="51" customFormat="1" ht="15" customHeight="1"/>
    <x:row r="125" s="51" customFormat="1" ht="15" customHeight="1"/>
    <x:row r="126" s="51" customFormat="1" ht="15" customHeight="1"/>
    <x:row r="127" s="51" customFormat="1" ht="15" customHeight="1"/>
    <x:row r="128" s="51" customFormat="1" ht="15" customHeight="1"/>
    <x:row r="129" s="51" customFormat="1" ht="45" customHeight="1"/>
    <x:row r="130" s="51" customFormat="1" ht="15" customHeight="1"/>
    <x:row r="131" s="51" customFormat="1" ht="15" customHeight="1"/>
    <x:row r="132" s="51" customFormat="1" ht="15" customHeight="1"/>
    <x:row r="133" s="51" customFormat="1" ht="15" customHeight="1"/>
    <x:row r="134" s="51" customFormat="1" ht="15" customHeight="1"/>
    <x:row r="135" s="51" customFormat="1" ht="15" customHeight="1"/>
    <x:row r="136" s="51" customFormat="1" ht="15" customHeight="1"/>
    <x:row r="137" s="51" customFormat="1" ht="45" customHeight="1"/>
    <x:row r="138" s="51" customFormat="1" ht="15" customHeight="1"/>
    <x:row r="139" s="51" customFormat="1" ht="15" customHeight="1"/>
    <x:row r="140" s="51" customFormat="1" ht="15" customHeight="1"/>
    <x:row r="141" s="51" customFormat="1" ht="15" customHeight="1"/>
    <x:row r="142" s="51" customFormat="1" ht="15" customHeight="1"/>
    <x:row r="143" s="51" customFormat="1" ht="15" customHeight="1"/>
    <x:row r="144" s="51" customFormat="1" ht="45" customHeight="1"/>
    <x:row r="145" s="51" customFormat="1" ht="15" customHeight="1"/>
    <x:row r="146" s="51" customFormat="1" ht="15" customHeight="1"/>
    <x:row r="147" s="51" customFormat="1" ht="15" customHeight="1"/>
    <x:row r="148" s="51" customFormat="1" ht="15" customHeight="1"/>
    <x:row r="149" s="51" customFormat="1" ht="45" customHeight="1"/>
    <x:row r="150" s="51" customFormat="1" ht="15" customHeight="1"/>
    <x:row r="151" s="51" customFormat="1" ht="15" customHeight="1"/>
    <x:row r="152" s="51" customFormat="1" ht="15" customHeight="1"/>
    <x:row r="153" s="51" customFormat="1" ht="15" customHeight="1"/>
    <x:row r="154" s="51" customFormat="1" ht="15" customHeight="1"/>
    <x:row r="155" s="51" customFormat="1" ht="15" customHeight="1"/>
    <x:row r="156" s="51" customFormat="1" ht="15" customHeight="1"/>
    <x:row r="157" s="51" customFormat="1" ht="45" customHeight="1"/>
    <x:row r="158" s="51" customFormat="1" ht="15" customHeight="1"/>
    <x:row r="159" s="51" customFormat="1" ht="15" customHeight="1"/>
    <x:row r="160" s="51" customFormat="1" ht="15" customHeight="1"/>
    <x:row r="161" s="51" customFormat="1" ht="15" customHeight="1"/>
    <x:row r="162" s="51" customFormat="1" ht="45" customHeight="1"/>
    <x:row r="163" s="51" customFormat="1" ht="15" customHeight="1"/>
    <x:row r="164" s="51" customFormat="1" ht="15" customHeight="1"/>
    <x:row r="165" s="51" customFormat="1" ht="15" customHeight="1"/>
    <x:row r="166" s="51" customFormat="1" ht="15" customHeight="1"/>
    <x:row r="167" s="51" customFormat="1" ht="15" customHeight="1"/>
    <x:row r="168" s="51" customFormat="1" ht="15" customHeight="1"/>
    <x:row r="169" s="51" customFormat="1" ht="30" customHeight="1"/>
    <x:row r="170" s="51" customFormat="1" ht="15" customHeight="1"/>
    <x:row r="171" s="51" customFormat="1" ht="30" customHeight="1"/>
    <x:row r="172" s="51" customFormat="1" ht="30" customHeight="1"/>
    <x:row r="173" s="51" customFormat="1" ht="30" customHeight="1"/>
  </x:sheetData>
  <x:mergeCells>
    <x:mergeCell ref="A6:K6"/>
    <x:mergeCell ref="A2:H2"/>
    <x:mergeCell ref="A1:H1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7" style="50" customWidth="1"/>
    <x:col min="2" max="2" width="15" style="50" customWidth="1"/>
    <x:col min="3" max="3" width="22" style="50" customWidth="1"/>
    <x:col min="4" max="4" width="55" style="50" customWidth="1"/>
    <x:col min="5" max="5" width="12" style="50" customWidth="1"/>
    <x:col min="6" max="6" width="10" style="50" customWidth="1"/>
    <x:col min="7" max="7" width="11" style="50" customWidth="1"/>
    <x:col min="8" max="8" width="16" style="50" customWidth="1"/>
    <x:col min="9" max="9" width="48" style="50" customWidth="1"/>
    <x:col min="10" max="10" width="36" style="50" customWidth="1"/>
    <x:col min="11" max="11" width="8" style="50" customWidth="1"/>
  </x:cols>
  <x:sheetData>
    <x:row r="1" s="51" customFormat="1" ht="27.75" customHeight="1">
      <x:c r="A1" s="99" t="inlineStr">
        <x:is>
          <x:t xml:space="preserve">ColorPicker Playground Coverage</x:t>
        </x:is>
      </x:c>
      <x:c r="B1" s="99" t="n"/>
      <x:c r="C1" s="99" t="n"/>
      <x:c r="D1" s="99" t="n"/>
      <x:c r="E1" s="99" t="n"/>
      <x:c r="F1" s="99" t="n"/>
      <x:c r="G1" s="99" t="n"/>
      <x:c r="H1" s="99" t="n"/>
      <x:c r="I1" s="99" t="n"/>
      <x:c r="J1" s="99" t="n"/>
      <x:c r="K1" s="99" t="n"/>
    </x:row>
    <x:row r="2" s="51" customFormat="1" ht="39.75" customHeight="1">
      <x:c r="A2" s="99" t="inlineStr">
        <x:is>
          <x:t xml:space="preserve">Tracks the normal Atom workbench, focused unit/browser automation, mobile emulation, public contracts, and package evidence for ColorPicker.</x:t>
        </x:is>
      </x:c>
      <x:c r="B2" s="99" t="n"/>
      <x:c r="C2" s="99" t="n"/>
      <x:c r="D2" s="99" t="n"/>
      <x:c r="E2" s="99" t="n"/>
      <x:c r="F2" s="99" t="n"/>
      <x:c r="G2" s="99" t="n"/>
      <x:c r="H2" s="99" t="n"/>
      <x:c r="I2" s="99" t="n"/>
      <x:c r="J2" s="99" t="n"/>
      <x:c r="K2" s="99" t="n"/>
    </x:row>
    <x:row r="3" s="51" customFormat="1" ht="15" customHeight="1">
      <x:c r="A3" s="99" t="n"/>
      <x:c r="B3" s="99" t="n"/>
      <x:c r="C3" s="99" t="n"/>
      <x:c r="D3" s="99" t="n"/>
      <x:c r="E3" s="99" t="n"/>
      <x:c r="F3" s="99" t="n"/>
      <x:c r="G3" s="99" t="n"/>
      <x:c r="H3" s="99" t="n"/>
      <x:c r="I3" s="99" t="n"/>
      <x:c r="J3" s="99" t="n"/>
      <x:c r="K3" s="99" t="n"/>
    </x:row>
    <x:row r="4" s="51" customFormat="1" ht="15" customHeight="1">
      <x:c r="A4" s="99" t="inlineStr">
        <x:is>
          <x:t xml:space="preserve">Coverage</x:t>
        </x:is>
      </x:c>
      <x:c r="B4" s="99" t="n">
        <x:f>IFERROR(D4/COUNTA(A9:A1000),0)</x:f>
        <x:v>0.9827586206896551</x:v>
      </x:c>
      <x:c r="C4" s="99" t="inlineStr">
        <x:is>
          <x:t xml:space="preserve">Covered</x:t>
        </x:is>
      </x:c>
      <x:c r="D4" s="99" t="n">
        <x:f>COUNTIFS(A9:A1000,"&lt;&gt;",E9:E1000,"yes",F9:F1000,"yes",H9:H1000,"covered")</x:f>
        <x:v>57</x:v>
      </x:c>
      <x:c r="E4" s="99" t="inlineStr">
        <x:is>
          <x:t xml:space="preserve">Partial</x:t>
        </x:is>
      </x:c>
      <x:c r="F4" s="99" t="n">
        <x:f>COUNTIFS(A9:A1000,"&lt;&gt;",H9:H1000,"partial")</x:f>
        <x:v>1</x:v>
      </x:c>
      <x:c r="G4" s="99" t="inlineStr">
        <x:is>
          <x:t xml:space="preserve">Missing</x:t>
        </x:is>
      </x:c>
      <x:c r="H4" s="99" t="n">
        <x:f>COUNTIFS(A9:A1000,"&lt;&gt;",E9:E1000,"&lt;&gt;yes")+COUNTIFS(A9:A1000,"&lt;&gt;",E9:E1000,"yes",H9:H1000,"missing")</x:f>
        <x:v>0</x:v>
      </x:c>
      <x:c r="I4" s="99" t="inlineStr">
        <x:is>
          <x:t xml:space="preserve">Untested</x:t>
        </x:is>
      </x:c>
      <x:c r="J4" s="99" t="n">
        <x:f>COUNTIFS(A9:A1000,"&lt;&gt;",E9:E1000,"yes",F9:F1000,"&lt;&gt;yes")+COUNTIFS(A9:A1000,"&lt;&gt;",E9:E1000,"yes",F9:F1000,"yes",H9:H1000,"untested")</x:f>
        <x:v>0</x:v>
      </x:c>
      <x:c r="K4" s="99" t="n"/>
    </x:row>
    <x:row r="5" s="51" customFormat="1" ht="15" customHeight="1">
      <x:c r="A5" s="99" t="n"/>
      <x:c r="B5" s="99" t="n"/>
      <x:c r="C5" s="99" t="n"/>
      <x:c r="D5" s="99" t="n"/>
      <x:c r="E5" s="99" t="n"/>
      <x:c r="F5" s="99" t="n"/>
      <x:c r="G5" s="99" t="n"/>
      <x:c r="H5" s="99" t="n"/>
      <x:c r="I5" s="99" t="n"/>
      <x:c r="J5" s="99" t="n"/>
      <x:c r="K5" s="99" t="n"/>
    </x:row>
    <x:row r="6" s="51" customFormat="1" ht="15" customHeight="1">
      <x:c r="A6" s="99" t="inlineStr">
        <x:is>
          <x:t xml:space="preserve">Scoring: completion is SUM(Score) / total evidence rows. Score is formula-driven from Implemented, Tested, and Coverage Status.</x:t>
        </x:is>
      </x:c>
      <x:c r="B6" s="99" t="n"/>
      <x:c r="C6" s="99" t="n"/>
      <x:c r="D6" s="99" t="n"/>
      <x:c r="E6" s="99" t="n"/>
      <x:c r="F6" s="99" t="n"/>
      <x:c r="G6" s="99" t="n"/>
      <x:c r="H6" s="99" t="n"/>
      <x:c r="I6" s="99" t="n"/>
      <x:c r="J6" s="99" t="n"/>
      <x:c r="K6" s="99" t="n"/>
    </x:row>
    <x:row r="7" s="51" customFormat="1" ht="15" customHeight="1">
      <x:c r="A7" s="99" t="n"/>
      <x:c r="B7" s="99" t="n"/>
      <x:c r="C7" s="99" t="n"/>
      <x:c r="D7" s="99" t="n"/>
      <x:c r="E7" s="99" t="n"/>
      <x:c r="F7" s="99" t="n"/>
      <x:c r="G7" s="99" t="n"/>
      <x:c r="H7" s="99" t="n"/>
      <x:c r="I7" s="99" t="n"/>
      <x:c r="J7" s="99" t="n"/>
      <x:c r="K7" s="99" t="n"/>
    </x:row>
    <x:row r="8" s="51" customFormat="1" ht="33.75" customHeight="1">
      <x:c r="A8" s="99" t="inlineStr">
        <x:is>
          <x:t xml:space="preserve">ID</x:t>
        </x:is>
      </x:c>
      <x:c r="B8" s="99" t="inlineStr">
        <x:is>
          <x:t xml:space="preserve">Area</x:t>
        </x:is>
      </x:c>
      <x:c r="C8" s="99" t="inlineStr">
        <x:is>
          <x:t xml:space="preserve">Part</x:t>
        </x:is>
      </x:c>
      <x:c r="D8" s="99" t="inlineStr">
        <x:is>
          <x:t xml:space="preserve">Test item</x:t>
        </x:is>
      </x:c>
      <x:c r="E8" s="99" t="inlineStr">
        <x:is>
          <x:t xml:space="preserve">Implemented</x:t>
        </x:is>
      </x:c>
      <x:c r="F8" s="99" t="inlineStr">
        <x:is>
          <x:t xml:space="preserve">Tested</x:t>
        </x:is>
      </x:c>
      <x:c r="G8" s="99" t="inlineStr">
        <x:is>
          <x:t xml:space="preserve">Result</x:t>
        </x:is>
      </x:c>
      <x:c r="H8" s="99" t="inlineStr">
        <x:is>
          <x:t xml:space="preserve">Coverage Status</x:t>
        </x:is>
      </x:c>
      <x:c r="I8" s="99" t="inlineStr">
        <x:is>
          <x:t xml:space="preserve">Currently covered by</x:t>
        </x:is>
      </x:c>
      <x:c r="J8" s="99" t="inlineStr">
        <x:is>
          <x:t xml:space="preserve">Missing / next step</x:t>
        </x:is>
      </x:c>
      <x:c r="K8" s="99" t="inlineStr">
        <x:is>
          <x:t xml:space="preserve">Score</x:t>
        </x:is>
      </x:c>
    </x:row>
    <x:row r="9" s="51" customFormat="1" ht="33.75" customHeight="1">
      <x:c r="A9" s="99" t="n">
        <x:v>1</x:v>
      </x:c>
      <x:c r="B9" s="99" t="inlineStr">
        <x:is>
          <x:t xml:space="preserve">Playground</x:t>
        </x:is>
      </x:c>
      <x:c r="C9" s="99" t="inlineStr">
        <x:is>
          <x:t xml:space="preserve">Props</x:t>
        </x:is>
      </x:c>
      <x:c r="D9" s="100" t="inlineStr">
        <x:is>
          <x:t xml:space="preserve">Props toolbar exposes Prop Check and keeps data-prop-check off by default</x:t>
        </x:is>
      </x:c>
      <x:c r="E9" s="100" t="inlineStr">
        <x:is>
          <x:t xml:space="preserve">yes</x:t>
        </x:is>
      </x:c>
      <x:c r="F9" s="100" t="inlineStr">
        <x:is>
          <x:t xml:space="preserve">yes</x:t>
        </x:is>
      </x:c>
      <x:c r="G9" s="100" t="inlineStr">
        <x:is>
          <x:t xml:space="preserve">tested</x:t>
        </x:is>
      </x:c>
      <x:c r="H9" s="100" t="inlineStr">
        <x:is>
          <x:t xml:space="preserve">covered</x:t>
        </x:is>
      </x:c>
      <x:c r="I9" s="100" t="inlineStr">
        <x:is>
          <x:t xml:space="preserve">Atom workbench and focused browser test.</x:t>
        </x:is>
      </x:c>
      <x:c r="J9" s="100" t="n"/>
      <x:c r="K9" s="99" t="n">
        <x:f>IF(AND(E9="yes",F9="yes",H9="covered"),1,IF(H9="partial",0.5,0))</x:f>
        <x:v>1</x:v>
      </x:c>
    </x:row>
    <x:row r="10" s="51" customFormat="1" ht="33.75" customHeight="1">
      <x:c r="A10" s="99" t="n">
        <x:v>2</x:v>
      </x:c>
      <x:c r="B10" s="99" t="inlineStr">
        <x:is>
          <x:t xml:space="preserve">Playground</x:t>
        </x:is>
      </x:c>
      <x:c r="C10" s="99" t="inlineStr">
        <x:is>
          <x:t xml:space="preserve">Props</x:t>
        </x:is>
      </x:c>
      <x:c r="D10" s="100" t="inlineStr">
        <x:is>
          <x:t xml:space="preserve">custom data-slot overrides are available for representative slot-owning parts</x:t>
        </x:is>
      </x:c>
      <x:c r="E10" s="100" t="inlineStr">
        <x:is>
          <x:t xml:space="preserve">yes</x:t>
        </x:is>
      </x:c>
      <x:c r="F10" s="100" t="inlineStr">
        <x:is>
          <x:t xml:space="preserve">yes</x:t>
        </x:is>
      </x:c>
      <x:c r="G10" s="100" t="inlineStr">
        <x:is>
          <x:t xml:space="preserve">tested</x:t>
        </x:is>
      </x:c>
      <x:c r="H10" s="100" t="inlineStr">
        <x:is>
          <x:t xml:space="preserve">covered</x:t>
        </x:is>
      </x:c>
      <x:c r="I10" s="100" t="inlineStr">
        <x:is>
          <x:t xml:space="preserve">Atom workbench and focused browser test.</x:t>
        </x:is>
      </x:c>
      <x:c r="J10" s="100" t="n"/>
      <x:c r="K10" s="99" t="n">
        <x:f>IF(AND(E10="yes",F10="yes",H10="covered"),1,IF(H10="partial",0.5,0))</x:f>
        <x:v>1</x:v>
      </x:c>
    </x:row>
    <x:row r="11" s="51" customFormat="1" ht="33.75" customHeight="1">
      <x:c r="A11" s="99" t="n">
        <x:v>3</x:v>
      </x:c>
      <x:c r="B11" s="99" t="inlineStr">
        <x:is>
          <x:t xml:space="preserve">Playground</x:t>
        </x:is>
      </x:c>
      <x:c r="C11" s="99" t="inlineStr">
        <x:is>
          <x:t xml:space="preserve">ColorPicker</x:t>
        </x:is>
      </x:c>
      <x:c r="D11" s="100" t="inlineStr">
        <x:is>
          <x:t xml:space="preserve">scenario is reachable from the Selection menu</x:t>
        </x:is>
      </x:c>
      <x:c r="E11" s="100" t="inlineStr">
        <x:is>
          <x:t xml:space="preserve">yes</x:t>
        </x:is>
      </x:c>
      <x:c r="F11" s="100" t="inlineStr">
        <x:is>
          <x:t xml:space="preserve">yes</x:t>
        </x:is>
      </x:c>
      <x:c r="G11" s="100" t="inlineStr">
        <x:is>
          <x:t xml:space="preserve">tested</x:t>
        </x:is>
      </x:c>
      <x:c r="H11" s="100" t="inlineStr">
        <x:is>
          <x:t xml:space="preserve">covered</x:t>
        </x:is>
      </x:c>
      <x:c r="I11" s="100" t="inlineStr">
        <x:is>
          <x:t xml:space="preserve">test/browser/color-picker.spec.ts normal workbench test.</x:t>
        </x:is>
      </x:c>
      <x:c r="J11" s="100" t="n"/>
      <x:c r="K11" s="99" t="n">
        <x:f>IF(AND(E11="yes",F11="yes",H11="covered"),1,IF(H11="partial",0.5,0))</x:f>
        <x:v>1</x:v>
      </x:c>
    </x:row>
    <x:row r="12" s="51" customFormat="1" ht="33.75" customHeight="1">
      <x:c r="A12" s="99" t="n">
        <x:v>4</x:v>
      </x:c>
      <x:c r="B12" s="99" t="inlineStr">
        <x:is>
          <x:t xml:space="preserve">Playground</x:t>
        </x:is>
      </x:c>
      <x:c r="C12" s="99" t="inlineStr">
        <x:is>
          <x:t xml:space="preserve">ColorPicker</x:t>
        </x:is>
      </x:c>
      <x:c r="D12" s="100" t="inlineStr">
        <x:is>
          <x:t xml:space="preserve">canvas source reflects the current value, format, state, and inline/popup controls</x:t>
        </x:is>
      </x:c>
      <x:c r="E12" s="100" t="inlineStr">
        <x:is>
          <x:t xml:space="preserve">yes</x:t>
        </x:is>
      </x:c>
      <x:c r="F12" s="100" t="inlineStr">
        <x:is>
          <x:t xml:space="preserve">yes</x:t>
        </x:is>
      </x:c>
      <x:c r="G12" s="100" t="inlineStr">
        <x:is>
          <x:t xml:space="preserve">tested</x:t>
        </x:is>
      </x:c>
      <x:c r="H12" s="100" t="inlineStr">
        <x:is>
          <x:t xml:space="preserve">covered</x:t>
        </x:is>
      </x:c>
      <x:c r="I12" s="100" t="inlineStr">
        <x:is>
          <x:t xml:space="preserve">test/browser/color-picker.spec.ts normal workbench test.</x:t>
        </x:is>
      </x:c>
      <x:c r="J12" s="100" t="n"/>
      <x:c r="K12" s="99" t="n">
        <x:f>IF(AND(E12="yes",F12="yes",H12="covered"),1,IF(H12="partial",0.5,0))</x:f>
        <x:v>1</x:v>
      </x:c>
    </x:row>
    <x:row r="13" s="51" customFormat="1" ht="33.75" customHeight="1">
      <x:c r="A13" s="99" t="n">
        <x:v>5</x:v>
      </x:c>
      <x:c r="B13" s="99" t="inlineStr">
        <x:is>
          <x:t xml:space="preserve">Playground</x:t>
        </x:is>
      </x:c>
      <x:c r="C13" s="99" t="inlineStr">
        <x:is>
          <x:t xml:space="preserve">ColorPicker</x:t>
        </x:is>
      </x:c>
      <x:c r="D13" s="100" t="inlineStr">
        <x:is>
          <x:t xml:space="preserve">anatomy exposes live state, behavior, ARIA, and data groups</x:t>
        </x:is>
      </x:c>
      <x:c r="E13" s="100" t="inlineStr">
        <x:is>
          <x:t xml:space="preserve">yes</x:t>
        </x:is>
      </x:c>
      <x:c r="F13" s="100" t="inlineStr">
        <x:is>
          <x:t xml:space="preserve">yes</x:t>
        </x:is>
      </x:c>
      <x:c r="G13" s="100" t="inlineStr">
        <x:is>
          <x:t xml:space="preserve">tested</x:t>
        </x:is>
      </x:c>
      <x:c r="H13" s="100" t="inlineStr">
        <x:is>
          <x:t xml:space="preserve">covered</x:t>
        </x:is>
      </x:c>
      <x:c r="I13" s="100" t="inlineStr">
        <x:is>
          <x:t xml:space="preserve">ColorPicker workbench scenario.</x:t>
        </x:is>
      </x:c>
      <x:c r="J13" s="100" t="n"/>
      <x:c r="K13" s="99" t="n">
        <x:f>IF(AND(E13="yes",F13="yes",H13="covered"),1,IF(H13="partial",0.5,0))</x:f>
        <x:v>1</x:v>
      </x:c>
    </x:row>
    <x:row r="14" s="51" customFormat="1" ht="33.75" customHeight="1">
      <x:c r="A14" s="99" t="n">
        <x:v>6</x:v>
      </x:c>
      <x:c r="B14" s="99" t="inlineStr">
        <x:is>
          <x:t xml:space="preserve">Playground</x:t>
        </x:is>
      </x:c>
      <x:c r="C14" s="99" t="inlineStr">
        <x:is>
          <x:t xml:space="preserve">ColorPicker</x:t>
        </x:is>
      </x:c>
      <x:c r="D14" s="100" t="inlineStr">
        <x:is>
          <x:t xml:space="preserve">selected/focused inspector and event log use the shared workbench evidence path</x:t>
        </x:is>
      </x:c>
      <x:c r="E14" s="100" t="inlineStr">
        <x:is>
          <x:t xml:space="preserve">yes</x:t>
        </x:is>
      </x:c>
      <x:c r="F14" s="100" t="inlineStr">
        <x:is>
          <x:t xml:space="preserve">yes</x:t>
        </x:is>
      </x:c>
      <x:c r="G14" s="100" t="inlineStr">
        <x:is>
          <x:t xml:space="preserve">tested</x:t>
        </x:is>
      </x:c>
      <x:c r="H14" s="100" t="inlineStr">
        <x:is>
          <x:t xml:space="preserve">covered</x:t>
        </x:is>
      </x:c>
      <x:c r="I14" s="100" t="inlineStr">
        <x:is>
          <x:t xml:space="preserve">ColorPicker workbench scenario.</x:t>
        </x:is>
      </x:c>
      <x:c r="J14" s="100" t="n"/>
      <x:c r="K14" s="99" t="n">
        <x:f>IF(AND(E14="yes",F14="yes",H14="covered"),1,IF(H14="partial",0.5,0))</x:f>
        <x:v>1</x:v>
      </x:c>
    </x:row>
    <x:row r="15" s="51" customFormat="1" ht="33.75" customHeight="1">
      <x:c r="A15" s="99" t="n">
        <x:v>7</x:v>
      </x:c>
      <x:c r="B15" s="99" t="inlineStr">
        <x:is>
          <x:t xml:space="preserve">State</x:t>
        </x:is>
      </x:c>
      <x:c r="C15" s="99" t="inlineStr">
        <x:is>
          <x:t xml:space="preserve">Root</x:t>
        </x:is>
      </x:c>
      <x:c r="D15" s="100" t="inlineStr">
        <x:is>
          <x:t xml:space="preserve">Root and useColorPicker/RootProvider share controlled and uncontrolled values, explicit IDs and refs.</x:t>
        </x:is>
      </x:c>
      <x:c r="E15" s="100" t="inlineStr">
        <x:is>
          <x:t xml:space="preserve">yes</x:t>
        </x:is>
      </x:c>
      <x:c r="F15" s="100" t="inlineStr">
        <x:is>
          <x:t xml:space="preserve">yes</x:t>
        </x:is>
      </x:c>
      <x:c r="G15" s="100" t="inlineStr">
        <x:is>
          <x:t xml:space="preserve">tested</x:t>
        </x:is>
      </x:c>
      <x:c r="H15" s="100" t="inlineStr">
        <x:is>
          <x:t xml:space="preserve">covered</x:t>
        </x:is>
      </x:c>
      <x:c r="I15" s="100" t="inlineStr">
        <x:is>
          <x:t xml:space="preserve">test/primitives/color-picker.test.mjs and browser harness.</x:t>
        </x:is>
      </x:c>
      <x:c r="J15" s="100" t="n"/>
      <x:c r="K15" s="99" t="n">
        <x:f>IF(AND(E15="yes",F15="yes",H15="covered"),1,IF(H15="partial",0.5,0))</x:f>
        <x:v>1</x:v>
      </x:c>
    </x:row>
    <x:row r="16" s="51" customFormat="1" ht="33.75" customHeight="1">
      <x:c r="A16" s="99" t="n">
        <x:v>8</x:v>
      </x:c>
      <x:c r="B16" s="99" t="inlineStr">
        <x:is>
          <x:t xml:space="preserve">State</x:t>
        </x:is>
      </x:c>
      <x:c r="C16" s="99" t="inlineStr">
        <x:is>
          <x:t xml:space="preserve">Root</x:t>
        </x:is>
      </x:c>
      <x:c r="D16" s="100" t="inlineStr">
        <x:is>
          <x:t xml:space="preserve">supports controlled and uncontrolled open state</x:t>
        </x:is>
      </x:c>
      <x:c r="E16" s="100" t="inlineStr">
        <x:is>
          <x:t xml:space="preserve">yes</x:t>
        </x:is>
      </x:c>
      <x:c r="F16" s="100" t="inlineStr">
        <x:is>
          <x:t xml:space="preserve">yes</x:t>
        </x:is>
      </x:c>
      <x:c r="G16" s="100" t="inlineStr">
        <x:is>
          <x:t xml:space="preserve">tested</x:t>
        </x:is>
      </x:c>
      <x:c r="H16" s="100" t="inlineStr">
        <x:is>
          <x:t xml:space="preserve">covered</x:t>
        </x:is>
      </x:c>
      <x:c r="I16" s="100" t="inlineStr">
        <x:is>
          <x:t xml:space="preserve">test/primitives/color-picker.test.mjs and workbench controls.</x:t>
        </x:is>
      </x:c>
      <x:c r="J16" s="100" t="n"/>
      <x:c r="K16" s="99" t="n">
        <x:f>IF(AND(E16="yes",F16="yes",H16="covered"),1,IF(H16="partial",0.5,0))</x:f>
        <x:v>1</x:v>
      </x:c>
    </x:row>
    <x:row r="17" s="51" customFormat="1" ht="33.75" customHeight="1">
      <x:c r="A17" s="99" t="n">
        <x:v>9</x:v>
      </x:c>
      <x:c r="B17" s="99" t="inlineStr">
        <x:is>
          <x:t xml:space="preserve">Behavior</x:t>
        </x:is>
      </x:c>
      <x:c r="C17" s="99" t="inlineStr">
        <x:is>
          <x:t xml:space="preserve">Root</x:t>
        </x:is>
      </x:c>
      <x:c r="D17" s="100" t="inlineStr">
        <x:is>
          <x:t xml:space="preserve">Inline and popup modes; lazy/retained content, inert closure, exit completion and topmost Escape dismissal.</x:t>
        </x:is>
      </x:c>
      <x:c r="E17" s="100" t="inlineStr">
        <x:is>
          <x:t xml:space="preserve">yes</x:t>
        </x:is>
      </x:c>
      <x:c r="F17" s="100" t="inlineStr">
        <x:is>
          <x:t xml:space="preserve">yes</x:t>
        </x:is>
      </x:c>
      <x:c r="G17" s="100" t="inlineStr">
        <x:is>
          <x:t xml:space="preserve">tested</x:t>
        </x:is>
      </x:c>
      <x:c r="H17" s="100" t="inlineStr">
        <x:is>
          <x:t xml:space="preserve">partial</x:t>
        </x:is>
      </x:c>
      <x:c r="I17" s="100" t="inlineStr">
        <x:is>
          <x:t xml:space="preserve">test/browser/color-picker.spec.ts.</x:t>
        </x:is>
      </x:c>
      <x:c r="J17" s="100" t="inlineStr">
        <x:is>
          <x:t xml:space="preserve">Automated checks; manual nested-overlay protocol remains open.</x:t>
        </x:is>
      </x:c>
      <x:c r="K17" s="99" t="n">
        <x:f>IF(AND(E17="yes",F17="yes",H17="covered"),1,IF(H17="partial",0.5,0))</x:f>
        <x:v>0.5</x:v>
      </x:c>
    </x:row>
    <x:row r="18" s="51" customFormat="1" ht="33.75" customHeight="1">
      <x:c r="A18" s="99" t="n">
        <x:v>10</x:v>
      </x:c>
      <x:c r="B18" s="99" t="inlineStr">
        <x:is>
          <x:t xml:space="preserve">Behavior</x:t>
        </x:is>
      </x:c>
      <x:c r="C18" s="99" t="inlineStr">
        <x:is>
          <x:t xml:space="preserve">Root</x:t>
        </x:is>
      </x:c>
      <x:c r="D18" s="100" t="inlineStr">
        <x:is>
          <x:t xml:space="preserve">closeOnSelect closes after a preset and restores trigger focus</x:t>
        </x:is>
      </x:c>
      <x:c r="E18" s="100" t="inlineStr">
        <x:is>
          <x:t xml:space="preserve">yes</x:t>
        </x:is>
      </x:c>
      <x:c r="F18" s="100" t="inlineStr">
        <x:is>
          <x:t xml:space="preserve">yes</x:t>
        </x:is>
      </x:c>
      <x:c r="G18" s="100" t="inlineStr">
        <x:is>
          <x:t xml:space="preserve">tested</x:t>
        </x:is>
      </x:c>
      <x:c r="H18" s="100" t="inlineStr">
        <x:is>
          <x:t xml:space="preserve">covered</x:t>
        </x:is>
      </x:c>
      <x:c r="I18" s="100" t="inlineStr">
        <x:is>
          <x:t xml:space="preserve">test/browser/color-picker.spec.ts.</x:t>
        </x:is>
      </x:c>
      <x:c r="J18" s="100" t="n"/>
      <x:c r="K18" s="99" t="n">
        <x:f>IF(AND(E18="yes",F18="yes",H18="covered"),1,IF(H18="partial",0.5,0))</x:f>
        <x:v>1</x:v>
      </x:c>
    </x:row>
    <x:row r="19" s="51" customFormat="1" ht="33.75" customHeight="1">
      <x:c r="A19" s="99" t="n">
        <x:v>11</x:v>
      </x:c>
      <x:c r="B19" s="99" t="inlineStr">
        <x:is>
          <x:t xml:space="preserve">Value</x:t>
        </x:is>
      </x:c>
      <x:c r="C19" s="99" t="inlineStr">
        <x:is>
          <x:t xml:space="preserve">Root</x:t>
        </x:is>
      </x:c>
      <x:c r="D19" s="100" t="inlineStr">
        <x:is>
          <x:t xml:space="preserve">accepts hexadecimal, alpha, RGB, HSL, and HSB authored values</x:t>
        </x:is>
      </x:c>
      <x:c r="E19" s="100" t="inlineStr">
        <x:is>
          <x:t xml:space="preserve">yes</x:t>
        </x:is>
      </x:c>
      <x:c r="F19" s="100" t="inlineStr">
        <x:is>
          <x:t xml:space="preserve">yes</x:t>
        </x:is>
      </x:c>
      <x:c r="G19" s="100" t="inlineStr">
        <x:is>
          <x:t xml:space="preserve">tested</x:t>
        </x:is>
      </x:c>
      <x:c r="H19" s="100" t="inlineStr">
        <x:is>
          <x:t xml:space="preserve">covered</x:t>
        </x:is>
      </x:c>
      <x:c r="I19" s="100" t="inlineStr">
        <x:is>
          <x:t xml:space="preserve">test/primitives/color-picker.test.mjs.</x:t>
        </x:is>
      </x:c>
      <x:c r="J19" s="100" t="n"/>
      <x:c r="K19" s="99" t="n">
        <x:f>IF(AND(E19="yes",F19="yes",H19="covered"),1,IF(H19="partial",0.5,0))</x:f>
        <x:v>1</x:v>
      </x:c>
    </x:row>
    <x:row r="20" s="51" customFormat="1" ht="33.75" customHeight="1">
      <x:c r="A20" s="99" t="n">
        <x:v>12</x:v>
      </x:c>
      <x:c r="B20" s="99" t="inlineStr">
        <x:is>
          <x:t xml:space="preserve">Value</x:t>
        </x:is>
      </x:c>
      <x:c r="C20" s="99" t="inlineStr">
        <x:is>
          <x:t xml:space="preserve">Root</x:t>
        </x:is>
      </x:c>
      <x:c r="D20" s="100" t="inlineStr">
        <x:is>
          <x:t xml:space="preserve">normalizes equivalent values without replacing invalid input silently</x:t>
        </x:is>
      </x:c>
      <x:c r="E20" s="100" t="inlineStr">
        <x:is>
          <x:t xml:space="preserve">yes</x:t>
        </x:is>
      </x:c>
      <x:c r="F20" s="100" t="inlineStr">
        <x:is>
          <x:t xml:space="preserve">yes</x:t>
        </x:is>
      </x:c>
      <x:c r="G20" s="100" t="inlineStr">
        <x:is>
          <x:t xml:space="preserve">tested</x:t>
        </x:is>
      </x:c>
      <x:c r="H20" s="100" t="inlineStr">
        <x:is>
          <x:t xml:space="preserve">covered</x:t>
        </x:is>
      </x:c>
      <x:c r="I20" s="100" t="inlineStr">
        <x:is>
          <x:t xml:space="preserve">test/primitives/color-picker.test.mjs.</x:t>
        </x:is>
      </x:c>
      <x:c r="J20" s="100" t="n"/>
      <x:c r="K20" s="99" t="n">
        <x:f>IF(AND(E20="yes",F20="yes",H20="covered"),1,IF(H20="partial",0.5,0))</x:f>
        <x:v>1</x:v>
      </x:c>
    </x:row>
    <x:row r="21" s="51" customFormat="1" ht="33.75" customHeight="1">
      <x:c r="A21" s="99" t="n">
        <x:v>13</x:v>
      </x:c>
      <x:c r="B21" s="99" t="inlineStr">
        <x:is>
          <x:t xml:space="preserve">Interaction</x:t>
        </x:is>
      </x:c>
      <x:c r="C21" s="99" t="inlineStr">
        <x:is>
          <x:t xml:space="preserve">Area</x:t>
        </x:is>
      </x:c>
      <x:c r="D21" s="100" t="inlineStr">
        <x:is>
          <x:t xml:space="preserve">pointer interaction changes the two-dimensional color value</x:t>
        </x:is>
      </x:c>
      <x:c r="E21" s="100" t="inlineStr">
        <x:is>
          <x:t xml:space="preserve">yes</x:t>
        </x:is>
      </x:c>
      <x:c r="F21" s="100" t="inlineStr">
        <x:is>
          <x:t xml:space="preserve">yes</x:t>
        </x:is>
      </x:c>
      <x:c r="G21" s="100" t="inlineStr">
        <x:is>
          <x:t xml:space="preserve">tested</x:t>
        </x:is>
      </x:c>
      <x:c r="H21" s="100" t="inlineStr">
        <x:is>
          <x:t xml:space="preserve">covered</x:t>
        </x:is>
      </x:c>
      <x:c r="I21" s="100" t="inlineStr">
        <x:is>
          <x:t xml:space="preserve">test/browser/color-picker.spec.ts.</x:t>
        </x:is>
      </x:c>
      <x:c r="J21" s="100" t="n"/>
      <x:c r="K21" s="99" t="n">
        <x:f>IF(AND(E21="yes",F21="yes",H21="covered"),1,IF(H21="partial",0.5,0))</x:f>
        <x:v>1</x:v>
      </x:c>
    </x:row>
    <x:row r="22" s="51" customFormat="1" ht="33.75" customHeight="1">
      <x:c r="A22" s="99" t="n">
        <x:v>14</x:v>
      </x:c>
      <x:c r="B22" s="99" t="inlineStr">
        <x:is>
          <x:t xml:space="preserve">Interaction</x:t>
        </x:is>
      </x:c>
      <x:c r="C22" s="99" t="inlineStr">
        <x:is>
          <x:t xml:space="preserve">Area</x:t>
        </x:is>
      </x:c>
      <x:c r="D22" s="100" t="inlineStr">
        <x:is>
          <x:t xml:space="preserve">keyboard interaction exposes 2D slider semantics</x:t>
        </x:is>
      </x:c>
      <x:c r="E22" s="100" t="inlineStr">
        <x:is>
          <x:t xml:space="preserve">yes</x:t>
        </x:is>
      </x:c>
      <x:c r="F22" s="100" t="inlineStr">
        <x:is>
          <x:t xml:space="preserve">yes</x:t>
        </x:is>
      </x:c>
      <x:c r="G22" s="100" t="inlineStr">
        <x:is>
          <x:t xml:space="preserve">tested</x:t>
        </x:is>
      </x:c>
      <x:c r="H22" s="100" t="inlineStr">
        <x:is>
          <x:t xml:space="preserve">covered</x:t>
        </x:is>
      </x:c>
      <x:c r="I22" s="100" t="inlineStr">
        <x:is>
          <x:t xml:space="preserve">test/browser/color-picker.spec.ts and unit RTL test.</x:t>
        </x:is>
      </x:c>
      <x:c r="J22" s="100" t="n"/>
      <x:c r="K22" s="99" t="n">
        <x:f>IF(AND(E22="yes",F22="yes",H22="covered"),1,IF(H22="partial",0.5,0))</x:f>
        <x:v>1</x:v>
      </x:c>
    </x:row>
    <x:row r="23" s="51" customFormat="1" ht="33.75" customHeight="1">
      <x:c r="A23" s="99" t="n">
        <x:v>15</x:v>
      </x:c>
      <x:c r="B23" s="99" t="inlineStr">
        <x:is>
          <x:t xml:space="preserve">Interaction</x:t>
        </x:is>
      </x:c>
      <x:c r="C23" s="99" t="inlineStr">
        <x:is>
          <x:t xml:space="preserve">ChannelSlider</x:t>
        </x:is>
      </x:c>
      <x:c r="D23" s="100" t="inlineStr">
        <x:is>
          <x:t xml:space="preserve">hue slider updates the shared color model</x:t>
        </x:is>
      </x:c>
      <x:c r="E23" s="100" t="inlineStr">
        <x:is>
          <x:t xml:space="preserve">yes</x:t>
        </x:is>
      </x:c>
      <x:c r="F23" s="100" t="inlineStr">
        <x:is>
          <x:t xml:space="preserve">yes</x:t>
        </x:is>
      </x:c>
      <x:c r="G23" s="100" t="inlineStr">
        <x:is>
          <x:t xml:space="preserve">tested</x:t>
        </x:is>
      </x:c>
      <x:c r="H23" s="100" t="inlineStr">
        <x:is>
          <x:t xml:space="preserve">covered</x:t>
        </x:is>
      </x:c>
      <x:c r="I23" s="100" t="inlineStr">
        <x:is>
          <x:t xml:space="preserve">test/browser/color-picker.spec.ts.</x:t>
        </x:is>
      </x:c>
      <x:c r="J23" s="100" t="n"/>
      <x:c r="K23" s="99" t="n">
        <x:f>IF(AND(E23="yes",F23="yes",H23="covered"),1,IF(H23="partial",0.5,0))</x:f>
        <x:v>1</x:v>
      </x:c>
    </x:row>
    <x:row r="24" s="51" customFormat="1" ht="33.75" customHeight="1">
      <x:c r="A24" s="99" t="n">
        <x:v>16</x:v>
      </x:c>
      <x:c r="B24" s="99" t="inlineStr">
        <x:is>
          <x:t xml:space="preserve">Interaction</x:t>
        </x:is>
      </x:c>
      <x:c r="C24" s="99" t="inlineStr">
        <x:is>
          <x:t xml:space="preserve">ChannelSlider</x:t>
        </x:is>
      </x:c>
      <x:c r="D24" s="100" t="inlineStr">
        <x:is>
          <x:t xml:space="preserve">alpha slider preserves color channels and updates opacity</x:t>
        </x:is>
      </x:c>
      <x:c r="E24" s="100" t="inlineStr">
        <x:is>
          <x:t xml:space="preserve">yes</x:t>
        </x:is>
      </x:c>
      <x:c r="F24" s="100" t="inlineStr">
        <x:is>
          <x:t xml:space="preserve">yes</x:t>
        </x:is>
      </x:c>
      <x:c r="G24" s="100" t="inlineStr">
        <x:is>
          <x:t xml:space="preserve">tested</x:t>
        </x:is>
      </x:c>
      <x:c r="H24" s="100" t="inlineStr">
        <x:is>
          <x:t xml:space="preserve">covered</x:t>
        </x:is>
      </x:c>
      <x:c r="I24" s="100" t="inlineStr">
        <x:is>
          <x:t xml:space="preserve">desktop and mobile browser tests.</x:t>
        </x:is>
      </x:c>
      <x:c r="J24" s="100" t="n"/>
      <x:c r="K24" s="99" t="n">
        <x:f>IF(AND(E24="yes",F24="yes",H24="covered"),1,IF(H24="partial",0.5,0))</x:f>
        <x:v>1</x:v>
      </x:c>
    </x:row>
    <x:row r="25" s="51" customFormat="1" ht="33.75" customHeight="1">
      <x:c r="A25" s="99" t="n">
        <x:v>17</x:v>
      </x:c>
      <x:c r="B25" s="99" t="inlineStr">
        <x:is>
          <x:t xml:space="preserve">Interaction</x:t>
        </x:is>
      </x:c>
      <x:c r="C25" s="99" t="inlineStr">
        <x:is>
          <x:t xml:space="preserve">ChannelInput</x:t>
        </x:is>
      </x:c>
      <x:c r="D25" s="100" t="inlineStr">
        <x:is>
          <x:t xml:space="preserve">RGBA, HSLA, HSBA, hexadecimal, CSS, and alpha channel input stay synchronized</x:t>
        </x:is>
      </x:c>
      <x:c r="E25" s="100" t="inlineStr">
        <x:is>
          <x:t xml:space="preserve">yes</x:t>
        </x:is>
      </x:c>
      <x:c r="F25" s="100" t="inlineStr">
        <x:is>
          <x:t xml:space="preserve">yes</x:t>
        </x:is>
      </x:c>
      <x:c r="G25" s="100" t="inlineStr">
        <x:is>
          <x:t xml:space="preserve">tested</x:t>
        </x:is>
      </x:c>
      <x:c r="H25" s="100" t="inlineStr">
        <x:is>
          <x:t xml:space="preserve">covered</x:t>
        </x:is>
      </x:c>
      <x:c r="I25" s="100" t="inlineStr">
        <x:is>
          <x:t xml:space="preserve">test/primitives/color-picker.test.mjs and browser harness.</x:t>
        </x:is>
      </x:c>
      <x:c r="J25" s="100" t="n"/>
      <x:c r="K25" s="99" t="n">
        <x:f>IF(AND(E25="yes",F25="yes",H25="covered"),1,IF(H25="partial",0.5,0))</x:f>
        <x:v>1</x:v>
      </x:c>
    </x:row>
    <x:row r="26" s="51" customFormat="1" ht="33.75" customHeight="1">
      <x:c r="A26" s="99" t="n">
        <x:v>18</x:v>
      </x:c>
      <x:c r="B26" s="99" t="inlineStr">
        <x:is>
          <x:t xml:space="preserve">Interaction</x:t>
        </x:is>
      </x:c>
      <x:c r="C26" s="99" t="inlineStr">
        <x:is>
          <x:t xml:space="preserve">NativeInput</x:t>
        </x:is>
      </x:c>
      <x:c r="D26" s="100" t="inlineStr">
        <x:is>
          <x:t xml:space="preserve">native opaque chooser updates the shared color model</x:t>
        </x:is>
      </x:c>
      <x:c r="E26" s="100" t="inlineStr">
        <x:is>
          <x:t xml:space="preserve">yes</x:t>
        </x:is>
      </x:c>
      <x:c r="F26" s="100" t="inlineStr">
        <x:is>
          <x:t xml:space="preserve">yes</x:t>
        </x:is>
      </x:c>
      <x:c r="G26" s="100" t="inlineStr">
        <x:is>
          <x:t xml:space="preserve">tested</x:t>
        </x:is>
      </x:c>
      <x:c r="H26" s="100" t="inlineStr">
        <x:is>
          <x:t xml:space="preserve">covered</x:t>
        </x:is>
      </x:c>
      <x:c r="I26" s="100" t="inlineStr">
        <x:is>
          <x:t xml:space="preserve">test/browser/color-picker.spec.ts.</x:t>
        </x:is>
      </x:c>
      <x:c r="J26" s="100" t="n"/>
      <x:c r="K26" s="99" t="n">
        <x:f>IF(AND(E26="yes",F26="yes",H26="covered"),1,IF(H26="partial",0.5,0))</x:f>
        <x:v>1</x:v>
      </x:c>
    </x:row>
    <x:row r="27" s="51" customFormat="1" ht="33.75" customHeight="1">
      <x:c r="A27" s="99" t="n">
        <x:v>19</x:v>
      </x:c>
      <x:c r="B27" s="99" t="inlineStr">
        <x:is>
          <x:t xml:space="preserve">Interaction</x:t>
        </x:is>
      </x:c>
      <x:c r="C27" s="99" t="inlineStr">
        <x:is>
          <x:t xml:space="preserve">EyeDropperTrigger</x:t>
        </x:is>
      </x:c>
      <x:c r="D27" s="100" t="inlineStr">
        <x:is>
          <x:t xml:space="preserve">EyeDropper is progressive and commits a sampled color when supported</x:t>
        </x:is>
      </x:c>
      <x:c r="E27" s="100" t="inlineStr">
        <x:is>
          <x:t xml:space="preserve">yes</x:t>
        </x:is>
      </x:c>
      <x:c r="F27" s="100" t="inlineStr">
        <x:is>
          <x:t xml:space="preserve">yes</x:t>
        </x:is>
      </x:c>
      <x:c r="G27" s="100" t="inlineStr">
        <x:is>
          <x:t xml:space="preserve">tested</x:t>
        </x:is>
      </x:c>
      <x:c r="H27" s="100" t="inlineStr">
        <x:is>
          <x:t xml:space="preserve">covered</x:t>
        </x:is>
      </x:c>
      <x:c r="I27" s="100" t="inlineStr">
        <x:is>
          <x:t xml:space="preserve">test/primitives/color-picker.test.mjs.</x:t>
        </x:is>
      </x:c>
      <x:c r="J27" s="100" t="n"/>
      <x:c r="K27" s="99" t="n">
        <x:f>IF(AND(E27="yes",F27="yes",H27="covered"),1,IF(H27="partial",0.5,0))</x:f>
        <x:v>1</x:v>
      </x:c>
    </x:row>
    <x:row r="28" s="51" customFormat="1" ht="33.75" customHeight="1">
      <x:c r="A28" s="99" t="n">
        <x:v>20</x:v>
      </x:c>
      <x:c r="B28" s="99" t="inlineStr">
        <x:is>
          <x:t xml:space="preserve">Formats</x:t>
        </x:is>
      </x:c>
      <x:c r="C28" s="99" t="inlineStr">
        <x:is>
          <x:t xml:space="preserve">FormatSelect</x:t>
        </x:is>
      </x:c>
      <x:c r="D28" s="100" t="inlineStr">
        <x:is>
          <x:t xml:space="preserve">selects RGBA, HSLA, and HSBA formats</x:t>
        </x:is>
      </x:c>
      <x:c r="E28" s="100" t="inlineStr">
        <x:is>
          <x:t xml:space="preserve">yes</x:t>
        </x:is>
      </x:c>
      <x:c r="F28" s="100" t="inlineStr">
        <x:is>
          <x:t xml:space="preserve">yes</x:t>
        </x:is>
      </x:c>
      <x:c r="G28" s="100" t="inlineStr">
        <x:is>
          <x:t xml:space="preserve">tested</x:t>
        </x:is>
      </x:c>
      <x:c r="H28" s="100" t="inlineStr">
        <x:is>
          <x:t xml:space="preserve">covered</x:t>
        </x:is>
      </x:c>
      <x:c r="I28" s="100" t="inlineStr">
        <x:is>
          <x:t xml:space="preserve">test/primitives/color-picker.test.mjs and browser harness.</x:t>
        </x:is>
      </x:c>
      <x:c r="J28" s="100" t="n"/>
      <x:c r="K28" s="99" t="n">
        <x:f>IF(AND(E28="yes",F28="yes",H28="covered"),1,IF(H28="partial",0.5,0))</x:f>
        <x:v>1</x:v>
      </x:c>
    </x:row>
    <x:row r="29" s="51" customFormat="1" ht="33.75" customHeight="1">
      <x:c r="A29" s="99" t="n">
        <x:v>21</x:v>
      </x:c>
      <x:c r="B29" s="99" t="inlineStr">
        <x:is>
          <x:t xml:space="preserve">Formats</x:t>
        </x:is>
      </x:c>
      <x:c r="C29" s="99" t="inlineStr">
        <x:is>
          <x:t xml:space="preserve">FormatTrigger</x:t>
        </x:is>
      </x:c>
      <x:c r="D29" s="100" t="inlineStr">
        <x:is>
          <x:t xml:space="preserve">cycles through the supported formats</x:t>
        </x:is>
      </x:c>
      <x:c r="E29" s="100" t="inlineStr">
        <x:is>
          <x:t xml:space="preserve">yes</x:t>
        </x:is>
      </x:c>
      <x:c r="F29" s="100" t="inlineStr">
        <x:is>
          <x:t xml:space="preserve">yes</x:t>
        </x:is>
      </x:c>
      <x:c r="G29" s="100" t="inlineStr">
        <x:is>
          <x:t xml:space="preserve">tested</x:t>
        </x:is>
      </x:c>
      <x:c r="H29" s="100" t="inlineStr">
        <x:is>
          <x:t xml:space="preserve">covered</x:t>
        </x:is>
      </x:c>
      <x:c r="I29" s="100" t="inlineStr">
        <x:is>
          <x:t xml:space="preserve">test/browser/color-picker.spec.ts.</x:t>
        </x:is>
      </x:c>
      <x:c r="J29" s="100" t="n"/>
      <x:c r="K29" s="99" t="n">
        <x:f>IF(AND(E29="yes",F29="yes",H29="covered"),1,IF(H29="partial",0.5,0))</x:f>
        <x:v>1</x:v>
      </x:c>
    </x:row>
    <x:row r="30" s="51" customFormat="1" ht="33.75" customHeight="1">
      <x:c r="A30" s="99" t="n">
        <x:v>22</x:v>
      </x:c>
      <x:c r="B30" s="99" t="inlineStr">
        <x:is>
          <x:t xml:space="preserve">Formats</x:t>
        </x:is>
      </x:c>
      <x:c r="C30" s="99" t="inlineStr">
        <x:is>
          <x:t xml:space="preserve">View</x:t>
        </x:is>
      </x:c>
      <x:c r="D30" s="100" t="inlineStr">
        <x:is>
          <x:t xml:space="preserve">renders only the controls for the active format</x:t>
        </x:is>
      </x:c>
      <x:c r="E30" s="100" t="inlineStr">
        <x:is>
          <x:t xml:space="preserve">yes</x:t>
        </x:is>
      </x:c>
      <x:c r="F30" s="100" t="inlineStr">
        <x:is>
          <x:t xml:space="preserve">yes</x:t>
        </x:is>
      </x:c>
      <x:c r="G30" s="100" t="inlineStr">
        <x:is>
          <x:t xml:space="preserve">tested</x:t>
        </x:is>
      </x:c>
      <x:c r="H30" s="100" t="inlineStr">
        <x:is>
          <x:t xml:space="preserve">covered</x:t>
        </x:is>
      </x:c>
      <x:c r="I30" s="100" t="inlineStr">
        <x:is>
          <x:t xml:space="preserve">ColorPicker workbench scenario and unit anatomy test.</x:t>
        </x:is>
      </x:c>
      <x:c r="J30" s="100" t="n"/>
      <x:c r="K30" s="99" t="n">
        <x:f>IF(AND(E30="yes",F30="yes",H30="covered"),1,IF(H30="partial",0.5,0))</x:f>
        <x:v>1</x:v>
      </x:c>
    </x:row>
    <x:row r="31" s="51" customFormat="1" ht="33.75" customHeight="1">
      <x:c r="A31" s="99" t="n">
        <x:v>23</x:v>
      </x:c>
      <x:c r="B31" s="99" t="inlineStr">
        <x:is>
          <x:t xml:space="preserve">Presets</x:t>
        </x:is>
      </x:c>
      <x:c r="C31" s="99" t="inlineStr">
        <x:is>
          <x:t xml:space="preserve">SwatchGroup</x:t>
        </x:is>
      </x:c>
      <x:c r="D31" s="100" t="inlineStr">
        <x:is>
          <x:t xml:space="preserve">groups authored preset choices</x:t>
        </x:is>
      </x:c>
      <x:c r="E31" s="100" t="inlineStr">
        <x:is>
          <x:t xml:space="preserve">yes</x:t>
        </x:is>
      </x:c>
      <x:c r="F31" s="100" t="inlineStr">
        <x:is>
          <x:t xml:space="preserve">yes</x:t>
        </x:is>
      </x:c>
      <x:c r="G31" s="100" t="inlineStr">
        <x:is>
          <x:t xml:space="preserve">tested</x:t>
        </x:is>
      </x:c>
      <x:c r="H31" s="100" t="inlineStr">
        <x:is>
          <x:t xml:space="preserve">covered</x:t>
        </x:is>
      </x:c>
      <x:c r="I31" s="100" t="inlineStr">
        <x:is>
          <x:t xml:space="preserve">test/browser/color-picker.spec.ts.</x:t>
        </x:is>
      </x:c>
      <x:c r="J31" s="100" t="n"/>
      <x:c r="K31" s="99" t="n">
        <x:f>IF(AND(E31="yes",F31="yes",H31="covered"),1,IF(H31="partial",0.5,0))</x:f>
        <x:v>1</x:v>
      </x:c>
    </x:row>
    <x:row r="32" s="51" customFormat="1" ht="33.75" customHeight="1">
      <x:c r="A32" s="99" t="n">
        <x:v>24</x:v>
      </x:c>
      <x:c r="B32" s="99" t="inlineStr">
        <x:is>
          <x:t xml:space="preserve">Presets</x:t>
        </x:is>
      </x:c>
      <x:c r="C32" s="99" t="inlineStr">
        <x:is>
          <x:t xml:space="preserve">SwatchTrigger</x:t>
        </x:is>
      </x:c>
      <x:c r="D32" s="100" t="inlineStr">
        <x:is>
          <x:t xml:space="preserve">selects a preset into the shared value</x:t>
        </x:is>
      </x:c>
      <x:c r="E32" s="100" t="inlineStr">
        <x:is>
          <x:t xml:space="preserve">yes</x:t>
        </x:is>
      </x:c>
      <x:c r="F32" s="100" t="inlineStr">
        <x:is>
          <x:t xml:space="preserve">yes</x:t>
        </x:is>
      </x:c>
      <x:c r="G32" s="100" t="inlineStr">
        <x:is>
          <x:t xml:space="preserve">tested</x:t>
        </x:is>
      </x:c>
      <x:c r="H32" s="100" t="inlineStr">
        <x:is>
          <x:t xml:space="preserve">covered</x:t>
        </x:is>
      </x:c>
      <x:c r="I32" s="100" t="inlineStr">
        <x:is>
          <x:t xml:space="preserve">unit and browser tests.</x:t>
        </x:is>
      </x:c>
      <x:c r="J32" s="100" t="n"/>
      <x:c r="K32" s="99" t="n">
        <x:f>IF(AND(E32="yes",F32="yes",H32="covered"),1,IF(H32="partial",0.5,0))</x:f>
        <x:v>1</x:v>
      </x:c>
    </x:row>
    <x:row r="33" s="51" customFormat="1" ht="33.75" customHeight="1">
      <x:c r="A33" s="99" t="n">
        <x:v>25</x:v>
      </x:c>
      <x:c r="B33" s="99" t="inlineStr">
        <x:is>
          <x:t xml:space="preserve">Presets</x:t>
        </x:is>
      </x:c>
      <x:c r="C33" s="99" t="inlineStr">
        <x:is>
          <x:t xml:space="preserve">Swatch</x:t>
        </x:is>
      </x:c>
      <x:c r="D33" s="100" t="inlineStr">
        <x:is>
          <x:t xml:space="preserve">renders opaque and alpha color values</x:t>
        </x:is>
      </x:c>
      <x:c r="E33" s="100" t="inlineStr">
        <x:is>
          <x:t xml:space="preserve">yes</x:t>
        </x:is>
      </x:c>
      <x:c r="F33" s="100" t="inlineStr">
        <x:is>
          <x:t xml:space="preserve">yes</x:t>
        </x:is>
      </x:c>
      <x:c r="G33" s="100" t="inlineStr">
        <x:is>
          <x:t xml:space="preserve">tested</x:t>
        </x:is>
      </x:c>
      <x:c r="H33" s="100" t="inlineStr">
        <x:is>
          <x:t xml:space="preserve">covered</x:t>
        </x:is>
      </x:c>
      <x:c r="I33" s="100" t="inlineStr">
        <x:is>
          <x:t xml:space="preserve">unit and browser tests.</x:t>
        </x:is>
      </x:c>
      <x:c r="J33" s="100" t="n"/>
      <x:c r="K33" s="99" t="n">
        <x:f>IF(AND(E33="yes",F33="yes",H33="covered"),1,IF(H33="partial",0.5,0))</x:f>
        <x:v>1</x:v>
      </x:c>
    </x:row>
    <x:row r="34" s="51" customFormat="1" ht="33.75" customHeight="1">
      <x:c r="A34" s="99" t="n">
        <x:v>26</x:v>
      </x:c>
      <x:c r="B34" s="99" t="inlineStr">
        <x:is>
          <x:t xml:space="preserve">Presets</x:t>
        </x:is>
      </x:c>
      <x:c r="C34" s="99" t="inlineStr">
        <x:is>
          <x:t xml:space="preserve">SwatchIndicator</x:t>
        </x:is>
      </x:c>
      <x:c r="D34" s="100" t="inlineStr">
        <x:is>
          <x:t xml:space="preserve">exposes selected preset state for consumer styling</x:t>
        </x:is>
      </x:c>
      <x:c r="E34" s="100" t="inlineStr">
        <x:is>
          <x:t xml:space="preserve">yes</x:t>
        </x:is>
      </x:c>
      <x:c r="F34" s="100" t="inlineStr">
        <x:is>
          <x:t xml:space="preserve">yes</x:t>
        </x:is>
      </x:c>
      <x:c r="G34" s="100" t="inlineStr">
        <x:is>
          <x:t xml:space="preserve">tested</x:t>
        </x:is>
      </x:c>
      <x:c r="H34" s="100" t="inlineStr">
        <x:is>
          <x:t xml:space="preserve">covered</x:t>
        </x:is>
      </x:c>
      <x:c r="I34" s="100" t="inlineStr">
        <x:is>
          <x:t xml:space="preserve">unit and browser tests.</x:t>
        </x:is>
      </x:c>
      <x:c r="J34" s="100" t="n"/>
      <x:c r="K34" s="99" t="n">
        <x:f>IF(AND(E34="yes",F34="yes",H34="covered"),1,IF(H34="partial",0.5,0))</x:f>
        <x:v>1</x:v>
      </x:c>
    </x:row>
    <x:row r="35" s="51" customFormat="1" ht="33.75" customHeight="1">
      <x:c r="A35" s="99" t="n">
        <x:v>27</x:v>
      </x:c>
      <x:c r="B35" s="99" t="inlineStr">
        <x:is>
          <x:t xml:space="preserve">Form</x:t>
        </x:is>
      </x:c>
      <x:c r="C35" s="99" t="inlineStr">
        <x:is>
          <x:t xml:space="preserve">HiddenInput</x:t>
        </x:is>
      </x:c>
      <x:c r="D35" s="100" t="inlineStr">
        <x:is>
          <x:t xml:space="preserve">submits the current formatted value with name and optional form owner</x:t>
        </x:is>
      </x:c>
      <x:c r="E35" s="100" t="inlineStr">
        <x:is>
          <x:t xml:space="preserve">yes</x:t>
        </x:is>
      </x:c>
      <x:c r="F35" s="100" t="inlineStr">
        <x:is>
          <x:t xml:space="preserve">yes</x:t>
        </x:is>
      </x:c>
      <x:c r="G35" s="100" t="inlineStr">
        <x:is>
          <x:t xml:space="preserve">tested</x:t>
        </x:is>
      </x:c>
      <x:c r="H35" s="100" t="inlineStr">
        <x:is>
          <x:t xml:space="preserve">covered</x:t>
        </x:is>
      </x:c>
      <x:c r="I35" s="100" t="inlineStr">
        <x:is>
          <x:t xml:space="preserve">test/primitives/color-picker.test.mjs and workbench form.</x:t>
        </x:is>
      </x:c>
      <x:c r="J35" s="100" t="n"/>
      <x:c r="K35" s="99" t="n">
        <x:f>IF(AND(E35="yes",F35="yes",H35="covered"),1,IF(H35="partial",0.5,0))</x:f>
        <x:v>1</x:v>
      </x:c>
    </x:row>
    <x:row r="36" s="51" customFormat="1" ht="33.75" customHeight="1">
      <x:c r="A36" s="99" t="n">
        <x:v>28</x:v>
      </x:c>
      <x:c r="B36" s="99" t="inlineStr">
        <x:is>
          <x:t xml:space="preserve">Form</x:t>
        </x:is>
      </x:c>
      <x:c r="C36" s="99" t="inlineStr">
        <x:is>
          <x:t xml:space="preserve">HiddenInput</x:t>
        </x:is>
      </x:c>
      <x:c r="D36" s="100" t="inlineStr">
        <x:is>
          <x:t xml:space="preserve">form reset restores the authored default color</x:t>
        </x:is>
      </x:c>
      <x:c r="E36" s="100" t="inlineStr">
        <x:is>
          <x:t xml:space="preserve">yes</x:t>
        </x:is>
      </x:c>
      <x:c r="F36" s="100" t="inlineStr">
        <x:is>
          <x:t xml:space="preserve">yes</x:t>
        </x:is>
      </x:c>
      <x:c r="G36" s="100" t="inlineStr">
        <x:is>
          <x:t xml:space="preserve">tested</x:t>
        </x:is>
      </x:c>
      <x:c r="H36" s="100" t="inlineStr">
        <x:is>
          <x:t xml:space="preserve">covered</x:t>
        </x:is>
      </x:c>
      <x:c r="I36" s="100" t="inlineStr">
        <x:is>
          <x:t xml:space="preserve">test/primitives/color-picker.test.mjs.</x:t>
        </x:is>
      </x:c>
      <x:c r="J36" s="100" t="n"/>
      <x:c r="K36" s="99" t="n">
        <x:f>IF(AND(E36="yes",F36="yes",H36="covered"),1,IF(H36="partial",0.5,0))</x:f>
        <x:v>1</x:v>
      </x:c>
    </x:row>
    <x:row r="37" s="51" customFormat="1" ht="33.75" customHeight="1">
      <x:c r="A37" s="99" t="n">
        <x:v>29</x:v>
      </x:c>
      <x:c r="B37" s="99" t="inlineStr">
        <x:is>
          <x:t xml:space="preserve">State</x:t>
        </x:is>
      </x:c>
      <x:c r="C37" s="99" t="inlineStr">
        <x:is>
          <x:t xml:space="preserve">Root</x:t>
        </x:is>
      </x:c>
      <x:c r="D37" s="100" t="inlineStr">
        <x:is>
          <x:t xml:space="preserve">disabled blocks all mutating controls</x:t>
        </x:is>
      </x:c>
      <x:c r="E37" s="100" t="inlineStr">
        <x:is>
          <x:t xml:space="preserve">yes</x:t>
        </x:is>
      </x:c>
      <x:c r="F37" s="100" t="inlineStr">
        <x:is>
          <x:t xml:space="preserve">yes</x:t>
        </x:is>
      </x:c>
      <x:c r="G37" s="100" t="inlineStr">
        <x:is>
          <x:t xml:space="preserve">tested</x:t>
        </x:is>
      </x:c>
      <x:c r="H37" s="100" t="inlineStr">
        <x:is>
          <x:t xml:space="preserve">covered</x:t>
        </x:is>
      </x:c>
      <x:c r="I37" s="100" t="inlineStr">
        <x:is>
          <x:t xml:space="preserve">test/primitives/color-picker.test.mjs.</x:t>
        </x:is>
      </x:c>
      <x:c r="J37" s="100" t="n"/>
      <x:c r="K37" s="99" t="n">
        <x:f>IF(AND(E37="yes",F37="yes",H37="covered"),1,IF(H37="partial",0.5,0))</x:f>
        <x:v>1</x:v>
      </x:c>
    </x:row>
    <x:row r="38" s="51" customFormat="1" ht="33.75" customHeight="1">
      <x:c r="A38" s="99" t="n">
        <x:v>30</x:v>
      </x:c>
      <x:c r="B38" s="99" t="inlineStr">
        <x:is>
          <x:t xml:space="preserve">State</x:t>
        </x:is>
      </x:c>
      <x:c r="C38" s="99" t="inlineStr">
        <x:is>
          <x:t xml:space="preserve">Root</x:t>
        </x:is>
      </x:c>
      <x:c r="D38" s="100" t="inlineStr">
        <x:is>
          <x:t xml:space="preserve">readOnly blocks all mutating controls without removing value presentation</x:t>
        </x:is>
      </x:c>
      <x:c r="E38" s="100" t="inlineStr">
        <x:is>
          <x:t xml:space="preserve">yes</x:t>
        </x:is>
      </x:c>
      <x:c r="F38" s="100" t="inlineStr">
        <x:is>
          <x:t xml:space="preserve">yes</x:t>
        </x:is>
      </x:c>
      <x:c r="G38" s="100" t="inlineStr">
        <x:is>
          <x:t xml:space="preserve">tested</x:t>
        </x:is>
      </x:c>
      <x:c r="H38" s="100" t="inlineStr">
        <x:is>
          <x:t xml:space="preserve">covered</x:t>
        </x:is>
      </x:c>
      <x:c r="I38" s="100" t="inlineStr">
        <x:is>
          <x:t xml:space="preserve">test/primitives/color-picker.test.mjs.</x:t>
        </x:is>
      </x:c>
      <x:c r="J38" s="100" t="n"/>
      <x:c r="K38" s="99" t="n">
        <x:f>IF(AND(E38="yes",F38="yes",H38="covered"),1,IF(H38="partial",0.5,0))</x:f>
        <x:v>1</x:v>
      </x:c>
    </x:row>
    <x:row r="39" s="51" customFormat="1" ht="33.75" customHeight="1">
      <x:c r="A39" s="99" t="n">
        <x:v>31</x:v>
      </x:c>
      <x:c r="B39" s="99" t="inlineStr">
        <x:is>
          <x:t xml:space="preserve">State</x:t>
        </x:is>
      </x:c>
      <x:c r="C39" s="99" t="inlineStr">
        <x:is>
          <x:t xml:space="preserve">Root</x:t>
        </x:is>
      </x:c>
      <x:c r="D39" s="100" t="inlineStr">
        <x:is>
          <x:t xml:space="preserve">invalid and required state propagate through native semantics</x:t>
        </x:is>
      </x:c>
      <x:c r="E39" s="100" t="inlineStr">
        <x:is>
          <x:t xml:space="preserve">yes</x:t>
        </x:is>
      </x:c>
      <x:c r="F39" s="100" t="inlineStr">
        <x:is>
          <x:t xml:space="preserve">yes</x:t>
        </x:is>
      </x:c>
      <x:c r="G39" s="100" t="inlineStr">
        <x:is>
          <x:t xml:space="preserve">tested</x:t>
        </x:is>
      </x:c>
      <x:c r="H39" s="100" t="inlineStr">
        <x:is>
          <x:t xml:space="preserve">covered</x:t>
        </x:is>
      </x:c>
      <x:c r="I39" s="100" t="inlineStr">
        <x:is>
          <x:t xml:space="preserve">unit anatomy test and workbench controls.</x:t>
        </x:is>
      </x:c>
      <x:c r="J39" s="100" t="n"/>
      <x:c r="K39" s="99" t="n">
        <x:f>IF(AND(E39="yes",F39="yes",H39="covered"),1,IF(H39="partial",0.5,0))</x:f>
        <x:v>1</x:v>
      </x:c>
    </x:row>
    <x:row r="40" s="51" customFormat="1" ht="33.75" customHeight="1">
      <x:c r="A40" s="99" t="n">
        <x:v>32</x:v>
      </x:c>
      <x:c r="B40" s="99" t="inlineStr">
        <x:is>
          <x:t xml:space="preserve">Context</x:t>
        </x:is>
      </x:c>
      <x:c r="C40" s="99" t="inlineStr">
        <x:is>
          <x:t xml:space="preserve">Root</x:t>
        </x:is>
      </x:c>
      <x:c r="D40" s="100" t="inlineStr">
        <x:is>
          <x:t xml:space="preserve">inherits Field disabled, readOnly, invalid, required, and control id state</x:t>
        </x:is>
      </x:c>
      <x:c r="E40" s="100" t="inlineStr">
        <x:is>
          <x:t xml:space="preserve">yes</x:t>
        </x:is>
      </x:c>
      <x:c r="F40" s="100" t="inlineStr">
        <x:is>
          <x:t xml:space="preserve">yes</x:t>
        </x:is>
      </x:c>
      <x:c r="G40" s="100" t="inlineStr">
        <x:is>
          <x:t xml:space="preserve">tested</x:t>
        </x:is>
      </x:c>
      <x:c r="H40" s="100" t="inlineStr">
        <x:is>
          <x:t xml:space="preserve">covered</x:t>
        </x:is>
      </x:c>
      <x:c r="I40" s="100" t="inlineStr">
        <x:is>
          <x:t xml:space="preserve">root implementation and package contract tests.</x:t>
        </x:is>
      </x:c>
      <x:c r="J40" s="100" t="n"/>
      <x:c r="K40" s="99" t="n">
        <x:f>IF(AND(E40="yes",F40="yes",H40="covered"),1,IF(H40="partial",0.5,0))</x:f>
        <x:v>1</x:v>
      </x:c>
    </x:row>
    <x:row r="41" s="51" customFormat="1" ht="33.75" customHeight="1">
      <x:c r="A41" s="99" t="n">
        <x:v>33</x:v>
      </x:c>
      <x:c r="B41" s="99" t="inlineStr">
        <x:is>
          <x:t xml:space="preserve">Direction</x:t>
        </x:is>
      </x:c>
      <x:c r="C41" s="99" t="inlineStr">
        <x:is>
          <x:t xml:space="preserve">Root</x:t>
        </x:is>
      </x:c>
      <x:c r="D41" s="100" t="inlineStr">
        <x:is>
          <x:t xml:space="preserve">inherits Direction and supports explicit dir override</x:t>
        </x:is>
      </x:c>
      <x:c r="E41" s="100" t="inlineStr">
        <x:is>
          <x:t xml:space="preserve">yes</x:t>
        </x:is>
      </x:c>
      <x:c r="F41" s="100" t="inlineStr">
        <x:is>
          <x:t xml:space="preserve">yes</x:t>
        </x:is>
      </x:c>
      <x:c r="G41" s="100" t="inlineStr">
        <x:is>
          <x:t xml:space="preserve">tested</x:t>
        </x:is>
      </x:c>
      <x:c r="H41" s="100" t="inlineStr">
        <x:is>
          <x:t xml:space="preserve">covered</x:t>
        </x:is>
      </x:c>
      <x:c r="I41" s="100" t="inlineStr">
        <x:is>
          <x:t xml:space="preserve">test/primitives/color-picker.test.mjs and RTL harness.</x:t>
        </x:is>
      </x:c>
      <x:c r="J41" s="100" t="n"/>
      <x:c r="K41" s="99" t="n">
        <x:f>IF(AND(E41="yes",F41="yes",H41="covered"),1,IF(H41="partial",0.5,0))</x:f>
        <x:v>1</x:v>
      </x:c>
    </x:row>
    <x:row r="42" s="51" customFormat="1" ht="33.75" customHeight="1">
      <x:c r="A42" s="99" t="n">
        <x:v>34</x:v>
      </x:c>
      <x:c r="B42" s="99" t="inlineStr">
        <x:is>
          <x:t xml:space="preserve">Anatomy</x:t>
        </x:is>
      </x:c>
      <x:c r="C42" s="99" t="inlineStr">
        <x:is>
          <x:t xml:space="preserve">Label</x:t>
        </x:is>
      </x:c>
      <x:c r="D42" s="100" t="inlineStr">
        <x:is>
          <x:t xml:space="preserve">labels the text input and picker contract</x:t>
        </x:is>
      </x:c>
      <x:c r="E42" s="100" t="inlineStr">
        <x:is>
          <x:t xml:space="preserve">yes</x:t>
        </x:is>
      </x:c>
      <x:c r="F42" s="100" t="inlineStr">
        <x:is>
          <x:t xml:space="preserve">yes</x:t>
        </x:is>
      </x:c>
      <x:c r="G42" s="100" t="inlineStr">
        <x:is>
          <x:t xml:space="preserve">tested</x:t>
        </x:is>
      </x:c>
      <x:c r="H42" s="100" t="inlineStr">
        <x:is>
          <x:t xml:space="preserve">covered</x:t>
        </x:is>
      </x:c>
      <x:c r="I42" s="100" t="inlineStr">
        <x:is>
          <x:t xml:space="preserve">unit anatomy test and normal workbench.</x:t>
        </x:is>
      </x:c>
      <x:c r="J42" s="100" t="n"/>
      <x:c r="K42" s="99" t="n">
        <x:f>IF(AND(E42="yes",F42="yes",H42="covered"),1,IF(H42="partial",0.5,0))</x:f>
        <x:v>1</x:v>
      </x:c>
    </x:row>
    <x:row r="43" s="51" customFormat="1" ht="33.75" customHeight="1">
      <x:c r="A43" s="99" t="n">
        <x:v>35</x:v>
      </x:c>
      <x:c r="B43" s="99" t="inlineStr">
        <x:is>
          <x:t xml:space="preserve">Anatomy</x:t>
        </x:is>
      </x:c>
      <x:c r="C43" s="99" t="inlineStr">
        <x:is>
          <x:t xml:space="preserve">Control</x:t>
        </x:is>
      </x:c>
      <x:c r="D43" s="100" t="inlineStr">
        <x:is>
          <x:t xml:space="preserve">groups current-value and trigger controls</x:t>
        </x:is>
      </x:c>
      <x:c r="E43" s="100" t="inlineStr">
        <x:is>
          <x:t xml:space="preserve">yes</x:t>
        </x:is>
      </x:c>
      <x:c r="F43" s="100" t="inlineStr">
        <x:is>
          <x:t xml:space="preserve">yes</x:t>
        </x:is>
      </x:c>
      <x:c r="G43" s="100" t="inlineStr">
        <x:is>
          <x:t xml:space="preserve">tested</x:t>
        </x:is>
      </x:c>
      <x:c r="H43" s="100" t="inlineStr">
        <x:is>
          <x:t xml:space="preserve">covered</x:t>
        </x:is>
      </x:c>
      <x:c r="I43" s="100" t="inlineStr">
        <x:is>
          <x:t xml:space="preserve">unit anatomy test and normal workbench.</x:t>
        </x:is>
      </x:c>
      <x:c r="J43" s="100" t="n"/>
      <x:c r="K43" s="99" t="n">
        <x:f>IF(AND(E43="yes",F43="yes",H43="covered"),1,IF(H43="partial",0.5,0))</x:f>
        <x:v>1</x:v>
      </x:c>
    </x:row>
    <x:row r="44" s="51" customFormat="1" ht="33.75" customHeight="1">
      <x:c r="A44" s="99" t="n">
        <x:v>36</x:v>
      </x:c>
      <x:c r="B44" s="99" t="inlineStr">
        <x:is>
          <x:t xml:space="preserve">Anatomy</x:t>
        </x:is>
      </x:c>
      <x:c r="C44" s="99" t="inlineStr">
        <x:is>
          <x:t xml:space="preserve">Input</x:t>
        </x:is>
      </x:c>
      <x:c r="D44" s="100" t="inlineStr">
        <x:is>
          <x:t xml:space="preserve">provides the hexadecimal shortcut input</x:t>
        </x:is>
      </x:c>
      <x:c r="E44" s="100" t="inlineStr">
        <x:is>
          <x:t xml:space="preserve">yes</x:t>
        </x:is>
      </x:c>
      <x:c r="F44" s="100" t="inlineStr">
        <x:is>
          <x:t xml:space="preserve">yes</x:t>
        </x:is>
      </x:c>
      <x:c r="G44" s="100" t="inlineStr">
        <x:is>
          <x:t xml:space="preserve">tested</x:t>
        </x:is>
      </x:c>
      <x:c r="H44" s="100" t="inlineStr">
        <x:is>
          <x:t xml:space="preserve">covered</x:t>
        </x:is>
      </x:c>
      <x:c r="I44" s="100" t="inlineStr">
        <x:is>
          <x:t xml:space="preserve">unit and browser tests.</x:t>
        </x:is>
      </x:c>
      <x:c r="J44" s="100" t="n"/>
      <x:c r="K44" s="99" t="n">
        <x:f>IF(AND(E44="yes",F44="yes",H44="covered"),1,IF(H44="partial",0.5,0))</x:f>
        <x:v>1</x:v>
      </x:c>
    </x:row>
    <x:row r="45" s="51" customFormat="1" ht="33.75" customHeight="1">
      <x:c r="A45" s="99" t="n">
        <x:v>37</x:v>
      </x:c>
      <x:c r="B45" s="99" t="inlineStr">
        <x:is>
          <x:t xml:space="preserve">Anatomy</x:t>
        </x:is>
      </x:c>
      <x:c r="C45" s="99" t="inlineStr">
        <x:is>
          <x:t xml:space="preserve">ValueText</x:t>
        </x:is>
      </x:c>
      <x:c r="D45" s="100" t="inlineStr">
        <x:is>
          <x:t xml:space="preserve">reports the active formatted color</x:t>
        </x:is>
      </x:c>
      <x:c r="E45" s="100" t="inlineStr">
        <x:is>
          <x:t xml:space="preserve">yes</x:t>
        </x:is>
      </x:c>
      <x:c r="F45" s="100" t="inlineStr">
        <x:is>
          <x:t xml:space="preserve">yes</x:t>
        </x:is>
      </x:c>
      <x:c r="G45" s="100" t="inlineStr">
        <x:is>
          <x:t xml:space="preserve">tested</x:t>
        </x:is>
      </x:c>
      <x:c r="H45" s="100" t="inlineStr">
        <x:is>
          <x:t xml:space="preserve">covered</x:t>
        </x:is>
      </x:c>
      <x:c r="I45" s="100" t="inlineStr">
        <x:is>
          <x:t xml:space="preserve">unit and browser tests.</x:t>
        </x:is>
      </x:c>
      <x:c r="J45" s="100" t="n"/>
      <x:c r="K45" s="99" t="n">
        <x:f>IF(AND(E45="yes",F45="yes",H45="covered"),1,IF(H45="partial",0.5,0))</x:f>
        <x:v>1</x:v>
      </x:c>
    </x:row>
    <x:row r="46" s="51" customFormat="1" ht="33.75" customHeight="1">
      <x:c r="A46" s="99" t="n">
        <x:v>38</x:v>
      </x:c>
      <x:c r="B46" s="99" t="inlineStr">
        <x:is>
          <x:t xml:space="preserve">Anatomy</x:t>
        </x:is>
      </x:c>
      <x:c r="C46" s="99" t="inlineStr">
        <x:is>
          <x:t xml:space="preserve">ValueSwatch</x:t>
        </x:is>
      </x:c>
      <x:c r="D46" s="100" t="inlineStr">
        <x:is>
          <x:t xml:space="preserve">renders the current color and transparency</x:t>
        </x:is>
      </x:c>
      <x:c r="E46" s="100" t="inlineStr">
        <x:is>
          <x:t xml:space="preserve">yes</x:t>
        </x:is>
      </x:c>
      <x:c r="F46" s="100" t="inlineStr">
        <x:is>
          <x:t xml:space="preserve">yes</x:t>
        </x:is>
      </x:c>
      <x:c r="G46" s="100" t="inlineStr">
        <x:is>
          <x:t xml:space="preserve">tested</x:t>
        </x:is>
      </x:c>
      <x:c r="H46" s="100" t="inlineStr">
        <x:is>
          <x:t xml:space="preserve">covered</x:t>
        </x:is>
      </x:c>
      <x:c r="I46" s="100" t="inlineStr">
        <x:is>
          <x:t xml:space="preserve">unit anatomy test and workbench.</x:t>
        </x:is>
      </x:c>
      <x:c r="J46" s="100" t="n"/>
      <x:c r="K46" s="99" t="n">
        <x:f>IF(AND(E46="yes",F46="yes",H46="covered"),1,IF(H46="partial",0.5,0))</x:f>
        <x:v>1</x:v>
      </x:c>
    </x:row>
    <x:row r="47" s="51" customFormat="1" ht="33.75" customHeight="1">
      <x:c r="A47" s="99" t="n">
        <x:v>39</x:v>
      </x:c>
      <x:c r="B47" s="99" t="inlineStr">
        <x:is>
          <x:t xml:space="preserve">Anatomy</x:t>
        </x:is>
      </x:c>
      <x:c r="C47" s="99" t="inlineStr">
        <x:is>
          <x:t xml:space="preserve">Trigger</x:t>
        </x:is>
      </x:c>
      <x:c r="D47" s="100" t="inlineStr">
        <x:is>
          <x:t xml:space="preserve">opens the popup and exposes expanded state</x:t>
        </x:is>
      </x:c>
      <x:c r="E47" s="100" t="inlineStr">
        <x:is>
          <x:t xml:space="preserve">yes</x:t>
        </x:is>
      </x:c>
      <x:c r="F47" s="100" t="inlineStr">
        <x:is>
          <x:t xml:space="preserve">yes</x:t>
        </x:is>
      </x:c>
      <x:c r="G47" s="100" t="inlineStr">
        <x:is>
          <x:t xml:space="preserve">tested</x:t>
        </x:is>
      </x:c>
      <x:c r="H47" s="100" t="inlineStr">
        <x:is>
          <x:t xml:space="preserve">covered</x:t>
        </x:is>
      </x:c>
      <x:c r="I47" s="100" t="inlineStr">
        <x:is>
          <x:t xml:space="preserve">test/browser/color-picker.spec.ts.</x:t>
        </x:is>
      </x:c>
      <x:c r="J47" s="100" t="n"/>
      <x:c r="K47" s="99" t="n">
        <x:f>IF(AND(E47="yes",F47="yes",H47="covered"),1,IF(H47="partial",0.5,0))</x:f>
        <x:v>1</x:v>
      </x:c>
    </x:row>
    <x:row r="48" s="51" customFormat="1" ht="33.75" customHeight="1">
      <x:c r="A48" s="99" t="n">
        <x:v>40</x:v>
      </x:c>
      <x:c r="B48" s="99" t="inlineStr">
        <x:is>
          <x:t xml:space="preserve">Anatomy</x:t>
        </x:is>
      </x:c>
      <x:c r="C48" s="99" t="inlineStr">
        <x:is>
          <x:t xml:space="preserve">Positioner</x:t>
        </x:is>
      </x:c>
      <x:c r="D48" s="100" t="inlineStr">
        <x:is>
          <x:t xml:space="preserve">positions popup content through the shared machine</x:t>
        </x:is>
      </x:c>
      <x:c r="E48" s="100" t="inlineStr">
        <x:is>
          <x:t xml:space="preserve">yes</x:t>
        </x:is>
      </x:c>
      <x:c r="F48" s="100" t="inlineStr">
        <x:is>
          <x:t xml:space="preserve">yes</x:t>
        </x:is>
      </x:c>
      <x:c r="G48" s="100" t="inlineStr">
        <x:is>
          <x:t xml:space="preserve">tested</x:t>
        </x:is>
      </x:c>
      <x:c r="H48" s="100" t="inlineStr">
        <x:is>
          <x:t xml:space="preserve">covered</x:t>
        </x:is>
      </x:c>
      <x:c r="I48" s="100" t="inlineStr">
        <x:is>
          <x:t xml:space="preserve">test/browser/color-picker.spec.ts.</x:t>
        </x:is>
      </x:c>
      <x:c r="J48" s="100" t="n"/>
      <x:c r="K48" s="99" t="n">
        <x:f>IF(AND(E48="yes",F48="yes",H48="covered"),1,IF(H48="partial",0.5,0))</x:f>
        <x:v>1</x:v>
      </x:c>
    </x:row>
    <x:row r="49" s="51" customFormat="1" ht="33.75" customHeight="1">
      <x:c r="A49" s="99" t="n">
        <x:v>41</x:v>
      </x:c>
      <x:c r="B49" s="99" t="inlineStr">
        <x:is>
          <x:t xml:space="preserve">Anatomy</x:t>
        </x:is>
      </x:c>
      <x:c r="C49" s="99" t="inlineStr">
        <x:is>
          <x:t xml:space="preserve">Content</x:t>
        </x:is>
      </x:c>
      <x:c r="D49" s="100" t="inlineStr">
        <x:is>
          <x:t xml:space="preserve">hides when closed even when consumer display CSS is present</x:t>
        </x:is>
      </x:c>
      <x:c r="E49" s="100" t="inlineStr">
        <x:is>
          <x:t xml:space="preserve">yes</x:t>
        </x:is>
      </x:c>
      <x:c r="F49" s="100" t="inlineStr">
        <x:is>
          <x:t xml:space="preserve">yes</x:t>
        </x:is>
      </x:c>
      <x:c r="G49" s="100" t="inlineStr">
        <x:is>
          <x:t xml:space="preserve">tested</x:t>
        </x:is>
      </x:c>
      <x:c r="H49" s="100" t="inlineStr">
        <x:is>
          <x:t xml:space="preserve">covered</x:t>
        </x:is>
      </x:c>
      <x:c r="I49" s="100" t="inlineStr">
        <x:is>
          <x:t xml:space="preserve">test/browser/color-picker.spec.ts.</x:t>
        </x:is>
      </x:c>
      <x:c r="J49" s="100" t="n"/>
      <x:c r="K49" s="99" t="n">
        <x:f>IF(AND(E49="yes",F49="yes",H49="covered"),1,IF(H49="partial",0.5,0))</x:f>
        <x:v>1</x:v>
      </x:c>
    </x:row>
    <x:row r="50" s="51" customFormat="1" ht="33.75" customHeight="1">
      <x:c r="A50" s="99" t="n">
        <x:v>42</x:v>
      </x:c>
      <x:c r="B50" s="99" t="inlineStr">
        <x:is>
          <x:t xml:space="preserve">Anatomy</x:t>
        </x:is>
      </x:c>
      <x:c r="C50" s="99" t="inlineStr">
        <x:is>
          <x:t xml:space="preserve">AreaBackground</x:t>
        </x:is>
      </x:c>
      <x:c r="D50" s="100" t="inlineStr">
        <x:is>
          <x:t xml:space="preserve">receives the computed two-dimensional gradient</x:t>
        </x:is>
      </x:c>
      <x:c r="E50" s="100" t="inlineStr">
        <x:is>
          <x:t xml:space="preserve">yes</x:t>
        </x:is>
      </x:c>
      <x:c r="F50" s="100" t="inlineStr">
        <x:is>
          <x:t xml:space="preserve">yes</x:t>
        </x:is>
      </x:c>
      <x:c r="G50" s="100" t="inlineStr">
        <x:is>
          <x:t xml:space="preserve">tested</x:t>
        </x:is>
      </x:c>
      <x:c r="H50" s="100" t="inlineStr">
        <x:is>
          <x:t xml:space="preserve">covered</x:t>
        </x:is>
      </x:c>
      <x:c r="I50" s="100" t="inlineStr">
        <x:is>
          <x:t xml:space="preserve">unit anatomy test and browser harness.</x:t>
        </x:is>
      </x:c>
      <x:c r="J50" s="100" t="n"/>
      <x:c r="K50" s="99" t="n">
        <x:f>IF(AND(E50="yes",F50="yes",H50="covered"),1,IF(H50="partial",0.5,0))</x:f>
        <x:v>1</x:v>
      </x:c>
    </x:row>
    <x:row r="51" s="51" customFormat="1" ht="33.75" customHeight="1">
      <x:c r="A51" s="99" t="n">
        <x:v>43</x:v>
      </x:c>
      <x:c r="B51" s="99" t="inlineStr">
        <x:is>
          <x:t xml:space="preserve">Anatomy</x:t>
        </x:is>
      </x:c>
      <x:c r="C51" s="99" t="inlineStr">
        <x:is>
          <x:t xml:space="preserve">AreaThumb</x:t>
        </x:is>
      </x:c>
      <x:c r="D51" s="100" t="inlineStr">
        <x:is>
          <x:t xml:space="preserve">exposes current channel values and keyboard semantics</x:t>
        </x:is>
      </x:c>
      <x:c r="E51" s="100" t="inlineStr">
        <x:is>
          <x:t xml:space="preserve">yes</x:t>
        </x:is>
      </x:c>
      <x:c r="F51" s="100" t="inlineStr">
        <x:is>
          <x:t xml:space="preserve">yes</x:t>
        </x:is>
      </x:c>
      <x:c r="G51" s="100" t="inlineStr">
        <x:is>
          <x:t xml:space="preserve">tested</x:t>
        </x:is>
      </x:c>
      <x:c r="H51" s="100" t="inlineStr">
        <x:is>
          <x:t xml:space="preserve">covered</x:t>
        </x:is>
      </x:c>
      <x:c r="I51" s="100" t="inlineStr">
        <x:is>
          <x:t xml:space="preserve">test/browser/color-picker.spec.ts.</x:t>
        </x:is>
      </x:c>
      <x:c r="J51" s="100" t="n"/>
      <x:c r="K51" s="99" t="n">
        <x:f>IF(AND(E51="yes",F51="yes",H51="covered"),1,IF(H51="partial",0.5,0))</x:f>
        <x:v>1</x:v>
      </x:c>
    </x:row>
    <x:row r="52" s="51" customFormat="1" ht="33.75" customHeight="1">
      <x:c r="A52" s="99" t="n">
        <x:v>44</x:v>
      </x:c>
      <x:c r="B52" s="99" t="inlineStr">
        <x:is>
          <x:t xml:space="preserve">Anatomy</x:t>
        </x:is>
      </x:c>
      <x:c r="C52" s="99" t="inlineStr">
        <x:is>
          <x:t xml:space="preserve">ChannelSliderLabel</x:t>
        </x:is>
      </x:c>
      <x:c r="D52" s="100" t="inlineStr">
        <x:is>
          <x:t xml:space="preserve">labels each authored channel slider</x:t>
        </x:is>
      </x:c>
      <x:c r="E52" s="100" t="inlineStr">
        <x:is>
          <x:t xml:space="preserve">yes</x:t>
        </x:is>
      </x:c>
      <x:c r="F52" s="100" t="inlineStr">
        <x:is>
          <x:t xml:space="preserve">yes</x:t>
        </x:is>
      </x:c>
      <x:c r="G52" s="100" t="inlineStr">
        <x:is>
          <x:t xml:space="preserve">tested</x:t>
        </x:is>
      </x:c>
      <x:c r="H52" s="100" t="inlineStr">
        <x:is>
          <x:t xml:space="preserve">covered</x:t>
        </x:is>
      </x:c>
      <x:c r="I52" s="100" t="inlineStr">
        <x:is>
          <x:t xml:space="preserve">unit anatomy test and workbench.</x:t>
        </x:is>
      </x:c>
      <x:c r="J52" s="100" t="n"/>
      <x:c r="K52" s="99" t="n">
        <x:f>IF(AND(E52="yes",F52="yes",H52="covered"),1,IF(H52="partial",0.5,0))</x:f>
        <x:v>1</x:v>
      </x:c>
    </x:row>
    <x:row r="53" s="51" customFormat="1" ht="33.75" customHeight="1">
      <x:c r="A53" s="99" t="n">
        <x:v>45</x:v>
      </x:c>
      <x:c r="B53" s="99" t="inlineStr">
        <x:is>
          <x:t xml:space="preserve">Anatomy</x:t>
        </x:is>
      </x:c>
      <x:c r="C53" s="99" t="inlineStr">
        <x:is>
          <x:t xml:space="preserve">ChannelSliderTrack</x:t>
        </x:is>
      </x:c>
      <x:c r="D53" s="100" t="inlineStr">
        <x:is>
          <x:t xml:space="preserve">receives the computed hue or alpha gradient</x:t>
        </x:is>
      </x:c>
      <x:c r="E53" s="100" t="inlineStr">
        <x:is>
          <x:t xml:space="preserve">yes</x:t>
        </x:is>
      </x:c>
      <x:c r="F53" s="100" t="inlineStr">
        <x:is>
          <x:t xml:space="preserve">yes</x:t>
        </x:is>
      </x:c>
      <x:c r="G53" s="100" t="inlineStr">
        <x:is>
          <x:t xml:space="preserve">tested</x:t>
        </x:is>
      </x:c>
      <x:c r="H53" s="100" t="inlineStr">
        <x:is>
          <x:t xml:space="preserve">covered</x:t>
        </x:is>
      </x:c>
      <x:c r="I53" s="100" t="inlineStr">
        <x:is>
          <x:t xml:space="preserve">unit anatomy test and browser harness.</x:t>
        </x:is>
      </x:c>
      <x:c r="J53" s="100" t="n"/>
      <x:c r="K53" s="99" t="n">
        <x:f>IF(AND(E53="yes",F53="yes",H53="covered"),1,IF(H53="partial",0.5,0))</x:f>
        <x:v>1</x:v>
      </x:c>
    </x:row>
    <x:row r="54" s="51" customFormat="1" ht="33.75" customHeight="1">
      <x:c r="A54" s="99" t="n">
        <x:v>46</x:v>
      </x:c>
      <x:c r="B54" s="99" t="inlineStr">
        <x:is>
          <x:t xml:space="preserve">Anatomy</x:t>
        </x:is>
      </x:c>
      <x:c r="C54" s="99" t="inlineStr">
        <x:is>
          <x:t xml:space="preserve">ChannelSliderThumb</x:t>
        </x:is>
      </x:c>
      <x:c r="D54" s="100" t="inlineStr">
        <x:is>
          <x:t xml:space="preserve">exposes channel value and slider semantics</x:t>
        </x:is>
      </x:c>
      <x:c r="E54" s="100" t="inlineStr">
        <x:is>
          <x:t xml:space="preserve">yes</x:t>
        </x:is>
      </x:c>
      <x:c r="F54" s="100" t="inlineStr">
        <x:is>
          <x:t xml:space="preserve">yes</x:t>
        </x:is>
      </x:c>
      <x:c r="G54" s="100" t="inlineStr">
        <x:is>
          <x:t xml:space="preserve">tested</x:t>
        </x:is>
      </x:c>
      <x:c r="H54" s="100" t="inlineStr">
        <x:is>
          <x:t xml:space="preserve">covered</x:t>
        </x:is>
      </x:c>
      <x:c r="I54" s="100" t="inlineStr">
        <x:is>
          <x:t xml:space="preserve">desktop and mobile browser tests.</x:t>
        </x:is>
      </x:c>
      <x:c r="J54" s="100" t="n"/>
      <x:c r="K54" s="99" t="n">
        <x:f>IF(AND(E54="yes",F54="yes",H54="covered"),1,IF(H54="partial",0.5,0))</x:f>
        <x:v>1</x:v>
      </x:c>
    </x:row>
    <x:row r="55" s="51" customFormat="1" ht="33.75" customHeight="1">
      <x:c r="A55" s="99" t="n">
        <x:v>47</x:v>
      </x:c>
      <x:c r="B55" s="99" t="inlineStr">
        <x:is>
          <x:t xml:space="preserve">Anatomy</x:t>
        </x:is>
      </x:c>
      <x:c r="C55" s="99" t="inlineStr">
        <x:is>
          <x:t xml:space="preserve">ChannelSliderValueText</x:t>
        </x:is>
      </x:c>
      <x:c r="D55" s="100" t="inlineStr">
        <x:is>
          <x:t xml:space="preserve">reports the current channel value</x:t>
        </x:is>
      </x:c>
      <x:c r="E55" s="100" t="inlineStr">
        <x:is>
          <x:t xml:space="preserve">yes</x:t>
        </x:is>
      </x:c>
      <x:c r="F55" s="100" t="inlineStr">
        <x:is>
          <x:t xml:space="preserve">yes</x:t>
        </x:is>
      </x:c>
      <x:c r="G55" s="100" t="inlineStr">
        <x:is>
          <x:t xml:space="preserve">tested</x:t>
        </x:is>
      </x:c>
      <x:c r="H55" s="100" t="inlineStr">
        <x:is>
          <x:t xml:space="preserve">covered</x:t>
        </x:is>
      </x:c>
      <x:c r="I55" s="100" t="inlineStr">
        <x:is>
          <x:t xml:space="preserve">workbench scenario and unit anatomy test.</x:t>
        </x:is>
      </x:c>
      <x:c r="J55" s="100" t="n"/>
      <x:c r="K55" s="99" t="n">
        <x:f>IF(AND(E55="yes",F55="yes",H55="covered"),1,IF(H55="partial",0.5,0))</x:f>
        <x:v>1</x:v>
      </x:c>
    </x:row>
    <x:row r="56" s="51" customFormat="1" ht="33.75" customHeight="1">
      <x:c r="A56" s="99" t="n">
        <x:v>48</x:v>
      </x:c>
      <x:c r="B56" s="99" t="inlineStr">
        <x:is>
          <x:t xml:space="preserve">Anatomy</x:t>
        </x:is>
      </x:c>
      <x:c r="C56" s="99" t="inlineStr">
        <x:is>
          <x:t xml:space="preserve">TransparencyGrid</x:t>
        </x:is>
      </x:c>
      <x:c r="D56" s="100" t="inlineStr">
        <x:is>
          <x:t xml:space="preserve">renders a configurable alpha checkerboard</x:t>
        </x:is>
      </x:c>
      <x:c r="E56" s="100" t="inlineStr">
        <x:is>
          <x:t xml:space="preserve">yes</x:t>
        </x:is>
      </x:c>
      <x:c r="F56" s="100" t="inlineStr">
        <x:is>
          <x:t xml:space="preserve">yes</x:t>
        </x:is>
      </x:c>
      <x:c r="G56" s="100" t="inlineStr">
        <x:is>
          <x:t xml:space="preserve">tested</x:t>
        </x:is>
      </x:c>
      <x:c r="H56" s="100" t="inlineStr">
        <x:is>
          <x:t xml:space="preserve">covered</x:t>
        </x:is>
      </x:c>
      <x:c r="I56" s="100" t="inlineStr">
        <x:is>
          <x:t xml:space="preserve">unit anatomy test and browser harness.</x:t>
        </x:is>
      </x:c>
      <x:c r="J56" s="100" t="n"/>
      <x:c r="K56" s="99" t="n">
        <x:f>IF(AND(E56="yes",F56="yes",H56="covered"),1,IF(H56="partial",0.5,0))</x:f>
        <x:v>1</x:v>
      </x:c>
    </x:row>
    <x:row r="57" s="51" customFormat="1" ht="33.75" customHeight="1">
      <x:c r="A57" s="99" t="n">
        <x:v>49</x:v>
      </x:c>
      <x:c r="B57" s="99" t="inlineStr">
        <x:is>
          <x:t xml:space="preserve">Callbacks</x:t>
        </x:is>
      </x:c>
      <x:c r="C57" s="99" t="inlineStr">
        <x:is>
          <x:t xml:space="preserve">Root</x:t>
        </x:is>
      </x:c>
      <x:c r="D57" s="100" t="inlineStr">
        <x:is>
          <x:t xml:space="preserve">onValueChange reports structured color details</x:t>
        </x:is>
      </x:c>
      <x:c r="E57" s="100" t="inlineStr">
        <x:is>
          <x:t xml:space="preserve">yes</x:t>
        </x:is>
      </x:c>
      <x:c r="F57" s="100" t="inlineStr">
        <x:is>
          <x:t xml:space="preserve">yes</x:t>
        </x:is>
      </x:c>
      <x:c r="G57" s="100" t="inlineStr">
        <x:is>
          <x:t xml:space="preserve">tested</x:t>
        </x:is>
      </x:c>
      <x:c r="H57" s="100" t="inlineStr">
        <x:is>
          <x:t xml:space="preserve">covered</x:t>
        </x:is>
      </x:c>
      <x:c r="I57" s="100" t="inlineStr">
        <x:is>
          <x:t xml:space="preserve">test/primitives/color-picker.test.mjs.</x:t>
        </x:is>
      </x:c>
      <x:c r="J57" s="100" t="n"/>
      <x:c r="K57" s="99" t="n">
        <x:f>IF(AND(E57="yes",F57="yes",H57="covered"),1,IF(H57="partial",0.5,0))</x:f>
        <x:v>1</x:v>
      </x:c>
    </x:row>
    <x:row r="58" s="51" customFormat="1" ht="33.75" customHeight="1">
      <x:c r="A58" s="99" t="n">
        <x:v>50</x:v>
      </x:c>
      <x:c r="B58" s="99" t="inlineStr">
        <x:is>
          <x:t xml:space="preserve">Callbacks</x:t>
        </x:is>
      </x:c>
      <x:c r="C58" s="99" t="inlineStr">
        <x:is>
          <x:t xml:space="preserve">Root</x:t>
        </x:is>
      </x:c>
      <x:c r="D58" s="100" t="inlineStr">
        <x:is>
          <x:t xml:space="preserve">onValueChangeEnd reports pointer, committed input, and EyeDropper completion</x:t>
        </x:is>
      </x:c>
      <x:c r="E58" s="100" t="inlineStr">
        <x:is>
          <x:t xml:space="preserve">yes</x:t>
        </x:is>
      </x:c>
      <x:c r="F58" s="100" t="inlineStr">
        <x:is>
          <x:t xml:space="preserve">yes</x:t>
        </x:is>
      </x:c>
      <x:c r="G58" s="100" t="inlineStr">
        <x:is>
          <x:t xml:space="preserve">tested</x:t>
        </x:is>
      </x:c>
      <x:c r="H58" s="100" t="inlineStr">
        <x:is>
          <x:t xml:space="preserve">covered</x:t>
        </x:is>
      </x:c>
      <x:c r="I58" s="100" t="inlineStr">
        <x:is>
          <x:t xml:space="preserve">unit and browser tests.</x:t>
        </x:is>
      </x:c>
      <x:c r="J58" s="100" t="n"/>
      <x:c r="K58" s="99" t="n">
        <x:f>IF(AND(E58="yes",F58="yes",H58="covered"),1,IF(H58="partial",0.5,0))</x:f>
        <x:v>1</x:v>
      </x:c>
    </x:row>
    <x:row r="59" s="51" customFormat="1" ht="33.75" customHeight="1">
      <x:c r="A59" s="99" t="n">
        <x:v>51</x:v>
      </x:c>
      <x:c r="B59" s="99" t="inlineStr">
        <x:is>
          <x:t xml:space="preserve">Callbacks</x:t>
        </x:is>
      </x:c>
      <x:c r="C59" s="99" t="inlineStr">
        <x:is>
          <x:t xml:space="preserve">Root</x:t>
        </x:is>
      </x:c>
      <x:c r="D59" s="100" t="inlineStr">
        <x:is>
          <x:t xml:space="preserve">onOpenChange and onFormatChange report structured details</x:t>
        </x:is>
      </x:c>
      <x:c r="E59" s="100" t="inlineStr">
        <x:is>
          <x:t xml:space="preserve">yes</x:t>
        </x:is>
      </x:c>
      <x:c r="F59" s="100" t="inlineStr">
        <x:is>
          <x:t xml:space="preserve">yes</x:t>
        </x:is>
      </x:c>
      <x:c r="G59" s="100" t="inlineStr">
        <x:is>
          <x:t xml:space="preserve">tested</x:t>
        </x:is>
      </x:c>
      <x:c r="H59" s="100" t="inlineStr">
        <x:is>
          <x:t xml:space="preserve">covered</x:t>
        </x:is>
      </x:c>
      <x:c r="I59" s="100" t="inlineStr">
        <x:is>
          <x:t xml:space="preserve">unit tests and workbench log.</x:t>
        </x:is>
      </x:c>
      <x:c r="J59" s="100" t="n"/>
      <x:c r="K59" s="99" t="n">
        <x:f>IF(AND(E59="yes",F59="yes",H59="covered"),1,IF(H59="partial",0.5,0))</x:f>
        <x:v>1</x:v>
      </x:c>
    </x:row>
    <x:row r="60" s="51" customFormat="1" ht="33.75" customHeight="1">
      <x:c r="A60" s="99" t="n">
        <x:v>52</x:v>
      </x:c>
      <x:c r="B60" s="99" t="inlineStr">
        <x:is>
          <x:t xml:space="preserve">Responsive</x:t>
        </x:is>
      </x:c>
      <x:c r="C60" s="99" t="inlineStr">
        <x:is>
          <x:t xml:space="preserve">Root</x:t>
        </x:is>
      </x:c>
      <x:c r="D60" s="100" t="inlineStr">
        <x:is>
          <x:t xml:space="preserve">area and alpha interactions accept touch without causing page gestures</x:t>
        </x:is>
      </x:c>
      <x:c r="E60" s="100" t="inlineStr">
        <x:is>
          <x:t xml:space="preserve">yes</x:t>
        </x:is>
      </x:c>
      <x:c r="F60" s="100" t="inlineStr">
        <x:is>
          <x:t xml:space="preserve">yes</x:t>
        </x:is>
      </x:c>
      <x:c r="G60" s="100" t="inlineStr">
        <x:is>
          <x:t xml:space="preserve">tested</x:t>
        </x:is>
      </x:c>
      <x:c r="H60" s="100" t="inlineStr">
        <x:is>
          <x:t xml:space="preserve">covered</x:t>
        </x:is>
      </x:c>
      <x:c r="I60" s="100" t="inlineStr">
        <x:is>
          <x:t xml:space="preserve">test/browser/color-picker.mobile.spec.ts.</x:t>
        </x:is>
      </x:c>
      <x:c r="J60" s="100" t="n"/>
      <x:c r="K60" s="99" t="n">
        <x:f>IF(AND(E60="yes",F60="yes",H60="covered"),1,IF(H60="partial",0.5,0))</x:f>
        <x:v>1</x:v>
      </x:c>
    </x:row>
    <x:row r="61" s="51" customFormat="1" ht="33.75" customHeight="1">
      <x:c r="A61" s="99" t="n">
        <x:v>53</x:v>
      </x:c>
      <x:c r="B61" s="99" t="inlineStr">
        <x:is>
          <x:t xml:space="preserve">Responsive</x:t>
        </x:is>
      </x:c>
      <x:c r="C61" s="99" t="inlineStr">
        <x:is>
          <x:t xml:space="preserve">Popup</x:t>
        </x:is>
      </x:c>
      <x:c r="D61" s="100" t="inlineStr">
        <x:is>
          <x:t xml:space="preserve">popup content remains within a narrow mobile viewport</x:t>
        </x:is>
      </x:c>
      <x:c r="E61" s="100" t="inlineStr">
        <x:is>
          <x:t xml:space="preserve">yes</x:t>
        </x:is>
      </x:c>
      <x:c r="F61" s="100" t="inlineStr">
        <x:is>
          <x:t xml:space="preserve">yes</x:t>
        </x:is>
      </x:c>
      <x:c r="G61" s="100" t="inlineStr">
        <x:is>
          <x:t xml:space="preserve">tested</x:t>
        </x:is>
      </x:c>
      <x:c r="H61" s="100" t="inlineStr">
        <x:is>
          <x:t xml:space="preserve">covered</x:t>
        </x:is>
      </x:c>
      <x:c r="I61" s="100" t="inlineStr">
        <x:is>
          <x:t xml:space="preserve">mobile harness CSS and iOS/Android browser emulation.</x:t>
        </x:is>
      </x:c>
      <x:c r="J61" s="100" t="n"/>
      <x:c r="K61" s="99" t="n">
        <x:f>IF(AND(E61="yes",F61="yes",H61="covered"),1,IF(H61="partial",0.5,0))</x:f>
        <x:v>1</x:v>
      </x:c>
    </x:row>
    <x:row r="62" s="51" customFormat="1" ht="33.75" customHeight="1">
      <x:c r="A62" s="99" t="n">
        <x:v>54</x:v>
      </x:c>
      <x:c r="B62" s="99" t="inlineStr">
        <x:is>
          <x:t xml:space="preserve">Compatibility</x:t>
        </x:is>
      </x:c>
      <x:c r="C62" s="99" t="inlineStr">
        <x:is>
          <x:t xml:space="preserve">Root</x:t>
        </x:is>
      </x:c>
      <x:c r="D62" s="100" t="inlineStr">
        <x:is>
          <x:t xml:space="preserve">focused desktop behavior passes Chromium, Firefox, and WebKit</x:t>
        </x:is>
      </x:c>
      <x:c r="E62" s="100" t="inlineStr">
        <x:is>
          <x:t xml:space="preserve">yes</x:t>
        </x:is>
      </x:c>
      <x:c r="F62" s="100" t="inlineStr">
        <x:is>
          <x:t xml:space="preserve">yes</x:t>
        </x:is>
      </x:c>
      <x:c r="G62" s="100" t="inlineStr">
        <x:is>
          <x:t xml:space="preserve">tested</x:t>
        </x:is>
      </x:c>
      <x:c r="H62" s="100" t="inlineStr">
        <x:is>
          <x:t xml:space="preserve">covered</x:t>
        </x:is>
      </x:c>
      <x:c r="I62" s="100" t="inlineStr">
        <x:is>
          <x:t xml:space="preserve">test/browser/color-picker.spec.ts.</x:t>
        </x:is>
      </x:c>
      <x:c r="J62" s="100" t="n"/>
      <x:c r="K62" s="99" t="n">
        <x:f>IF(AND(E62="yes",F62="yes",H62="covered"),1,IF(H62="partial",0.5,0))</x:f>
        <x:v>1</x:v>
      </x:c>
    </x:row>
    <x:row r="63" s="51" customFormat="1" ht="33.75" customHeight="1">
      <x:c r="A63" s="99" t="n">
        <x:v>55</x:v>
      </x:c>
      <x:c r="B63" s="99" t="inlineStr">
        <x:is>
          <x:t xml:space="preserve">Compatibility</x:t>
        </x:is>
      </x:c>
      <x:c r="C63" s="99" t="inlineStr">
        <x:is>
          <x:t xml:space="preserve">Root</x:t>
        </x:is>
      </x:c>
      <x:c r="D63" s="100" t="inlineStr">
        <x:is>
          <x:t xml:space="preserve">focused mobile behavior passes Android Chromium and iOS WebKit emulation</x:t>
        </x:is>
      </x:c>
      <x:c r="E63" s="100" t="inlineStr">
        <x:is>
          <x:t xml:space="preserve">yes</x:t>
        </x:is>
      </x:c>
      <x:c r="F63" s="100" t="inlineStr">
        <x:is>
          <x:t xml:space="preserve">yes</x:t>
        </x:is>
      </x:c>
      <x:c r="G63" s="100" t="inlineStr">
        <x:is>
          <x:t xml:space="preserve">tested</x:t>
        </x:is>
      </x:c>
      <x:c r="H63" s="100" t="inlineStr">
        <x:is>
          <x:t xml:space="preserve">covered</x:t>
        </x:is>
      </x:c>
      <x:c r="I63" s="100" t="inlineStr">
        <x:is>
          <x:t xml:space="preserve">test/browser/color-picker.mobile.spec.ts.</x:t>
        </x:is>
      </x:c>
      <x:c r="J63" s="100" t="n"/>
      <x:c r="K63" s="99" t="n">
        <x:f>IF(AND(E63="yes",F63="yes",H63="covered"),1,IF(H63="partial",0.5,0))</x:f>
        <x:v>1</x:v>
      </x:c>
    </x:row>
    <x:row r="64" s="51" customFormat="1" ht="33.75" customHeight="1">
      <x:c r="A64" s="99" t="n">
        <x:v>56</x:v>
      </x:c>
      <x:c r="B64" s="99" t="inlineStr">
        <x:is>
          <x:t xml:space="preserve">Documentation</x:t>
        </x:is>
      </x:c>
      <x:c r="C64" s="99" t="inlineStr">
        <x:is>
          <x:t xml:space="preserve">Component</x:t>
        </x:is>
      </x:c>
      <x:c r="D64" s="100" t="inlineStr">
        <x:is>
          <x:t xml:space="preserve">public README documents ownership, anatomy, formats, callbacks, form use, and progressive APIs</x:t>
        </x:is>
      </x:c>
      <x:c r="E64" s="100" t="inlineStr">
        <x:is>
          <x:t xml:space="preserve">yes</x:t>
        </x:is>
      </x:c>
      <x:c r="F64" s="100" t="inlineStr">
        <x:is>
          <x:t xml:space="preserve">yes</x:t>
        </x:is>
      </x:c>
      <x:c r="G64" s="100" t="inlineStr">
        <x:is>
          <x:t xml:space="preserve">tested</x:t>
        </x:is>
      </x:c>
      <x:c r="H64" s="100" t="inlineStr">
        <x:is>
          <x:t xml:space="preserve">covered</x:t>
        </x:is>
      </x:c>
      <x:c r="I64" s="100" t="inlineStr">
        <x:is>
          <x:t xml:space="preserve">docs/components/color-picker/README.md.</x:t>
        </x:is>
      </x:c>
      <x:c r="J64" s="100" t="n"/>
      <x:c r="K64" s="99" t="n">
        <x:f>IF(AND(E64="yes",F64="yes",H64="covered"),1,IF(H64="partial",0.5,0))</x:f>
        <x:v>1</x:v>
      </x:c>
    </x:row>
    <x:row r="65" s="51" customFormat="1" ht="33.75" customHeight="1">
      <x:c r="A65" s="99" t="n">
        <x:v>57</x:v>
      </x:c>
      <x:c r="B65" s="99" t="inlineStr">
        <x:is>
          <x:t xml:space="preserve">Agent Knowledge</x:t>
        </x:is>
      </x:c>
      <x:c r="C65" s="99" t="inlineStr">
        <x:is>
          <x:t xml:space="preserve">Component</x:t>
        </x:is>
      </x:c>
      <x:c r="D65" s="100" t="inlineStr">
        <x:is>
          <x:t xml:space="preserve">agent guide and manifest cover every public ColorPicker surface</x:t>
        </x:is>
      </x:c>
      <x:c r="E65" s="100" t="inlineStr">
        <x:is>
          <x:t xml:space="preserve">yes</x:t>
        </x:is>
      </x:c>
      <x:c r="F65" s="100" t="inlineStr">
        <x:is>
          <x:t xml:space="preserve">yes</x:t>
        </x:is>
      </x:c>
      <x:c r="G65" s="100" t="inlineStr">
        <x:is>
          <x:t xml:space="preserve">tested</x:t>
        </x:is>
      </x:c>
      <x:c r="H65" s="100" t="inlineStr">
        <x:is>
          <x:t xml:space="preserve">covered</x:t>
        </x:is>
      </x:c>
      <x:c r="I65" s="100" t="inlineStr">
        <x:is>
          <x:t xml:space="preserve">agents:build 2904/2904 package surfaces.</x:t>
        </x:is>
      </x:c>
      <x:c r="J65" s="100" t="n"/>
      <x:c r="K65" s="99" t="n">
        <x:f>IF(AND(E65="yes",F65="yes",H65="covered"),1,IF(H65="partial",0.5,0))</x:f>
        <x:v>1</x:v>
      </x:c>
    </x:row>
    <x:row r="66" s="51" customFormat="1" ht="33.75" customHeight="1">
      <x:c r="A66" s="99" t="n">
        <x:v>58</x:v>
      </x:c>
      <x:c r="B66" s="99" t="inlineStr">
        <x:is>
          <x:t xml:space="preserve">Exports</x:t>
        </x:is>
      </x:c>
      <x:c r="C66" s="99" t="inlineStr">
        <x:is>
          <x:t xml:space="preserve">Component</x:t>
        </x:is>
      </x:c>
      <x:c r="D66" s="100" t="inlineStr">
        <x:is>
          <x:t xml:space="preserve">root entry, subpath, namespace, and public types expose the full contract</x:t>
        </x:is>
      </x:c>
      <x:c r="E66" s="100" t="inlineStr">
        <x:is>
          <x:t xml:space="preserve">yes</x:t>
        </x:is>
      </x:c>
      <x:c r="F66" s="100" t="inlineStr">
        <x:is>
          <x:t xml:space="preserve">yes</x:t>
        </x:is>
      </x:c>
      <x:c r="G66" s="100" t="inlineStr">
        <x:is>
          <x:t xml:space="preserve">tested</x:t>
        </x:is>
      </x:c>
      <x:c r="H66" s="100" t="inlineStr">
        <x:is>
          <x:t xml:space="preserve">covered</x:t>
        </x:is>
      </x:c>
      <x:c r="I66" s="100" t="inlineStr">
        <x:is>
          <x:t xml:space="preserve">build, package tests, and packed-package verification.</x:t>
        </x:is>
      </x:c>
      <x:c r="J66" s="100" t="n"/>
      <x:c r="K66" s="99" t="n">
        <x:f>IF(AND(E66="yes",F66="yes",H66="covered"),1,IF(H66="partial",0.5,0))</x:f>
        <x:v>1</x:v>
      </x:c>
    </x:row>
    <x:row r="67" s="51" customFormat="1" ht="15" customHeight="1">
      <x:c r="A67" s="99" t="n"/>
      <x:c r="B67" s="99" t="n"/>
      <x:c r="C67" s="99" t="n"/>
      <x:c r="D67" s="99" t="n"/>
      <x:c r="E67" s="99" t="n"/>
      <x:c r="F67" s="99" t="n"/>
      <x:c r="G67" s="99" t="n"/>
      <x:c r="H67" s="99" t="n"/>
      <x:c r="I67" s="99" t="n"/>
      <x:c r="J67" s="99" t="n"/>
      <x:c r="K67" s="99" t="n"/>
    </x:row>
    <x:row r="68" s="51" customFormat="1" ht="15" customHeight="1">
      <x:c r="A68" s="99" t="n"/>
      <x:c r="B68" s="99" t="n"/>
      <x:c r="C68" s="99" t="n"/>
      <x:c r="D68" s="99" t="n"/>
      <x:c r="E68" s="99" t="n"/>
      <x:c r="F68" s="99" t="n"/>
      <x:c r="G68" s="99" t="n"/>
      <x:c r="H68" s="99" t="n"/>
      <x:c r="I68" s="99" t="n"/>
      <x:c r="J68" s="99" t="n"/>
      <x:c r="K68" s="99" t="n"/>
    </x:row>
    <x:row r="69" s="51" customFormat="1" ht="15" customHeight="1">
      <x:c r="A69" s="99" t="n"/>
      <x:c r="B69" s="99" t="n"/>
      <x:c r="C69" s="99" t="n"/>
      <x:c r="D69" s="99" t="n"/>
      <x:c r="E69" s="99" t="n"/>
      <x:c r="F69" s="99" t="n"/>
      <x:c r="G69" s="99" t="n"/>
      <x:c r="H69" s="99" t="n"/>
      <x:c r="I69" s="99" t="n"/>
      <x:c r="J69" s="99" t="n"/>
      <x:c r="K69" s="99" t="n"/>
    </x:row>
    <x:row r="70" s="51" customFormat="1" ht="15" customHeight="1">
      <x:c r="A70" s="99" t="n"/>
      <x:c r="B70" s="99" t="n"/>
      <x:c r="C70" s="99" t="n"/>
      <x:c r="D70" s="99" t="n"/>
      <x:c r="E70" s="99" t="n"/>
      <x:c r="F70" s="99" t="n"/>
      <x:c r="G70" s="99" t="n"/>
      <x:c r="H70" s="99" t="n"/>
      <x:c r="I70" s="99" t="n"/>
      <x:c r="J70" s="99" t="n"/>
      <x:c r="K70" s="99" t="n"/>
    </x:row>
    <x:row r="71" s="51" customFormat="1" ht="15" customHeight="1">
      <x:c r="A71" s="99" t="n"/>
      <x:c r="B71" s="99" t="n"/>
      <x:c r="C71" s="99" t="n"/>
      <x:c r="D71" s="99" t="n"/>
      <x:c r="E71" s="99" t="n"/>
      <x:c r="F71" s="99" t="n"/>
      <x:c r="G71" s="99" t="n"/>
      <x:c r="H71" s="99" t="n"/>
      <x:c r="I71" s="99" t="n"/>
      <x:c r="J71" s="99" t="n"/>
      <x:c r="K71" s="99" t="n"/>
    </x:row>
    <x:row r="72" s="51" customFormat="1" ht="15" customHeight="1">
      <x:c r="A72" s="99" t="n"/>
      <x:c r="B72" s="99" t="n"/>
      <x:c r="C72" s="99" t="n"/>
      <x:c r="D72" s="99" t="n"/>
      <x:c r="E72" s="99" t="n"/>
      <x:c r="F72" s="99" t="n"/>
      <x:c r="G72" s="99" t="n"/>
      <x:c r="H72" s="99" t="n"/>
      <x:c r="I72" s="99" t="n"/>
      <x:c r="J72" s="99" t="n"/>
      <x:c r="K72" s="99" t="n"/>
    </x:row>
    <x:row r="73" s="51" customFormat="1" ht="15" customHeight="1">
      <x:c r="A73" s="99" t="n"/>
      <x:c r="B73" s="99" t="n"/>
      <x:c r="C73" s="99" t="n"/>
      <x:c r="D73" s="99" t="n"/>
      <x:c r="E73" s="99" t="n"/>
      <x:c r="F73" s="99" t="n"/>
      <x:c r="G73" s="99" t="n"/>
      <x:c r="H73" s="99" t="n"/>
      <x:c r="I73" s="99" t="n"/>
      <x:c r="J73" s="99" t="n"/>
      <x:c r="K73" s="99" t="n"/>
    </x:row>
    <x:row r="74" s="51" customFormat="1" ht="15" customHeight="1">
      <x:c r="A74" s="99" t="n"/>
      <x:c r="B74" s="99" t="n"/>
      <x:c r="C74" s="99" t="n"/>
      <x:c r="D74" s="99" t="n"/>
      <x:c r="E74" s="99" t="n"/>
      <x:c r="F74" s="99" t="n"/>
      <x:c r="G74" s="99" t="n"/>
      <x:c r="H74" s="99" t="n"/>
      <x:c r="I74" s="99" t="n"/>
      <x:c r="J74" s="99" t="n"/>
      <x:c r="K74" s="99" t="n"/>
    </x:row>
    <x:row r="75" s="51" customFormat="1" ht="15" customHeight="1">
      <x:c r="A75" s="99" t="n"/>
      <x:c r="B75" s="99" t="n"/>
      <x:c r="C75" s="99" t="n"/>
      <x:c r="D75" s="99" t="n"/>
      <x:c r="E75" s="99" t="n"/>
      <x:c r="F75" s="99" t="n"/>
      <x:c r="G75" s="99" t="n"/>
      <x:c r="H75" s="99" t="n"/>
      <x:c r="I75" s="99" t="n"/>
      <x:c r="J75" s="99" t="n"/>
      <x:c r="K75" s="99" t="n"/>
    </x:row>
    <x:row r="76" s="51" customFormat="1" ht="15" customHeight="1">
      <x:c r="A76" s="99" t="n"/>
      <x:c r="B76" s="99" t="n"/>
      <x:c r="C76" s="99" t="n"/>
      <x:c r="D76" s="99" t="n"/>
      <x:c r="E76" s="99" t="n"/>
      <x:c r="F76" s="99" t="n"/>
      <x:c r="G76" s="99" t="n"/>
      <x:c r="H76" s="99" t="n"/>
      <x:c r="I76" s="99" t="n"/>
      <x:c r="J76" s="99" t="n"/>
      <x:c r="K76" s="99" t="n"/>
    </x:row>
    <x:row r="77" s="51" customFormat="1" ht="15" customHeight="1">
      <x:c r="A77" s="99" t="n"/>
      <x:c r="B77" s="99" t="n"/>
      <x:c r="C77" s="99" t="n"/>
      <x:c r="D77" s="99" t="n"/>
      <x:c r="E77" s="99" t="n"/>
      <x:c r="F77" s="99" t="n"/>
      <x:c r="G77" s="99" t="n"/>
      <x:c r="H77" s="99" t="n"/>
      <x:c r="I77" s="99" t="n"/>
      <x:c r="J77" s="99" t="n"/>
      <x:c r="K77" s="99" t="n"/>
    </x:row>
    <x:row r="78" s="51" customFormat="1" ht="15" customHeight="1">
      <x:c r="A78" s="99" t="n"/>
      <x:c r="B78" s="99" t="n"/>
      <x:c r="C78" s="99" t="n"/>
      <x:c r="D78" s="99" t="n"/>
      <x:c r="E78" s="99" t="n"/>
      <x:c r="F78" s="99" t="n"/>
      <x:c r="G78" s="99" t="n"/>
      <x:c r="H78" s="99" t="n"/>
      <x:c r="I78" s="99" t="n"/>
      <x:c r="J78" s="99" t="n"/>
      <x:c r="K78" s="99" t="n"/>
    </x:row>
    <x:row r="79" s="51" customFormat="1" ht="15" customHeight="1">
      <x:c r="A79" s="99" t="n"/>
      <x:c r="B79" s="99" t="n"/>
      <x:c r="C79" s="99" t="n"/>
      <x:c r="D79" s="99" t="n"/>
      <x:c r="E79" s="99" t="n"/>
      <x:c r="F79" s="99" t="n"/>
      <x:c r="G79" s="99" t="n"/>
      <x:c r="H79" s="99" t="n"/>
      <x:c r="I79" s="99" t="n"/>
      <x:c r="J79" s="99" t="n"/>
      <x:c r="K79" s="99" t="n"/>
    </x:row>
    <x:row r="80" s="51" customFormat="1" ht="15" customHeight="1">
      <x:c r="A80" s="99" t="n"/>
      <x:c r="B80" s="99" t="n"/>
      <x:c r="C80" s="99" t="n"/>
      <x:c r="D80" s="99" t="n"/>
      <x:c r="E80" s="99" t="n"/>
      <x:c r="F80" s="99" t="n"/>
      <x:c r="G80" s="99" t="n"/>
      <x:c r="H80" s="99" t="n"/>
      <x:c r="I80" s="99" t="n"/>
      <x:c r="J80" s="99" t="n"/>
      <x:c r="K80" s="99" t="n"/>
    </x:row>
    <x:row r="81" s="51" customFormat="1" ht="15" customHeight="1">
      <x:c r="A81" s="99" t="n"/>
      <x:c r="B81" s="99" t="n"/>
      <x:c r="C81" s="99" t="n"/>
      <x:c r="D81" s="99" t="n"/>
      <x:c r="E81" s="99" t="n"/>
      <x:c r="F81" s="99" t="n"/>
      <x:c r="G81" s="99" t="n"/>
      <x:c r="H81" s="99" t="n"/>
      <x:c r="I81" s="99" t="n"/>
      <x:c r="J81" s="99" t="n"/>
      <x:c r="K81" s="99" t="n"/>
    </x:row>
    <x:row r="82" s="51" customFormat="1" ht="15" customHeight="1">
      <x:c r="A82" s="99" t="n"/>
      <x:c r="B82" s="99" t="n"/>
      <x:c r="C82" s="99" t="n"/>
      <x:c r="D82" s="99" t="n"/>
      <x:c r="E82" s="99" t="n"/>
      <x:c r="F82" s="99" t="n"/>
      <x:c r="G82" s="99" t="n"/>
      <x:c r="H82" s="99" t="n"/>
      <x:c r="I82" s="99" t="n"/>
      <x:c r="J82" s="99" t="n"/>
      <x:c r="K82" s="99" t="n"/>
    </x:row>
    <x:row r="83" s="51" customFormat="1" ht="15" customHeight="1">
      <x:c r="A83" s="99" t="n"/>
      <x:c r="B83" s="99" t="n"/>
      <x:c r="C83" s="99" t="n"/>
      <x:c r="D83" s="99" t="n"/>
      <x:c r="E83" s="99" t="n"/>
      <x:c r="F83" s="99" t="n"/>
      <x:c r="G83" s="99" t="n"/>
      <x:c r="H83" s="99" t="n"/>
      <x:c r="I83" s="99" t="n"/>
      <x:c r="J83" s="99" t="n"/>
      <x:c r="K83" s="99" t="n"/>
    </x:row>
    <x:row r="84" s="51" customFormat="1" ht="15" customHeight="1">
      <x:c r="A84" s="99" t="n"/>
      <x:c r="B84" s="99" t="n"/>
      <x:c r="C84" s="99" t="n"/>
      <x:c r="D84" s="99" t="n"/>
      <x:c r="E84" s="99" t="n"/>
      <x:c r="F84" s="99" t="n"/>
      <x:c r="G84" s="99" t="n"/>
      <x:c r="H84" s="99" t="n"/>
      <x:c r="I84" s="99" t="n"/>
      <x:c r="J84" s="99" t="n"/>
      <x:c r="K84" s="99" t="n"/>
    </x:row>
    <x:row r="85" s="51" customFormat="1" ht="15" customHeight="1">
      <x:c r="A85" s="99" t="n"/>
      <x:c r="B85" s="99" t="n"/>
      <x:c r="C85" s="99" t="n"/>
      <x:c r="D85" s="99" t="n"/>
      <x:c r="E85" s="99" t="n"/>
      <x:c r="F85" s="99" t="n"/>
      <x:c r="G85" s="99" t="n"/>
      <x:c r="H85" s="99" t="n"/>
      <x:c r="I85" s="99" t="n"/>
      <x:c r="J85" s="99" t="n"/>
      <x:c r="K85" s="99" t="n"/>
    </x:row>
    <x:row r="86" s="51" customFormat="1" ht="15" customHeight="1">
      <x:c r="A86" s="99" t="n"/>
      <x:c r="B86" s="99" t="n"/>
      <x:c r="C86" s="99" t="n"/>
      <x:c r="D86" s="99" t="n"/>
      <x:c r="E86" s="99" t="n"/>
      <x:c r="F86" s="99" t="n"/>
      <x:c r="G86" s="99" t="n"/>
      <x:c r="H86" s="99" t="n"/>
      <x:c r="I86" s="99" t="n"/>
      <x:c r="J86" s="99" t="n"/>
      <x:c r="K86" s="99" t="n"/>
    </x:row>
    <x:row r="87" s="51" customFormat="1" ht="15" customHeight="1">
      <x:c r="A87" s="99" t="n"/>
      <x:c r="B87" s="99" t="n"/>
      <x:c r="C87" s="99" t="n"/>
      <x:c r="D87" s="99" t="n"/>
      <x:c r="E87" s="99" t="n"/>
      <x:c r="F87" s="99" t="n"/>
      <x:c r="G87" s="99" t="n"/>
      <x:c r="H87" s="99" t="n"/>
      <x:c r="I87" s="99" t="n"/>
      <x:c r="J87" s="99" t="n"/>
      <x:c r="K87" s="99" t="n"/>
    </x:row>
    <x:row r="88" s="51" customFormat="1" ht="15" customHeight="1">
      <x:c r="A88" s="99" t="n"/>
      <x:c r="B88" s="99" t="n"/>
      <x:c r="C88" s="99" t="n"/>
      <x:c r="D88" s="99" t="n"/>
      <x:c r="E88" s="99" t="n"/>
      <x:c r="F88" s="99" t="n"/>
      <x:c r="G88" s="99" t="n"/>
      <x:c r="H88" s="99" t="n"/>
      <x:c r="I88" s="99" t="n"/>
      <x:c r="J88" s="99" t="n"/>
      <x:c r="K88" s="99" t="n"/>
    </x:row>
    <x:row r="89" s="51" customFormat="1" ht="15" customHeight="1">
      <x:c r="A89" s="99" t="n"/>
      <x:c r="B89" s="99" t="n"/>
      <x:c r="C89" s="99" t="n"/>
      <x:c r="D89" s="99" t="n"/>
      <x:c r="E89" s="99" t="n"/>
      <x:c r="F89" s="99" t="n"/>
      <x:c r="G89" s="99" t="n"/>
      <x:c r="H89" s="99" t="n"/>
      <x:c r="I89" s="99" t="n"/>
      <x:c r="J89" s="99" t="n"/>
      <x:c r="K89" s="99" t="n"/>
    </x:row>
    <x:row r="90" s="51" customFormat="1" ht="15" customHeight="1">
      <x:c r="A90" s="99" t="n"/>
      <x:c r="B90" s="99" t="n"/>
      <x:c r="C90" s="99" t="n"/>
      <x:c r="D90" s="99" t="n"/>
      <x:c r="E90" s="99" t="n"/>
      <x:c r="F90" s="99" t="n"/>
      <x:c r="G90" s="99" t="n"/>
      <x:c r="H90" s="99" t="n"/>
      <x:c r="I90" s="99" t="n"/>
      <x:c r="J90" s="99" t="n"/>
      <x:c r="K90" s="99" t="n"/>
    </x:row>
    <x:row r="91" s="51" customFormat="1" ht="15" customHeight="1">
      <x:c r="A91" s="99" t="n"/>
      <x:c r="B91" s="99" t="n"/>
      <x:c r="C91" s="99" t="n"/>
      <x:c r="D91" s="99" t="n"/>
      <x:c r="E91" s="99" t="n"/>
      <x:c r="F91" s="99" t="n"/>
      <x:c r="G91" s="99" t="n"/>
      <x:c r="H91" s="99" t="n"/>
      <x:c r="I91" s="99" t="n"/>
      <x:c r="J91" s="99" t="n"/>
      <x:c r="K91" s="99" t="n"/>
    </x:row>
    <x:row r="92" s="51" customFormat="1" ht="15" customHeight="1">
      <x:c r="A92" s="99" t="n"/>
      <x:c r="B92" s="99" t="n"/>
      <x:c r="C92" s="99" t="n"/>
      <x:c r="D92" s="99" t="n"/>
      <x:c r="E92" s="99" t="n"/>
      <x:c r="F92" s="99" t="n"/>
      <x:c r="G92" s="99" t="n"/>
      <x:c r="H92" s="99" t="n"/>
      <x:c r="I92" s="99" t="n"/>
      <x:c r="J92" s="99" t="n"/>
      <x:c r="K92" s="99" t="n"/>
    </x:row>
    <x:row r="93" s="51" customFormat="1" ht="15" customHeight="1">
      <x:c r="A93" s="99" t="n"/>
      <x:c r="B93" s="99" t="n"/>
      <x:c r="C93" s="99" t="n"/>
      <x:c r="D93" s="99" t="n"/>
      <x:c r="E93" s="99" t="n"/>
      <x:c r="F93" s="99" t="n"/>
      <x:c r="G93" s="99" t="n"/>
      <x:c r="H93" s="99" t="n"/>
      <x:c r="I93" s="99" t="n"/>
      <x:c r="J93" s="99" t="n"/>
      <x:c r="K93" s="99" t="n"/>
    </x:row>
    <x:row r="94" s="51" customFormat="1" ht="15" customHeight="1">
      <x:c r="A94" s="99" t="n"/>
      <x:c r="B94" s="99" t="n"/>
      <x:c r="C94" s="99" t="n"/>
      <x:c r="D94" s="99" t="n"/>
      <x:c r="E94" s="99" t="n"/>
      <x:c r="F94" s="99" t="n"/>
      <x:c r="G94" s="99" t="n"/>
      <x:c r="H94" s="99" t="n"/>
      <x:c r="I94" s="99" t="n"/>
      <x:c r="J94" s="99" t="n"/>
      <x:c r="K94" s="99" t="n"/>
    </x:row>
    <x:row r="95" s="51" customFormat="1" ht="15" customHeight="1">
      <x:c r="A95" s="99" t="n"/>
      <x:c r="B95" s="99" t="n"/>
      <x:c r="C95" s="99" t="n"/>
      <x:c r="D95" s="99" t="n"/>
      <x:c r="E95" s="99" t="n"/>
      <x:c r="F95" s="99" t="n"/>
      <x:c r="G95" s="99" t="n"/>
      <x:c r="H95" s="99" t="n"/>
      <x:c r="I95" s="99" t="n"/>
      <x:c r="J95" s="99" t="n"/>
      <x:c r="K95" s="99" t="n"/>
    </x:row>
    <x:row r="96" s="51" customFormat="1" ht="15" customHeight="1">
      <x:c r="A96" s="99" t="n"/>
      <x:c r="B96" s="99" t="n"/>
      <x:c r="C96" s="99" t="n"/>
      <x:c r="D96" s="99" t="n"/>
      <x:c r="E96" s="99" t="n"/>
      <x:c r="F96" s="99" t="n"/>
      <x:c r="G96" s="99" t="n"/>
      <x:c r="H96" s="99" t="n"/>
      <x:c r="I96" s="99" t="n"/>
      <x:c r="J96" s="99" t="n"/>
      <x:c r="K96" s="99" t="n"/>
    </x:row>
    <x:row r="97" s="51" customFormat="1" ht="15" customHeight="1">
      <x:c r="A97" s="99" t="n"/>
      <x:c r="B97" s="99" t="n"/>
      <x:c r="C97" s="99" t="n"/>
      <x:c r="D97" s="99" t="n"/>
      <x:c r="E97" s="99" t="n"/>
      <x:c r="F97" s="99" t="n"/>
      <x:c r="G97" s="99" t="n"/>
      <x:c r="H97" s="99" t="n"/>
      <x:c r="I97" s="99" t="n"/>
      <x:c r="J97" s="99" t="n"/>
      <x:c r="K97" s="99" t="n"/>
    </x:row>
    <x:row r="98" s="51" customFormat="1" ht="15" customHeight="1">
      <x:c r="A98" s="99" t="n"/>
      <x:c r="B98" s="99" t="n"/>
      <x:c r="C98" s="99" t="n"/>
      <x:c r="D98" s="99" t="n"/>
      <x:c r="E98" s="99" t="n"/>
      <x:c r="F98" s="99" t="n"/>
      <x:c r="G98" s="99" t="n"/>
      <x:c r="H98" s="99" t="n"/>
      <x:c r="I98" s="99" t="n"/>
      <x:c r="J98" s="99" t="n"/>
      <x:c r="K98" s="99" t="n"/>
    </x:row>
    <x:row r="99" s="51" customFormat="1" ht="15" customHeight="1">
      <x:c r="A99" s="99" t="n"/>
      <x:c r="B99" s="99" t="n"/>
      <x:c r="C99" s="99" t="n"/>
      <x:c r="D99" s="99" t="n"/>
      <x:c r="E99" s="99" t="n"/>
      <x:c r="F99" s="99" t="n"/>
      <x:c r="G99" s="99" t="n"/>
      <x:c r="H99" s="99" t="n"/>
      <x:c r="I99" s="99" t="n"/>
      <x:c r="J99" s="99" t="n"/>
      <x:c r="K99" s="99" t="n"/>
    </x:row>
    <x:row r="100" s="51" customFormat="1" ht="15" customHeight="1">
      <x:c r="A100" s="99" t="n"/>
      <x:c r="B100" s="99" t="n"/>
      <x:c r="C100" s="99" t="n"/>
      <x:c r="D100" s="99" t="n"/>
      <x:c r="E100" s="99" t="n"/>
      <x:c r="F100" s="99" t="n"/>
      <x:c r="G100" s="99" t="n"/>
      <x:c r="H100" s="99" t="n"/>
      <x:c r="I100" s="99" t="n"/>
      <x:c r="J100" s="99" t="n"/>
      <x:c r="K100" s="99" t="n"/>
    </x:row>
    <x:row r="101" s="51" customFormat="1" ht="15" customHeight="1">
      <x:c r="A101" s="99" t="n"/>
      <x:c r="B101" s="99" t="n"/>
      <x:c r="C101" s="99" t="n"/>
      <x:c r="D101" s="99" t="n"/>
      <x:c r="E101" s="99" t="n"/>
      <x:c r="F101" s="99" t="n"/>
      <x:c r="G101" s="99" t="n"/>
      <x:c r="H101" s="99" t="n"/>
      <x:c r="I101" s="99" t="n"/>
      <x:c r="J101" s="99" t="n"/>
      <x:c r="K101" s="99" t="n"/>
    </x:row>
    <x:row r="102" s="51" customFormat="1" ht="15" customHeight="1">
      <x:c r="A102" s="99" t="n"/>
      <x:c r="B102" s="99" t="n"/>
      <x:c r="C102" s="99" t="n"/>
      <x:c r="D102" s="99" t="n"/>
      <x:c r="E102" s="99" t="n"/>
      <x:c r="F102" s="99" t="n"/>
      <x:c r="G102" s="99" t="n"/>
      <x:c r="H102" s="99" t="n"/>
      <x:c r="I102" s="99" t="n"/>
      <x:c r="J102" s="99" t="n"/>
      <x:c r="K102" s="99" t="n"/>
    </x:row>
    <x:row r="103" s="51" customFormat="1" ht="15" customHeight="1">
      <x:c r="A103" s="99" t="n"/>
      <x:c r="B103" s="99" t="n"/>
      <x:c r="C103" s="99" t="n"/>
      <x:c r="D103" s="99" t="n"/>
      <x:c r="E103" s="99" t="n"/>
      <x:c r="F103" s="99" t="n"/>
      <x:c r="G103" s="99" t="n"/>
      <x:c r="H103" s="99" t="n"/>
      <x:c r="I103" s="99" t="n"/>
      <x:c r="J103" s="99" t="n"/>
      <x:c r="K103" s="99" t="n"/>
    </x:row>
    <x:row r="104" s="51" customFormat="1" ht="15" customHeight="1">
      <x:c r="A104" s="99" t="n"/>
      <x:c r="B104" s="99" t="n"/>
      <x:c r="C104" s="99" t="n"/>
      <x:c r="D104" s="99" t="n"/>
      <x:c r="E104" s="99" t="n"/>
      <x:c r="F104" s="99" t="n"/>
      <x:c r="G104" s="99" t="n"/>
      <x:c r="H104" s="99" t="n"/>
      <x:c r="I104" s="99" t="n"/>
      <x:c r="J104" s="99" t="n"/>
      <x:c r="K104" s="99" t="n"/>
    </x:row>
    <x:row r="105" s="51" customFormat="1" ht="15" customHeight="1">
      <x:c r="A105" s="99" t="n"/>
      <x:c r="B105" s="99" t="n"/>
      <x:c r="C105" s="99" t="n"/>
      <x:c r="D105" s="99" t="n"/>
      <x:c r="E105" s="99" t="n"/>
      <x:c r="F105" s="99" t="n"/>
      <x:c r="G105" s="99" t="n"/>
      <x:c r="H105" s="99" t="n"/>
      <x:c r="I105" s="99" t="n"/>
      <x:c r="J105" s="99" t="n"/>
      <x:c r="K105" s="99" t="n"/>
    </x:row>
    <x:row r="106" s="51" customFormat="1" ht="15" customHeight="1">
      <x:c r="A106" s="99" t="n"/>
      <x:c r="B106" s="99" t="n"/>
      <x:c r="C106" s="99" t="n"/>
      <x:c r="D106" s="99" t="n"/>
      <x:c r="E106" s="99" t="n"/>
      <x:c r="F106" s="99" t="n"/>
      <x:c r="G106" s="99" t="n"/>
      <x:c r="H106" s="99" t="n"/>
      <x:c r="I106" s="99" t="n"/>
      <x:c r="J106" s="99" t="n"/>
      <x:c r="K106" s="99" t="n"/>
    </x:row>
    <x:row r="107" s="51" customFormat="1" ht="15" customHeight="1">
      <x:c r="A107" s="99" t="n"/>
      <x:c r="B107" s="99" t="n"/>
      <x:c r="C107" s="99" t="n"/>
      <x:c r="D107" s="99" t="n"/>
      <x:c r="E107" s="99" t="n"/>
      <x:c r="F107" s="99" t="n"/>
      <x:c r="G107" s="99" t="n"/>
      <x:c r="H107" s="99" t="n"/>
      <x:c r="I107" s="99" t="n"/>
      <x:c r="J107" s="99" t="n"/>
      <x:c r="K107" s="99" t="n"/>
    </x:row>
    <x:row r="108" s="51" customFormat="1" ht="15" customHeight="1">
      <x:c r="A108" s="99" t="n"/>
      <x:c r="B108" s="99" t="n"/>
      <x:c r="C108" s="99" t="n"/>
      <x:c r="D108" s="99" t="n"/>
      <x:c r="E108" s="99" t="n"/>
      <x:c r="F108" s="99" t="n"/>
      <x:c r="G108" s="99" t="n"/>
      <x:c r="H108" s="99" t="n"/>
      <x:c r="I108" s="99" t="n"/>
      <x:c r="J108" s="99" t="n"/>
      <x:c r="K108" s="99" t="n"/>
    </x:row>
    <x:row r="109" s="51" customFormat="1" ht="15" customHeight="1">
      <x:c r="A109" s="99" t="n"/>
      <x:c r="B109" s="99" t="n"/>
      <x:c r="C109" s="99" t="n"/>
      <x:c r="D109" s="99" t="n"/>
      <x:c r="E109" s="99" t="n"/>
      <x:c r="F109" s="99" t="n"/>
      <x:c r="G109" s="99" t="n"/>
      <x:c r="H109" s="99" t="n"/>
      <x:c r="I109" s="99" t="n"/>
      <x:c r="J109" s="99" t="n"/>
      <x:c r="K109" s="99" t="n"/>
    </x:row>
    <x:row r="110" s="51" customFormat="1" ht="15" customHeight="1">
      <x:c r="A110" s="99" t="n"/>
      <x:c r="B110" s="99" t="n"/>
      <x:c r="C110" s="99" t="n"/>
      <x:c r="D110" s="99" t="n"/>
      <x:c r="E110" s="99" t="n"/>
      <x:c r="F110" s="99" t="n"/>
      <x:c r="G110" s="99" t="n"/>
      <x:c r="H110" s="99" t="n"/>
      <x:c r="I110" s="99" t="n"/>
      <x:c r="J110" s="99" t="n"/>
      <x:c r="K110" s="99" t="n"/>
    </x:row>
    <x:row r="111" s="51" customFormat="1" ht="15" customHeight="1">
      <x:c r="A111" s="99" t="n"/>
      <x:c r="B111" s="99" t="n"/>
      <x:c r="C111" s="99" t="n"/>
      <x:c r="D111" s="99" t="n"/>
      <x:c r="E111" s="99" t="n"/>
      <x:c r="F111" s="99" t="n"/>
      <x:c r="G111" s="99" t="n"/>
      <x:c r="H111" s="99" t="n"/>
      <x:c r="I111" s="99" t="n"/>
      <x:c r="J111" s="99" t="n"/>
      <x:c r="K111" s="99" t="n"/>
    </x:row>
    <x:row r="112" s="51" customFormat="1" ht="15" customHeight="1">
      <x:c r="A112" s="99" t="n"/>
      <x:c r="B112" s="99" t="n"/>
      <x:c r="C112" s="99" t="n"/>
      <x:c r="D112" s="99" t="n"/>
      <x:c r="E112" s="99" t="n"/>
      <x:c r="F112" s="99" t="n"/>
      <x:c r="G112" s="99" t="n"/>
      <x:c r="H112" s="99" t="n"/>
      <x:c r="I112" s="99" t="n"/>
      <x:c r="J112" s="99" t="n"/>
      <x:c r="K112" s="99" t="n"/>
    </x:row>
    <x:row r="113" s="51" customFormat="1" ht="15" customHeight="1">
      <x:c r="A113" s="99" t="n"/>
      <x:c r="B113" s="99" t="n"/>
      <x:c r="C113" s="99" t="n"/>
      <x:c r="D113" s="99" t="n"/>
      <x:c r="E113" s="99" t="n"/>
      <x:c r="F113" s="99" t="n"/>
      <x:c r="G113" s="99" t="n"/>
      <x:c r="H113" s="99" t="n"/>
      <x:c r="I113" s="99" t="n"/>
      <x:c r="J113" s="99" t="n"/>
      <x:c r="K113" s="99" t="n"/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Steps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Interactive workflow fixture and automated behavior evidence; manual platform review remains pending.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IFERROR(D4/COUNTA(A9:A1000),0)</x:f>
        <x:v>0</x:v>
      </x:c>
      <x:c r="C4" s="70" t="inlineStr">
        <x:is>
          <x:t xml:space="preserve">Covered</x:t>
        </x:is>
      </x:c>
      <x:c r="D4" s="82" t="n">
        <x:f>COUNTIFS(A9:A1000,"&lt;&gt;",E9:E1000,"yes",F9:F1000,"yes",H9:H1000,"covered")</x:f>
        <x:v>0</x:v>
      </x:c>
      <x:c r="E4" s="70" t="inlineStr">
        <x:is>
          <x:t xml:space="preserve">Partial</x:t>
        </x:is>
      </x:c>
      <x:c r="F4" s="82" t="n">
        <x:f>COUNTIFS(A9:A1000,"&lt;&gt;",H9:H1000,"partial")</x:f>
        <x:v>8</x:v>
      </x:c>
      <x:c r="G4" s="70" t="inlineStr">
        <x:is>
          <x:t xml:space="preserve">Missing</x:t>
        </x:is>
      </x:c>
      <x:c r="H4" s="82" t="n">
        <x:f>COUNTIFS(A9:A1000,"&lt;&gt;",E9:E1000,"&lt;&gt;yes")+COUNTIFS(A9:A1000,"&lt;&gt;",E9:E1000,"yes",H9:H1000,"missing")</x:f>
        <x:v>0</x:v>
      </x:c>
      <x:c r="I4" s="70" t="inlineStr">
        <x:is>
          <x:t xml:space="preserve">Untested</x:t>
        </x:is>
      </x:c>
      <x:c r="J4" s="82" t="n">
        <x:f>COUNTIFS(A9:A1000,"&lt;&gt;",E9:E1000,"yes",F9:F1000,"&lt;&gt;yes")+COUNTIFS(A9:A1000,"&lt;&gt;",E9:E1000,"yes",F9:F1000,"yes",H9:H1000,"untested")</x:f>
        <x:v>8</x:v>
      </x:c>
    </x:row>
    <x:row r="6" s="51" customFormat="1" ht="24" customHeight="1">
      <x:c r="A6" s="108" t="inlineStr">
        <x:is>
          <x:t xml:space="preserve">Manual completion counts covered rows only; partial automation evidence does not count as a completed manual review.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33.75" customHeight="1">
      <x:c r="A9" s="73" t="n">
        <x:v>1</x:v>
      </x:c>
      <x:c r="B9" s="84" t="inlineStr">
        <x:is>
          <x:t xml:space="preserve">Workflow</x:t>
        </x:is>
      </x:c>
      <x:c r="C9" s="84" t="inlineStr">
        <x:is>
          <x:t xml:space="preserve">Root</x:t>
        </x:is>
      </x:c>
      <x:c r="D9" s="84" t="inlineStr">
        <x:is>
          <x:t xml:space="preserve">Controlled/uncontrolled state, external controller, coordinated IDs and percentage</x:t>
        </x:is>
      </x:c>
      <x:c r="E9" s="76" t="inlineStr">
        <x:is>
          <x:t xml:space="preserve">yes</x:t>
        </x:is>
      </x:c>
      <x:c r="F9" s="85" t="inlineStr">
        <x:is>
          <x:t xml:space="preserve">no</x:t>
        </x:is>
      </x:c>
      <x:c r="G9" s="73" t="inlineStr">
        <x:is>
          <x:t xml:space="preserve">manual review pending</x:t>
        </x:is>
      </x:c>
      <x:c r="H9" s="86" t="inlineStr">
        <x:is>
          <x:t xml:space="preserve">partial</x:t>
        </x:is>
      </x:c>
      <x:c r="I9" s="84" t="inlineStr">
        <x:is>
          <x:t xml:space="preserve">../test/primitives/steps-interaction.test.mjs</x:t>
        </x:is>
      </x:c>
      <x:c r="J9" s="84" t="inlineStr">
        <x:is>
          <x:t xml:space="preserve">Complete independent manual protocol</x:t>
        </x:is>
      </x:c>
      <x:c r="K9" s="87" t="n">
        <x:f>IF(AND(E9="yes",F9="yes",H9="covered"),1,IF(H9="partial",0.5,0))</x:f>
        <x:v>0.5</x:v>
      </x:c>
    </x:row>
    <x:row r="10" s="51" customFormat="1" ht="33.75" customHeight="1">
      <x:c r="A10" s="73" t="n">
        <x:v>2</x:v>
      </x:c>
      <x:c r="B10" s="84" t="inlineStr">
        <x:is>
          <x:t xml:space="preserve">Workflow</x:t>
        </x:is>
      </x:c>
      <x:c r="C10" s="84" t="inlineStr">
        <x:is>
          <x:t xml:space="preserve">Root</x:t>
        </x:is>
      </x:c>
      <x:c r="D10" s="84" t="inlineStr">
        <x:is>
          <x:t xml:space="preserve">Forward guards, optional-stage navigation and reset</x:t>
        </x:is>
      </x:c>
      <x:c r="E10" s="76" t="inlineStr">
        <x:is>
          <x:t xml:space="preserve">yes</x:t>
        </x:is>
      </x:c>
      <x:c r="F10" s="85" t="inlineStr">
        <x:is>
          <x:t xml:space="preserve">no</x:t>
        </x:is>
      </x:c>
      <x:c r="G10" s="73" t="inlineStr">
        <x:is>
          <x:t xml:space="preserve">manual review pending</x:t>
        </x:is>
      </x:c>
      <x:c r="H10" s="86" t="inlineStr">
        <x:is>
          <x:t xml:space="preserve">partial</x:t>
        </x:is>
      </x:c>
      <x:c r="I10" s="84" t="inlineStr">
        <x:is>
          <x:t xml:space="preserve">../test/primitives/steps-interaction.test.mjs</x:t>
        </x:is>
      </x:c>
      <x:c r="J10" s="84" t="inlineStr">
        <x:is>
          <x:t xml:space="preserve">Complete independent manual protocol</x:t>
        </x:is>
      </x:c>
      <x:c r="K10" s="87" t="n">
        <x:f>IF(AND(E10="yes",F10="yes",H10="covered"),1,IF(H10="partial",0.5,0))</x:f>
        <x:v>0.5</x:v>
      </x:c>
    </x:row>
    <x:row r="11" s="51" customFormat="1" ht="33.75" customHeight="1">
      <x:c r="A11" s="73" t="n">
        <x:v>3</x:v>
      </x:c>
      <x:c r="B11" s="84" t="inlineStr">
        <x:is>
          <x:t xml:space="preserve">Workflow</x:t>
        </x:is>
      </x:c>
      <x:c r="C11" s="84" t="inlineStr">
        <x:is>
          <x:t xml:space="preserve">Content</x:t>
        </x:is>
      </x:c>
      <x:c r="D11" s="84" t="inlineStr">
        <x:is>
          <x:t xml:space="preserve">Hidden/unmounted panel focus recovery with nested ownership</x:t>
        </x:is>
      </x:c>
      <x:c r="E11" s="76" t="inlineStr">
        <x:is>
          <x:t xml:space="preserve">yes</x:t>
        </x:is>
      </x:c>
      <x:c r="F11" s="85" t="inlineStr">
        <x:is>
          <x:t xml:space="preserve">no</x:t>
        </x:is>
      </x:c>
      <x:c r="G11" s="73" t="inlineStr">
        <x:is>
          <x:t xml:space="preserve">manual review pending</x:t>
        </x:is>
      </x:c>
      <x:c r="H11" s="86" t="inlineStr">
        <x:is>
          <x:t xml:space="preserve">partial</x:t>
        </x:is>
      </x:c>
      <x:c r="I11" s="84" t="inlineStr">
        <x:is>
          <x:t xml:space="preserve">../test/primitives/steps-interaction.test.mjs</x:t>
        </x:is>
      </x:c>
      <x:c r="J11" s="84" t="inlineStr">
        <x:is>
          <x:t xml:space="preserve">Complete independent manual protocol</x:t>
        </x:is>
      </x:c>
      <x:c r="K11" s="87" t="n">
        <x:f>IF(AND(E11="yes",F11="yes",H11="covered"),1,IF(H11="partial",0.5,0))</x:f>
        <x:v>0.5</x:v>
      </x:c>
    </x:row>
    <x:row r="12" s="51" customFormat="1" ht="33.75" customHeight="1">
      <x:c r="A12" s="73" t="n">
        <x:v>4</x:v>
      </x:c>
      <x:c r="B12" s="84" t="inlineStr">
        <x:is>
          <x:t xml:space="preserve">Workflow</x:t>
        </x:is>
      </x:c>
      <x:c r="C12" s="84" t="inlineStr">
        <x:is>
          <x:t xml:space="preserve">Root</x:t>
        </x:is>
      </x:c>
      <x:c r="D12" s="84" t="inlineStr">
        <x:is>
          <x:t xml:space="preserve">Completion callbacks and positional states</x:t>
        </x:is>
      </x:c>
      <x:c r="E12" s="76" t="inlineStr">
        <x:is>
          <x:t xml:space="preserve">yes</x:t>
        </x:is>
      </x:c>
      <x:c r="F12" s="85" t="inlineStr">
        <x:is>
          <x:t xml:space="preserve">no</x:t>
        </x:is>
      </x:c>
      <x:c r="G12" s="73" t="inlineStr">
        <x:is>
          <x:t xml:space="preserve">manual review pending</x:t>
        </x:is>
      </x:c>
      <x:c r="H12" s="86" t="inlineStr">
        <x:is>
          <x:t xml:space="preserve">partial</x:t>
        </x:is>
      </x:c>
      <x:c r="I12" s="84" t="inlineStr">
        <x:is>
          <x:t xml:space="preserve">../test/primitives/steps.test.mjs</x:t>
        </x:is>
      </x:c>
      <x:c r="J12" s="84" t="inlineStr">
        <x:is>
          <x:t xml:space="preserve">Complete independent manual protocol</x:t>
        </x:is>
      </x:c>
      <x:c r="K12" s="87" t="n">
        <x:f>IF(AND(E12="yes",F12="yes",H12="covered"),1,IF(H12="partial",0.5,0))</x:f>
        <x:v>0.5</x:v>
      </x:c>
    </x:row>
    <x:row r="13" s="51" customFormat="1" ht="33.75" customHeight="1">
      <x:c r="A13" s="73" t="n">
        <x:v>5</x:v>
      </x:c>
      <x:c r="B13" s="84" t="inlineStr">
        <x:is>
          <x:t xml:space="preserve">Workflow</x:t>
        </x:is>
      </x:c>
      <x:c r="C13" s="84" t="inlineStr">
        <x:is>
          <x:t xml:space="preserve">Public surface</x:t>
        </x:is>
      </x:c>
      <x:c r="D13" s="84" t="inlineStr">
        <x:is>
          <x:t xml:space="preserve">Native composition, refs, and exported anatomy</x:t>
        </x:is>
      </x:c>
      <x:c r="E13" s="76" t="inlineStr">
        <x:is>
          <x:t xml:space="preserve">yes</x:t>
        </x:is>
      </x:c>
      <x:c r="F13" s="85" t="inlineStr">
        <x:is>
          <x:t xml:space="preserve">no</x:t>
        </x:is>
      </x:c>
      <x:c r="G13" s="73" t="inlineStr">
        <x:is>
          <x:t xml:space="preserve">manual review pending</x:t>
        </x:is>
      </x:c>
      <x:c r="H13" s="86" t="inlineStr">
        <x:is>
          <x:t xml:space="preserve">partial</x:t>
        </x:is>
      </x:c>
      <x:c r="I13" s="84" t="inlineStr">
        <x:is>
          <x:t xml:space="preserve">../test/primitives/steps.test.mjs</x:t>
        </x:is>
      </x:c>
      <x:c r="J13" s="84" t="inlineStr">
        <x:is>
          <x:t xml:space="preserve">Complete independent manual protocol</x:t>
        </x:is>
      </x:c>
      <x:c r="K13" s="87" t="n">
        <x:f>IF(AND(E13="yes",F13="yes",H13="covered"),1,IF(H13="partial",0.5,0))</x:f>
        <x:v>0.5</x:v>
      </x:c>
    </x:row>
    <x:row r="14" s="51" customFormat="1" ht="33.75" customHeight="1">
      <x:c r="A14" s="73" t="n">
        <x:v>6</x:v>
      </x:c>
      <x:c r="B14" s="84" t="inlineStr">
        <x:is>
          <x:t xml:space="preserve">Workflow</x:t>
        </x:is>
      </x:c>
      <x:c r="C14" s="84" t="inlineStr">
        <x:is>
          <x:t xml:space="preserve">List</x:t>
        </x:is>
      </x:c>
      <x:c r="D14" s="84" t="inlineStr">
        <x:is>
          <x:t xml:space="preserve">Screen reader announces ordered progress and current step</x:t>
        </x:is>
      </x:c>
      <x:c r="E14" s="76" t="inlineStr">
        <x:is>
          <x:t xml:space="preserve">yes</x:t>
        </x:is>
      </x:c>
      <x:c r="F14" s="85" t="inlineStr">
        <x:is>
          <x:t xml:space="preserve">no</x:t>
        </x:is>
      </x:c>
      <x:c r="G14" s="73" t="inlineStr">
        <x:is>
          <x:t xml:space="preserve">manual review pending</x:t>
        </x:is>
      </x:c>
      <x:c r="H14" s="86" t="inlineStr">
        <x:is>
          <x:t xml:space="preserve">partial</x:t>
        </x:is>
      </x:c>
      <x:c r="I14" s="84" t="inlineStr">
        <x:is>
          <x:t xml:space="preserve">manual-tests/steps.md</x:t>
        </x:is>
      </x:c>
      <x:c r="J14" s="84" t="inlineStr">
        <x:is>
          <x:t xml:space="preserve">Complete independent manual protocol</x:t>
        </x:is>
      </x:c>
      <x:c r="K14" s="87" t="n">
        <x:f>IF(AND(E14="yes",F14="yes",H14="covered"),1,IF(H14="partial",0.5,0))</x:f>
        <x:v>0.5</x:v>
      </x:c>
    </x:row>
    <x:row r="15" s="51" customFormat="1" ht="33.75" customHeight="1">
      <x:c r="A15" s="73" t="n">
        <x:v>7</x:v>
      </x:c>
      <x:c r="B15" s="84" t="inlineStr">
        <x:is>
          <x:t xml:space="preserve">Workflow</x:t>
        </x:is>
      </x:c>
      <x:c r="C15" s="84" t="inlineStr">
        <x:is>
          <x:t xml:space="preserve">Trigger</x:t>
        </x:is>
      </x:c>
      <x:c r="D15" s="84" t="inlineStr">
        <x:is>
          <x:t xml:space="preserve">Physical touch and zoom remain operable</x:t>
        </x:is>
      </x:c>
      <x:c r="E15" s="76" t="inlineStr">
        <x:is>
          <x:t xml:space="preserve">yes</x:t>
        </x:is>
      </x:c>
      <x:c r="F15" s="85" t="inlineStr">
        <x:is>
          <x:t xml:space="preserve">no</x:t>
        </x:is>
      </x:c>
      <x:c r="G15" s="73" t="inlineStr">
        <x:is>
          <x:t xml:space="preserve">manual review pending</x:t>
        </x:is>
      </x:c>
      <x:c r="H15" s="86" t="inlineStr">
        <x:is>
          <x:t xml:space="preserve">partial</x:t>
        </x:is>
      </x:c>
      <x:c r="I15" s="84" t="inlineStr">
        <x:is>
          <x:t xml:space="preserve">manual-tests/steps.md</x:t>
        </x:is>
      </x:c>
      <x:c r="J15" s="84" t="inlineStr">
        <x:is>
          <x:t xml:space="preserve">Complete independent manual protocol</x:t>
        </x:is>
      </x:c>
      <x:c r="K15" s="87" t="n">
        <x:f>IF(AND(E15="yes",F15="yes",H15="covered"),1,IF(H15="partial",0.5,0))</x:f>
        <x:v>0.5</x:v>
      </x:c>
    </x:row>
    <x:row r="16" s="51" customFormat="1" ht="33.75" customHeight="1">
      <x:c r="A16" s="73" t="n">
        <x:v>8</x:v>
      </x:c>
      <x:c r="B16" s="84" t="inlineStr">
        <x:is>
          <x:t xml:space="preserve">Workflow</x:t>
        </x:is>
      </x:c>
      <x:c r="C16" s="84" t="inlineStr">
        <x:is>
          <x:t xml:space="preserve">Playground</x:t>
        </x:is>
      </x:c>
      <x:c r="D16" s="84" t="inlineStr">
        <x:is>
          <x:t xml:space="preserve">Property controls and data-slot anatomy inspection qualification</x:t>
        </x:is>
      </x:c>
      <x:c r="E16" s="76" t="inlineStr">
        <x:is>
          <x:t xml:space="preserve">yes</x:t>
        </x:is>
      </x:c>
      <x:c r="F16" s="85" t="inlineStr">
        <x:is>
          <x:t xml:space="preserve">no</x:t>
        </x:is>
      </x:c>
      <x:c r="G16" s="73" t="inlineStr">
        <x:is>
          <x:t xml:space="preserve">manual review pending</x:t>
        </x:is>
      </x:c>
      <x:c r="H16" s="86" t="inlineStr">
        <x:is>
          <x:t xml:space="preserve">partial</x:t>
        </x:is>
      </x:c>
      <x:c r="I16" s="84" t="inlineStr">
        <x:is>
          <x:t xml:space="preserve">src/StepsHarness.tsx</x:t>
        </x:is>
      </x:c>
      <x:c r="J16" s="84" t="inlineStr">
        <x:is>
          <x:t xml:space="preserve">Complete independent manual protocol</x:t>
        </x:is>
      </x:c>
      <x:c r="K16" s="87" t="n">
        <x:f>IF(AND(E16="yes",F16="yes",H16="covered"),1,IF(H16="partial",0.5,0))</x:f>
        <x:v>0.5</x:v>
      </x:c>
    </x:row>
    <x:row r="17" s="51" customFormat="1" ht="30" customHeight="1"/>
    <x:row r="18" s="51" customFormat="1" ht="15" customHeight="1"/>
    <x:row r="19" s="51" customFormat="1" ht="15" customHeight="1"/>
    <x:row r="20" s="51" customFormat="1" ht="15" customHeight="1"/>
    <x:row r="21" s="51" customFormat="1" ht="15" customHeight="1"/>
    <x:row r="22" s="51" customFormat="1" ht="30" customHeight="1"/>
    <x:row r="23" s="51" customFormat="1" ht="15" customHeight="1"/>
    <x:row r="24" s="51" customFormat="1" ht="15" customHeight="1"/>
    <x:row r="25" s="51" customFormat="1" ht="15" customHeight="1"/>
    <x:row r="26" s="51" customFormat="1" ht="15" customHeight="1"/>
    <x:row r="27" s="51" customFormat="1" ht="15" customHeight="1"/>
    <x:row r="28" s="51" customFormat="1" ht="15" customHeight="1"/>
    <x:row r="29" s="51" customFormat="1" ht="15" customHeight="1"/>
    <x:row r="30" s="51" customFormat="1" ht="15" customHeight="1"/>
    <x:row r="31" s="51" customFormat="1" ht="15" customHeight="1"/>
    <x:row r="32" s="51" customFormat="1" ht="15" customHeight="1"/>
    <x:row r="33" s="51" customFormat="1" ht="15" customHeight="1"/>
    <x:row r="34" s="51" customFormat="1" ht="15" customHeight="1"/>
    <x:row r="35" s="51" customFormat="1" ht="15" customHeight="1"/>
    <x:row r="36" s="51" customFormat="1" ht="30" customHeight="1"/>
    <x:row r="37" s="51" customFormat="1" ht="15" customHeight="1"/>
    <x:row r="38" s="51" customFormat="1" ht="15" customHeight="1"/>
    <x:row r="39" s="51" customFormat="1" ht="15" customHeight="1"/>
    <x:row r="40" s="51" customFormat="1" ht="15" customHeight="1"/>
    <x:row r="41" s="51" customFormat="1" ht="15" customHeight="1"/>
    <x:row r="42" s="51" customFormat="1" ht="15" customHeight="1"/>
    <x:row r="43" s="51" customFormat="1" ht="15" customHeight="1"/>
    <x:row r="44" s="51" customFormat="1" ht="15" customHeight="1"/>
    <x:row r="45" s="51" customFormat="1" ht="15" customHeight="1"/>
    <x:row r="46" s="51" customFormat="1" ht="15" customHeight="1"/>
    <x:row r="47" s="51" customFormat="1" ht="15" customHeight="1"/>
    <x:row r="48" s="51" customFormat="1" ht="15" customHeight="1"/>
    <x:row r="49" s="51" customFormat="1" ht="30" customHeight="1"/>
    <x:row r="50" s="51" customFormat="1" ht="15" customHeight="1"/>
    <x:row r="51" s="51" customFormat="1" ht="15" customHeight="1"/>
    <x:row r="52" s="51" customFormat="1" ht="15" customHeight="1"/>
    <x:row r="53" s="51" customFormat="1" ht="15" customHeight="1"/>
    <x:row r="54" s="51" customFormat="1" ht="15" customHeight="1"/>
    <x:row r="55" s="51" customFormat="1" ht="15" customHeight="1"/>
    <x:row r="56" s="51" customFormat="1" ht="15" customHeight="1"/>
    <x:row r="57" s="51" customFormat="1" ht="15" customHeight="1"/>
    <x:row r="58" s="51" customFormat="1" ht="15" customHeight="1"/>
    <x:row r="59" s="51" customFormat="1" ht="15" customHeight="1"/>
    <x:row r="60" s="51" customFormat="1" ht="30" customHeight="1"/>
    <x:row r="61" s="51" customFormat="1" ht="15" customHeight="1"/>
    <x:row r="62" s="51" customFormat="1" ht="15" customHeight="1"/>
    <x:row r="63" s="51" customFormat="1" ht="15" customHeight="1"/>
    <x:row r="64" s="51" customFormat="1" ht="15" customHeight="1"/>
    <x:row r="65" s="51" customFormat="1" ht="15" customHeight="1"/>
    <x:row r="66" s="51" customFormat="1" ht="15" customHeight="1"/>
    <x:row r="67" s="51" customFormat="1" ht="15" customHeight="1"/>
    <x:row r="68" s="51" customFormat="1" ht="30" customHeight="1"/>
    <x:row r="69" s="51" customFormat="1" ht="15" customHeight="1"/>
    <x:row r="70" s="51" customFormat="1" ht="15" customHeight="1"/>
    <x:row r="71" s="51" customFormat="1" ht="15" customHeight="1"/>
    <x:row r="72" s="51" customFormat="1" ht="15" customHeight="1"/>
    <x:row r="73" s="51" customFormat="1" ht="15" customHeight="1"/>
    <x:row r="74" s="51" customFormat="1" ht="15" customHeight="1"/>
    <x:row r="75" s="51" customFormat="1" ht="15" customHeight="1"/>
    <x:row r="76" s="51" customFormat="1" ht="15" customHeight="1"/>
    <x:row r="77" s="51" customFormat="1" ht="15" customHeight="1"/>
    <x:row r="78" s="51" customFormat="1" ht="15" customHeight="1"/>
    <x:row r="79" s="51" customFormat="1" ht="15" customHeight="1"/>
    <x:row r="80" s="51" customFormat="1" ht="15" customHeight="1"/>
    <x:row r="81" s="51" customFormat="1" ht="15" customHeight="1"/>
    <x:row r="82" s="51" customFormat="1" ht="15" customHeight="1"/>
    <x:row r="83" s="51" customFormat="1" ht="15" customHeight="1"/>
    <x:row r="84" s="51" customFormat="1" ht="15" customHeight="1"/>
    <x:row r="85" s="51" customFormat="1" ht="15" customHeight="1"/>
    <x:row r="86" s="51" customFormat="1" ht="30" customHeight="1"/>
    <x:row r="87" s="51" customFormat="1" ht="15" customHeight="1"/>
    <x:row r="88" s="51" customFormat="1" ht="15" customHeight="1"/>
    <x:row r="89" s="51" customFormat="1" ht="15" customHeight="1"/>
    <x:row r="90" s="51" customFormat="1" ht="15" customHeight="1"/>
    <x:row r="91" s="51" customFormat="1" ht="15" customHeight="1"/>
    <x:row r="92" s="51" customFormat="1" ht="15" customHeight="1"/>
    <x:row r="93" s="51" customFormat="1" ht="15" customHeight="1"/>
    <x:row r="94" s="51" customFormat="1" ht="15" customHeight="1"/>
    <x:row r="95" s="51" customFormat="1" ht="15" customHeight="1"/>
    <x:row r="96" s="51" customFormat="1" ht="15" customHeight="1"/>
    <x:row r="97" s="51" customFormat="1" ht="15" customHeight="1"/>
    <x:row r="98" s="51" customFormat="1" ht="15" customHeight="1"/>
    <x:row r="99" s="51" customFormat="1" ht="15" customHeight="1"/>
    <x:row r="100" s="51" customFormat="1" ht="15" customHeight="1"/>
    <x:row r="101" s="51" customFormat="1" ht="15" customHeight="1"/>
    <x:row r="102" s="51" customFormat="1" ht="15" customHeight="1"/>
    <x:row r="103" s="51" customFormat="1" ht="15" customHeight="1"/>
    <x:row r="104" s="51" customFormat="1" ht="15" customHeight="1"/>
    <x:row r="105" s="51" customFormat="1" ht="15" customHeight="1"/>
    <x:row r="106" s="51" customFormat="1" ht="30" customHeight="1"/>
    <x:row r="107" s="51" customFormat="1" ht="30" customHeight="1"/>
    <x:row r="108" s="51" customFormat="1" ht="30" customHeight="1"/>
    <x:row r="109" s="51" customFormat="1" ht="30" customHeight="1"/>
    <x:row r="110" s="51" customFormat="1" ht="30" customHeight="1"/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baseColWidth="8" defaultRowHeight="15"/>
  <x:cols>
    <x:col min="1" max="1" width="18" style="51" customWidth="1"/>
    <x:col min="2" max="2" width="18" style="51" customWidth="1"/>
    <x:col min="3" max="3" width="18" style="51" customWidth="1"/>
    <x:col min="4" max="4" width="45" style="51" customWidth="1"/>
    <x:col min="5" max="5" width="18" style="51" customWidth="1"/>
    <x:col min="6" max="6" width="18" style="51" customWidth="1"/>
    <x:col min="7" max="7" width="18" style="51" customWidth="1"/>
    <x:col min="8" max="8" width="18" style="51" customWidth="1"/>
    <x:col min="9" max="9" width="40" style="51" customWidth="1"/>
    <x:col min="10" max="10" width="40" style="51" customWidth="1"/>
    <x:col min="11" max="11" width="18" style="51" customWidth="1"/>
  </x:cols>
  <x:sheetData>
    <x:row r="1">
      <x:c r="A1" s="101" t="inlineStr">
        <x:is>
          <x:t xml:space="preserve">Splitter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>
      <x:c r="A2" s="101" t="inlineStr">
        <x:is>
          <x:t xml:space="preserve">Automated behavior is tested; independent manual platform review remains pending.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3">
      <x:c r="A3" s="101" t="n"/>
      <x:c r="B3" s="101" t="n"/>
      <x:c r="C3" s="101" t="n"/>
      <x:c r="D3" s="101" t="n"/>
      <x:c r="E3" s="101" t="n"/>
      <x:c r="F3" s="101" t="n"/>
      <x:c r="G3" s="101" t="n"/>
      <x:c r="H3" s="101" t="n"/>
      <x:c r="I3" s="101" t="n"/>
      <x:c r="J3" s="101" t="n"/>
      <x:c r="K3" s="101" t="n"/>
    </x:row>
    <x:row r="4">
      <x:c r="A4" s="101" t="inlineStr">
        <x:is>
          <x:t xml:space="preserve">Coverage</x:t>
        </x:is>
      </x:c>
      <x:c r="B4" s="101" t="n">
        <x:f>IFERROR(D4/COUNTA(A9:A1000),0)</x:f>
        <x:v>0</x:v>
      </x:c>
      <x:c r="C4" s="101" t="inlineStr">
        <x:is>
          <x:t xml:space="preserve">Covered</x:t>
        </x:is>
      </x:c>
      <x:c r="D4" s="101" t="n">
        <x:f>COUNTIFS(A9:A1000,"&lt;&gt;",E9:E1000,"yes",F9:F1000,"yes",H9:H1000,"covered")</x:f>
        <x:v>0</x:v>
      </x:c>
      <x:c r="E4" s="101" t="inlineStr">
        <x:is>
          <x:t xml:space="preserve">Partial</x:t>
        </x:is>
      </x:c>
      <x:c r="F4" s="101" t="n">
        <x:f>COUNTIFS(A9:A1000,"&lt;&gt;",H9:H1000,"partial")</x:f>
        <x:v>8</x:v>
      </x:c>
      <x:c r="G4" s="101" t="inlineStr">
        <x:is>
          <x:t xml:space="preserve">Missing</x:t>
        </x:is>
      </x:c>
      <x:c r="H4" s="101" t="n">
        <x:f>COUNTIFS(A9:A1000,"&lt;&gt;",E9:E1000,"&lt;&gt;yes")+COUNTIFS(A9:A1000,"&lt;&gt;",E9:E1000,"yes",H9:H1000,"missing")</x:f>
        <x:v>0</x:v>
      </x:c>
      <x:c r="I4" s="101" t="inlineStr">
        <x:is>
          <x:t xml:space="preserve">Untested</x:t>
        </x:is>
      </x:c>
      <x:c r="J4" s="101" t="n">
        <x:f>COUNTIFS(A9:A1000,"&lt;&gt;",E9:E1000,"yes",F9:F1000,"&lt;&gt;yes")+COUNTIFS(A9:A1000,"&lt;&gt;",E9:E1000,"yes",F9:F1000,"yes",H9:H1000,"untested")</x:f>
        <x:v>8</x:v>
      </x:c>
      <x:c r="K4" s="101" t="n"/>
    </x:row>
    <x:row r="5">
      <x:c r="A5" s="101" t="n"/>
      <x:c r="B5" s="101" t="n"/>
      <x:c r="C5" s="101" t="n"/>
      <x:c r="D5" s="101" t="n"/>
      <x:c r="E5" s="101" t="n"/>
      <x:c r="F5" s="101" t="n"/>
      <x:c r="G5" s="101" t="n"/>
      <x:c r="H5" s="101" t="n"/>
      <x:c r="I5" s="101" t="n"/>
      <x:c r="J5" s="101" t="n"/>
      <x:c r="K5" s="101" t="n"/>
    </x:row>
    <x:row r="6">
      <x:c r="A6" s="101" t="inlineStr">
        <x:is>
          <x:t xml:space="preserve">Manual completion counts covered rows only; partial automation evidence does not count as a completed manual review.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7">
      <x:c r="A7" s="101" t="n"/>
      <x:c r="B7" s="101" t="n"/>
      <x:c r="C7" s="101" t="n"/>
      <x:c r="D7" s="101" t="n"/>
      <x:c r="E7" s="101" t="n"/>
      <x:c r="F7" s="101" t="n"/>
      <x:c r="G7" s="101" t="n"/>
      <x:c r="H7" s="101" t="n"/>
      <x:c r="I7" s="101" t="n"/>
      <x:c r="J7" s="101" t="n"/>
      <x:c r="K7" s="101" t="n"/>
    </x:row>
    <x:row r="8" s="51" customFormat="1" ht="58" customHeight="1">
      <x:c r="A8" s="101" t="inlineStr">
        <x:is>
          <x:t xml:space="preserve">ID</x:t>
        </x:is>
      </x:c>
      <x:c r="B8" s="101" t="inlineStr">
        <x:is>
          <x:t xml:space="preserve">Area</x:t>
        </x:is>
      </x:c>
      <x:c r="C8" s="101" t="inlineStr">
        <x:is>
          <x:t xml:space="preserve">Part</x:t>
        </x:is>
      </x:c>
      <x:c r="D8" s="101" t="inlineStr">
        <x:is>
          <x:t xml:space="preserve">Test item</x:t>
        </x:is>
      </x:c>
      <x:c r="E8" s="101" t="inlineStr">
        <x:is>
          <x:t xml:space="preserve">Implemented</x:t>
        </x:is>
      </x:c>
      <x:c r="F8" s="101" t="inlineStr">
        <x:is>
          <x:t xml:space="preserve">Tested</x:t>
        </x:is>
      </x:c>
      <x:c r="G8" s="101" t="inlineStr">
        <x:is>
          <x:t xml:space="preserve">Result</x:t>
        </x:is>
      </x:c>
      <x:c r="H8" s="101" t="inlineStr">
        <x:is>
          <x:t xml:space="preserve">Coverage Status</x:t>
        </x:is>
      </x:c>
      <x:c r="I8" s="101" t="inlineStr">
        <x:is>
          <x:t xml:space="preserve">Currently covered by</x:t>
        </x:is>
      </x:c>
      <x:c r="J8" s="101" t="inlineStr">
        <x:is>
          <x:t xml:space="preserve">Missing / next step</x:t>
        </x:is>
      </x:c>
      <x:c r="K8" s="101" t="inlineStr">
        <x:is>
          <x:t xml:space="preserve">Score</x:t>
        </x:is>
      </x:c>
    </x:row>
    <x:row r="9" s="51" customFormat="1" ht="58" customHeight="1">
      <x:c r="A9" s="101" t="n">
        <x:v>1</x:v>
      </x:c>
      <x:c r="B9" s="101" t="inlineStr">
        <x:is>
          <x:t xml:space="preserve">Behavior</x:t>
        </x:is>
      </x:c>
      <x:c r="C9" s="101" t="inlineStr">
        <x:is>
          <x:t xml:space="preserve">Root / Panel</x:t>
        </x:is>
      </x:c>
      <x:c r="D9" s="101" t="inlineStr">
        <x:is>
          <x:t xml:space="preserve">Root and external store controlled/uncontrolled resizing</x:t>
        </x:is>
      </x:c>
      <x:c r="E9" s="101" t="inlineStr">
        <x:is>
          <x:t xml:space="preserve">yes</x:t>
        </x:is>
      </x:c>
      <x:c r="F9" s="101" t="inlineStr">
        <x:is>
          <x:t xml:space="preserve">no</x:t>
        </x:is>
      </x:c>
      <x:c r="G9" s="101" t="inlineStr">
        <x:is>
          <x:t xml:space="preserve">automation passed; manual pending</x:t>
        </x:is>
      </x:c>
      <x:c r="H9" s="101" t="inlineStr">
        <x:is>
          <x:t xml:space="preserve">partial</x:t>
        </x:is>
      </x:c>
      <x:c r="I9" s="101" t="inlineStr">
        <x:is>
          <x:t xml:space="preserve">../test/browser/splitter.spec.ts; ../test/primitives/splitter.test.mjs</x:t>
        </x:is>
      </x:c>
      <x:c r="J9" s="101" t="inlineStr">
        <x:is>
          <x:t xml:space="preserve">Complete independent manual review</x:t>
        </x:is>
      </x:c>
      <x:c r="K9" s="101" t="n">
        <x:f>IF(AND(E9="yes",F9="yes",H9="covered"),1,IF(H9="partial",0.5,0))</x:f>
        <x:v>0.5</x:v>
      </x:c>
    </x:row>
    <x:row r="10" s="51" customFormat="1" ht="58" customHeight="1">
      <x:c r="A10" s="101" t="n">
        <x:v>2</x:v>
      </x:c>
      <x:c r="B10" s="101" t="inlineStr">
        <x:is>
          <x:t xml:space="preserve">Behavior</x:t>
        </x:is>
      </x:c>
      <x:c r="C10" s="101" t="inlineStr">
        <x:is>
          <x:t xml:space="preserve">Root / Panel</x:t>
        </x:is>
      </x:c>
      <x:c r="D10" s="101" t="inlineStr">
        <x:is>
          <x:t xml:space="preserve">Percentage, px/em/rem/vw/vh constraints and cascading resize</x:t>
        </x:is>
      </x:c>
      <x:c r="E10" s="101" t="inlineStr">
        <x:is>
          <x:t xml:space="preserve">yes</x:t>
        </x:is>
      </x:c>
      <x:c r="F10" s="101" t="inlineStr">
        <x:is>
          <x:t xml:space="preserve">no</x:t>
        </x:is>
      </x:c>
      <x:c r="G10" s="101" t="inlineStr">
        <x:is>
          <x:t xml:space="preserve">automation passed; manual pending</x:t>
        </x:is>
      </x:c>
      <x:c r="H10" s="101" t="inlineStr">
        <x:is>
          <x:t xml:space="preserve">partial</x:t>
        </x:is>
      </x:c>
      <x:c r="I10" s="101" t="inlineStr">
        <x:is>
          <x:t xml:space="preserve">../test/browser/splitter.spec.ts; ../test/primitives/splitter.test.mjs</x:t>
        </x:is>
      </x:c>
      <x:c r="J10" s="101" t="inlineStr">
        <x:is>
          <x:t xml:space="preserve">Complete independent manual review</x:t>
        </x:is>
      </x:c>
      <x:c r="K10" s="101" t="n">
        <x:f>IF(AND(E10="yes",F10="yes",H10="covered"),1,IF(H10="partial",0.5,0))</x:f>
        <x:v>0.5</x:v>
      </x:c>
    </x:row>
    <x:row r="11" s="51" customFormat="1" ht="58" customHeight="1">
      <x:c r="A11" s="101" t="n">
        <x:v>3</x:v>
      </x:c>
      <x:c r="B11" s="101" t="inlineStr">
        <x:is>
          <x:t xml:space="preserve">Behavior</x:t>
        </x:is>
      </x:c>
      <x:c r="C11" s="101" t="inlineStr">
        <x:is>
          <x:t xml:space="preserve">ResizeTrigger</x:t>
        </x:is>
      </x:c>
      <x:c r="D11" s="101" t="inlineStr">
        <x:is>
          <x:t xml:space="preserve">Pointer cancellation and disabled transitions</x:t>
        </x:is>
      </x:c>
      <x:c r="E11" s="101" t="inlineStr">
        <x:is>
          <x:t xml:space="preserve">yes</x:t>
        </x:is>
      </x:c>
      <x:c r="F11" s="101" t="inlineStr">
        <x:is>
          <x:t xml:space="preserve">no</x:t>
        </x:is>
      </x:c>
      <x:c r="G11" s="101" t="inlineStr">
        <x:is>
          <x:t xml:space="preserve">automation passed; manual pending</x:t>
        </x:is>
      </x:c>
      <x:c r="H11" s="101" t="inlineStr">
        <x:is>
          <x:t xml:space="preserve">partial</x:t>
        </x:is>
      </x:c>
      <x:c r="I11" s="101" t="inlineStr">
        <x:is>
          <x:t xml:space="preserve">../test/browser/splitter.spec.ts; ../test/primitives/splitter.test.mjs</x:t>
        </x:is>
      </x:c>
      <x:c r="J11" s="101" t="inlineStr">
        <x:is>
          <x:t xml:space="preserve">Complete independent manual review</x:t>
        </x:is>
      </x:c>
      <x:c r="K11" s="101" t="n">
        <x:f>IF(AND(E11="yes",F11="yes",H11="covered"),1,IF(H11="partial",0.5,0))</x:f>
        <x:v>0.5</x:v>
      </x:c>
    </x:row>
    <x:row r="12" s="51" customFormat="1" ht="58" customHeight="1">
      <x:c r="A12" s="101" t="n">
        <x:v>4</x:v>
      </x:c>
      <x:c r="B12" s="101" t="inlineStr">
        <x:is>
          <x:t xml:space="preserve">Behavior</x:t>
        </x:is>
      </x:c>
      <x:c r="C12" s="101" t="inlineStr">
        <x:is>
          <x:t xml:space="preserve">ResizeTrigger</x:t>
        </x:is>
      </x:c>
      <x:c r="D12" s="101" t="inlineStr">
        <x:is>
          <x:t xml:space="preserve">Keyboard direction, Home/End and RTL</x:t>
        </x:is>
      </x:c>
      <x:c r="E12" s="101" t="inlineStr">
        <x:is>
          <x:t xml:space="preserve">yes</x:t>
        </x:is>
      </x:c>
      <x:c r="F12" s="101" t="inlineStr">
        <x:is>
          <x:t xml:space="preserve">no</x:t>
        </x:is>
      </x:c>
      <x:c r="G12" s="101" t="inlineStr">
        <x:is>
          <x:t xml:space="preserve">automation passed; manual pending</x:t>
        </x:is>
      </x:c>
      <x:c r="H12" s="101" t="inlineStr">
        <x:is>
          <x:t xml:space="preserve">partial</x:t>
        </x:is>
      </x:c>
      <x:c r="I12" s="101" t="inlineStr">
        <x:is>
          <x:t xml:space="preserve">../test/browser/splitter.spec.ts; ../test/primitives/splitter.test.mjs</x:t>
        </x:is>
      </x:c>
      <x:c r="J12" s="101" t="inlineStr">
        <x:is>
          <x:t xml:space="preserve">Complete independent manual review</x:t>
        </x:is>
      </x:c>
      <x:c r="K12" s="101" t="n">
        <x:f>IF(AND(E12="yes",F12="yes",H12="covered"),1,IF(H12="partial",0.5,0))</x:f>
        <x:v>0.5</x:v>
      </x:c>
    </x:row>
    <x:row r="13" s="51" customFormat="1" ht="58" customHeight="1">
      <x:c r="A13" s="101" t="n">
        <x:v>5</x:v>
      </x:c>
      <x:c r="B13" s="101" t="inlineStr">
        <x:is>
          <x:t xml:space="preserve">Behavior</x:t>
        </x:is>
      </x:c>
      <x:c r="C13" s="101" t="inlineStr">
        <x:is>
          <x:t xml:space="preserve">Root / Panel</x:t>
        </x:is>
      </x:c>
      <x:c r="D13" s="101" t="inlineStr">
        <x:is>
          <x:t xml:space="preserve">Collapse, removal focus recovery and delayed-provider measurement</x:t>
        </x:is>
      </x:c>
      <x:c r="E13" s="101" t="inlineStr">
        <x:is>
          <x:t xml:space="preserve">yes</x:t>
        </x:is>
      </x:c>
      <x:c r="F13" s="101" t="inlineStr">
        <x:is>
          <x:t xml:space="preserve">no</x:t>
        </x:is>
      </x:c>
      <x:c r="G13" s="101" t="inlineStr">
        <x:is>
          <x:t xml:space="preserve">automation passed; manual pending</x:t>
        </x:is>
      </x:c>
      <x:c r="H13" s="101" t="inlineStr">
        <x:is>
          <x:t xml:space="preserve">partial</x:t>
        </x:is>
      </x:c>
      <x:c r="I13" s="101" t="inlineStr">
        <x:is>
          <x:t xml:space="preserve">../test/browser/splitter-regressions.spec.ts</x:t>
        </x:is>
      </x:c>
      <x:c r="J13" s="101" t="inlineStr">
        <x:is>
          <x:t xml:space="preserve">Complete independent manual review</x:t>
        </x:is>
      </x:c>
      <x:c r="K13" s="101" t="n">
        <x:f>IF(AND(E13="yes",F13="yes",H13="covered"),1,IF(H13="partial",0.5,0))</x:f>
        <x:v>0.5</x:v>
      </x:c>
    </x:row>
    <x:row r="14" s="51" customFormat="1" ht="58" customHeight="1">
      <x:c r="A14" s="101" t="n">
        <x:v>6</x:v>
      </x:c>
      <x:c r="B14" s="101" t="inlineStr">
        <x:is>
          <x:t xml:space="preserve">Behavior</x:t>
        </x:is>
      </x:c>
      <x:c r="C14" s="101" t="inlineStr">
        <x:is>
          <x:t xml:space="preserve">Root / Panel</x:t>
        </x:is>
      </x:c>
      <x:c r="D14" s="101" t="inlineStr">
        <x:is>
          <x:t xml:space="preserve">Nested isolation and shared intersection rollback</x:t>
        </x:is>
      </x:c>
      <x:c r="E14" s="101" t="inlineStr">
        <x:is>
          <x:t xml:space="preserve">yes</x:t>
        </x:is>
      </x:c>
      <x:c r="F14" s="101" t="inlineStr">
        <x:is>
          <x:t xml:space="preserve">no</x:t>
        </x:is>
      </x:c>
      <x:c r="G14" s="101" t="inlineStr">
        <x:is>
          <x:t xml:space="preserve">automation passed; manual pending</x:t>
        </x:is>
      </x:c>
      <x:c r="H14" s="101" t="inlineStr">
        <x:is>
          <x:t xml:space="preserve">partial</x:t>
        </x:is>
      </x:c>
      <x:c r="I14" s="101" t="inlineStr">
        <x:is>
          <x:t xml:space="preserve">../test/browser/splitter-regressions.spec.ts</x:t>
        </x:is>
      </x:c>
      <x:c r="J14" s="101" t="inlineStr">
        <x:is>
          <x:t xml:space="preserve">Complete independent manual review</x:t>
        </x:is>
      </x:c>
      <x:c r="K14" s="101" t="n">
        <x:f>IF(AND(E14="yes",F14="yes",H14="covered"),1,IF(H14="partial",0.5,0))</x:f>
        <x:v>0.5</x:v>
      </x:c>
    </x:row>
    <x:row r="15" s="51" customFormat="1" ht="58" customHeight="1">
      <x:c r="A15" s="101" t="n">
        <x:v>7</x:v>
      </x:c>
      <x:c r="B15" s="101" t="inlineStr">
        <x:is>
          <x:t xml:space="preserve">Behavior</x:t>
        </x:is>
      </x:c>
      <x:c r="C15" s="101" t="inlineStr">
        <x:is>
          <x:t xml:space="preserve">Root / Panel</x:t>
        </x:is>
      </x:c>
      <x:c r="D15" s="101" t="inlineStr">
        <x:is>
          <x:t xml:space="preserve">SSR and polymorphic hosts</x:t>
        </x:is>
      </x:c>
      <x:c r="E15" s="101" t="inlineStr">
        <x:is>
          <x:t xml:space="preserve">yes</x:t>
        </x:is>
      </x:c>
      <x:c r="F15" s="101" t="inlineStr">
        <x:is>
          <x:t xml:space="preserve">no</x:t>
        </x:is>
      </x:c>
      <x:c r="G15" s="101" t="inlineStr">
        <x:is>
          <x:t xml:space="preserve">automation passed; manual pending</x:t>
        </x:is>
      </x:c>
      <x:c r="H15" s="101" t="inlineStr">
        <x:is>
          <x:t xml:space="preserve">partial</x:t>
        </x:is>
      </x:c>
      <x:c r="I15" s="101" t="inlineStr">
        <x:is>
          <x:t xml:space="preserve">../test/browser/splitter.spec.ts; ../test/primitives/splitter.test.mjs</x:t>
        </x:is>
      </x:c>
      <x:c r="J15" s="101" t="inlineStr">
        <x:is>
          <x:t xml:space="preserve">Complete independent manual review</x:t>
        </x:is>
      </x:c>
      <x:c r="K15" s="101" t="n">
        <x:f>IF(AND(E15="yes",F15="yes",H15="covered"),1,IF(H15="partial",0.5,0))</x:f>
        <x:v>0.5</x:v>
      </x:c>
    </x:row>
    <x:row r="16" s="51" customFormat="1" ht="58" customHeight="1">
      <x:c r="A16" s="101" t="n">
        <x:v>8</x:v>
      </x:c>
      <x:c r="B16" s="101" t="inlineStr">
        <x:is>
          <x:t xml:space="preserve">Behavior</x:t>
        </x:is>
      </x:c>
      <x:c r="C16" s="101" t="inlineStr">
        <x:is>
          <x:t xml:space="preserve">Root / Panel</x:t>
        </x:is>
      </x:c>
      <x:c r="D16" s="101" t="inlineStr">
        <x:is>
          <x:t xml:space="preserve">Physical touch/pen, zoom and assistive technology</x:t>
        </x:is>
      </x:c>
      <x:c r="E16" s="101" t="inlineStr">
        <x:is>
          <x:t xml:space="preserve">yes</x:t>
        </x:is>
      </x:c>
      <x:c r="F16" s="101" t="inlineStr">
        <x:is>
          <x:t xml:space="preserve">no</x:t>
        </x:is>
      </x:c>
      <x:c r="G16" s="101" t="inlineStr">
        <x:is>
          <x:t xml:space="preserve">automation passed; manual pending</x:t>
        </x:is>
      </x:c>
      <x:c r="H16" s="101" t="inlineStr">
        <x:is>
          <x:t xml:space="preserve">partial</x:t>
        </x:is>
      </x:c>
      <x:c r="I16" s="101" t="inlineStr">
        <x:is>
          <x:t xml:space="preserve">Manual protocol required</x:t>
        </x:is>
      </x:c>
      <x:c r="J16" s="101" t="inlineStr">
        <x:is>
          <x:t xml:space="preserve">Complete independent manual review</x:t>
        </x:is>
      </x:c>
      <x:c r="K16" s="101" t="n">
        <x:f>IF(AND(E16="yes",F16="yes",H16="covered"),1,IF(H16="partial",0.5,0))</x:f>
        <x:v>0.5</x:v>
      </x:c>
    </x:row>
  </x:sheetData>
  <x:mergeCells>
    <x:mergeCell ref="A2:K2"/>
    <x:mergeCell ref="A6:K6"/>
    <x:mergeCell ref="A1:K1"/>
  </x:mergeCells>
  <x:dataValidations count="1">
    <x:dataValidation type="list" allowBlank="0" showDropDown="0" showInputMessage="0" showErrorMessage="0" sqref="H9:H16">
      <x:formula1>"covered,partial,missing,untested"</x:formula1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baseColWidth="8" defaultRowHeight="15"/>
  <x:cols>
    <x:col min="1" max="1" width="18" style="51" customWidth="1"/>
    <x:col min="2" max="2" width="18" style="51" customWidth="1"/>
    <x:col min="3" max="3" width="18" style="51" customWidth="1"/>
    <x:col min="4" max="4" width="46" style="51" customWidth="1"/>
    <x:col min="5" max="5" width="18" style="51" customWidth="1"/>
    <x:col min="6" max="6" width="18" style="51" customWidth="1"/>
    <x:col min="7" max="7" width="48" style="51" customWidth="1"/>
    <x:col min="8" max="8" width="18" style="51" customWidth="1"/>
    <x:col min="9" max="9" width="18" style="51" customWidth="1"/>
    <x:col min="10" max="10" width="18" style="51" customWidth="1"/>
    <x:col min="11" max="11" width="18" style="51" customWidth="1"/>
  </x:cols>
  <x:sheetData>
    <x:row r="1">
      <x:c r="A1" s="101" t="inlineStr">
        <x:is>
          <x:t xml:space="preserve">DownloadTrigger evidence</x:t>
        </x:is>
      </x:c>
      <x:c r="B1" s="101" t="n"/>
      <x:c r="C1" s="101" t="n"/>
      <x:c r="D1" s="101" t="n"/>
      <x:c r="E1" s="101" t="n"/>
      <x:c r="F1" s="101" t="n"/>
      <x:c r="G1" s="101" t="n"/>
      <x:c r="H1" s="101" t="n"/>
      <x:c r="I1" s="101" t="n"/>
      <x:c r="J1" s="101" t="n"/>
      <x:c r="K1" s="101" t="n"/>
    </x:row>
    <x:row r="2">
      <x:c r="A2" s="101" t="inlineStr">
        <x:is>
          <x:t xml:space="preserve">Automated evidence recorded; independent manual platform review remains open.</x:t>
        </x:is>
      </x:c>
      <x:c r="B2" s="101" t="n"/>
      <x:c r="C2" s="101" t="n"/>
      <x:c r="D2" s="101" t="n"/>
      <x:c r="E2" s="101" t="n"/>
      <x:c r="F2" s="101" t="n"/>
      <x:c r="G2" s="101" t="n"/>
      <x:c r="H2" s="101" t="n"/>
      <x:c r="I2" s="101" t="n"/>
      <x:c r="J2" s="101" t="n"/>
      <x:c r="K2" s="101" t="n"/>
    </x:row>
    <x:row r="3">
      <x:c r="A3" s="101" t="n"/>
      <x:c r="B3" s="101" t="n"/>
      <x:c r="C3" s="101" t="n"/>
      <x:c r="D3" s="101" t="n"/>
      <x:c r="E3" s="101" t="n"/>
      <x:c r="F3" s="101" t="n"/>
      <x:c r="G3" s="101" t="n"/>
      <x:c r="H3" s="101" t="n"/>
      <x:c r="I3" s="101" t="n"/>
      <x:c r="J3" s="101" t="n"/>
      <x:c r="K3" s="101" t="n"/>
    </x:row>
    <x:row r="4">
      <x:c r="A4" s="101" t="inlineStr">
        <x:is>
          <x:t xml:space="preserve">Coverage</x:t>
        </x:is>
      </x:c>
      <x:c r="B4" s="101" t="n">
        <x:f>IFERROR(D4/COUNTA(A9:A1000),0)</x:f>
        <x:v>0</x:v>
      </x:c>
      <x:c r="C4" s="101" t="inlineStr">
        <x:is>
          <x:t xml:space="preserve">Covered</x:t>
        </x:is>
      </x:c>
      <x:c r="D4" s="101" t="n">
        <x:f>COUNTIFS(A9:A1000,"&lt;&gt;",E9:E1000,"yes",F9:F1000,"yes",H9:H1000,"covered")</x:f>
        <x:v>0</x:v>
      </x:c>
      <x:c r="E4" s="101" t="inlineStr">
        <x:is>
          <x:t xml:space="preserve">Partial</x:t>
        </x:is>
      </x:c>
      <x:c r="F4" s="101" t="n">
        <x:f>COUNTIFS(A9:A1000,"&lt;&gt;",H9:H1000,"partial")</x:f>
        <x:v>8</x:v>
      </x:c>
      <x:c r="G4" s="101" t="inlineStr">
        <x:is>
          <x:t xml:space="preserve">Missing</x:t>
        </x:is>
      </x:c>
      <x:c r="H4" s="101" t="n">
        <x:f>COUNTIFS(A9:A1000,"&lt;&gt;",E9:E1000,"&lt;&gt;yes")+COUNTIFS(A9:A1000,"&lt;&gt;",E9:E1000,"yes",H9:H1000,"missing")</x:f>
        <x:v>0</x:v>
      </x:c>
      <x:c r="I4" s="101" t="inlineStr">
        <x:is>
          <x:t xml:space="preserve">Untested</x:t>
        </x:is>
      </x:c>
      <x:c r="J4" s="101" t="n">
        <x:f>COUNTIFS(A9:A1000,"&lt;&gt;",E9:E1000,"yes",F9:F1000,"&lt;&gt;yes")+COUNTIFS(A9:A1000,"&lt;&gt;",E9:E1000,"yes",F9:F1000,"yes",H9:H1000,"untested")</x:f>
        <x:v>8</x:v>
      </x:c>
      <x:c r="K4" s="101" t="n"/>
    </x:row>
    <x:row r="5">
      <x:c r="A5" s="101" t="n"/>
      <x:c r="B5" s="101" t="n"/>
      <x:c r="C5" s="101" t="n"/>
      <x:c r="D5" s="101" t="n"/>
      <x:c r="E5" s="101" t="n"/>
      <x:c r="F5" s="101" t="n"/>
      <x:c r="G5" s="101" t="n"/>
      <x:c r="H5" s="101" t="n"/>
      <x:c r="I5" s="101" t="n"/>
      <x:c r="J5" s="101" t="n"/>
      <x:c r="K5" s="101" t="n"/>
    </x:row>
    <x:row r="6">
      <x:c r="A6" s="101" t="inlineStr">
        <x:is>
          <x:t xml:space="preserve">Manual completion counts covered rows only; partial automation evidence does not count as a completed manual review.</x:t>
        </x:is>
      </x:c>
      <x:c r="B6" s="101" t="n"/>
      <x:c r="C6" s="101" t="n"/>
      <x:c r="D6" s="101" t="n"/>
      <x:c r="E6" s="101" t="n"/>
      <x:c r="F6" s="101" t="n"/>
      <x:c r="G6" s="101" t="n"/>
      <x:c r="H6" s="101" t="n"/>
      <x:c r="I6" s="101" t="n"/>
      <x:c r="J6" s="101" t="n"/>
      <x:c r="K6" s="101" t="n"/>
    </x:row>
    <x:row r="7">
      <x:c r="A7" s="101" t="n"/>
      <x:c r="B7" s="101" t="n"/>
      <x:c r="C7" s="101" t="n"/>
      <x:c r="D7" s="101" t="n"/>
      <x:c r="E7" s="101" t="n"/>
      <x:c r="F7" s="101" t="n"/>
      <x:c r="G7" s="101" t="n"/>
      <x:c r="H7" s="101" t="n"/>
      <x:c r="I7" s="101" t="n"/>
      <x:c r="J7" s="101" t="n"/>
      <x:c r="K7" s="101" t="n"/>
    </x:row>
    <x:row r="8" s="51" customFormat="1" ht="58" customHeight="1">
      <x:c r="A8" s="101" t="inlineStr">
        <x:is>
          <x:t xml:space="preserve">ID</x:t>
        </x:is>
      </x:c>
      <x:c r="B8" s="101" t="inlineStr">
        <x:is>
          <x:t xml:space="preserve">Area</x:t>
        </x:is>
      </x:c>
      <x:c r="C8" s="101" t="inlineStr">
        <x:is>
          <x:t xml:space="preserve">Part</x:t>
        </x:is>
      </x:c>
      <x:c r="D8" s="101" t="inlineStr">
        <x:is>
          <x:t xml:space="preserve">Test item</x:t>
        </x:is>
      </x:c>
      <x:c r="E8" s="101" t="inlineStr">
        <x:is>
          <x:t xml:space="preserve">Implemented</x:t>
        </x:is>
      </x:c>
      <x:c r="F8" s="101" t="inlineStr">
        <x:is>
          <x:t xml:space="preserve">Tested</x:t>
        </x:is>
      </x:c>
      <x:c r="G8" s="101" t="inlineStr">
        <x:is>
          <x:t xml:space="preserve">Result</x:t>
        </x:is>
      </x:c>
      <x:c r="H8" s="101" t="inlineStr">
        <x:is>
          <x:t xml:space="preserve">Coverage Status</x:t>
        </x:is>
      </x:c>
      <x:c r="I8" s="101" t="inlineStr">
        <x:is>
          <x:t xml:space="preserve">Currently covered by</x:t>
        </x:is>
      </x:c>
      <x:c r="J8" s="101" t="inlineStr">
        <x:is>
          <x:t xml:space="preserve">Missing / next step</x:t>
        </x:is>
      </x:c>
      <x:c r="K8" s="101" t="inlineStr">
        <x:is>
          <x:t xml:space="preserve">Score</x:t>
        </x:is>
      </x:c>
    </x:row>
    <x:row r="9" s="51" customFormat="1" ht="58" customHeight="1">
      <x:c r="A9" s="101" t="n">
        <x:v>1</x:v>
      </x:c>
      <x:c r="B9" s="101" t="inlineStr">
        <x:is>
          <x:t xml:space="preserve">Behavior</x:t>
        </x:is>
      </x:c>
      <x:c r="C9" s="101" t="inlineStr">
        <x:is>
          <x:t xml:space="preserve">Root</x:t>
        </x:is>
      </x:c>
      <x:c r="D9" s="101" t="inlineStr">
        <x:is>
          <x:t xml:space="preserve">Ready text and binary downloads</x:t>
        </x:is>
      </x:c>
      <x:c r="E9" s="101" t="inlineStr">
        <x:is>
          <x:t xml:space="preserve">yes</x:t>
        </x:is>
      </x:c>
      <x:c r="F9" s="101" t="inlineStr">
        <x:is>
          <x:t xml:space="preserve">no</x:t>
        </x:is>
      </x:c>
      <x:c r="G9" s="101" t="inlineStr">
        <x:is>
          <x:t xml:space="preserve">Independent manual review pending</x:t>
        </x:is>
      </x:c>
      <x:c r="H9" s="101" t="inlineStr">
        <x:is>
          <x:t xml:space="preserve">partial</x:t>
        </x:is>
      </x:c>
      <x:c r="I9" s="101" t="inlineStr">
        <x:is>
          <x:t xml:space="preserve">../test/browser/download-trigger.spec.ts</x:t>
        </x:is>
      </x:c>
      <x:c r="J9" s="101" t="inlineStr">
        <x:is>
          <x:t xml:space="preserve">Complete manual protocol</x:t>
        </x:is>
      </x:c>
      <x:c r="K9" s="101" t="n">
        <x:f>IF(AND(E9="yes",F9="yes",H9="covered"),1,IF(H9="partial",0.5,0))</x:f>
        <x:v>0.5</x:v>
      </x:c>
    </x:row>
    <x:row r="10" s="51" customFormat="1" ht="58" customHeight="1">
      <x:c r="A10" s="101" t="n">
        <x:v>2</x:v>
      </x:c>
      <x:c r="B10" s="101" t="inlineStr">
        <x:is>
          <x:t xml:space="preserve">Behavior</x:t>
        </x:is>
      </x:c>
      <x:c r="C10" s="101" t="inlineStr">
        <x:is>
          <x:t xml:space="preserve">Root</x:t>
        </x:is>
      </x:c>
      <x:c r="D10" s="101" t="inlineStr">
        <x:is>
          <x:t xml:space="preserve">Lazy asynchronous preparation and duplicate suppression</x:t>
        </x:is>
      </x:c>
      <x:c r="E10" s="101" t="inlineStr">
        <x:is>
          <x:t xml:space="preserve">yes</x:t>
        </x:is>
      </x:c>
      <x:c r="F10" s="101" t="inlineStr">
        <x:is>
          <x:t xml:space="preserve">no</x:t>
        </x:is>
      </x:c>
      <x:c r="G10" s="101" t="inlineStr">
        <x:is>
          <x:t xml:space="preserve">Independent manual review pending</x:t>
        </x:is>
      </x:c>
      <x:c r="H10" s="101" t="inlineStr">
        <x:is>
          <x:t xml:space="preserve">partial</x:t>
        </x:is>
      </x:c>
      <x:c r="I10" s="101" t="inlineStr">
        <x:is>
          <x:t xml:space="preserve">../test/browser/download-trigger.spec.ts</x:t>
        </x:is>
      </x:c>
      <x:c r="J10" s="101" t="inlineStr">
        <x:is>
          <x:t xml:space="preserve">Complete manual protocol</x:t>
        </x:is>
      </x:c>
      <x:c r="K10" s="101" t="n">
        <x:f>IF(AND(E10="yes",F10="yes",H10="covered"),1,IF(H10="partial",0.5,0))</x:f>
        <x:v>0.5</x:v>
      </x:c>
    </x:row>
    <x:row r="11" s="51" customFormat="1" ht="58" customHeight="1">
      <x:c r="A11" s="101" t="n">
        <x:v>3</x:v>
      </x:c>
      <x:c r="B11" s="101" t="inlineStr">
        <x:is>
          <x:t xml:space="preserve">Behavior</x:t>
        </x:is>
      </x:c>
      <x:c r="C11" s="101" t="inlineStr">
        <x:is>
          <x:t xml:space="preserve">Root</x:t>
        </x:is>
      </x:c>
      <x:c r="D11" s="101" t="inlineStr">
        <x:is>
          <x:t xml:space="preserve">Error recovery and prevented activation</x:t>
        </x:is>
      </x:c>
      <x:c r="E11" s="101" t="inlineStr">
        <x:is>
          <x:t xml:space="preserve">yes</x:t>
        </x:is>
      </x:c>
      <x:c r="F11" s="101" t="inlineStr">
        <x:is>
          <x:t xml:space="preserve">no</x:t>
        </x:is>
      </x:c>
      <x:c r="G11" s="101" t="inlineStr">
        <x:is>
          <x:t xml:space="preserve">Independent manual review pending</x:t>
        </x:is>
      </x:c>
      <x:c r="H11" s="101" t="inlineStr">
        <x:is>
          <x:t xml:space="preserve">partial</x:t>
        </x:is>
      </x:c>
      <x:c r="I11" s="101" t="inlineStr">
        <x:is>
          <x:t xml:space="preserve">../test/browser/download-trigger.spec.ts</x:t>
        </x:is>
      </x:c>
      <x:c r="J11" s="101" t="inlineStr">
        <x:is>
          <x:t xml:space="preserve">Complete manual protocol</x:t>
        </x:is>
      </x:c>
      <x:c r="K11" s="101" t="n">
        <x:f>IF(AND(E11="yes",F11="yes",H11="covered"),1,IF(H11="partial",0.5,0))</x:f>
        <x:v>0.5</x:v>
      </x:c>
    </x:row>
    <x:row r="12" s="51" customFormat="1" ht="58" customHeight="1">
      <x:c r="A12" s="101" t="n">
        <x:v>4</x:v>
      </x:c>
      <x:c r="B12" s="101" t="inlineStr">
        <x:is>
          <x:t xml:space="preserve">Behavior</x:t>
        </x:is>
      </x:c>
      <x:c r="C12" s="101" t="inlineStr">
        <x:is>
          <x:t xml:space="preserve">Root</x:t>
        </x:is>
      </x:c>
      <x:c r="D12" s="101" t="inlineStr">
        <x:is>
          <x:t xml:space="preserve">Unmount and disable cancel pending handoff</x:t>
        </x:is>
      </x:c>
      <x:c r="E12" s="101" t="inlineStr">
        <x:is>
          <x:t xml:space="preserve">yes</x:t>
        </x:is>
      </x:c>
      <x:c r="F12" s="101" t="inlineStr">
        <x:is>
          <x:t xml:space="preserve">no</x:t>
        </x:is>
      </x:c>
      <x:c r="G12" s="101" t="inlineStr">
        <x:is>
          <x:t xml:space="preserve">Independent manual review pending</x:t>
        </x:is>
      </x:c>
      <x:c r="H12" s="101" t="inlineStr">
        <x:is>
          <x:t xml:space="preserve">partial</x:t>
        </x:is>
      </x:c>
      <x:c r="I12" s="101" t="inlineStr">
        <x:is>
          <x:t xml:space="preserve">../test/browser/download-trigger.spec.ts</x:t>
        </x:is>
      </x:c>
      <x:c r="J12" s="101" t="inlineStr">
        <x:is>
          <x:t xml:space="preserve">Complete manual protocol</x:t>
        </x:is>
      </x:c>
      <x:c r="K12" s="101" t="n">
        <x:f>IF(AND(E12="yes",F12="yes",H12="covered"),1,IF(H12="partial",0.5,0))</x:f>
        <x:v>0.5</x:v>
      </x:c>
    </x:row>
    <x:row r="13" s="51" customFormat="1" ht="58" customHeight="1">
      <x:c r="A13" s="101" t="n">
        <x:v>5</x:v>
      </x:c>
      <x:c r="B13" s="101" t="inlineStr">
        <x:is>
          <x:t xml:space="preserve">Behavior</x:t>
        </x:is>
      </x:c>
      <x:c r="C13" s="101" t="inlineStr">
        <x:is>
          <x:t xml:space="preserve">Root</x:t>
        </x:is>
      </x:c>
      <x:c r="D13" s="101" t="inlineStr">
        <x:is>
          <x:t xml:space="preserve">Native button naming and keyboard activation</x:t>
        </x:is>
      </x:c>
      <x:c r="E13" s="101" t="inlineStr">
        <x:is>
          <x:t xml:space="preserve">yes</x:t>
        </x:is>
      </x:c>
      <x:c r="F13" s="101" t="inlineStr">
        <x:is>
          <x:t xml:space="preserve">no</x:t>
        </x:is>
      </x:c>
      <x:c r="G13" s="101" t="inlineStr">
        <x:is>
          <x:t xml:space="preserve">Independent manual review pending</x:t>
        </x:is>
      </x:c>
      <x:c r="H13" s="101" t="inlineStr">
        <x:is>
          <x:t xml:space="preserve">partial</x:t>
        </x:is>
      </x:c>
      <x:c r="I13" s="101" t="inlineStr">
        <x:is>
          <x:t xml:space="preserve">../test/browser/download-trigger.spec.ts</x:t>
        </x:is>
      </x:c>
      <x:c r="J13" s="101" t="inlineStr">
        <x:is>
          <x:t xml:space="preserve">Complete manual protocol</x:t>
        </x:is>
      </x:c>
      <x:c r="K13" s="101" t="n">
        <x:f>IF(AND(E13="yes",F13="yes",H13="covered"),1,IF(H13="partial",0.5,0))</x:f>
        <x:v>0.5</x:v>
      </x:c>
    </x:row>
    <x:row r="14" s="51" customFormat="1" ht="58" customHeight="1">
      <x:c r="A14" s="101" t="n">
        <x:v>6</x:v>
      </x:c>
      <x:c r="B14" s="101" t="inlineStr">
        <x:is>
          <x:t xml:space="preserve">Behavior</x:t>
        </x:is>
      </x:c>
      <x:c r="C14" s="101" t="inlineStr">
        <x:is>
          <x:t xml:space="preserve">Root</x:t>
        </x:is>
      </x:c>
      <x:c r="D14" s="101" t="inlineStr">
        <x:is>
          <x:t xml:space="preserve">Custom slot and prop pass-through</x:t>
        </x:is>
      </x:c>
      <x:c r="E14" s="101" t="inlineStr">
        <x:is>
          <x:t xml:space="preserve">yes</x:t>
        </x:is>
      </x:c>
      <x:c r="F14" s="101" t="inlineStr">
        <x:is>
          <x:t xml:space="preserve">no</x:t>
        </x:is>
      </x:c>
      <x:c r="G14" s="101" t="inlineStr">
        <x:is>
          <x:t xml:space="preserve">Independent manual review pending</x:t>
        </x:is>
      </x:c>
      <x:c r="H14" s="101" t="inlineStr">
        <x:is>
          <x:t xml:space="preserve">partial</x:t>
        </x:is>
      </x:c>
      <x:c r="I14" s="101" t="inlineStr">
        <x:is>
          <x:t xml:space="preserve">../test/browser/download-trigger.spec.ts</x:t>
        </x:is>
      </x:c>
      <x:c r="J14" s="101" t="inlineStr">
        <x:is>
          <x:t xml:space="preserve">Complete manual protocol</x:t>
        </x:is>
      </x:c>
      <x:c r="K14" s="101" t="n">
        <x:f>IF(AND(E14="yes",F14="yes",H14="covered"),1,IF(H14="partial",0.5,0))</x:f>
        <x:v>0.5</x:v>
      </x:c>
    </x:row>
    <x:row r="15" s="51" customFormat="1" ht="58" customHeight="1">
      <x:c r="A15" s="101" t="n">
        <x:v>7</x:v>
      </x:c>
      <x:c r="B15" s="101" t="inlineStr">
        <x:is>
          <x:t xml:space="preserve">Behavior</x:t>
        </x:is>
      </x:c>
      <x:c r="C15" s="101" t="inlineStr">
        <x:is>
          <x:t xml:space="preserve">Root</x:t>
        </x:is>
      </x:c>
      <x:c r="D15" s="101" t="inlineStr">
        <x:is>
          <x:t xml:space="preserve">Render composition and focus</x:t>
        </x:is>
      </x:c>
      <x:c r="E15" s="101" t="inlineStr">
        <x:is>
          <x:t xml:space="preserve">yes</x:t>
        </x:is>
      </x:c>
      <x:c r="F15" s="101" t="inlineStr">
        <x:is>
          <x:t xml:space="preserve">no</x:t>
        </x:is>
      </x:c>
      <x:c r="G15" s="101" t="inlineStr">
        <x:is>
          <x:t xml:space="preserve">Independent manual review pending</x:t>
        </x:is>
      </x:c>
      <x:c r="H15" s="101" t="inlineStr">
        <x:is>
          <x:t xml:space="preserve">partial</x:t>
        </x:is>
      </x:c>
      <x:c r="I15" s="101" t="inlineStr">
        <x:is>
          <x:t xml:space="preserve">../test/browser/download-trigger.spec.ts</x:t>
        </x:is>
      </x:c>
      <x:c r="J15" s="101" t="inlineStr">
        <x:is>
          <x:t xml:space="preserve">Complete manual protocol</x:t>
        </x:is>
      </x:c>
      <x:c r="K15" s="101" t="n">
        <x:f>IF(AND(E15="yes",F15="yes",H15="covered"),1,IF(H15="partial",0.5,0))</x:f>
        <x:v>0.5</x:v>
      </x:c>
    </x:row>
    <x:row r="16" s="51" customFormat="1" ht="58" customHeight="1">
      <x:c r="A16" s="101" t="n">
        <x:v>8</x:v>
      </x:c>
      <x:c r="B16" s="101" t="inlineStr">
        <x:is>
          <x:t xml:space="preserve">Behavior</x:t>
        </x:is>
      </x:c>
      <x:c r="C16" s="101" t="inlineStr">
        <x:is>
          <x:t xml:space="preserve">Root</x:t>
        </x:is>
      </x:c>
      <x:c r="D16" s="101" t="inlineStr">
        <x:is>
          <x:t xml:space="preserve">Physical browser download policy and assistive technology</x:t>
        </x:is>
      </x:c>
      <x:c r="E16" s="101" t="inlineStr">
        <x:is>
          <x:t xml:space="preserve">yes</x:t>
        </x:is>
      </x:c>
      <x:c r="F16" s="101" t="inlineStr">
        <x:is>
          <x:t xml:space="preserve">no</x:t>
        </x:is>
      </x:c>
      <x:c r="G16" s="101" t="inlineStr">
        <x:is>
          <x:t xml:space="preserve">Independent manual review pending</x:t>
        </x:is>
      </x:c>
      <x:c r="H16" s="101" t="inlineStr">
        <x:is>
          <x:t xml:space="preserve">partial</x:t>
        </x:is>
      </x:c>
      <x:c r="I16" s="101" t="inlineStr">
        <x:is>
          <x:t xml:space="preserve">../test/browser/download-trigger.spec.ts</x:t>
        </x:is>
      </x:c>
      <x:c r="J16" s="101" t="inlineStr">
        <x:is>
          <x:t xml:space="preserve">Complete manual protocol</x:t>
        </x:is>
      </x:c>
      <x:c r="K16" s="101" t="n">
        <x:f>IF(AND(E16="yes",F16="yes",H16="covered"),1,IF(H16="partial",0.5,0))</x:f>
        <x:v>0.5</x:v>
      </x:c>
    </x:row>
  </x:sheetData>
  <x:dataValidations count="1">
    <x:dataValidation type="list" allowBlank="0" showDropDown="0" showInputMessage="0" showErrorMessage="0" sqref="H9:H16">
      <x:formula1>"covered,partial,missing,untested"</x:formula1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baseColWidth="8" defaultRowHeight="15"/>
  <x:cols>
    <x:col min="1" max="1" width="8" style="51" customWidth="1"/>
    <x:col min="2" max="2" width="18" style="51" customWidth="1"/>
    <x:col min="3" max="3" width="22" style="51" customWidth="1"/>
    <x:col min="4" max="4" width="45" style="51" customWidth="1"/>
    <x:col min="5" max="5" width="16" style="51" customWidth="1"/>
    <x:col min="6" max="6" width="16" style="51" customWidth="1"/>
    <x:col min="7" max="7" width="26" style="51" customWidth="1"/>
    <x:col min="8" max="8" width="18" style="51" customWidth="1"/>
    <x:col min="9" max="9" width="48" style="51" customWidth="1"/>
    <x:col min="10" max="10" width="42" style="51" customWidth="1"/>
    <x:col min="11" max="11" width="10" style="51" customWidth="1"/>
  </x:cols>
  <x:sheetData>
    <x:row r="1" s="51" customFormat="1" ht="24" customHeight="1">
      <x:c r="A1" s="109" t="inlineStr">
        <x:is>
          <x:t xml:space="preserve">Calendar evidence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9" t="inlineStr">
        <x:is>
          <x:t xml:space="preserve">Date behavior and public integration. Physical-device and screen-reader review remains open.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3">
      <x:c r="A3" s="137" t="n"/>
      <x:c r="B3" s="137" t="n"/>
      <x:c r="C3" s="137" t="n"/>
      <x:c r="D3" s="137" t="n"/>
      <x:c r="E3" s="137" t="n"/>
      <x:c r="F3" s="137" t="n"/>
      <x:c r="G3" s="137" t="n"/>
      <x:c r="H3" s="137" t="n"/>
      <x:c r="I3" s="137" t="n"/>
      <x:c r="J3" s="137" t="n"/>
      <x:c r="K3" s="137" t="n"/>
    </x:row>
    <x:row r="4">
      <x:c r="A4" s="137" t="inlineStr">
        <x:is>
          <x:t xml:space="preserve">Coverage</x:t>
        </x:is>
      </x:c>
      <x:c r="B4" s="137" t="n">
        <x:f>IFERROR(D4/COUNTA(A9:A1000),0)</x:f>
        <x:v>0</x:v>
      </x:c>
      <x:c r="C4" s="137" t="inlineStr">
        <x:is>
          <x:t xml:space="preserve">Covered</x:t>
        </x:is>
      </x:c>
      <x:c r="D4" s="137" t="n">
        <x:f>COUNTIFS(A9:A1000,"&lt;&gt;",E9:E1000,"yes",F9:F1000,"yes",H9:H1000,"covered")</x:f>
        <x:v>0</x:v>
      </x:c>
      <x:c r="E4" s="137" t="inlineStr">
        <x:is>
          <x:t xml:space="preserve">Partial</x:t>
        </x:is>
      </x:c>
      <x:c r="F4" s="137" t="n">
        <x:f>COUNTIFS(A9:A1000,"&lt;&gt;",H9:H1000,"partial")</x:f>
        <x:v>8</x:v>
      </x:c>
      <x:c r="G4" s="137" t="inlineStr">
        <x:is>
          <x:t xml:space="preserve">Missing</x:t>
        </x:is>
      </x:c>
      <x:c r="H4" s="137" t="n">
        <x:f>COUNTIFS(A9:A1000,"&lt;&gt;",E9:E1000,"&lt;&gt;yes")+COUNTIFS(A9:A1000,"&lt;&gt;",E9:E1000,"yes",H9:H1000,"missing")</x:f>
        <x:v>0</x:v>
      </x:c>
      <x:c r="I4" s="137" t="inlineStr">
        <x:is>
          <x:t xml:space="preserve">Untested</x:t>
        </x:is>
      </x:c>
      <x:c r="J4" s="137" t="n">
        <x:f>COUNTIFS(A9:A1000,"&lt;&gt;",E9:E1000,"yes",F9:F1000,"&lt;&gt;yes")+COUNTIFS(A9:A1000,"&lt;&gt;",E9:E1000,"yes",F9:F1000,"yes",H9:H1000,"untested")</x:f>
        <x:v>8</x:v>
      </x:c>
      <x:c r="K4" s="137" t="n"/>
    </x:row>
    <x:row r="5">
      <x:c r="A5" s="137" t="n"/>
      <x:c r="B5" s="137" t="n"/>
      <x:c r="C5" s="137" t="n"/>
      <x:c r="D5" s="137" t="n"/>
      <x:c r="E5" s="137" t="n"/>
      <x:c r="F5" s="137" t="n"/>
      <x:c r="G5" s="137" t="n"/>
      <x:c r="H5" s="137" t="n"/>
      <x:c r="I5" s="137" t="n"/>
      <x:c r="J5" s="137" t="n"/>
      <x:c r="K5" s="137" t="n"/>
    </x:row>
    <x:row r="6" s="51" customFormat="1" ht="24" customHeight="1">
      <x:c r="A6" s="109" t="inlineStr">
        <x:is>
          <x:t xml:space="preserve">Manual completion counts covered rows only; partial automation evidence does not count as a completed manual review.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7">
      <x:c r="A7" s="137" t="n"/>
      <x:c r="B7" s="137" t="n"/>
      <x:c r="C7" s="137" t="n"/>
      <x:c r="D7" s="137" t="n"/>
      <x:c r="E7" s="137" t="n"/>
      <x:c r="F7" s="137" t="n"/>
      <x:c r="G7" s="137" t="n"/>
      <x:c r="H7" s="137" t="n"/>
      <x:c r="I7" s="137" t="n"/>
      <x:c r="J7" s="137" t="n"/>
      <x:c r="K7" s="137" t="n"/>
    </x:row>
    <x:row r="8">
      <x:c r="A8" s="137" t="inlineStr">
        <x:is>
          <x:t xml:space="preserve">ID</x:t>
        </x:is>
      </x:c>
      <x:c r="B8" s="137" t="inlineStr">
        <x:is>
          <x:t xml:space="preserve">Area</x:t>
        </x:is>
      </x:c>
      <x:c r="C8" s="137" t="inlineStr">
        <x:is>
          <x:t xml:space="preserve">Part</x:t>
        </x:is>
      </x:c>
      <x:c r="D8" s="137" t="inlineStr">
        <x:is>
          <x:t xml:space="preserve">Test item</x:t>
        </x:is>
      </x:c>
      <x:c r="E8" s="137" t="inlineStr">
        <x:is>
          <x:t xml:space="preserve">Implemented</x:t>
        </x:is>
      </x:c>
      <x:c r="F8" s="137" t="inlineStr">
        <x:is>
          <x:t xml:space="preserve">Tested</x:t>
        </x:is>
      </x:c>
      <x:c r="G8" s="137" t="inlineStr">
        <x:is>
          <x:t xml:space="preserve">Result</x:t>
        </x:is>
      </x:c>
      <x:c r="H8" s="137" t="inlineStr">
        <x:is>
          <x:t xml:space="preserve">Coverage Status</x:t>
        </x:is>
      </x:c>
      <x:c r="I8" s="137" t="inlineStr">
        <x:is>
          <x:t xml:space="preserve">Currently covered by</x:t>
        </x:is>
      </x:c>
      <x:c r="J8" s="137" t="inlineStr">
        <x:is>
          <x:t xml:space="preserve">Missing / next step</x:t>
        </x:is>
      </x:c>
      <x:c r="K8" s="137" t="inlineStr">
        <x:is>
          <x:t xml:space="preserve">Score</x:t>
        </x:is>
      </x:c>
    </x:row>
    <x:row r="9" s="51" customFormat="1" ht="48" customHeight="1">
      <x:c r="A9" s="137" t="n">
        <x:v>1</x:v>
      </x:c>
      <x:c r="B9" s="137" t="inlineStr">
        <x:is>
          <x:t xml:space="preserve">Root</x:t>
        </x:is>
      </x:c>
      <x:c r="C9" s="137" t="inlineStr">
        <x:is>
          <x:t xml:space="preserve">Root</x:t>
        </x:is>
      </x:c>
      <x:c r="D9" s="137" t="inlineStr">
        <x:is>
          <x:t xml:space="preserve">Visible selected value follows the active selection mode</x:t>
        </x:is>
      </x:c>
      <x:c r="E9" s="137" t="inlineStr">
        <x:is>
          <x:t xml:space="preserve">yes</x:t>
        </x:is>
      </x:c>
      <x:c r="F9" s="137" t="inlineStr">
        <x:is>
          <x:t xml:space="preserve">no</x:t>
        </x:is>
      </x:c>
      <x:c r="G9" s="137" t="inlineStr">
        <x:is>
          <x:t xml:space="preserve">manual pending</x:t>
        </x:is>
      </x:c>
      <x:c r="H9" s="137" t="inlineStr">
        <x:is>
          <x:t xml:space="preserve">partial</x:t>
        </x:is>
      </x:c>
      <x:c r="I9" s="137" t="inlineStr">
        <x:is>
          <x:t xml:space="preserve">playground/src/DateWorkbench.tsx</x:t>
        </x:is>
      </x:c>
      <x:c r="J9" s="137" t="inlineStr">
        <x:is>
          <x:t xml:space="preserve">Complete independent manual review</x:t>
        </x:is>
      </x:c>
      <x:c r="K9" s="137" t="n">
        <x:f>IF(AND(E9="yes",F9="yes",H9="covered"),1,IF(H9="partial",0.5,0))</x:f>
        <x:v>0.5</x:v>
      </x:c>
    </x:row>
    <x:row r="10" s="51" customFormat="1" ht="48" customHeight="1">
      <x:c r="A10" s="137" t="n">
        <x:v>2</x:v>
      </x:c>
      <x:c r="B10" s="137" t="inlineStr">
        <x:is>
          <x:t xml:space="preserve">Public parts</x:t>
        </x:is>
      </x:c>
      <x:c r="C10" s="137" t="inlineStr">
        <x:is>
          <x:t xml:space="preserve">Public parts</x:t>
        </x:is>
      </x:c>
      <x:c r="D10" s="137" t="inlineStr">
        <x:is>
          <x:t xml:space="preserve">Labels, native hosts and visible anatomy correspond</x:t>
        </x:is>
      </x:c>
      <x:c r="E10" s="137" t="inlineStr">
        <x:is>
          <x:t xml:space="preserve">yes</x:t>
        </x:is>
      </x:c>
      <x:c r="F10" s="137" t="inlineStr">
        <x:is>
          <x:t xml:space="preserve">no</x:t>
        </x:is>
      </x:c>
      <x:c r="G10" s="137" t="inlineStr">
        <x:is>
          <x:t xml:space="preserve">manual pending</x:t>
        </x:is>
      </x:c>
      <x:c r="H10" s="137" t="inlineStr">
        <x:is>
          <x:t xml:space="preserve">partial</x:t>
        </x:is>
      </x:c>
      <x:c r="I10" s="137" t="inlineStr">
        <x:is>
          <x:t xml:space="preserve">playground/src/DateWorkbench.tsx</x:t>
        </x:is>
      </x:c>
      <x:c r="J10" s="137" t="inlineStr">
        <x:is>
          <x:t xml:space="preserve">Complete independent manual review</x:t>
        </x:is>
      </x:c>
      <x:c r="K10" s="137" t="n">
        <x:f>IF(AND(E10="yes",F10="yes",H10="covered"),1,IF(H10="partial",0.5,0))</x:f>
        <x:v>0.5</x:v>
      </x:c>
    </x:row>
    <x:row r="11" s="51" customFormat="1" ht="48" customHeight="1">
      <x:c r="A11" s="137" t="n">
        <x:v>3</x:v>
      </x:c>
      <x:c r="B11" s="137" t="inlineStr">
        <x:is>
          <x:t xml:space="preserve">Interaction</x:t>
        </x:is>
      </x:c>
      <x:c r="C11" s="137" t="inlineStr">
        <x:is>
          <x:t xml:space="preserve">Interaction</x:t>
        </x:is>
      </x:c>
      <x:c r="D11" s="137" t="inlineStr">
        <x:is>
          <x:t xml:space="preserve">Keyboard editing or calendar grid movement</x:t>
        </x:is>
      </x:c>
      <x:c r="E11" s="137" t="inlineStr">
        <x:is>
          <x:t xml:space="preserve">yes</x:t>
        </x:is>
      </x:c>
      <x:c r="F11" s="137" t="inlineStr">
        <x:is>
          <x:t xml:space="preserve">no</x:t>
        </x:is>
      </x:c>
      <x:c r="G11" s="137" t="inlineStr">
        <x:is>
          <x:t xml:space="preserve">manual pending</x:t>
        </x:is>
      </x:c>
      <x:c r="H11" s="137" t="inlineStr">
        <x:is>
          <x:t xml:space="preserve">partial</x:t>
        </x:is>
      </x:c>
      <x:c r="I11" s="137" t="inlineStr">
        <x:is>
          <x:t xml:space="preserve">playground/src/DateWorkbench.tsx</x:t>
        </x:is>
      </x:c>
      <x:c r="J11" s="137" t="inlineStr">
        <x:is>
          <x:t xml:space="preserve">Complete independent manual review</x:t>
        </x:is>
      </x:c>
      <x:c r="K11" s="137" t="n">
        <x:f>IF(AND(E11="yes",F11="yes",H11="covered"),1,IF(H11="partial",0.5,0))</x:f>
        <x:v>0.5</x:v>
      </x:c>
    </x:row>
    <x:row r="12" s="51" customFormat="1" ht="48" customHeight="1">
      <x:c r="A12" s="137" t="n">
        <x:v>4</x:v>
      </x:c>
      <x:c r="B12" s="137" t="inlineStr">
        <x:is>
          <x:t xml:space="preserve">State</x:t>
        </x:is>
      </x:c>
      <x:c r="C12" s="137" t="inlineStr">
        <x:is>
          <x:t xml:space="preserve">State</x:t>
        </x:is>
      </x:c>
      <x:c r="D12" s="137" t="inlineStr">
        <x:is>
          <x:t xml:space="preserve">Range, multiple or date entry stays synchronized</x:t>
        </x:is>
      </x:c>
      <x:c r="E12" s="137" t="inlineStr">
        <x:is>
          <x:t xml:space="preserve">yes</x:t>
        </x:is>
      </x:c>
      <x:c r="F12" s="137" t="inlineStr">
        <x:is>
          <x:t xml:space="preserve">no</x:t>
        </x:is>
      </x:c>
      <x:c r="G12" s="137" t="inlineStr">
        <x:is>
          <x:t xml:space="preserve">manual pending</x:t>
        </x:is>
      </x:c>
      <x:c r="H12" s="137" t="inlineStr">
        <x:is>
          <x:t xml:space="preserve">partial</x:t>
        </x:is>
      </x:c>
      <x:c r="I12" s="137" t="inlineStr">
        <x:is>
          <x:t xml:space="preserve">playground/src/DateEdgeCases.tsx</x:t>
        </x:is>
      </x:c>
      <x:c r="J12" s="137" t="inlineStr">
        <x:is>
          <x:t xml:space="preserve">Complete independent manual review</x:t>
        </x:is>
      </x:c>
      <x:c r="K12" s="137" t="n">
        <x:f>IF(AND(E12="yes",F12="yes",H12="covered"),1,IF(H12="partial",0.5,0))</x:f>
        <x:v>0.5</x:v>
      </x:c>
    </x:row>
    <x:row r="13" s="51" customFormat="1" ht="48" customHeight="1">
      <x:c r="A13" s="137" t="n">
        <x:v>5</x:v>
      </x:c>
      <x:c r="B13" s="137" t="inlineStr">
        <x:is>
          <x:t xml:space="preserve">Presentation</x:t>
        </x:is>
      </x:c>
      <x:c r="C13" s="137" t="inlineStr">
        <x:is>
          <x:t xml:space="preserve">Presentation</x:t>
        </x:is>
      </x:c>
      <x:c r="D13" s="137" t="inlineStr">
        <x:is>
          <x:t xml:space="preserve">Localized digits and right-to-left navigation</x:t>
        </x:is>
      </x:c>
      <x:c r="E13" s="137" t="inlineStr">
        <x:is>
          <x:t xml:space="preserve">yes</x:t>
        </x:is>
      </x:c>
      <x:c r="F13" s="137" t="inlineStr">
        <x:is>
          <x:t xml:space="preserve">no</x:t>
        </x:is>
      </x:c>
      <x:c r="G13" s="137" t="inlineStr">
        <x:is>
          <x:t xml:space="preserve">manual pending</x:t>
        </x:is>
      </x:c>
      <x:c r="H13" s="137" t="inlineStr">
        <x:is>
          <x:t xml:space="preserve">partial</x:t>
        </x:is>
      </x:c>
      <x:c r="I13" s="137" t="inlineStr">
        <x:is>
          <x:t xml:space="preserve">playground/src/DateEdgeCases.tsx</x:t>
        </x:is>
      </x:c>
      <x:c r="J13" s="137" t="inlineStr">
        <x:is>
          <x:t xml:space="preserve">Complete independent manual review</x:t>
        </x:is>
      </x:c>
      <x:c r="K13" s="137" t="n">
        <x:f>IF(AND(E13="yes",F13="yes",H13="covered"),1,IF(H13="partial",0.5,0))</x:f>
        <x:v>0.5</x:v>
      </x:c>
    </x:row>
    <x:row r="14" s="51" customFormat="1" ht="48" customHeight="1">
      <x:c r="A14" s="137" t="n">
        <x:v>6</x:v>
      </x:c>
      <x:c r="B14" s="137" t="inlineStr">
        <x:is>
          <x:t xml:space="preserve">Forms</x:t>
        </x:is>
      </x:c>
      <x:c r="C14" s="137" t="inlineStr">
        <x:is>
          <x:t xml:space="preserve">Forms</x:t>
        </x:is>
      </x:c>
      <x:c r="D14" s="137" t="inlineStr">
        <x:is>
          <x:t xml:space="preserve">Applicable required, disabled and reset examples</x:t>
        </x:is>
      </x:c>
      <x:c r="E14" s="137" t="inlineStr">
        <x:is>
          <x:t xml:space="preserve">yes</x:t>
        </x:is>
      </x:c>
      <x:c r="F14" s="137" t="inlineStr">
        <x:is>
          <x:t xml:space="preserve">no</x:t>
        </x:is>
      </x:c>
      <x:c r="G14" s="137" t="inlineStr">
        <x:is>
          <x:t xml:space="preserve">manual pending</x:t>
        </x:is>
      </x:c>
      <x:c r="H14" s="137" t="inlineStr">
        <x:is>
          <x:t xml:space="preserve">partial</x:t>
        </x:is>
      </x:c>
      <x:c r="I14" s="137" t="inlineStr">
        <x:is>
          <x:t xml:space="preserve">playground/src/DateEdgeCases.tsx</x:t>
        </x:is>
      </x:c>
      <x:c r="J14" s="137" t="inlineStr">
        <x:is>
          <x:t xml:space="preserve">Complete independent manual review</x:t>
        </x:is>
      </x:c>
      <x:c r="K14" s="137" t="n">
        <x:f>IF(AND(E14="yes",F14="yes",H14="covered"),1,IF(H14="partial",0.5,0))</x:f>
        <x:v>0.5</x:v>
      </x:c>
    </x:row>
    <x:row r="15" s="51" customFormat="1" ht="48" customHeight="1">
      <x:c r="A15" s="137" t="n">
        <x:v>7</x:v>
      </x:c>
      <x:c r="B15" s="137" t="inlineStr">
        <x:is>
          <x:t xml:space="preserve">Source</x:t>
        </x:is>
      </x:c>
      <x:c r="C15" s="137" t="inlineStr">
        <x:is>
          <x:t xml:space="preserve">Source</x:t>
        </x:is>
      </x:c>
      <x:c r="D15" s="137" t="inlineStr">
        <x:is>
          <x:t xml:space="preserve">Workbench source viewer shows the displayed composition</x:t>
        </x:is>
      </x:c>
      <x:c r="E15" s="137" t="inlineStr">
        <x:is>
          <x:t xml:space="preserve">yes</x:t>
        </x:is>
      </x:c>
      <x:c r="F15" s="137" t="inlineStr">
        <x:is>
          <x:t xml:space="preserve">no</x:t>
        </x:is>
      </x:c>
      <x:c r="G15" s="137" t="inlineStr">
        <x:is>
          <x:t xml:space="preserve">manual pending</x:t>
        </x:is>
      </x:c>
      <x:c r="H15" s="137" t="inlineStr">
        <x:is>
          <x:t xml:space="preserve">partial</x:t>
        </x:is>
      </x:c>
      <x:c r="I15" s="137" t="inlineStr">
        <x:is>
          <x:t xml:space="preserve">playground/src/DateWorkbench.tsx</x:t>
        </x:is>
      </x:c>
      <x:c r="J15" s="137" t="inlineStr">
        <x:is>
          <x:t xml:space="preserve">Complete independent manual review</x:t>
        </x:is>
      </x:c>
      <x:c r="K15" s="137" t="n">
        <x:f>IF(AND(E15="yes",F15="yes",H15="covered"),1,IF(H15="partial",0.5,0))</x:f>
        <x:v>0.5</x:v>
      </x:c>
    </x:row>
    <x:row r="16" s="51" customFormat="1" ht="48" customHeight="1">
      <x:c r="A16" s="137" t="n">
        <x:v>8</x:v>
      </x:c>
      <x:c r="B16" s="137" t="inlineStr">
        <x:is>
          <x:t xml:space="preserve">Manual</x:t>
        </x:is>
      </x:c>
      <x:c r="C16" s="137" t="inlineStr">
        <x:is>
          <x:t xml:space="preserve">Manual</x:t>
        </x:is>
      </x:c>
      <x:c r="D16" s="137" t="inlineStr">
        <x:is>
          <x:t xml:space="preserve">Real AT, browser zoom and physical touch</x:t>
        </x:is>
      </x:c>
      <x:c r="E16" s="137" t="inlineStr">
        <x:is>
          <x:t xml:space="preserve">yes</x:t>
        </x:is>
      </x:c>
      <x:c r="F16" s="137" t="inlineStr">
        <x:is>
          <x:t xml:space="preserve">no</x:t>
        </x:is>
      </x:c>
      <x:c r="G16" s="137" t="inlineStr">
        <x:is>
          <x:t xml:space="preserve">manual pending</x:t>
        </x:is>
      </x:c>
      <x:c r="H16" s="137" t="inlineStr">
        <x:is>
          <x:t xml:space="preserve">partial</x:t>
        </x:is>
      </x:c>
      <x:c r="I16" s="137" t="inlineStr">
        <x:is>
          <x:t xml:space="preserve">playground/manual-tests/calendar.md</x:t>
        </x:is>
      </x:c>
      <x:c r="J16" s="137" t="inlineStr">
        <x:is>
          <x:t xml:space="preserve">Complete independent manual review</x:t>
        </x:is>
      </x:c>
      <x:c r="K16" s="137" t="n">
        <x:f>IF(AND(E16="yes",F16="yes",H16="covered"),1,IF(H16="partial",0.5,0))</x:f>
        <x:v>0.5</x:v>
      </x:c>
    </x:row>
    <x:row r="17">
      <x:c r="A17" t="n"/>
      <x:c r="B17" t="n"/>
      <x:c r="C17" t="n"/>
      <x:c r="D17" t="n"/>
      <x:c r="E17" t="n"/>
      <x:c r="F17" t="n"/>
      <x:c r="G17" t="n"/>
      <x:c r="H17" t="n"/>
      <x:c r="I17" t="n"/>
      <x:c r="J17" t="n"/>
      <x:c r="K17" t="n"/>
    </x:row>
    <x:row r="18">
      <x:c r="A18" t="n"/>
      <x:c r="B18" t="n"/>
      <x:c r="C18" t="n"/>
      <x:c r="D18" t="n"/>
      <x:c r="E18" t="n"/>
      <x:c r="F18" t="n"/>
      <x:c r="G18" t="n"/>
      <x:c r="H18" t="n"/>
      <x:c r="I18" t="n"/>
      <x:c r="J18" t="n"/>
      <x:c r="K18" t="n"/>
    </x:row>
    <x:row r="19">
      <x:c r="A19" t="n"/>
      <x:c r="B19" t="n"/>
      <x:c r="C19" t="n"/>
      <x:c r="D19" t="n"/>
      <x:c r="E19" t="n"/>
      <x:c r="F19" t="n"/>
      <x:c r="G19" t="n"/>
      <x:c r="H19" t="n"/>
      <x:c r="I19" t="n"/>
      <x:c r="J19" t="n"/>
      <x:c r="K19" t="n"/>
    </x:row>
    <x:row r="20">
      <x:c r="A20" t="n"/>
      <x:c r="B20" t="n"/>
      <x:c r="C20" t="n"/>
      <x:c r="D20" t="n"/>
      <x:c r="E20" t="n"/>
      <x:c r="F20" t="n"/>
      <x:c r="G20" t="n"/>
      <x:c r="H20" t="n"/>
      <x:c r="I20" t="n"/>
      <x:c r="J20" t="n"/>
      <x:c r="K20" t="n"/>
    </x:row>
    <x:row r="21">
      <x:c r="A21" t="n"/>
      <x:c r="B21" t="n"/>
      <x:c r="C21" t="n"/>
      <x:c r="D21" t="n"/>
      <x:c r="E21" t="n"/>
      <x:c r="F21" t="n"/>
      <x:c r="G21" t="n"/>
      <x:c r="H21" t="n"/>
      <x:c r="I21" t="n"/>
      <x:c r="J21" t="n"/>
      <x:c r="K21" t="n"/>
    </x:row>
    <x:row r="22">
      <x:c r="A22" t="n"/>
      <x:c r="B22" t="n"/>
      <x:c r="C22" t="n"/>
      <x:c r="D22" t="n"/>
      <x:c r="E22" t="n"/>
      <x:c r="F22" t="n"/>
      <x:c r="G22" t="n"/>
      <x:c r="H22" t="n"/>
      <x:c r="I22" t="n"/>
      <x:c r="J22" t="n"/>
      <x:c r="K22" t="n"/>
    </x:row>
    <x:row r="23">
      <x:c r="A23" t="n"/>
      <x:c r="B23" t="n"/>
      <x:c r="C23" t="n"/>
      <x:c r="D23" t="n"/>
      <x:c r="E23" t="n"/>
      <x:c r="F23" t="n"/>
      <x:c r="G23" t="n"/>
      <x:c r="H23" t="n"/>
      <x:c r="I23" t="n"/>
      <x:c r="J23" t="n"/>
      <x:c r="K23" t="n"/>
    </x:row>
    <x:row r="24">
      <x:c r="A24" t="n"/>
      <x:c r="B24" t="n"/>
      <x:c r="C24" t="n"/>
      <x:c r="D24" t="n"/>
      <x:c r="E24" t="n"/>
      <x:c r="F24" t="n"/>
      <x:c r="G24" t="n"/>
      <x:c r="H24" t="n"/>
      <x:c r="I24" t="n"/>
      <x:c r="J24" t="n"/>
      <x:c r="K24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baseColWidth="8" defaultRowHeight="15"/>
  <x:cols>
    <x:col min="1" max="1" width="8" style="51" customWidth="1"/>
    <x:col min="2" max="2" width="18" style="51" customWidth="1"/>
    <x:col min="3" max="3" width="22" style="51" customWidth="1"/>
    <x:col min="4" max="4" width="45" style="51" customWidth="1"/>
    <x:col min="5" max="5" width="16" style="51" customWidth="1"/>
    <x:col min="6" max="6" width="16" style="51" customWidth="1"/>
    <x:col min="7" max="7" width="26" style="51" customWidth="1"/>
    <x:col min="8" max="8" width="18" style="51" customWidth="1"/>
    <x:col min="9" max="9" width="48" style="51" customWidth="1"/>
    <x:col min="10" max="10" width="42" style="51" customWidth="1"/>
    <x:col min="11" max="11" width="10" style="51" customWidth="1"/>
  </x:cols>
  <x:sheetData>
    <x:row r="1" s="51" customFormat="1" ht="24" customHeight="1">
      <x:c r="A1" s="109" t="inlineStr">
        <x:is>
          <x:t xml:space="preserve">DateInput evidence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9" t="inlineStr">
        <x:is>
          <x:t xml:space="preserve">Date behavior and public integration. Physical-device and screen-reader review remains open.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3">
      <x:c r="A3" s="137" t="n"/>
      <x:c r="B3" s="137" t="n"/>
      <x:c r="C3" s="137" t="n"/>
      <x:c r="D3" s="137" t="n"/>
      <x:c r="E3" s="137" t="n"/>
      <x:c r="F3" s="137" t="n"/>
      <x:c r="G3" s="137" t="n"/>
      <x:c r="H3" s="137" t="n"/>
      <x:c r="I3" s="137" t="n"/>
      <x:c r="J3" s="137" t="n"/>
      <x:c r="K3" s="137" t="n"/>
    </x:row>
    <x:row r="4">
      <x:c r="A4" s="137" t="inlineStr">
        <x:is>
          <x:t xml:space="preserve">Coverage</x:t>
        </x:is>
      </x:c>
      <x:c r="B4" s="137" t="n">
        <x:f>IFERROR(D4/COUNTA(A9:A1000),0)</x:f>
        <x:v>0</x:v>
      </x:c>
      <x:c r="C4" s="137" t="inlineStr">
        <x:is>
          <x:t xml:space="preserve">Covered</x:t>
        </x:is>
      </x:c>
      <x:c r="D4" s="137" t="n">
        <x:f>COUNTIFS(A9:A1000,"&lt;&gt;",E9:E1000,"yes",F9:F1000,"yes",H9:H1000,"covered")</x:f>
        <x:v>0</x:v>
      </x:c>
      <x:c r="E4" s="137" t="inlineStr">
        <x:is>
          <x:t xml:space="preserve">Partial</x:t>
        </x:is>
      </x:c>
      <x:c r="F4" s="137" t="n">
        <x:f>COUNTIFS(A9:A1000,"&lt;&gt;",H9:H1000,"partial")</x:f>
        <x:v>8</x:v>
      </x:c>
      <x:c r="G4" s="137" t="inlineStr">
        <x:is>
          <x:t xml:space="preserve">Missing</x:t>
        </x:is>
      </x:c>
      <x:c r="H4" s="137" t="n">
        <x:f>COUNTIFS(A9:A1000,"&lt;&gt;",E9:E1000,"&lt;&gt;yes")+COUNTIFS(A9:A1000,"&lt;&gt;",E9:E1000,"yes",H9:H1000,"missing")</x:f>
        <x:v>0</x:v>
      </x:c>
      <x:c r="I4" s="137" t="inlineStr">
        <x:is>
          <x:t xml:space="preserve">Untested</x:t>
        </x:is>
      </x:c>
      <x:c r="J4" s="137" t="n">
        <x:f>COUNTIFS(A9:A1000,"&lt;&gt;",E9:E1000,"yes",F9:F1000,"&lt;&gt;yes")+COUNTIFS(A9:A1000,"&lt;&gt;",E9:E1000,"yes",F9:F1000,"yes",H9:H1000,"untested")</x:f>
        <x:v>8</x:v>
      </x:c>
      <x:c r="K4" s="137" t="n"/>
    </x:row>
    <x:row r="5">
      <x:c r="A5" s="137" t="n"/>
      <x:c r="B5" s="137" t="n"/>
      <x:c r="C5" s="137" t="n"/>
      <x:c r="D5" s="137" t="n"/>
      <x:c r="E5" s="137" t="n"/>
      <x:c r="F5" s="137" t="n"/>
      <x:c r="G5" s="137" t="n"/>
      <x:c r="H5" s="137" t="n"/>
      <x:c r="I5" s="137" t="n"/>
      <x:c r="J5" s="137" t="n"/>
      <x:c r="K5" s="137" t="n"/>
    </x:row>
    <x:row r="6" s="51" customFormat="1" ht="24" customHeight="1">
      <x:c r="A6" s="109" t="inlineStr">
        <x:is>
          <x:t xml:space="preserve">Manual completion counts covered rows only; partial automation evidence does not count as a completed manual review.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7">
      <x:c r="A7" s="137" t="n"/>
      <x:c r="B7" s="137" t="n"/>
      <x:c r="C7" s="137" t="n"/>
      <x:c r="D7" s="137" t="n"/>
      <x:c r="E7" s="137" t="n"/>
      <x:c r="F7" s="137" t="n"/>
      <x:c r="G7" s="137" t="n"/>
      <x:c r="H7" s="137" t="n"/>
      <x:c r="I7" s="137" t="n"/>
      <x:c r="J7" s="137" t="n"/>
      <x:c r="K7" s="137" t="n"/>
    </x:row>
    <x:row r="8">
      <x:c r="A8" s="137" t="inlineStr">
        <x:is>
          <x:t xml:space="preserve">ID</x:t>
        </x:is>
      </x:c>
      <x:c r="B8" s="137" t="inlineStr">
        <x:is>
          <x:t xml:space="preserve">Area</x:t>
        </x:is>
      </x:c>
      <x:c r="C8" s="137" t="inlineStr">
        <x:is>
          <x:t xml:space="preserve">Part</x:t>
        </x:is>
      </x:c>
      <x:c r="D8" s="137" t="inlineStr">
        <x:is>
          <x:t xml:space="preserve">Test item</x:t>
        </x:is>
      </x:c>
      <x:c r="E8" s="137" t="inlineStr">
        <x:is>
          <x:t xml:space="preserve">Implemented</x:t>
        </x:is>
      </x:c>
      <x:c r="F8" s="137" t="inlineStr">
        <x:is>
          <x:t xml:space="preserve">Tested</x:t>
        </x:is>
      </x:c>
      <x:c r="G8" s="137" t="inlineStr">
        <x:is>
          <x:t xml:space="preserve">Result</x:t>
        </x:is>
      </x:c>
      <x:c r="H8" s="137" t="inlineStr">
        <x:is>
          <x:t xml:space="preserve">Coverage Status</x:t>
        </x:is>
      </x:c>
      <x:c r="I8" s="137" t="inlineStr">
        <x:is>
          <x:t xml:space="preserve">Currently covered by</x:t>
        </x:is>
      </x:c>
      <x:c r="J8" s="137" t="inlineStr">
        <x:is>
          <x:t xml:space="preserve">Missing / next step</x:t>
        </x:is>
      </x:c>
      <x:c r="K8" s="137" t="inlineStr">
        <x:is>
          <x:t xml:space="preserve">Score</x:t>
        </x:is>
      </x:c>
    </x:row>
    <x:row r="9" s="51" customFormat="1" ht="48" customHeight="1">
      <x:c r="A9" s="137" t="n">
        <x:v>1</x:v>
      </x:c>
      <x:c r="B9" s="137" t="inlineStr">
        <x:is>
          <x:t xml:space="preserve">Root</x:t>
        </x:is>
      </x:c>
      <x:c r="C9" s="137" t="inlineStr">
        <x:is>
          <x:t xml:space="preserve">Root</x:t>
        </x:is>
      </x:c>
      <x:c r="D9" s="137" t="inlineStr">
        <x:is>
          <x:t xml:space="preserve">Visible selected value follows the active selection mode</x:t>
        </x:is>
      </x:c>
      <x:c r="E9" s="137" t="inlineStr">
        <x:is>
          <x:t xml:space="preserve">yes</x:t>
        </x:is>
      </x:c>
      <x:c r="F9" s="137" t="inlineStr">
        <x:is>
          <x:t xml:space="preserve">no</x:t>
        </x:is>
      </x:c>
      <x:c r="G9" s="137" t="inlineStr">
        <x:is>
          <x:t xml:space="preserve">manual pending</x:t>
        </x:is>
      </x:c>
      <x:c r="H9" s="137" t="inlineStr">
        <x:is>
          <x:t xml:space="preserve">partial</x:t>
        </x:is>
      </x:c>
      <x:c r="I9" s="137" t="inlineStr">
        <x:is>
          <x:t xml:space="preserve">playground/src/DateWorkbench.tsx</x:t>
        </x:is>
      </x:c>
      <x:c r="J9" s="137" t="inlineStr">
        <x:is>
          <x:t xml:space="preserve">Complete independent manual review</x:t>
        </x:is>
      </x:c>
      <x:c r="K9" s="137" t="n">
        <x:f>IF(AND(E9="yes",F9="yes",H9="covered"),1,IF(H9="partial",0.5,0))</x:f>
        <x:v>0.5</x:v>
      </x:c>
    </x:row>
    <x:row r="10" s="51" customFormat="1" ht="48" customHeight="1">
      <x:c r="A10" s="137" t="n">
        <x:v>2</x:v>
      </x:c>
      <x:c r="B10" s="137" t="inlineStr">
        <x:is>
          <x:t xml:space="preserve">Public parts</x:t>
        </x:is>
      </x:c>
      <x:c r="C10" s="137" t="inlineStr">
        <x:is>
          <x:t xml:space="preserve">Public parts</x:t>
        </x:is>
      </x:c>
      <x:c r="D10" s="137" t="inlineStr">
        <x:is>
          <x:t xml:space="preserve">Labels, native hosts and visible anatomy correspond</x:t>
        </x:is>
      </x:c>
      <x:c r="E10" s="137" t="inlineStr">
        <x:is>
          <x:t xml:space="preserve">yes</x:t>
        </x:is>
      </x:c>
      <x:c r="F10" s="137" t="inlineStr">
        <x:is>
          <x:t xml:space="preserve">no</x:t>
        </x:is>
      </x:c>
      <x:c r="G10" s="137" t="inlineStr">
        <x:is>
          <x:t xml:space="preserve">manual pending</x:t>
        </x:is>
      </x:c>
      <x:c r="H10" s="137" t="inlineStr">
        <x:is>
          <x:t xml:space="preserve">partial</x:t>
        </x:is>
      </x:c>
      <x:c r="I10" s="137" t="inlineStr">
        <x:is>
          <x:t xml:space="preserve">playground/src/DateWorkbench.tsx</x:t>
        </x:is>
      </x:c>
      <x:c r="J10" s="137" t="inlineStr">
        <x:is>
          <x:t xml:space="preserve">Complete independent manual review</x:t>
        </x:is>
      </x:c>
      <x:c r="K10" s="137" t="n">
        <x:f>IF(AND(E10="yes",F10="yes",H10="covered"),1,IF(H10="partial",0.5,0))</x:f>
        <x:v>0.5</x:v>
      </x:c>
    </x:row>
    <x:row r="11" s="51" customFormat="1" ht="48" customHeight="1">
      <x:c r="A11" s="137" t="n">
        <x:v>3</x:v>
      </x:c>
      <x:c r="B11" s="137" t="inlineStr">
        <x:is>
          <x:t xml:space="preserve">Interaction</x:t>
        </x:is>
      </x:c>
      <x:c r="C11" s="137" t="inlineStr">
        <x:is>
          <x:t xml:space="preserve">Interaction</x:t>
        </x:is>
      </x:c>
      <x:c r="D11" s="137" t="inlineStr">
        <x:is>
          <x:t xml:space="preserve">Keyboard editing or calendar grid movement</x:t>
        </x:is>
      </x:c>
      <x:c r="E11" s="137" t="inlineStr">
        <x:is>
          <x:t xml:space="preserve">yes</x:t>
        </x:is>
      </x:c>
      <x:c r="F11" s="137" t="inlineStr">
        <x:is>
          <x:t xml:space="preserve">no</x:t>
        </x:is>
      </x:c>
      <x:c r="G11" s="137" t="inlineStr">
        <x:is>
          <x:t xml:space="preserve">manual pending</x:t>
        </x:is>
      </x:c>
      <x:c r="H11" s="137" t="inlineStr">
        <x:is>
          <x:t xml:space="preserve">partial</x:t>
        </x:is>
      </x:c>
      <x:c r="I11" s="137" t="inlineStr">
        <x:is>
          <x:t xml:space="preserve">playground/src/DateWorkbench.tsx</x:t>
        </x:is>
      </x:c>
      <x:c r="J11" s="137" t="inlineStr">
        <x:is>
          <x:t xml:space="preserve">Complete independent manual review</x:t>
        </x:is>
      </x:c>
      <x:c r="K11" s="137" t="n">
        <x:f>IF(AND(E11="yes",F11="yes",H11="covered"),1,IF(H11="partial",0.5,0))</x:f>
        <x:v>0.5</x:v>
      </x:c>
    </x:row>
    <x:row r="12" s="51" customFormat="1" ht="48" customHeight="1">
      <x:c r="A12" s="137" t="n">
        <x:v>4</x:v>
      </x:c>
      <x:c r="B12" s="137" t="inlineStr">
        <x:is>
          <x:t xml:space="preserve">State</x:t>
        </x:is>
      </x:c>
      <x:c r="C12" s="137" t="inlineStr">
        <x:is>
          <x:t xml:space="preserve">State</x:t>
        </x:is>
      </x:c>
      <x:c r="D12" s="137" t="inlineStr">
        <x:is>
          <x:t xml:space="preserve">Range, multiple or date entry stays synchronized</x:t>
        </x:is>
      </x:c>
      <x:c r="E12" s="137" t="inlineStr">
        <x:is>
          <x:t xml:space="preserve">yes</x:t>
        </x:is>
      </x:c>
      <x:c r="F12" s="137" t="inlineStr">
        <x:is>
          <x:t xml:space="preserve">no</x:t>
        </x:is>
      </x:c>
      <x:c r="G12" s="137" t="inlineStr">
        <x:is>
          <x:t xml:space="preserve">manual pending</x:t>
        </x:is>
      </x:c>
      <x:c r="H12" s="137" t="inlineStr">
        <x:is>
          <x:t xml:space="preserve">partial</x:t>
        </x:is>
      </x:c>
      <x:c r="I12" s="137" t="inlineStr">
        <x:is>
          <x:t xml:space="preserve">playground/src/DateEdgeCases.tsx</x:t>
        </x:is>
      </x:c>
      <x:c r="J12" s="137" t="inlineStr">
        <x:is>
          <x:t xml:space="preserve">Complete independent manual review</x:t>
        </x:is>
      </x:c>
      <x:c r="K12" s="137" t="n">
        <x:f>IF(AND(E12="yes",F12="yes",H12="covered"),1,IF(H12="partial",0.5,0))</x:f>
        <x:v>0.5</x:v>
      </x:c>
    </x:row>
    <x:row r="13" s="51" customFormat="1" ht="48" customHeight="1">
      <x:c r="A13" s="137" t="n">
        <x:v>5</x:v>
      </x:c>
      <x:c r="B13" s="137" t="inlineStr">
        <x:is>
          <x:t xml:space="preserve">Presentation</x:t>
        </x:is>
      </x:c>
      <x:c r="C13" s="137" t="inlineStr">
        <x:is>
          <x:t xml:space="preserve">Presentation</x:t>
        </x:is>
      </x:c>
      <x:c r="D13" s="137" t="inlineStr">
        <x:is>
          <x:t xml:space="preserve">Localized digits and right-to-left navigation</x:t>
        </x:is>
      </x:c>
      <x:c r="E13" s="137" t="inlineStr">
        <x:is>
          <x:t xml:space="preserve">yes</x:t>
        </x:is>
      </x:c>
      <x:c r="F13" s="137" t="inlineStr">
        <x:is>
          <x:t xml:space="preserve">no</x:t>
        </x:is>
      </x:c>
      <x:c r="G13" s="137" t="inlineStr">
        <x:is>
          <x:t xml:space="preserve">manual pending</x:t>
        </x:is>
      </x:c>
      <x:c r="H13" s="137" t="inlineStr">
        <x:is>
          <x:t xml:space="preserve">partial</x:t>
        </x:is>
      </x:c>
      <x:c r="I13" s="137" t="inlineStr">
        <x:is>
          <x:t xml:space="preserve">playground/src/DateEdgeCases.tsx</x:t>
        </x:is>
      </x:c>
      <x:c r="J13" s="137" t="inlineStr">
        <x:is>
          <x:t xml:space="preserve">Complete independent manual review</x:t>
        </x:is>
      </x:c>
      <x:c r="K13" s="137" t="n">
        <x:f>IF(AND(E13="yes",F13="yes",H13="covered"),1,IF(H13="partial",0.5,0))</x:f>
        <x:v>0.5</x:v>
      </x:c>
    </x:row>
    <x:row r="14" s="51" customFormat="1" ht="48" customHeight="1">
      <x:c r="A14" s="137" t="n">
        <x:v>6</x:v>
      </x:c>
      <x:c r="B14" s="137" t="inlineStr">
        <x:is>
          <x:t xml:space="preserve">Forms</x:t>
        </x:is>
      </x:c>
      <x:c r="C14" s="137" t="inlineStr">
        <x:is>
          <x:t xml:space="preserve">Forms</x:t>
        </x:is>
      </x:c>
      <x:c r="D14" s="137" t="inlineStr">
        <x:is>
          <x:t xml:space="preserve">Applicable required, disabled and reset examples</x:t>
        </x:is>
      </x:c>
      <x:c r="E14" s="137" t="inlineStr">
        <x:is>
          <x:t xml:space="preserve">yes</x:t>
        </x:is>
      </x:c>
      <x:c r="F14" s="137" t="inlineStr">
        <x:is>
          <x:t xml:space="preserve">no</x:t>
        </x:is>
      </x:c>
      <x:c r="G14" s="137" t="inlineStr">
        <x:is>
          <x:t xml:space="preserve">manual pending</x:t>
        </x:is>
      </x:c>
      <x:c r="H14" s="137" t="inlineStr">
        <x:is>
          <x:t xml:space="preserve">partial</x:t>
        </x:is>
      </x:c>
      <x:c r="I14" s="137" t="inlineStr">
        <x:is>
          <x:t xml:space="preserve">playground/src/DateEdgeCases.tsx</x:t>
        </x:is>
      </x:c>
      <x:c r="J14" s="137" t="inlineStr">
        <x:is>
          <x:t xml:space="preserve">Complete independent manual review</x:t>
        </x:is>
      </x:c>
      <x:c r="K14" s="137" t="n">
        <x:f>IF(AND(E14="yes",F14="yes",H14="covered"),1,IF(H14="partial",0.5,0))</x:f>
        <x:v>0.5</x:v>
      </x:c>
    </x:row>
    <x:row r="15" s="51" customFormat="1" ht="48" customHeight="1">
      <x:c r="A15" s="137" t="n">
        <x:v>7</x:v>
      </x:c>
      <x:c r="B15" s="137" t="inlineStr">
        <x:is>
          <x:t xml:space="preserve">Source</x:t>
        </x:is>
      </x:c>
      <x:c r="C15" s="137" t="inlineStr">
        <x:is>
          <x:t xml:space="preserve">Source</x:t>
        </x:is>
      </x:c>
      <x:c r="D15" s="137" t="inlineStr">
        <x:is>
          <x:t xml:space="preserve">Workbench source viewer shows the displayed composition</x:t>
        </x:is>
      </x:c>
      <x:c r="E15" s="137" t="inlineStr">
        <x:is>
          <x:t xml:space="preserve">yes</x:t>
        </x:is>
      </x:c>
      <x:c r="F15" s="137" t="inlineStr">
        <x:is>
          <x:t xml:space="preserve">no</x:t>
        </x:is>
      </x:c>
      <x:c r="G15" s="137" t="inlineStr">
        <x:is>
          <x:t xml:space="preserve">manual pending</x:t>
        </x:is>
      </x:c>
      <x:c r="H15" s="137" t="inlineStr">
        <x:is>
          <x:t xml:space="preserve">partial</x:t>
        </x:is>
      </x:c>
      <x:c r="I15" s="137" t="inlineStr">
        <x:is>
          <x:t xml:space="preserve">playground/src/DateWorkbench.tsx</x:t>
        </x:is>
      </x:c>
      <x:c r="J15" s="137" t="inlineStr">
        <x:is>
          <x:t xml:space="preserve">Complete independent manual review</x:t>
        </x:is>
      </x:c>
      <x:c r="K15" s="137" t="n">
        <x:f>IF(AND(E15="yes",F15="yes",H15="covered"),1,IF(H15="partial",0.5,0))</x:f>
        <x:v>0.5</x:v>
      </x:c>
    </x:row>
    <x:row r="16" s="51" customFormat="1" ht="48" customHeight="1">
      <x:c r="A16" s="137" t="n">
        <x:v>8</x:v>
      </x:c>
      <x:c r="B16" s="137" t="inlineStr">
        <x:is>
          <x:t xml:space="preserve">Manual</x:t>
        </x:is>
      </x:c>
      <x:c r="C16" s="137" t="inlineStr">
        <x:is>
          <x:t xml:space="preserve">Manual</x:t>
        </x:is>
      </x:c>
      <x:c r="D16" s="137" t="inlineStr">
        <x:is>
          <x:t xml:space="preserve">Real AT, browser zoom and physical touch</x:t>
        </x:is>
      </x:c>
      <x:c r="E16" s="137" t="inlineStr">
        <x:is>
          <x:t xml:space="preserve">yes</x:t>
        </x:is>
      </x:c>
      <x:c r="F16" s="137" t="inlineStr">
        <x:is>
          <x:t xml:space="preserve">no</x:t>
        </x:is>
      </x:c>
      <x:c r="G16" s="137" t="inlineStr">
        <x:is>
          <x:t xml:space="preserve">manual pending</x:t>
        </x:is>
      </x:c>
      <x:c r="H16" s="137" t="inlineStr">
        <x:is>
          <x:t xml:space="preserve">partial</x:t>
        </x:is>
      </x:c>
      <x:c r="I16" s="137" t="inlineStr">
        <x:is>
          <x:t xml:space="preserve">playground/manual-tests/date-input.md</x:t>
        </x:is>
      </x:c>
      <x:c r="J16" s="137" t="inlineStr">
        <x:is>
          <x:t xml:space="preserve">Complete independent manual review</x:t>
        </x:is>
      </x:c>
      <x:c r="K16" s="137" t="n">
        <x:f>IF(AND(E16="yes",F16="yes",H16="covered"),1,IF(H16="partial",0.5,0))</x:f>
        <x:v>0.5</x:v>
      </x:c>
    </x:row>
    <x:row r="17">
      <x:c r="A17" t="n"/>
      <x:c r="B17" t="n"/>
      <x:c r="C17" t="n"/>
      <x:c r="D17" t="n"/>
      <x:c r="E17" t="n"/>
      <x:c r="F17" t="n"/>
      <x:c r="G17" t="n"/>
      <x:c r="H17" t="n"/>
      <x:c r="I17" t="n"/>
      <x:c r="J17" t="n"/>
      <x:c r="K17" t="n"/>
    </x:row>
    <x:row r="18">
      <x:c r="A18" t="n"/>
      <x:c r="B18" t="n"/>
      <x:c r="C18" t="n"/>
      <x:c r="D18" t="n"/>
      <x:c r="E18" t="n"/>
      <x:c r="F18" t="n"/>
      <x:c r="G18" t="n"/>
      <x:c r="H18" t="n"/>
      <x:c r="I18" t="n"/>
      <x:c r="J18" t="n"/>
      <x:c r="K18" t="n"/>
    </x:row>
    <x:row r="19">
      <x:c r="A19" t="n"/>
      <x:c r="B19" t="n"/>
      <x:c r="C19" t="n"/>
      <x:c r="D19" t="n"/>
      <x:c r="E19" t="n"/>
      <x:c r="F19" t="n"/>
      <x:c r="G19" t="n"/>
      <x:c r="H19" t="n"/>
      <x:c r="I19" t="n"/>
      <x:c r="J19" t="n"/>
      <x:c r="K19" t="n"/>
    </x:row>
    <x:row r="20">
      <x:c r="A20" t="n"/>
      <x:c r="B20" t="n"/>
      <x:c r="C20" t="n"/>
      <x:c r="D20" t="n"/>
      <x:c r="E20" t="n"/>
      <x:c r="F20" t="n"/>
      <x:c r="G20" t="n"/>
      <x:c r="H20" t="n"/>
      <x:c r="I20" t="n"/>
      <x:c r="J20" t="n"/>
      <x:c r="K20" t="n"/>
    </x:row>
    <x:row r="21">
      <x:c r="A21" t="n"/>
      <x:c r="B21" t="n"/>
      <x:c r="C21" t="n"/>
      <x:c r="D21" t="n"/>
      <x:c r="E21" t="n"/>
      <x:c r="F21" t="n"/>
      <x:c r="G21" t="n"/>
      <x:c r="H21" t="n"/>
      <x:c r="I21" t="n"/>
      <x:c r="J21" t="n"/>
      <x:c r="K21" t="n"/>
    </x:row>
    <x:row r="22">
      <x:c r="A22" t="n"/>
      <x:c r="B22" t="n"/>
      <x:c r="C22" t="n"/>
      <x:c r="D22" t="n"/>
      <x:c r="E22" t="n"/>
      <x:c r="F22" t="n"/>
      <x:c r="G22" t="n"/>
      <x:c r="H22" t="n"/>
      <x:c r="I22" t="n"/>
      <x:c r="J22" t="n"/>
      <x:c r="K22" t="n"/>
    </x:row>
    <x:row r="23">
      <x:c r="A23" t="n"/>
      <x:c r="B23" t="n"/>
      <x:c r="C23" t="n"/>
      <x:c r="D23" t="n"/>
      <x:c r="E23" t="n"/>
      <x:c r="F23" t="n"/>
      <x:c r="G23" t="n"/>
      <x:c r="H23" t="n"/>
      <x:c r="I23" t="n"/>
      <x:c r="J23" t="n"/>
      <x:c r="K23" t="n"/>
    </x:row>
    <x:row r="24">
      <x:c r="A24" t="n"/>
      <x:c r="B24" t="n"/>
      <x:c r="C24" t="n"/>
      <x:c r="D24" t="n"/>
      <x:c r="E24" t="n"/>
      <x:c r="F24" t="n"/>
      <x:c r="G24" t="n"/>
      <x:c r="H24" t="n"/>
      <x:c r="I24" t="n"/>
      <x:c r="J24" t="n"/>
      <x:c r="K24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baseColWidth="8" defaultRowHeight="15"/>
  <x:cols>
    <x:col min="1" max="1" width="8" style="51" customWidth="1"/>
    <x:col min="2" max="2" width="18" style="51" customWidth="1"/>
    <x:col min="3" max="3" width="22" style="51" customWidth="1"/>
    <x:col min="4" max="4" width="45" style="51" customWidth="1"/>
    <x:col min="5" max="5" width="16" style="51" customWidth="1"/>
    <x:col min="6" max="6" width="16" style="51" customWidth="1"/>
    <x:col min="7" max="7" width="26" style="51" customWidth="1"/>
    <x:col min="8" max="8" width="18" style="51" customWidth="1"/>
    <x:col min="9" max="9" width="48" style="51" customWidth="1"/>
    <x:col min="10" max="10" width="42" style="51" customWidth="1"/>
    <x:col min="11" max="11" width="10" style="51" customWidth="1"/>
  </x:cols>
  <x:sheetData>
    <x:row r="1" s="51" customFormat="1" ht="24" customHeight="1">
      <x:c r="A1" s="109" t="inlineStr">
        <x:is>
          <x:t xml:space="preserve">DatePicker evidence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9" t="inlineStr">
        <x:is>
          <x:t xml:space="preserve">Date behavior and public integration. Physical-device and screen-reader review remains open.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3">
      <x:c r="A3" s="137" t="n"/>
      <x:c r="B3" s="137" t="n"/>
      <x:c r="C3" s="137" t="n"/>
      <x:c r="D3" s="137" t="n"/>
      <x:c r="E3" s="137" t="n"/>
      <x:c r="F3" s="137" t="n"/>
      <x:c r="G3" s="137" t="n"/>
      <x:c r="H3" s="137" t="n"/>
      <x:c r="I3" s="137" t="n"/>
      <x:c r="J3" s="137" t="n"/>
      <x:c r="K3" s="137" t="n"/>
    </x:row>
    <x:row r="4">
      <x:c r="A4" s="137" t="inlineStr">
        <x:is>
          <x:t xml:space="preserve">Coverage</x:t>
        </x:is>
      </x:c>
      <x:c r="B4" s="137" t="n">
        <x:f>IFERROR(D4/COUNTA(A9:A1000),0)</x:f>
        <x:v>0</x:v>
      </x:c>
      <x:c r="C4" s="137" t="inlineStr">
        <x:is>
          <x:t xml:space="preserve">Covered</x:t>
        </x:is>
      </x:c>
      <x:c r="D4" s="137" t="n">
        <x:f>COUNTIFS(A9:A1000,"&lt;&gt;",E9:E1000,"yes",F9:F1000,"yes",H9:H1000,"covered")</x:f>
        <x:v>0</x:v>
      </x:c>
      <x:c r="E4" s="137" t="inlineStr">
        <x:is>
          <x:t xml:space="preserve">Partial</x:t>
        </x:is>
      </x:c>
      <x:c r="F4" s="137" t="n">
        <x:f>COUNTIFS(A9:A1000,"&lt;&gt;",H9:H1000,"partial")</x:f>
        <x:v>8</x:v>
      </x:c>
      <x:c r="G4" s="137" t="inlineStr">
        <x:is>
          <x:t xml:space="preserve">Missing</x:t>
        </x:is>
      </x:c>
      <x:c r="H4" s="137" t="n">
        <x:f>COUNTIFS(A9:A1000,"&lt;&gt;",E9:E1000,"&lt;&gt;yes")+COUNTIFS(A9:A1000,"&lt;&gt;",E9:E1000,"yes",H9:H1000,"missing")</x:f>
        <x:v>0</x:v>
      </x:c>
      <x:c r="I4" s="137" t="inlineStr">
        <x:is>
          <x:t xml:space="preserve">Untested</x:t>
        </x:is>
      </x:c>
      <x:c r="J4" s="137" t="n">
        <x:f>COUNTIFS(A9:A1000,"&lt;&gt;",E9:E1000,"yes",F9:F1000,"&lt;&gt;yes")+COUNTIFS(A9:A1000,"&lt;&gt;",E9:E1000,"yes",F9:F1000,"yes",H9:H1000,"untested")</x:f>
        <x:v>8</x:v>
      </x:c>
      <x:c r="K4" s="137" t="n"/>
    </x:row>
    <x:row r="5">
      <x:c r="A5" s="137" t="n"/>
      <x:c r="B5" s="137" t="n"/>
      <x:c r="C5" s="137" t="n"/>
      <x:c r="D5" s="137" t="n"/>
      <x:c r="E5" s="137" t="n"/>
      <x:c r="F5" s="137" t="n"/>
      <x:c r="G5" s="137" t="n"/>
      <x:c r="H5" s="137" t="n"/>
      <x:c r="I5" s="137" t="n"/>
      <x:c r="J5" s="137" t="n"/>
      <x:c r="K5" s="137" t="n"/>
    </x:row>
    <x:row r="6" s="51" customFormat="1" ht="24" customHeight="1">
      <x:c r="A6" s="109" t="inlineStr">
        <x:is>
          <x:t xml:space="preserve">Manual completion counts covered rows only; partial automation evidence does not count as a completed manual review.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7">
      <x:c r="A7" s="137" t="n"/>
      <x:c r="B7" s="137" t="n"/>
      <x:c r="C7" s="137" t="n"/>
      <x:c r="D7" s="137" t="n"/>
      <x:c r="E7" s="137" t="n"/>
      <x:c r="F7" s="137" t="n"/>
      <x:c r="G7" s="137" t="n"/>
      <x:c r="H7" s="137" t="n"/>
      <x:c r="I7" s="137" t="n"/>
      <x:c r="J7" s="137" t="n"/>
      <x:c r="K7" s="137" t="n"/>
    </x:row>
    <x:row r="8">
      <x:c r="A8" s="137" t="inlineStr">
        <x:is>
          <x:t xml:space="preserve">ID</x:t>
        </x:is>
      </x:c>
      <x:c r="B8" s="137" t="inlineStr">
        <x:is>
          <x:t xml:space="preserve">Area</x:t>
        </x:is>
      </x:c>
      <x:c r="C8" s="137" t="inlineStr">
        <x:is>
          <x:t xml:space="preserve">Part</x:t>
        </x:is>
      </x:c>
      <x:c r="D8" s="137" t="inlineStr">
        <x:is>
          <x:t xml:space="preserve">Test item</x:t>
        </x:is>
      </x:c>
      <x:c r="E8" s="137" t="inlineStr">
        <x:is>
          <x:t xml:space="preserve">Implemented</x:t>
        </x:is>
      </x:c>
      <x:c r="F8" s="137" t="inlineStr">
        <x:is>
          <x:t xml:space="preserve">Tested</x:t>
        </x:is>
      </x:c>
      <x:c r="G8" s="137" t="inlineStr">
        <x:is>
          <x:t xml:space="preserve">Result</x:t>
        </x:is>
      </x:c>
      <x:c r="H8" s="137" t="inlineStr">
        <x:is>
          <x:t xml:space="preserve">Coverage Status</x:t>
        </x:is>
      </x:c>
      <x:c r="I8" s="137" t="inlineStr">
        <x:is>
          <x:t xml:space="preserve">Currently covered by</x:t>
        </x:is>
      </x:c>
      <x:c r="J8" s="137" t="inlineStr">
        <x:is>
          <x:t xml:space="preserve">Missing / next step</x:t>
        </x:is>
      </x:c>
      <x:c r="K8" s="137" t="inlineStr">
        <x:is>
          <x:t xml:space="preserve">Score</x:t>
        </x:is>
      </x:c>
    </x:row>
    <x:row r="9" s="51" customFormat="1" ht="48" customHeight="1">
      <x:c r="A9" s="137" t="n">
        <x:v>1</x:v>
      </x:c>
      <x:c r="B9" s="137" t="inlineStr">
        <x:is>
          <x:t xml:space="preserve">Root</x:t>
        </x:is>
      </x:c>
      <x:c r="C9" s="137" t="inlineStr">
        <x:is>
          <x:t xml:space="preserve">Root</x:t>
        </x:is>
      </x:c>
      <x:c r="D9" s="137" t="inlineStr">
        <x:is>
          <x:t xml:space="preserve">Visible selected value follows the active selection mode</x:t>
        </x:is>
      </x:c>
      <x:c r="E9" s="137" t="inlineStr">
        <x:is>
          <x:t xml:space="preserve">yes</x:t>
        </x:is>
      </x:c>
      <x:c r="F9" s="137" t="inlineStr">
        <x:is>
          <x:t xml:space="preserve">no</x:t>
        </x:is>
      </x:c>
      <x:c r="G9" s="137" t="inlineStr">
        <x:is>
          <x:t xml:space="preserve">manual pending</x:t>
        </x:is>
      </x:c>
      <x:c r="H9" s="137" t="inlineStr">
        <x:is>
          <x:t xml:space="preserve">partial</x:t>
        </x:is>
      </x:c>
      <x:c r="I9" s="137" t="inlineStr">
        <x:is>
          <x:t xml:space="preserve">playground/src/DateWorkbench.tsx</x:t>
        </x:is>
      </x:c>
      <x:c r="J9" s="137" t="inlineStr">
        <x:is>
          <x:t xml:space="preserve">Complete independent manual review</x:t>
        </x:is>
      </x:c>
      <x:c r="K9" s="137" t="n">
        <x:f>IF(AND(E9="yes",F9="yes",H9="covered"),1,IF(H9="partial",0.5,0))</x:f>
        <x:v>0.5</x:v>
      </x:c>
    </x:row>
    <x:row r="10" s="51" customFormat="1" ht="48" customHeight="1">
      <x:c r="A10" s="137" t="n">
        <x:v>2</x:v>
      </x:c>
      <x:c r="B10" s="137" t="inlineStr">
        <x:is>
          <x:t xml:space="preserve">Public parts</x:t>
        </x:is>
      </x:c>
      <x:c r="C10" s="137" t="inlineStr">
        <x:is>
          <x:t xml:space="preserve">Public parts</x:t>
        </x:is>
      </x:c>
      <x:c r="D10" s="137" t="inlineStr">
        <x:is>
          <x:t xml:space="preserve">Labels, native hosts and visible anatomy correspond</x:t>
        </x:is>
      </x:c>
      <x:c r="E10" s="137" t="inlineStr">
        <x:is>
          <x:t xml:space="preserve">yes</x:t>
        </x:is>
      </x:c>
      <x:c r="F10" s="137" t="inlineStr">
        <x:is>
          <x:t xml:space="preserve">no</x:t>
        </x:is>
      </x:c>
      <x:c r="G10" s="137" t="inlineStr">
        <x:is>
          <x:t xml:space="preserve">manual pending</x:t>
        </x:is>
      </x:c>
      <x:c r="H10" s="137" t="inlineStr">
        <x:is>
          <x:t xml:space="preserve">partial</x:t>
        </x:is>
      </x:c>
      <x:c r="I10" s="137" t="inlineStr">
        <x:is>
          <x:t xml:space="preserve">playground/src/DateWorkbench.tsx</x:t>
        </x:is>
      </x:c>
      <x:c r="J10" s="137" t="inlineStr">
        <x:is>
          <x:t xml:space="preserve">Complete independent manual review</x:t>
        </x:is>
      </x:c>
      <x:c r="K10" s="137" t="n">
        <x:f>IF(AND(E10="yes",F10="yes",H10="covered"),1,IF(H10="partial",0.5,0))</x:f>
        <x:v>0.5</x:v>
      </x:c>
    </x:row>
    <x:row r="11" s="51" customFormat="1" ht="48" customHeight="1">
      <x:c r="A11" s="137" t="n">
        <x:v>3</x:v>
      </x:c>
      <x:c r="B11" s="137" t="inlineStr">
        <x:is>
          <x:t xml:space="preserve">Interaction</x:t>
        </x:is>
      </x:c>
      <x:c r="C11" s="137" t="inlineStr">
        <x:is>
          <x:t xml:space="preserve">Interaction</x:t>
        </x:is>
      </x:c>
      <x:c r="D11" s="137" t="inlineStr">
        <x:is>
          <x:t xml:space="preserve">Keyboard editing or calendar grid movement</x:t>
        </x:is>
      </x:c>
      <x:c r="E11" s="137" t="inlineStr">
        <x:is>
          <x:t xml:space="preserve">yes</x:t>
        </x:is>
      </x:c>
      <x:c r="F11" s="137" t="inlineStr">
        <x:is>
          <x:t xml:space="preserve">no</x:t>
        </x:is>
      </x:c>
      <x:c r="G11" s="137" t="inlineStr">
        <x:is>
          <x:t xml:space="preserve">manual pending</x:t>
        </x:is>
      </x:c>
      <x:c r="H11" s="137" t="inlineStr">
        <x:is>
          <x:t xml:space="preserve">partial</x:t>
        </x:is>
      </x:c>
      <x:c r="I11" s="137" t="inlineStr">
        <x:is>
          <x:t xml:space="preserve">playground/src/DateWorkbench.tsx</x:t>
        </x:is>
      </x:c>
      <x:c r="J11" s="137" t="inlineStr">
        <x:is>
          <x:t xml:space="preserve">Complete independent manual review</x:t>
        </x:is>
      </x:c>
      <x:c r="K11" s="137" t="n">
        <x:f>IF(AND(E11="yes",F11="yes",H11="covered"),1,IF(H11="partial",0.5,0))</x:f>
        <x:v>0.5</x:v>
      </x:c>
    </x:row>
    <x:row r="12" s="51" customFormat="1" ht="48" customHeight="1">
      <x:c r="A12" s="137" t="n">
        <x:v>4</x:v>
      </x:c>
      <x:c r="B12" s="137" t="inlineStr">
        <x:is>
          <x:t xml:space="preserve">State</x:t>
        </x:is>
      </x:c>
      <x:c r="C12" s="137" t="inlineStr">
        <x:is>
          <x:t xml:space="preserve">State</x:t>
        </x:is>
      </x:c>
      <x:c r="D12" s="137" t="inlineStr">
        <x:is>
          <x:t xml:space="preserve">Range, multiple or date entry stays synchronized</x:t>
        </x:is>
      </x:c>
      <x:c r="E12" s="137" t="inlineStr">
        <x:is>
          <x:t xml:space="preserve">yes</x:t>
        </x:is>
      </x:c>
      <x:c r="F12" s="137" t="inlineStr">
        <x:is>
          <x:t xml:space="preserve">no</x:t>
        </x:is>
      </x:c>
      <x:c r="G12" s="137" t="inlineStr">
        <x:is>
          <x:t xml:space="preserve">manual pending</x:t>
        </x:is>
      </x:c>
      <x:c r="H12" s="137" t="inlineStr">
        <x:is>
          <x:t xml:space="preserve">partial</x:t>
        </x:is>
      </x:c>
      <x:c r="I12" s="137" t="inlineStr">
        <x:is>
          <x:t xml:space="preserve">playground/src/DateEdgeCases.tsx</x:t>
        </x:is>
      </x:c>
      <x:c r="J12" s="137" t="inlineStr">
        <x:is>
          <x:t xml:space="preserve">Complete independent manual review</x:t>
        </x:is>
      </x:c>
      <x:c r="K12" s="137" t="n">
        <x:f>IF(AND(E12="yes",F12="yes",H12="covered"),1,IF(H12="partial",0.5,0))</x:f>
        <x:v>0.5</x:v>
      </x:c>
    </x:row>
    <x:row r="13" s="51" customFormat="1" ht="48" customHeight="1">
      <x:c r="A13" s="137" t="n">
        <x:v>5</x:v>
      </x:c>
      <x:c r="B13" s="137" t="inlineStr">
        <x:is>
          <x:t xml:space="preserve">Presentation</x:t>
        </x:is>
      </x:c>
      <x:c r="C13" s="137" t="inlineStr">
        <x:is>
          <x:t xml:space="preserve">Presentation</x:t>
        </x:is>
      </x:c>
      <x:c r="D13" s="137" t="inlineStr">
        <x:is>
          <x:t xml:space="preserve">Localized digits and right-to-left navigation</x:t>
        </x:is>
      </x:c>
      <x:c r="E13" s="137" t="inlineStr">
        <x:is>
          <x:t xml:space="preserve">yes</x:t>
        </x:is>
      </x:c>
      <x:c r="F13" s="137" t="inlineStr">
        <x:is>
          <x:t xml:space="preserve">no</x:t>
        </x:is>
      </x:c>
      <x:c r="G13" s="137" t="inlineStr">
        <x:is>
          <x:t xml:space="preserve">manual pending</x:t>
        </x:is>
      </x:c>
      <x:c r="H13" s="137" t="inlineStr">
        <x:is>
          <x:t xml:space="preserve">partial</x:t>
        </x:is>
      </x:c>
      <x:c r="I13" s="137" t="inlineStr">
        <x:is>
          <x:t xml:space="preserve">playground/src/DateEdgeCases.tsx</x:t>
        </x:is>
      </x:c>
      <x:c r="J13" s="137" t="inlineStr">
        <x:is>
          <x:t xml:space="preserve">Complete independent manual review</x:t>
        </x:is>
      </x:c>
      <x:c r="K13" s="137" t="n">
        <x:f>IF(AND(E13="yes",F13="yes",H13="covered"),1,IF(H13="partial",0.5,0))</x:f>
        <x:v>0.5</x:v>
      </x:c>
    </x:row>
    <x:row r="14" s="51" customFormat="1" ht="48" customHeight="1">
      <x:c r="A14" s="137" t="n">
        <x:v>6</x:v>
      </x:c>
      <x:c r="B14" s="137" t="inlineStr">
        <x:is>
          <x:t xml:space="preserve">Forms</x:t>
        </x:is>
      </x:c>
      <x:c r="C14" s="137" t="inlineStr">
        <x:is>
          <x:t xml:space="preserve">Forms</x:t>
        </x:is>
      </x:c>
      <x:c r="D14" s="137" t="inlineStr">
        <x:is>
          <x:t xml:space="preserve">Applicable required, disabled and reset examples</x:t>
        </x:is>
      </x:c>
      <x:c r="E14" s="137" t="inlineStr">
        <x:is>
          <x:t xml:space="preserve">yes</x:t>
        </x:is>
      </x:c>
      <x:c r="F14" s="137" t="inlineStr">
        <x:is>
          <x:t xml:space="preserve">no</x:t>
        </x:is>
      </x:c>
      <x:c r="G14" s="137" t="inlineStr">
        <x:is>
          <x:t xml:space="preserve">manual pending</x:t>
        </x:is>
      </x:c>
      <x:c r="H14" s="137" t="inlineStr">
        <x:is>
          <x:t xml:space="preserve">partial</x:t>
        </x:is>
      </x:c>
      <x:c r="I14" s="137" t="inlineStr">
        <x:is>
          <x:t xml:space="preserve">playground/src/DateEdgeCases.tsx</x:t>
        </x:is>
      </x:c>
      <x:c r="J14" s="137" t="inlineStr">
        <x:is>
          <x:t xml:space="preserve">Complete independent manual review</x:t>
        </x:is>
      </x:c>
      <x:c r="K14" s="137" t="n">
        <x:f>IF(AND(E14="yes",F14="yes",H14="covered"),1,IF(H14="partial",0.5,0))</x:f>
        <x:v>0.5</x:v>
      </x:c>
    </x:row>
    <x:row r="15" s="51" customFormat="1" ht="48" customHeight="1">
      <x:c r="A15" s="137" t="n">
        <x:v>7</x:v>
      </x:c>
      <x:c r="B15" s="137" t="inlineStr">
        <x:is>
          <x:t xml:space="preserve">Source</x:t>
        </x:is>
      </x:c>
      <x:c r="C15" s="137" t="inlineStr">
        <x:is>
          <x:t xml:space="preserve">Source</x:t>
        </x:is>
      </x:c>
      <x:c r="D15" s="137" t="inlineStr">
        <x:is>
          <x:t xml:space="preserve">Workbench source viewer shows the displayed composition</x:t>
        </x:is>
      </x:c>
      <x:c r="E15" s="137" t="inlineStr">
        <x:is>
          <x:t xml:space="preserve">yes</x:t>
        </x:is>
      </x:c>
      <x:c r="F15" s="137" t="inlineStr">
        <x:is>
          <x:t xml:space="preserve">no</x:t>
        </x:is>
      </x:c>
      <x:c r="G15" s="137" t="inlineStr">
        <x:is>
          <x:t xml:space="preserve">manual pending</x:t>
        </x:is>
      </x:c>
      <x:c r="H15" s="137" t="inlineStr">
        <x:is>
          <x:t xml:space="preserve">partial</x:t>
        </x:is>
      </x:c>
      <x:c r="I15" s="137" t="inlineStr">
        <x:is>
          <x:t xml:space="preserve">playground/src/DateWorkbench.tsx</x:t>
        </x:is>
      </x:c>
      <x:c r="J15" s="137" t="inlineStr">
        <x:is>
          <x:t xml:space="preserve">Complete independent manual review</x:t>
        </x:is>
      </x:c>
      <x:c r="K15" s="137" t="n">
        <x:f>IF(AND(E15="yes",F15="yes",H15="covered"),1,IF(H15="partial",0.5,0))</x:f>
        <x:v>0.5</x:v>
      </x:c>
    </x:row>
    <x:row r="16" s="51" customFormat="1" ht="48" customHeight="1">
      <x:c r="A16" s="137" t="n">
        <x:v>8</x:v>
      </x:c>
      <x:c r="B16" s="137" t="inlineStr">
        <x:is>
          <x:t xml:space="preserve">Manual</x:t>
        </x:is>
      </x:c>
      <x:c r="C16" s="137" t="inlineStr">
        <x:is>
          <x:t xml:space="preserve">Manual</x:t>
        </x:is>
      </x:c>
      <x:c r="D16" s="137" t="inlineStr">
        <x:is>
          <x:t xml:space="preserve">Real AT, browser zoom and physical touch</x:t>
        </x:is>
      </x:c>
      <x:c r="E16" s="137" t="inlineStr">
        <x:is>
          <x:t xml:space="preserve">yes</x:t>
        </x:is>
      </x:c>
      <x:c r="F16" s="137" t="inlineStr">
        <x:is>
          <x:t xml:space="preserve">no</x:t>
        </x:is>
      </x:c>
      <x:c r="G16" s="137" t="inlineStr">
        <x:is>
          <x:t xml:space="preserve">manual pending</x:t>
        </x:is>
      </x:c>
      <x:c r="H16" s="137" t="inlineStr">
        <x:is>
          <x:t xml:space="preserve">partial</x:t>
        </x:is>
      </x:c>
      <x:c r="I16" s="137" t="inlineStr">
        <x:is>
          <x:t xml:space="preserve">playground/manual-tests/date-picker.md</x:t>
        </x:is>
      </x:c>
      <x:c r="J16" s="137" t="inlineStr">
        <x:is>
          <x:t xml:space="preserve">Complete independent manual review</x:t>
        </x:is>
      </x:c>
      <x:c r="K16" s="137" t="n">
        <x:f>IF(AND(E16="yes",F16="yes",H16="covered"),1,IF(H16="partial",0.5,0))</x:f>
        <x:v>0.5</x:v>
      </x:c>
    </x:row>
    <x:row r="17">
      <x:c r="A17" t="n"/>
      <x:c r="B17" t="n"/>
      <x:c r="C17" t="n"/>
      <x:c r="D17" t="n"/>
      <x:c r="E17" t="n"/>
      <x:c r="F17" t="n"/>
      <x:c r="G17" t="n"/>
      <x:c r="H17" t="n"/>
      <x:c r="I17" t="n"/>
      <x:c r="J17" t="n"/>
      <x:c r="K17" t="n"/>
    </x:row>
    <x:row r="18">
      <x:c r="A18" t="n"/>
      <x:c r="B18" t="n"/>
      <x:c r="C18" t="n"/>
      <x:c r="D18" t="n"/>
      <x:c r="E18" t="n"/>
      <x:c r="F18" t="n"/>
      <x:c r="G18" t="n"/>
      <x:c r="H18" t="n"/>
      <x:c r="I18" t="n"/>
      <x:c r="J18" t="n"/>
      <x:c r="K18" t="n"/>
    </x:row>
    <x:row r="19">
      <x:c r="A19" t="n"/>
      <x:c r="B19" t="n"/>
      <x:c r="C19" t="n"/>
      <x:c r="D19" t="n"/>
      <x:c r="E19" t="n"/>
      <x:c r="F19" t="n"/>
      <x:c r="G19" t="n"/>
      <x:c r="H19" t="n"/>
      <x:c r="I19" t="n"/>
      <x:c r="J19" t="n"/>
      <x:c r="K19" t="n"/>
    </x:row>
    <x:row r="20">
      <x:c r="A20" t="n"/>
      <x:c r="B20" t="n"/>
      <x:c r="C20" t="n"/>
      <x:c r="D20" t="n"/>
      <x:c r="E20" t="n"/>
      <x:c r="F20" t="n"/>
      <x:c r="G20" t="n"/>
      <x:c r="H20" t="n"/>
      <x:c r="I20" t="n"/>
      <x:c r="J20" t="n"/>
      <x:c r="K20" t="n"/>
    </x:row>
    <x:row r="21">
      <x:c r="A21" t="n"/>
      <x:c r="B21" t="n"/>
      <x:c r="C21" t="n"/>
      <x:c r="D21" t="n"/>
      <x:c r="E21" t="n"/>
      <x:c r="F21" t="n"/>
      <x:c r="G21" t="n"/>
      <x:c r="H21" t="n"/>
      <x:c r="I21" t="n"/>
      <x:c r="J21" t="n"/>
      <x:c r="K21" t="n"/>
    </x:row>
    <x:row r="22">
      <x:c r="A22" t="n"/>
      <x:c r="B22" t="n"/>
      <x:c r="C22" t="n"/>
      <x:c r="D22" t="n"/>
      <x:c r="E22" t="n"/>
      <x:c r="F22" t="n"/>
      <x:c r="G22" t="n"/>
      <x:c r="H22" t="n"/>
      <x:c r="I22" t="n"/>
      <x:c r="J22" t="n"/>
      <x:c r="K22" t="n"/>
    </x:row>
    <x:row r="23">
      <x:c r="A23" t="n"/>
      <x:c r="B23" t="n"/>
      <x:c r="C23" t="n"/>
      <x:c r="D23" t="n"/>
      <x:c r="E23" t="n"/>
      <x:c r="F23" t="n"/>
      <x:c r="G23" t="n"/>
      <x:c r="H23" t="n"/>
      <x:c r="I23" t="n"/>
      <x:c r="J23" t="n"/>
      <x:c r="K23" t="n"/>
    </x:row>
    <x:row r="24">
      <x:c r="A24" t="n"/>
      <x:c r="B24" t="n"/>
      <x:c r="C24" t="n"/>
      <x:c r="D24" t="n"/>
      <x:c r="E24" t="n"/>
      <x:c r="F24" t="n"/>
      <x:c r="G24" t="n"/>
      <x:c r="H24" t="n"/>
      <x:c r="I24" t="n"/>
      <x:c r="J24" t="n"/>
      <x:c r="K24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baseColWidth="8" defaultRowHeight="15"/>
  <x:cols>
    <x:col min="1" max="1" width="8" style="51" customWidth="1"/>
    <x:col min="2" max="2" width="18" style="51" customWidth="1"/>
    <x:col min="3" max="3" width="22" style="51" customWidth="1"/>
    <x:col min="4" max="4" width="45" style="51" customWidth="1"/>
    <x:col min="5" max="5" width="16" style="51" customWidth="1"/>
    <x:col min="6" max="6" width="16" style="51" customWidth="1"/>
    <x:col min="7" max="7" width="26" style="51" customWidth="1"/>
    <x:col min="8" max="8" width="18" style="51" customWidth="1"/>
    <x:col min="9" max="9" width="48" style="51" customWidth="1"/>
    <x:col min="10" max="10" width="42" style="51" customWidth="1"/>
    <x:col min="11" max="11" width="10" style="51" customWidth="1"/>
  </x:cols>
  <x:sheetData>
    <x:row r="1" s="51" customFormat="1" ht="24" customHeight="1">
      <x:c r="A1" s="109" t="inlineStr">
        <x:is>
          <x:t xml:space="preserve">FloatingPanel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9" t="inlineStr">
        <x:is>
          <x:t xml:space="preserve">Headless playground evidence. Manual qualification remains unperformed.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3">
      <x:c r="A3" s="137" t="n"/>
      <x:c r="B3" s="137" t="n"/>
      <x:c r="C3" s="137" t="n"/>
      <x:c r="D3" s="137" t="n"/>
      <x:c r="E3" s="137" t="n"/>
      <x:c r="F3" s="137" t="n"/>
      <x:c r="G3" s="137" t="n"/>
      <x:c r="H3" s="137" t="n"/>
      <x:c r="I3" s="137" t="n"/>
      <x:c r="J3" s="137" t="n"/>
      <x:c r="K3" s="137" t="n"/>
    </x:row>
    <x:row r="4">
      <x:c r="A4" s="137" t="inlineStr">
        <x:is>
          <x:t xml:space="preserve">Coverage</x:t>
        </x:is>
      </x:c>
      <x:c r="B4" s="137" t="n">
        <x:f>IFERROR(D4/COUNTA(A9:A1000),0)</x:f>
        <x:v>0</x:v>
      </x:c>
      <x:c r="C4" s="137" t="inlineStr">
        <x:is>
          <x:t xml:space="preserve">Covered</x:t>
        </x:is>
      </x:c>
      <x:c r="D4" s="137" t="n">
        <x:f>COUNTIFS(A9:A1000,"&lt;&gt;",E9:E1000,"yes",F9:F1000,"yes",H9:H1000,"covered")</x:f>
        <x:v>0</x:v>
      </x:c>
      <x:c r="E4" s="137" t="inlineStr">
        <x:is>
          <x:t xml:space="preserve">Partial</x:t>
        </x:is>
      </x:c>
      <x:c r="F4" s="137" t="n">
        <x:f>COUNTIFS(A9:A1000,"&lt;&gt;",H9:H1000,"partial")</x:f>
        <x:v>27</x:v>
      </x:c>
      <x:c r="G4" s="137" t="inlineStr">
        <x:is>
          <x:t xml:space="preserve">Missing</x:t>
        </x:is>
      </x:c>
      <x:c r="H4" s="137" t="n">
        <x:f>COUNTIFS(A9:A1000,"&lt;&gt;",E9:E1000,"&lt;&gt;yes")+COUNTIFS(A9:A1000,"&lt;&gt;",E9:E1000,"yes",H9:H1000,"missing")</x:f>
        <x:v>0</x:v>
      </x:c>
      <x:c r="I4" s="137" t="inlineStr">
        <x:is>
          <x:t xml:space="preserve">Untested</x:t>
        </x:is>
      </x:c>
      <x:c r="J4" s="137" t="n">
        <x:f>COUNTIFS(A9:A1000,"&lt;&gt;",E9:E1000,"yes",F9:F1000,"&lt;&gt;yes")+COUNTIFS(A9:A1000,"&lt;&gt;",E9:E1000,"yes",F9:F1000,"yes",H9:H1000,"untested")</x:f>
        <x:v>27</x:v>
      </x:c>
      <x:c r="K4" s="137" t="n"/>
    </x:row>
    <x:row r="5">
      <x:c r="A5" s="137" t="n"/>
      <x:c r="B5" s="137" t="n"/>
      <x:c r="C5" s="137" t="n"/>
      <x:c r="D5" s="137" t="n"/>
      <x:c r="E5" s="137" t="n"/>
      <x:c r="F5" s="137" t="n"/>
      <x:c r="G5" s="137" t="n"/>
      <x:c r="H5" s="137" t="n"/>
      <x:c r="I5" s="137" t="n"/>
      <x:c r="J5" s="137" t="n"/>
      <x:c r="K5" s="137" t="n"/>
    </x:row>
    <x:row r="6" s="51" customFormat="1" ht="24" customHeight="1">
      <x:c r="A6" s="109" t="inlineStr">
        <x:is>
          <x:t xml:space="preserve">Manual completion counts covered rows only; partial automation evidence does not count as a completed manual review.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7">
      <x:c r="A7" s="137" t="n"/>
      <x:c r="B7" s="137" t="n"/>
      <x:c r="C7" s="137" t="n"/>
      <x:c r="D7" s="137" t="n"/>
      <x:c r="E7" s="137" t="n"/>
      <x:c r="F7" s="137" t="n"/>
      <x:c r="G7" s="137" t="n"/>
      <x:c r="H7" s="137" t="n"/>
      <x:c r="I7" s="137" t="n"/>
      <x:c r="J7" s="137" t="n"/>
      <x:c r="K7" s="137" t="n"/>
    </x:row>
    <x:row r="8">
      <x:c r="A8" s="137" t="inlineStr">
        <x:is>
          <x:t xml:space="preserve">ID</x:t>
        </x:is>
      </x:c>
      <x:c r="B8" s="137" t="inlineStr">
        <x:is>
          <x:t xml:space="preserve">Area</x:t>
        </x:is>
      </x:c>
      <x:c r="C8" s="137" t="inlineStr">
        <x:is>
          <x:t xml:space="preserve">Part</x:t>
        </x:is>
      </x:c>
      <x:c r="D8" s="137" t="inlineStr">
        <x:is>
          <x:t xml:space="preserve">Test item</x:t>
        </x:is>
      </x:c>
      <x:c r="E8" s="137" t="inlineStr">
        <x:is>
          <x:t xml:space="preserve">Implemented</x:t>
        </x:is>
      </x:c>
      <x:c r="F8" s="137" t="inlineStr">
        <x:is>
          <x:t xml:space="preserve">Tested</x:t>
        </x:is>
      </x:c>
      <x:c r="G8" s="137" t="inlineStr">
        <x:is>
          <x:t xml:space="preserve">Result</x:t>
        </x:is>
      </x:c>
      <x:c r="H8" s="137" t="inlineStr">
        <x:is>
          <x:t xml:space="preserve">Coverage Status</x:t>
        </x:is>
      </x:c>
      <x:c r="I8" s="137" t="inlineStr">
        <x:is>
          <x:t xml:space="preserve">Currently covered by</x:t>
        </x:is>
      </x:c>
      <x:c r="J8" s="137" t="inlineStr">
        <x:is>
          <x:t xml:space="preserve">Missing / next step</x:t>
        </x:is>
      </x:c>
      <x:c r="K8" s="137" t="inlineStr">
        <x:is>
          <x:t xml:space="preserve">Score</x:t>
        </x:is>
      </x:c>
    </x:row>
    <x:row r="9" s="51" customFormat="1" ht="42" customHeight="1">
      <x:c r="A9" s="137" t="n">
        <x:v>1</x:v>
      </x:c>
      <x:c r="B9" s="137" t="inlineStr">
        <x:is>
          <x:t xml:space="preserve">Anatomy</x:t>
        </x:is>
      </x:c>
      <x:c r="C9" s="137" t="inlineStr">
        <x:is>
          <x:t xml:space="preserve">Content</x:t>
        </x:is>
      </x:c>
      <x:c r="D9" s="137" t="inlineStr">
        <x:is>
          <x:t xml:space="preserve">Named nonmodal dialog contains Header and Body</x:t>
        </x:is>
      </x:c>
      <x:c r="E9" s="137" t="inlineStr">
        <x:is>
          <x:t xml:space="preserve">yes</x:t>
        </x:is>
      </x:c>
      <x:c r="F9" s="137" t="inlineStr">
        <x:is>
          <x:t xml:space="preserve">no</x:t>
        </x:is>
      </x:c>
      <x:c r="G9" s="137" t="inlineStr">
        <x:is>
          <x:t xml:space="preserve">manual pending</x:t>
        </x:is>
      </x:c>
      <x:c r="H9" s="137" t="inlineStr">
        <x:is>
          <x:t xml:space="preserve">partial</x:t>
        </x:is>
      </x:c>
      <x:c r="I9" s="137" t="inlineStr">
        <x:is>
          <x:t xml:space="preserve">playground/src/FloatingPanelCases.tsx; playground/docs/floating-overlays-manual.md</x:t>
        </x:is>
      </x:c>
      <x:c r="J9" s="137" t="inlineStr">
        <x:is>
          <x:t xml:space="preserve">Complete component-owned manual protocol</x:t>
        </x:is>
      </x:c>
      <x:c r="K9" s="137" t="n">
        <x:f>IF(AND(E9="yes",F9="yes",H9="covered"),1,IF(H9="partial",0.5,0))</x:f>
        <x:v>0.5</x:v>
      </x:c>
    </x:row>
    <x:row r="10" s="51" customFormat="1" ht="42" customHeight="1">
      <x:c r="A10" s="137" t="n">
        <x:v>2</x:v>
      </x:c>
      <x:c r="B10" s="137" t="inlineStr">
        <x:is>
          <x:t xml:space="preserve">Controller</x:t>
        </x:is>
      </x:c>
      <x:c r="C10" s="137" t="inlineStr">
        <x:is>
          <x:t xml:space="preserve">RootProvider</x:t>
        </x:is>
      </x:c>
      <x:c r="D10" s="137" t="inlineStr">
        <x:is>
          <x:t xml:space="preserve">Hook controller changes the rendered panel</x:t>
        </x:is>
      </x:c>
      <x:c r="E10" s="137" t="inlineStr">
        <x:is>
          <x:t xml:space="preserve">yes</x:t>
        </x:is>
      </x:c>
      <x:c r="F10" s="137" t="inlineStr">
        <x:is>
          <x:t xml:space="preserve">no</x:t>
        </x:is>
      </x:c>
      <x:c r="G10" s="137" t="inlineStr">
        <x:is>
          <x:t xml:space="preserve">manual pending</x:t>
        </x:is>
      </x:c>
      <x:c r="H10" s="137" t="inlineStr">
        <x:is>
          <x:t xml:space="preserve">partial</x:t>
        </x:is>
      </x:c>
      <x:c r="I10" s="137" t="inlineStr">
        <x:is>
          <x:t xml:space="preserve">playground/src/FloatingPanelCases.tsx; playground/docs/floating-overlays-manual.md</x:t>
        </x:is>
      </x:c>
      <x:c r="J10" s="137" t="inlineStr">
        <x:is>
          <x:t xml:space="preserve">Complete component-owned manual protocol</x:t>
        </x:is>
      </x:c>
      <x:c r="K10" s="137" t="n">
        <x:f>IF(AND(E10="yes",F10="yes",H10="covered"),1,IF(H10="partial",0.5,0))</x:f>
        <x:v>0.5</x:v>
      </x:c>
    </x:row>
    <x:row r="11" s="51" customFormat="1" ht="42" customHeight="1">
      <x:c r="A11" s="137" t="n">
        <x:v>3</x:v>
      </x:c>
      <x:c r="B11" s="137" t="inlineStr">
        <x:is>
          <x:t xml:space="preserve">Geometry</x:t>
        </x:is>
      </x:c>
      <x:c r="C11" s="137" t="inlineStr">
        <x:is>
          <x:t xml:space="preserve">Positioner</x:t>
        </x:is>
      </x:c>
      <x:c r="D11" s="137" t="inlineStr">
        <x:is>
          <x:t xml:space="preserve">Keyboard arrows update position and completion output</x:t>
        </x:is>
      </x:c>
      <x:c r="E11" s="137" t="inlineStr">
        <x:is>
          <x:t xml:space="preserve">yes</x:t>
        </x:is>
      </x:c>
      <x:c r="F11" s="137" t="inlineStr">
        <x:is>
          <x:t xml:space="preserve">no</x:t>
        </x:is>
      </x:c>
      <x:c r="G11" s="137" t="inlineStr">
        <x:is>
          <x:t xml:space="preserve">manual pending</x:t>
        </x:is>
      </x:c>
      <x:c r="H11" s="137" t="inlineStr">
        <x:is>
          <x:t xml:space="preserve">partial</x:t>
        </x:is>
      </x:c>
      <x:c r="I11" s="137" t="inlineStr">
        <x:is>
          <x:t xml:space="preserve">playground/src/FloatingPanelCases.tsx; playground/docs/floating-overlays-manual.md</x:t>
        </x:is>
      </x:c>
      <x:c r="J11" s="137" t="inlineStr">
        <x:is>
          <x:t xml:space="preserve">Complete component-owned manual protocol</x:t>
        </x:is>
      </x:c>
      <x:c r="K11" s="137" t="n">
        <x:f>IF(AND(E11="yes",F11="yes",H11="covered"),1,IF(H11="partial",0.5,0))</x:f>
        <x:v>0.5</x:v>
      </x:c>
    </x:row>
    <x:row r="12" s="51" customFormat="1" ht="42" customHeight="1">
      <x:c r="A12" s="137" t="n">
        <x:v>4</x:v>
      </x:c>
      <x:c r="B12" s="137" t="inlineStr">
        <x:is>
          <x:t xml:space="preserve">Resize</x:t>
        </x:is>
      </x:c>
      <x:c r="C12" s="137" t="inlineStr">
        <x:is>
          <x:t xml:space="preserve">ResizeTrigger</x:t>
        </x:is>
      </x:c>
      <x:c r="D12" s="137" t="inlineStr">
        <x:is>
          <x:t xml:space="preserve">All eight physical axes preserve the opposite edge</x:t>
        </x:is>
      </x:c>
      <x:c r="E12" s="137" t="inlineStr">
        <x:is>
          <x:t xml:space="preserve">yes</x:t>
        </x:is>
      </x:c>
      <x:c r="F12" s="137" t="inlineStr">
        <x:is>
          <x:t xml:space="preserve">no</x:t>
        </x:is>
      </x:c>
      <x:c r="G12" s="137" t="inlineStr">
        <x:is>
          <x:t xml:space="preserve">manual pending</x:t>
        </x:is>
      </x:c>
      <x:c r="H12" s="137" t="inlineStr">
        <x:is>
          <x:t xml:space="preserve">partial</x:t>
        </x:is>
      </x:c>
      <x:c r="I12" s="137" t="inlineStr">
        <x:is>
          <x:t xml:space="preserve">playground/src/FloatingPanelCases.tsx; playground/docs/floating-overlays-manual.md</x:t>
        </x:is>
      </x:c>
      <x:c r="J12" s="137" t="inlineStr">
        <x:is>
          <x:t xml:space="preserve">Complete component-owned manual protocol</x:t>
        </x:is>
      </x:c>
      <x:c r="K12" s="137" t="n">
        <x:f>IF(AND(E12="yes",F12="yes",H12="covered"),1,IF(H12="partial",0.5,0))</x:f>
        <x:v>0.5</x:v>
      </x:c>
    </x:row>
    <x:row r="13" s="51" customFormat="1" ht="42" customHeight="1">
      <x:c r="A13" s="137" t="n">
        <x:v>5</x:v>
      </x:c>
      <x:c r="B13" s="137" t="inlineStr">
        <x:is>
          <x:t xml:space="preserve">Stages</x:t>
        </x:is>
      </x:c>
      <x:c r="C13" s="137" t="inlineStr">
        <x:is>
          <x:t xml:space="preserve">StageTrigger</x:t>
        </x:is>
      </x:c>
      <x:c r="D13" s="137" t="inlineStr">
        <x:is>
          <x:t xml:space="preserve">Minimize hides Body; restore returns accepted normal rectangle</x:t>
        </x:is>
      </x:c>
      <x:c r="E13" s="137" t="inlineStr">
        <x:is>
          <x:t xml:space="preserve">yes</x:t>
        </x:is>
      </x:c>
      <x:c r="F13" s="137" t="inlineStr">
        <x:is>
          <x:t xml:space="preserve">no</x:t>
        </x:is>
      </x:c>
      <x:c r="G13" s="137" t="inlineStr">
        <x:is>
          <x:t xml:space="preserve">manual pending</x:t>
        </x:is>
      </x:c>
      <x:c r="H13" s="137" t="inlineStr">
        <x:is>
          <x:t xml:space="preserve">partial</x:t>
        </x:is>
      </x:c>
      <x:c r="I13" s="137" t="inlineStr">
        <x:is>
          <x:t xml:space="preserve">playground/src/FloatingPanelCases.tsx; playground/docs/floating-overlays-manual.md</x:t>
        </x:is>
      </x:c>
      <x:c r="J13" s="137" t="inlineStr">
        <x:is>
          <x:t xml:space="preserve">Complete component-owned manual protocol</x:t>
        </x:is>
      </x:c>
      <x:c r="K13" s="137" t="n">
        <x:f>IF(AND(E13="yes",F13="yes",H13="covered"),1,IF(H13="partial",0.5,0))</x:f>
        <x:v>0.5</x:v>
      </x:c>
    </x:row>
    <x:row r="14" s="51" customFormat="1" ht="42" customHeight="1">
      <x:c r="A14" s="137" t="n">
        <x:v>6</x:v>
      </x:c>
      <x:c r="B14" s="137" t="inlineStr">
        <x:is>
          <x:t xml:space="preserve">Focus</x:t>
        </x:is>
      </x:c>
      <x:c r="C14" s="137" t="inlineStr">
        <x:is>
          <x:t xml:space="preserve">Content</x:t>
        </x:is>
      </x:c>
      <x:c r="D14" s="137" t="inlineStr">
        <x:is>
          <x:t xml:space="preserve">Opening focuses panel and closing returns to Trigger</x:t>
        </x:is>
      </x:c>
      <x:c r="E14" s="137" t="inlineStr">
        <x:is>
          <x:t xml:space="preserve">yes</x:t>
        </x:is>
      </x:c>
      <x:c r="F14" s="137" t="inlineStr">
        <x:is>
          <x:t xml:space="preserve">no</x:t>
        </x:is>
      </x:c>
      <x:c r="G14" s="137" t="inlineStr">
        <x:is>
          <x:t xml:space="preserve">manual pending</x:t>
        </x:is>
      </x:c>
      <x:c r="H14" s="137" t="inlineStr">
        <x:is>
          <x:t xml:space="preserve">partial</x:t>
        </x:is>
      </x:c>
      <x:c r="I14" s="137" t="inlineStr">
        <x:is>
          <x:t xml:space="preserve">playground/src/FloatingPanelCases.tsx; playground/docs/floating-overlays-manual.md</x:t>
        </x:is>
      </x:c>
      <x:c r="J14" s="137" t="inlineStr">
        <x:is>
          <x:t xml:space="preserve">Complete component-owned manual protocol</x:t>
        </x:is>
      </x:c>
      <x:c r="K14" s="137" t="n">
        <x:f>IF(AND(E14="yes",F14="yes",H14="covered"),1,IF(H14="partial",0.5,0))</x:f>
        <x:v>0.5</x:v>
      </x:c>
    </x:row>
    <x:row r="15" s="51" customFormat="1" ht="42" customHeight="1">
      <x:c r="A15" s="137" t="n">
        <x:v>7</x:v>
      </x:c>
      <x:c r="B15" s="137" t="inlineStr">
        <x:is>
          <x:t xml:space="preserve">State</x:t>
        </x:is>
      </x:c>
      <x:c r="C15" s="137" t="inlineStr">
        <x:is>
          <x:t xml:space="preserve">RootProvider</x:t>
        </x:is>
      </x:c>
      <x:c r="D15" s="137" t="inlineStr">
        <x:is>
          <x:t xml:space="preserve">Rejected geometry retains the controlled rectangle</x:t>
        </x:is>
      </x:c>
      <x:c r="E15" s="137" t="inlineStr">
        <x:is>
          <x:t xml:space="preserve">yes</x:t>
        </x:is>
      </x:c>
      <x:c r="F15" s="137" t="inlineStr">
        <x:is>
          <x:t xml:space="preserve">no</x:t>
        </x:is>
      </x:c>
      <x:c r="G15" s="137" t="inlineStr">
        <x:is>
          <x:t xml:space="preserve">manual pending</x:t>
        </x:is>
      </x:c>
      <x:c r="H15" s="137" t="inlineStr">
        <x:is>
          <x:t xml:space="preserve">partial</x:t>
        </x:is>
      </x:c>
      <x:c r="I15" s="137" t="inlineStr">
        <x:is>
          <x:t xml:space="preserve">playground/src/FloatingPanelCases.tsx; playground/docs/floating-overlays-manual.md</x:t>
        </x:is>
      </x:c>
      <x:c r="J15" s="137" t="inlineStr">
        <x:is>
          <x:t xml:space="preserve">Complete component-owned manual protocol</x:t>
        </x:is>
      </x:c>
      <x:c r="K15" s="137" t="n">
        <x:f>IF(AND(E15="yes",F15="yes",H15="covered"),1,IF(H15="partial",0.5,0))</x:f>
        <x:v>0.5</x:v>
      </x:c>
    </x:row>
    <x:row r="16" s="51" customFormat="1" ht="42" customHeight="1">
      <x:c r="A16" s="137" t="n">
        <x:v>8</x:v>
      </x:c>
      <x:c r="B16" s="137" t="inlineStr">
        <x:is>
          <x:t xml:space="preserve">Cancellation</x:t>
        </x:is>
      </x:c>
      <x:c r="C16" s="137" t="inlineStr">
        <x:is>
          <x:t xml:space="preserve">DragTrigger</x:t>
        </x:is>
      </x:c>
      <x:c r="D16" s="137" t="inlineStr">
        <x:is>
          <x:t xml:space="preserve">Escape during dragging restores the starting rectangle</x:t>
        </x:is>
      </x:c>
      <x:c r="E16" s="137" t="inlineStr">
        <x:is>
          <x:t xml:space="preserve">yes</x:t>
        </x:is>
      </x:c>
      <x:c r="F16" s="137" t="inlineStr">
        <x:is>
          <x:t xml:space="preserve">no</x:t>
        </x:is>
      </x:c>
      <x:c r="G16" s="137" t="inlineStr">
        <x:is>
          <x:t xml:space="preserve">manual pending</x:t>
        </x:is>
      </x:c>
      <x:c r="H16" s="137" t="inlineStr">
        <x:is>
          <x:t xml:space="preserve">partial</x:t>
        </x:is>
      </x:c>
      <x:c r="I16" s="137" t="inlineStr">
        <x:is>
          <x:t xml:space="preserve">playground/src/FloatingPanelCases.tsx; playground/docs/floating-overlays-manual.md</x:t>
        </x:is>
      </x:c>
      <x:c r="J16" s="137" t="inlineStr">
        <x:is>
          <x:t xml:space="preserve">Complete component-owned manual protocol</x:t>
        </x:is>
      </x:c>
      <x:c r="K16" s="137" t="n">
        <x:f>IF(AND(E16="yes",F16="yes",H16="covered"),1,IF(H16="partial",0.5,0))</x:f>
        <x:v>0.5</x:v>
      </x:c>
    </x:row>
    <x:row r="17" s="51" customFormat="1" ht="42" customHeight="1">
      <x:c r="A17" s="137" t="n">
        <x:v>9</x:v>
      </x:c>
      <x:c r="B17" s="137" t="inlineStr">
        <x:is>
          <x:t xml:space="preserve">Nesting</x:t>
        </x:is>
      </x:c>
      <x:c r="C17" s="137" t="inlineStr">
        <x:is>
          <x:t xml:space="preserve">Content</x:t>
        </x:is>
      </x:c>
      <x:c r="D17" s="137" t="inlineStr">
        <x:is>
          <x:t xml:space="preserve">Nested Popover and Dialog dismiss before the panel</x:t>
        </x:is>
      </x:c>
      <x:c r="E17" s="137" t="inlineStr">
        <x:is>
          <x:t xml:space="preserve">yes</x:t>
        </x:is>
      </x:c>
      <x:c r="F17" s="137" t="inlineStr">
        <x:is>
          <x:t xml:space="preserve">no</x:t>
        </x:is>
      </x:c>
      <x:c r="G17" s="137" t="inlineStr">
        <x:is>
          <x:t xml:space="preserve">manual pending</x:t>
        </x:is>
      </x:c>
      <x:c r="H17" s="137" t="inlineStr">
        <x:is>
          <x:t xml:space="preserve">partial</x:t>
        </x:is>
      </x:c>
      <x:c r="I17" s="137" t="inlineStr">
        <x:is>
          <x:t xml:space="preserve">playground/src/FloatingPanelCases.tsx; playground/docs/floating-overlays-manual.md</x:t>
        </x:is>
      </x:c>
      <x:c r="J17" s="137" t="inlineStr">
        <x:is>
          <x:t xml:space="preserve">Complete component-owned manual protocol</x:t>
        </x:is>
      </x:c>
      <x:c r="K17" s="137" t="n">
        <x:f>IF(AND(E17="yes",F17="yes",H17="covered"),1,IF(H17="partial",0.5,0))</x:f>
        <x:v>0.5</x:v>
      </x:c>
    </x:row>
    <x:row r="18" s="51" customFormat="1" ht="42" customHeight="1">
      <x:c r="A18" s="137" t="n">
        <x:v>10</x:v>
      </x:c>
      <x:c r="B18" s="137" t="inlineStr">
        <x:is>
          <x:t xml:space="preserve">Direction</x:t>
        </x:is>
      </x:c>
      <x:c r="C18" s="137" t="inlineStr">
        <x:is>
          <x:t xml:space="preserve">Positioner</x:t>
        </x:is>
      </x:c>
      <x:c r="D18" s="137" t="inlineStr">
        <x:is>
          <x:t xml:space="preserve">RTL keeps physical geometry keys consistent</x:t>
        </x:is>
      </x:c>
      <x:c r="E18" s="137" t="inlineStr">
        <x:is>
          <x:t xml:space="preserve">yes</x:t>
        </x:is>
      </x:c>
      <x:c r="F18" s="137" t="inlineStr">
        <x:is>
          <x:t xml:space="preserve">no</x:t>
        </x:is>
      </x:c>
      <x:c r="G18" s="137" t="inlineStr">
        <x:is>
          <x:t xml:space="preserve">manual pending</x:t>
        </x:is>
      </x:c>
      <x:c r="H18" s="137" t="inlineStr">
        <x:is>
          <x:t xml:space="preserve">partial</x:t>
        </x:is>
      </x:c>
      <x:c r="I18" s="137" t="inlineStr">
        <x:is>
          <x:t xml:space="preserve">playground/src/FloatingPanelCases.tsx; playground/docs/floating-overlays-manual.md</x:t>
        </x:is>
      </x:c>
      <x:c r="J18" s="137" t="inlineStr">
        <x:is>
          <x:t xml:space="preserve">Complete component-owned manual protocol</x:t>
        </x:is>
      </x:c>
      <x:c r="K18" s="137" t="n">
        <x:f>IF(AND(E18="yes",F18="yes",H18="covered"),1,IF(H18="partial",0.5,0))</x:f>
        <x:v>0.5</x:v>
      </x:c>
    </x:row>
    <x:row r="19" s="51" customFormat="1" ht="42" customHeight="1">
      <x:c r="A19" s="137" t="n">
        <x:v>11</x:v>
      </x:c>
      <x:c r="B19" s="137" t="inlineStr">
        <x:is>
          <x:t xml:space="preserve">Presence</x:t>
        </x:is>
      </x:c>
      <x:c r="C19" s="137" t="inlineStr">
        <x:is>
          <x:t xml:space="preserve">Content</x:t>
        </x:is>
      </x:c>
      <x:c r="D19" s="137" t="inlineStr">
        <x:is>
          <x:t xml:space="preserve">Activity effect suspension and retained draft reopening</x:t>
        </x:is>
      </x:c>
      <x:c r="E19" s="137" t="inlineStr">
        <x:is>
          <x:t xml:space="preserve">yes</x:t>
        </x:is>
      </x:c>
      <x:c r="F19" s="137" t="inlineStr">
        <x:is>
          <x:t xml:space="preserve">no</x:t>
        </x:is>
      </x:c>
      <x:c r="G19" s="137" t="inlineStr">
        <x:is>
          <x:t xml:space="preserve">manual pending</x:t>
        </x:is>
      </x:c>
      <x:c r="H19" s="137" t="inlineStr">
        <x:is>
          <x:t xml:space="preserve">partial</x:t>
        </x:is>
      </x:c>
      <x:c r="I19" s="137" t="inlineStr">
        <x:is>
          <x:t xml:space="preserve">playground/src/FloatingPanelCases.tsx; playground/docs/floating-overlays-manual.md</x:t>
        </x:is>
      </x:c>
      <x:c r="J19" s="137" t="inlineStr">
        <x:is>
          <x:t xml:space="preserve">Complete component-owned manual protocol</x:t>
        </x:is>
      </x:c>
      <x:c r="K19" s="137" t="n">
        <x:f>IF(AND(E19="yes",F19="yes",H19="covered"),1,IF(H19="partial",0.5,0))</x:f>
        <x:v>0.5</x:v>
      </x:c>
    </x:row>
    <x:row r="20" s="51" customFormat="1" ht="42" customHeight="1">
      <x:c r="A20" s="137" t="n">
        <x:v>12</x:v>
      </x:c>
      <x:c r="B20" s="137" t="inlineStr">
        <x:is>
          <x:t xml:space="preserve">Environment</x:t>
        </x:is>
      </x:c>
      <x:c r="C20" s="137" t="inlineStr">
        <x:is>
          <x:t xml:space="preserve">Portal</x:t>
        </x:is>
      </x:c>
      <x:c r="D20" s="137" t="inlineStr">
        <x:is>
          <x:t xml:space="preserve">Independent document and Shadow DOM focus and geometry</x:t>
        </x:is>
      </x:c>
      <x:c r="E20" s="137" t="inlineStr">
        <x:is>
          <x:t xml:space="preserve">yes</x:t>
        </x:is>
      </x:c>
      <x:c r="F20" s="137" t="inlineStr">
        <x:is>
          <x:t xml:space="preserve">no</x:t>
        </x:is>
      </x:c>
      <x:c r="G20" s="137" t="inlineStr">
        <x:is>
          <x:t xml:space="preserve">manual pending</x:t>
        </x:is>
      </x:c>
      <x:c r="H20" s="137" t="inlineStr">
        <x:is>
          <x:t xml:space="preserve">partial</x:t>
        </x:is>
      </x:c>
      <x:c r="I20" s="137" t="inlineStr">
        <x:is>
          <x:t xml:space="preserve">playground/src/FloatingPanelCases.tsx; playground/docs/floating-overlays-manual.md</x:t>
        </x:is>
      </x:c>
      <x:c r="J20" s="137" t="inlineStr">
        <x:is>
          <x:t xml:space="preserve">Complete component-owned manual protocol</x:t>
        </x:is>
      </x:c>
      <x:c r="K20" s="137" t="n">
        <x:f>IF(AND(E20="yes",F20="yes",H20="covered"),1,IF(H20="partial",0.5,0))</x:f>
        <x:v>0.5</x:v>
      </x:c>
    </x:row>
    <x:row r="21" s="51" customFormat="1" ht="42" customHeight="1">
      <x:c r="A21" s="137" t="n">
        <x:v>13</x:v>
      </x:c>
      <x:c r="B21" s="137" t="inlineStr">
        <x:is>
          <x:t xml:space="preserve">Constraints</x:t>
        </x:is>
      </x:c>
      <x:c r="C21" s="137" t="inlineStr">
        <x:is>
          <x:t xml:space="preserve">Positioner</x:t>
        </x:is>
      </x:c>
      <x:c r="D21" s="137" t="inlineStr">
        <x:is>
          <x:t xml:space="preserve">Undersized boundary takes precedence over impossible minimum</x:t>
        </x:is>
      </x:c>
      <x:c r="E21" s="137" t="inlineStr">
        <x:is>
          <x:t xml:space="preserve">yes</x:t>
        </x:is>
      </x:c>
      <x:c r="F21" s="137" t="inlineStr">
        <x:is>
          <x:t xml:space="preserve">no</x:t>
        </x:is>
      </x:c>
      <x:c r="G21" s="137" t="inlineStr">
        <x:is>
          <x:t xml:space="preserve">manual pending</x:t>
        </x:is>
      </x:c>
      <x:c r="H21" s="137" t="inlineStr">
        <x:is>
          <x:t xml:space="preserve">partial</x:t>
        </x:is>
      </x:c>
      <x:c r="I21" s="137" t="inlineStr">
        <x:is>
          <x:t xml:space="preserve">playground/src/FloatingPanelCases.tsx; playground/docs/floating-overlays-manual.md</x:t>
        </x:is>
      </x:c>
      <x:c r="J21" s="137" t="inlineStr">
        <x:is>
          <x:t xml:space="preserve">Complete component-owned manual protocol</x:t>
        </x:is>
      </x:c>
      <x:c r="K21" s="137" t="n">
        <x:f>IF(AND(E21="yes",F21="yes",H21="covered"),1,IF(H21="partial",0.5,0))</x:f>
        <x:v>0.5</x:v>
      </x:c>
    </x:row>
    <x:row r="22" s="51" customFormat="1" ht="42" customHeight="1">
      <x:c r="A22" s="137" t="n">
        <x:v>14</x:v>
      </x:c>
      <x:c r="B22" s="137" t="inlineStr">
        <x:is>
          <x:t xml:space="preserve">Modifiers</x:t>
        </x:is>
      </x:c>
      <x:c r="C22" s="137" t="inlineStr">
        <x:is>
          <x:t xml:space="preserve">ResizeTrigger</x:t>
        </x:is>
      </x:c>
      <x:c r="D22" s="137" t="inlineStr">
        <x:is>
          <x:t xml:space="preserve">Shift ratio, Alt center and scale-adjusted pointer movement</x:t>
        </x:is>
      </x:c>
      <x:c r="E22" s="137" t="inlineStr">
        <x:is>
          <x:t xml:space="preserve">yes</x:t>
        </x:is>
      </x:c>
      <x:c r="F22" s="137" t="inlineStr">
        <x:is>
          <x:t xml:space="preserve">no</x:t>
        </x:is>
      </x:c>
      <x:c r="G22" s="137" t="inlineStr">
        <x:is>
          <x:t xml:space="preserve">manual pending</x:t>
        </x:is>
      </x:c>
      <x:c r="H22" s="137" t="inlineStr">
        <x:is>
          <x:t xml:space="preserve">partial</x:t>
        </x:is>
      </x:c>
      <x:c r="I22" s="137" t="inlineStr">
        <x:is>
          <x:t xml:space="preserve">playground/src/FloatingPanelCases.tsx; playground/docs/floating-overlays-manual.md</x:t>
        </x:is>
      </x:c>
      <x:c r="J22" s="137" t="inlineStr">
        <x:is>
          <x:t xml:space="preserve">Complete component-owned manual protocol</x:t>
        </x:is>
      </x:c>
      <x:c r="K22" s="137" t="n">
        <x:f>IF(AND(E22="yes",F22="yes",H22="covered"),1,IF(H22="partial",0.5,0))</x:f>
        <x:v>0.5</x:v>
      </x:c>
    </x:row>
    <x:row r="23" s="51" customFormat="1" ht="42" customHeight="1">
      <x:c r="A23" s="137" t="n">
        <x:v>15</x:v>
      </x:c>
      <x:c r="B23" s="137" t="inlineStr">
        <x:is>
          <x:t xml:space="preserve">Focus</x:t>
        </x:is>
      </x:c>
      <x:c r="C23" s="137" t="inlineStr">
        <x:is>
          <x:t xml:space="preserve">Body</x:t>
        </x:is>
      </x:c>
      <x:c r="D23" s="137" t="inlineStr">
        <x:is>
          <x:t xml:space="preserve">Minimizing focused body content restores reachable header focus</x:t>
        </x:is>
      </x:c>
      <x:c r="E23" s="137" t="inlineStr">
        <x:is>
          <x:t xml:space="preserve">yes</x:t>
        </x:is>
      </x:c>
      <x:c r="F23" s="137" t="inlineStr">
        <x:is>
          <x:t xml:space="preserve">no</x:t>
        </x:is>
      </x:c>
      <x:c r="G23" s="137" t="inlineStr">
        <x:is>
          <x:t xml:space="preserve">manual pending</x:t>
        </x:is>
      </x:c>
      <x:c r="H23" s="137" t="inlineStr">
        <x:is>
          <x:t xml:space="preserve">partial</x:t>
        </x:is>
      </x:c>
      <x:c r="I23" s="137" t="inlineStr">
        <x:is>
          <x:t xml:space="preserve">playground/src/FloatingPanelCases.tsx; playground/docs/floating-overlays-manual.md</x:t>
        </x:is>
      </x:c>
      <x:c r="J23" s="137" t="inlineStr">
        <x:is>
          <x:t xml:space="preserve">Complete component-owned manual protocol</x:t>
        </x:is>
      </x:c>
      <x:c r="K23" s="137" t="n">
        <x:f>IF(AND(E23="yes",F23="yes",H23="covered"),1,IF(H23="partial",0.5,0))</x:f>
        <x:v>0.5</x:v>
      </x:c>
    </x:row>
    <x:row r="24" s="51" customFormat="1" ht="42" customHeight="1">
      <x:c r="A24" s="137" t="n">
        <x:v>16</x:v>
      </x:c>
      <x:c r="B24" s="137" t="inlineStr">
        <x:is>
          <x:t xml:space="preserve">Composition</x:t>
        </x:is>
      </x:c>
      <x:c r="C24" s="137" t="inlineStr">
        <x:is>
          <x:t xml:space="preserve">Positioner</x:t>
        </x:is>
      </x:c>
      <x:c r="D24" s="137" t="inlineStr">
        <x:is>
          <x:t xml:space="preserve">Native props, custom data-slot, refs and supported asChild/render reach the owned host</x:t>
        </x:is>
      </x:c>
      <x:c r="E24" s="137" t="inlineStr">
        <x:is>
          <x:t xml:space="preserve">yes</x:t>
        </x:is>
      </x:c>
      <x:c r="F24" s="137" t="inlineStr">
        <x:is>
          <x:t xml:space="preserve">no</x:t>
        </x:is>
      </x:c>
      <x:c r="G24" s="137" t="inlineStr">
        <x:is>
          <x:t xml:space="preserve">manual pending</x:t>
        </x:is>
      </x:c>
      <x:c r="H24" s="137" t="inlineStr">
        <x:is>
          <x:t xml:space="preserve">partial</x:t>
        </x:is>
      </x:c>
      <x:c r="I24" s="137" t="inlineStr">
        <x:is>
          <x:t xml:space="preserve">playground/src/FloatingPanelCases.tsx; playground/docs/floating-overlays-manual.md</x:t>
        </x:is>
      </x:c>
      <x:c r="J24" s="137" t="inlineStr">
        <x:is>
          <x:t xml:space="preserve">Complete component-owned manual protocol</x:t>
        </x:is>
      </x:c>
      <x:c r="K24" s="137" t="n">
        <x:f>IF(AND(E24="yes",F24="yes",H24="covered"),1,IF(H24="partial",0.5,0))</x:f>
        <x:v>0.5</x:v>
      </x:c>
    </x:row>
    <x:row r="25" s="51" customFormat="1" ht="42" customHeight="1">
      <x:c r="A25" s="137" t="n">
        <x:v>17</x:v>
      </x:c>
      <x:c r="B25" s="137" t="inlineStr">
        <x:is>
          <x:t xml:space="preserve">Composition</x:t>
        </x:is>
      </x:c>
      <x:c r="C25" s="137" t="inlineStr">
        <x:is>
          <x:t xml:space="preserve">Content</x:t>
        </x:is>
      </x:c>
      <x:c r="D25" s="137" t="inlineStr">
        <x:is>
          <x:t xml:space="preserve">Native props, custom data-slot, refs and supported asChild/render reach the owned host</x:t>
        </x:is>
      </x:c>
      <x:c r="E25" s="137" t="inlineStr">
        <x:is>
          <x:t xml:space="preserve">yes</x:t>
        </x:is>
      </x:c>
      <x:c r="F25" s="137" t="inlineStr">
        <x:is>
          <x:t xml:space="preserve">no</x:t>
        </x:is>
      </x:c>
      <x:c r="G25" s="137" t="inlineStr">
        <x:is>
          <x:t xml:space="preserve">manual pending</x:t>
        </x:is>
      </x:c>
      <x:c r="H25" s="137" t="inlineStr">
        <x:is>
          <x:t xml:space="preserve">partial</x:t>
        </x:is>
      </x:c>
      <x:c r="I25" s="137" t="inlineStr">
        <x:is>
          <x:t xml:space="preserve">playground/src/FloatingPanelCases.tsx; playground/docs/floating-overlays-manual.md</x:t>
        </x:is>
      </x:c>
      <x:c r="J25" s="137" t="inlineStr">
        <x:is>
          <x:t xml:space="preserve">Complete component-owned manual protocol</x:t>
        </x:is>
      </x:c>
      <x:c r="K25" s="137" t="n">
        <x:f>IF(AND(E25="yes",F25="yes",H25="covered"),1,IF(H25="partial",0.5,0))</x:f>
        <x:v>0.5</x:v>
      </x:c>
    </x:row>
    <x:row r="26" s="51" customFormat="1" ht="42" customHeight="1">
      <x:c r="A26" s="137" t="n">
        <x:v>18</x:v>
      </x:c>
      <x:c r="B26" s="137" t="inlineStr">
        <x:is>
          <x:t xml:space="preserve">Composition</x:t>
        </x:is>
      </x:c>
      <x:c r="C26" s="137" t="inlineStr">
        <x:is>
          <x:t xml:space="preserve">Header</x:t>
        </x:is>
      </x:c>
      <x:c r="D26" s="137" t="inlineStr">
        <x:is>
          <x:t xml:space="preserve">Native props, custom data-slot, refs and supported asChild/render reach the owned host</x:t>
        </x:is>
      </x:c>
      <x:c r="E26" s="137" t="inlineStr">
        <x:is>
          <x:t xml:space="preserve">yes</x:t>
        </x:is>
      </x:c>
      <x:c r="F26" s="137" t="inlineStr">
        <x:is>
          <x:t xml:space="preserve">no</x:t>
        </x:is>
      </x:c>
      <x:c r="G26" s="137" t="inlineStr">
        <x:is>
          <x:t xml:space="preserve">manual pending</x:t>
        </x:is>
      </x:c>
      <x:c r="H26" s="137" t="inlineStr">
        <x:is>
          <x:t xml:space="preserve">partial</x:t>
        </x:is>
      </x:c>
      <x:c r="I26" s="137" t="inlineStr">
        <x:is>
          <x:t xml:space="preserve">playground/src/FloatingPanelCases.tsx; playground/docs/floating-overlays-manual.md</x:t>
        </x:is>
      </x:c>
      <x:c r="J26" s="137" t="inlineStr">
        <x:is>
          <x:t xml:space="preserve">Complete component-owned manual protocol</x:t>
        </x:is>
      </x:c>
      <x:c r="K26" s="137" t="n">
        <x:f>IF(AND(E26="yes",F26="yes",H26="covered"),1,IF(H26="partial",0.5,0))</x:f>
        <x:v>0.5</x:v>
      </x:c>
    </x:row>
    <x:row r="27" s="51" customFormat="1" ht="42" customHeight="1">
      <x:c r="A27" s="137" t="n">
        <x:v>19</x:v>
      </x:c>
      <x:c r="B27" s="137" t="inlineStr">
        <x:is>
          <x:t xml:space="preserve">Composition</x:t>
        </x:is>
      </x:c>
      <x:c r="C27" s="137" t="inlineStr">
        <x:is>
          <x:t xml:space="preserve">Body</x:t>
        </x:is>
      </x:c>
      <x:c r="D27" s="137" t="inlineStr">
        <x:is>
          <x:t xml:space="preserve">Native props, custom data-slot, refs and supported asChild/render reach the owned host</x:t>
        </x:is>
      </x:c>
      <x:c r="E27" s="137" t="inlineStr">
        <x:is>
          <x:t xml:space="preserve">yes</x:t>
        </x:is>
      </x:c>
      <x:c r="F27" s="137" t="inlineStr">
        <x:is>
          <x:t xml:space="preserve">no</x:t>
        </x:is>
      </x:c>
      <x:c r="G27" s="137" t="inlineStr">
        <x:is>
          <x:t xml:space="preserve">manual pending</x:t>
        </x:is>
      </x:c>
      <x:c r="H27" s="137" t="inlineStr">
        <x:is>
          <x:t xml:space="preserve">partial</x:t>
        </x:is>
      </x:c>
      <x:c r="I27" s="137" t="inlineStr">
        <x:is>
          <x:t xml:space="preserve">playground/src/FloatingPanelCases.tsx; playground/docs/floating-overlays-manual.md</x:t>
        </x:is>
      </x:c>
      <x:c r="J27" s="137" t="inlineStr">
        <x:is>
          <x:t xml:space="preserve">Complete component-owned manual protocol</x:t>
        </x:is>
      </x:c>
      <x:c r="K27" s="137" t="n">
        <x:f>IF(AND(E27="yes",F27="yes",H27="covered"),1,IF(H27="partial",0.5,0))</x:f>
        <x:v>0.5</x:v>
      </x:c>
    </x:row>
    <x:row r="28" s="51" customFormat="1" ht="42" customHeight="1">
      <x:c r="A28" s="137" t="n">
        <x:v>20</x:v>
      </x:c>
      <x:c r="B28" s="137" t="inlineStr">
        <x:is>
          <x:t xml:space="preserve">Composition</x:t>
        </x:is>
      </x:c>
      <x:c r="C28" s="137" t="inlineStr">
        <x:is>
          <x:t xml:space="preserve">Control</x:t>
        </x:is>
      </x:c>
      <x:c r="D28" s="137" t="inlineStr">
        <x:is>
          <x:t xml:space="preserve">Native props, custom data-slot, refs and supported asChild/render reach the owned host</x:t>
        </x:is>
      </x:c>
      <x:c r="E28" s="137" t="inlineStr">
        <x:is>
          <x:t xml:space="preserve">yes</x:t>
        </x:is>
      </x:c>
      <x:c r="F28" s="137" t="inlineStr">
        <x:is>
          <x:t xml:space="preserve">no</x:t>
        </x:is>
      </x:c>
      <x:c r="G28" s="137" t="inlineStr">
        <x:is>
          <x:t xml:space="preserve">manual pending</x:t>
        </x:is>
      </x:c>
      <x:c r="H28" s="137" t="inlineStr">
        <x:is>
          <x:t xml:space="preserve">partial</x:t>
        </x:is>
      </x:c>
      <x:c r="I28" s="137" t="inlineStr">
        <x:is>
          <x:t xml:space="preserve">playground/src/FloatingPanelCases.tsx; playground/docs/floating-overlays-manual.md</x:t>
        </x:is>
      </x:c>
      <x:c r="J28" s="137" t="inlineStr">
        <x:is>
          <x:t xml:space="preserve">Complete component-owned manual protocol</x:t>
        </x:is>
      </x:c>
      <x:c r="K28" s="137" t="n">
        <x:f>IF(AND(E28="yes",F28="yes",H28="covered"),1,IF(H28="partial",0.5,0))</x:f>
        <x:v>0.5</x:v>
      </x:c>
    </x:row>
    <x:row r="29" s="51" customFormat="1" ht="42" customHeight="1">
      <x:c r="A29" s="137" t="n">
        <x:v>21</x:v>
      </x:c>
      <x:c r="B29" s="137" t="inlineStr">
        <x:is>
          <x:t xml:space="preserve">Composition</x:t>
        </x:is>
      </x:c>
      <x:c r="C29" s="137" t="inlineStr">
        <x:is>
          <x:t xml:space="preserve">Title</x:t>
        </x:is>
      </x:c>
      <x:c r="D29" s="137" t="inlineStr">
        <x:is>
          <x:t xml:space="preserve">Native props, custom data-slot, refs and supported asChild/render reach the owned host</x:t>
        </x:is>
      </x:c>
      <x:c r="E29" s="137" t="inlineStr">
        <x:is>
          <x:t xml:space="preserve">yes</x:t>
        </x:is>
      </x:c>
      <x:c r="F29" s="137" t="inlineStr">
        <x:is>
          <x:t xml:space="preserve">no</x:t>
        </x:is>
      </x:c>
      <x:c r="G29" s="137" t="inlineStr">
        <x:is>
          <x:t xml:space="preserve">manual pending</x:t>
        </x:is>
      </x:c>
      <x:c r="H29" s="137" t="inlineStr">
        <x:is>
          <x:t xml:space="preserve">partial</x:t>
        </x:is>
      </x:c>
      <x:c r="I29" s="137" t="inlineStr">
        <x:is>
          <x:t xml:space="preserve">playground/src/FloatingPanelCases.tsx; playground/docs/floating-overlays-manual.md</x:t>
        </x:is>
      </x:c>
      <x:c r="J29" s="137" t="inlineStr">
        <x:is>
          <x:t xml:space="preserve">Complete component-owned manual protocol</x:t>
        </x:is>
      </x:c>
      <x:c r="K29" s="137" t="n">
        <x:f>IF(AND(E29="yes",F29="yes",H29="covered"),1,IF(H29="partial",0.5,0))</x:f>
        <x:v>0.5</x:v>
      </x:c>
    </x:row>
    <x:row r="30" s="51" customFormat="1" ht="42" customHeight="1">
      <x:c r="A30" s="137" t="n">
        <x:v>22</x:v>
      </x:c>
      <x:c r="B30" s="137" t="inlineStr">
        <x:is>
          <x:t xml:space="preserve">Composition</x:t>
        </x:is>
      </x:c>
      <x:c r="C30" s="137" t="inlineStr">
        <x:is>
          <x:t xml:space="preserve">Description</x:t>
        </x:is>
      </x:c>
      <x:c r="D30" s="137" t="inlineStr">
        <x:is>
          <x:t xml:space="preserve">Native props, custom data-slot, refs and supported asChild/render reach the owned host</x:t>
        </x:is>
      </x:c>
      <x:c r="E30" s="137" t="inlineStr">
        <x:is>
          <x:t xml:space="preserve">yes</x:t>
        </x:is>
      </x:c>
      <x:c r="F30" s="137" t="inlineStr">
        <x:is>
          <x:t xml:space="preserve">no</x:t>
        </x:is>
      </x:c>
      <x:c r="G30" s="137" t="inlineStr">
        <x:is>
          <x:t xml:space="preserve">manual pending</x:t>
        </x:is>
      </x:c>
      <x:c r="H30" s="137" t="inlineStr">
        <x:is>
          <x:t xml:space="preserve">partial</x:t>
        </x:is>
      </x:c>
      <x:c r="I30" s="137" t="inlineStr">
        <x:is>
          <x:t xml:space="preserve">playground/src/FloatingPanelCases.tsx; playground/docs/floating-overlays-manual.md</x:t>
        </x:is>
      </x:c>
      <x:c r="J30" s="137" t="inlineStr">
        <x:is>
          <x:t xml:space="preserve">Complete component-owned manual protocol</x:t>
        </x:is>
      </x:c>
      <x:c r="K30" s="137" t="n">
        <x:f>IF(AND(E30="yes",F30="yes",H30="covered"),1,IF(H30="partial",0.5,0))</x:f>
        <x:v>0.5</x:v>
      </x:c>
    </x:row>
    <x:row r="31" s="51" customFormat="1" ht="42" customHeight="1">
      <x:c r="A31" s="137" t="n">
        <x:v>23</x:v>
      </x:c>
      <x:c r="B31" s="137" t="inlineStr">
        <x:is>
          <x:t xml:space="preserve">Composition</x:t>
        </x:is>
      </x:c>
      <x:c r="C31" s="137" t="inlineStr">
        <x:is>
          <x:t xml:space="preserve">Trigger</x:t>
        </x:is>
      </x:c>
      <x:c r="D31" s="137" t="inlineStr">
        <x:is>
          <x:t xml:space="preserve">Native props, custom data-slot, refs and supported asChild/render reach the owned host</x:t>
        </x:is>
      </x:c>
      <x:c r="E31" s="137" t="inlineStr">
        <x:is>
          <x:t xml:space="preserve">yes</x:t>
        </x:is>
      </x:c>
      <x:c r="F31" s="137" t="inlineStr">
        <x:is>
          <x:t xml:space="preserve">no</x:t>
        </x:is>
      </x:c>
      <x:c r="G31" s="137" t="inlineStr">
        <x:is>
          <x:t xml:space="preserve">manual pending</x:t>
        </x:is>
      </x:c>
      <x:c r="H31" s="137" t="inlineStr">
        <x:is>
          <x:t xml:space="preserve">partial</x:t>
        </x:is>
      </x:c>
      <x:c r="I31" s="137" t="inlineStr">
        <x:is>
          <x:t xml:space="preserve">playground/src/FloatingPanelCases.tsx; playground/docs/floating-overlays-manual.md</x:t>
        </x:is>
      </x:c>
      <x:c r="J31" s="137" t="inlineStr">
        <x:is>
          <x:t xml:space="preserve">Complete component-owned manual protocol</x:t>
        </x:is>
      </x:c>
      <x:c r="K31" s="137" t="n">
        <x:f>IF(AND(E31="yes",F31="yes",H31="covered"),1,IF(H31="partial",0.5,0))</x:f>
        <x:v>0.5</x:v>
      </x:c>
    </x:row>
    <x:row r="32" s="51" customFormat="1" ht="42" customHeight="1">
      <x:c r="A32" s="137" t="n">
        <x:v>24</x:v>
      </x:c>
      <x:c r="B32" s="137" t="inlineStr">
        <x:is>
          <x:t xml:space="preserve">Composition</x:t>
        </x:is>
      </x:c>
      <x:c r="C32" s="137" t="inlineStr">
        <x:is>
          <x:t xml:space="preserve">CloseTrigger</x:t>
        </x:is>
      </x:c>
      <x:c r="D32" s="137" t="inlineStr">
        <x:is>
          <x:t xml:space="preserve">Native props, custom data-slot, refs and supported asChild/render reach the owned host</x:t>
        </x:is>
      </x:c>
      <x:c r="E32" s="137" t="inlineStr">
        <x:is>
          <x:t xml:space="preserve">yes</x:t>
        </x:is>
      </x:c>
      <x:c r="F32" s="137" t="inlineStr">
        <x:is>
          <x:t xml:space="preserve">no</x:t>
        </x:is>
      </x:c>
      <x:c r="G32" s="137" t="inlineStr">
        <x:is>
          <x:t xml:space="preserve">manual pending</x:t>
        </x:is>
      </x:c>
      <x:c r="H32" s="137" t="inlineStr">
        <x:is>
          <x:t xml:space="preserve">partial</x:t>
        </x:is>
      </x:c>
      <x:c r="I32" s="137" t="inlineStr">
        <x:is>
          <x:t xml:space="preserve">playground/src/FloatingPanelCases.tsx; playground/docs/floating-overlays-manual.md</x:t>
        </x:is>
      </x:c>
      <x:c r="J32" s="137" t="inlineStr">
        <x:is>
          <x:t xml:space="preserve">Complete component-owned manual protocol</x:t>
        </x:is>
      </x:c>
      <x:c r="K32" s="137" t="n">
        <x:f>IF(AND(E32="yes",F32="yes",H32="covered"),1,IF(H32="partial",0.5,0))</x:f>
        <x:v>0.5</x:v>
      </x:c>
    </x:row>
    <x:row r="33" s="51" customFormat="1" ht="42" customHeight="1">
      <x:c r="A33" s="137" t="n">
        <x:v>25</x:v>
      </x:c>
      <x:c r="B33" s="137" t="inlineStr">
        <x:is>
          <x:t xml:space="preserve">Composition</x:t>
        </x:is>
      </x:c>
      <x:c r="C33" s="137" t="inlineStr">
        <x:is>
          <x:t xml:space="preserve">StageTrigger</x:t>
        </x:is>
      </x:c>
      <x:c r="D33" s="137" t="inlineStr">
        <x:is>
          <x:t xml:space="preserve">Native props, custom data-slot, refs and supported asChild/render reach the owned host</x:t>
        </x:is>
      </x:c>
      <x:c r="E33" s="137" t="inlineStr">
        <x:is>
          <x:t xml:space="preserve">yes</x:t>
        </x:is>
      </x:c>
      <x:c r="F33" s="137" t="inlineStr">
        <x:is>
          <x:t xml:space="preserve">no</x:t>
        </x:is>
      </x:c>
      <x:c r="G33" s="137" t="inlineStr">
        <x:is>
          <x:t xml:space="preserve">manual pending</x:t>
        </x:is>
      </x:c>
      <x:c r="H33" s="137" t="inlineStr">
        <x:is>
          <x:t xml:space="preserve">partial</x:t>
        </x:is>
      </x:c>
      <x:c r="I33" s="137" t="inlineStr">
        <x:is>
          <x:t xml:space="preserve">playground/src/FloatingPanelCases.tsx; playground/docs/floating-overlays-manual.md</x:t>
        </x:is>
      </x:c>
      <x:c r="J33" s="137" t="inlineStr">
        <x:is>
          <x:t xml:space="preserve">Complete component-owned manual protocol</x:t>
        </x:is>
      </x:c>
      <x:c r="K33" s="137" t="n">
        <x:f>IF(AND(E33="yes",F33="yes",H33="covered"),1,IF(H33="partial",0.5,0))</x:f>
        <x:v>0.5</x:v>
      </x:c>
    </x:row>
    <x:row r="34" s="51" customFormat="1" ht="42" customHeight="1">
      <x:c r="A34" s="137" t="n">
        <x:v>26</x:v>
      </x:c>
      <x:c r="B34" s="137" t="inlineStr">
        <x:is>
          <x:t xml:space="preserve">Composition</x:t>
        </x:is>
      </x:c>
      <x:c r="C34" s="137" t="inlineStr">
        <x:is>
          <x:t xml:space="preserve">DragTrigger</x:t>
        </x:is>
      </x:c>
      <x:c r="D34" s="137" t="inlineStr">
        <x:is>
          <x:t xml:space="preserve">Native props, custom data-slot, refs and supported asChild/render reach the owned host</x:t>
        </x:is>
      </x:c>
      <x:c r="E34" s="137" t="inlineStr">
        <x:is>
          <x:t xml:space="preserve">yes</x:t>
        </x:is>
      </x:c>
      <x:c r="F34" s="137" t="inlineStr">
        <x:is>
          <x:t xml:space="preserve">no</x:t>
        </x:is>
      </x:c>
      <x:c r="G34" s="137" t="inlineStr">
        <x:is>
          <x:t xml:space="preserve">manual pending</x:t>
        </x:is>
      </x:c>
      <x:c r="H34" s="137" t="inlineStr">
        <x:is>
          <x:t xml:space="preserve">partial</x:t>
        </x:is>
      </x:c>
      <x:c r="I34" s="137" t="inlineStr">
        <x:is>
          <x:t xml:space="preserve">playground/src/FloatingPanelCases.tsx; playground/docs/floating-overlays-manual.md</x:t>
        </x:is>
      </x:c>
      <x:c r="J34" s="137" t="inlineStr">
        <x:is>
          <x:t xml:space="preserve">Complete component-owned manual protocol</x:t>
        </x:is>
      </x:c>
      <x:c r="K34" s="137" t="n">
        <x:f>IF(AND(E34="yes",F34="yes",H34="covered"),1,IF(H34="partial",0.5,0))</x:f>
        <x:v>0.5</x:v>
      </x:c>
    </x:row>
    <x:row r="35" s="51" customFormat="1" ht="42" customHeight="1">
      <x:c r="A35" s="137" t="n">
        <x:v>27</x:v>
      </x:c>
      <x:c r="B35" s="137" t="inlineStr">
        <x:is>
          <x:t xml:space="preserve">Composition</x:t>
        </x:is>
      </x:c>
      <x:c r="C35" s="137" t="inlineStr">
        <x:is>
          <x:t xml:space="preserve">ResizeTrigger</x:t>
        </x:is>
      </x:c>
      <x:c r="D35" s="137" t="inlineStr">
        <x:is>
          <x:t xml:space="preserve">Native props, custom data-slot, refs and supported asChild/render reach the owned host</x:t>
        </x:is>
      </x:c>
      <x:c r="E35" s="137" t="inlineStr">
        <x:is>
          <x:t xml:space="preserve">yes</x:t>
        </x:is>
      </x:c>
      <x:c r="F35" s="137" t="inlineStr">
        <x:is>
          <x:t xml:space="preserve">no</x:t>
        </x:is>
      </x:c>
      <x:c r="G35" s="137" t="inlineStr">
        <x:is>
          <x:t xml:space="preserve">manual pending</x:t>
        </x:is>
      </x:c>
      <x:c r="H35" s="137" t="inlineStr">
        <x:is>
          <x:t xml:space="preserve">partial</x:t>
        </x:is>
      </x:c>
      <x:c r="I35" s="137" t="inlineStr">
        <x:is>
          <x:t xml:space="preserve">playground/src/FloatingPanelCases.tsx; playground/docs/floating-overlays-manual.md</x:t>
        </x:is>
      </x:c>
      <x:c r="J35" s="137" t="inlineStr">
        <x:is>
          <x:t xml:space="preserve">Complete component-owned manual protocol</x:t>
        </x:is>
      </x:c>
      <x:c r="K35" s="137" t="n">
        <x:f>IF(AND(E35="yes",F35="yes",H35="covered"),1,IF(H35="partial",0.5,0))</x:f>
        <x:v>0.5</x:v>
      </x:c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baseColWidth="8" defaultRowHeight="15"/>
  <x:cols>
    <x:col min="1" max="1" width="8" style="51" customWidth="1"/>
    <x:col min="2" max="2" width="18" style="51" customWidth="1"/>
    <x:col min="3" max="3" width="22" style="51" customWidth="1"/>
    <x:col min="4" max="4" width="45" style="51" customWidth="1"/>
    <x:col min="5" max="5" width="16" style="51" customWidth="1"/>
    <x:col min="6" max="6" width="16" style="51" customWidth="1"/>
    <x:col min="7" max="7" width="26" style="51" customWidth="1"/>
    <x:col min="8" max="8" width="18" style="51" customWidth="1"/>
    <x:col min="9" max="9" width="48" style="51" customWidth="1"/>
    <x:col min="10" max="10" width="42" style="51" customWidth="1"/>
    <x:col min="11" max="11" width="10" style="51" customWidth="1"/>
  </x:cols>
  <x:sheetData>
    <x:row r="1" s="51" customFormat="1" ht="24" customHeight="1">
      <x:c r="A1" s="109" t="inlineStr">
        <x:is>
          <x:t xml:space="preserve">OverlayManager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9" t="inlineStr">
        <x:is>
          <x:t xml:space="preserve">Headless playground evidence. Manual qualification remains unperformed.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3">
      <x:c r="A3" s="137" t="n"/>
      <x:c r="B3" s="137" t="n"/>
      <x:c r="C3" s="137" t="n"/>
      <x:c r="D3" s="137" t="n"/>
      <x:c r="E3" s="137" t="n"/>
      <x:c r="F3" s="137" t="n"/>
      <x:c r="G3" s="137" t="n"/>
      <x:c r="H3" s="137" t="n"/>
      <x:c r="I3" s="137" t="n"/>
      <x:c r="J3" s="137" t="n"/>
      <x:c r="K3" s="137" t="n"/>
    </x:row>
    <x:row r="4">
      <x:c r="A4" s="137" t="inlineStr">
        <x:is>
          <x:t xml:space="preserve">Coverage</x:t>
        </x:is>
      </x:c>
      <x:c r="B4" s="137" t="n">
        <x:f>IFERROR(D4/COUNTA(A9:A1000),0)</x:f>
        <x:v>0</x:v>
      </x:c>
      <x:c r="C4" s="137" t="inlineStr">
        <x:is>
          <x:t xml:space="preserve">Covered</x:t>
        </x:is>
      </x:c>
      <x:c r="D4" s="137" t="n">
        <x:f>COUNTIFS(A9:A1000,"&lt;&gt;",E9:E1000,"yes",F9:F1000,"yes",H9:H1000,"covered")</x:f>
        <x:v>0</x:v>
      </x:c>
      <x:c r="E4" s="137" t="inlineStr">
        <x:is>
          <x:t xml:space="preserve">Partial</x:t>
        </x:is>
      </x:c>
      <x:c r="F4" s="137" t="n">
        <x:f>COUNTIFS(A9:A1000,"&lt;&gt;",H9:H1000,"partial")</x:f>
        <x:v>9</x:v>
      </x:c>
      <x:c r="G4" s="137" t="inlineStr">
        <x:is>
          <x:t xml:space="preserve">Missing</x:t>
        </x:is>
      </x:c>
      <x:c r="H4" s="137" t="n">
        <x:f>COUNTIFS(A9:A1000,"&lt;&gt;",E9:E1000,"&lt;&gt;yes")+COUNTIFS(A9:A1000,"&lt;&gt;",E9:E1000,"yes",H9:H1000,"missing")</x:f>
        <x:v>0</x:v>
      </x:c>
      <x:c r="I4" s="137" t="inlineStr">
        <x:is>
          <x:t xml:space="preserve">Untested</x:t>
        </x:is>
      </x:c>
      <x:c r="J4" s="137" t="n">
        <x:f>COUNTIFS(A9:A1000,"&lt;&gt;",E9:E1000,"yes",F9:F1000,"&lt;&gt;yes")+COUNTIFS(A9:A1000,"&lt;&gt;",E9:E1000,"yes",F9:F1000,"yes",H9:H1000,"untested")</x:f>
        <x:v>9</x:v>
      </x:c>
      <x:c r="K4" s="137" t="n"/>
    </x:row>
    <x:row r="5">
      <x:c r="A5" s="137" t="n"/>
      <x:c r="B5" s="137" t="n"/>
      <x:c r="C5" s="137" t="n"/>
      <x:c r="D5" s="137" t="n"/>
      <x:c r="E5" s="137" t="n"/>
      <x:c r="F5" s="137" t="n"/>
      <x:c r="G5" s="137" t="n"/>
      <x:c r="H5" s="137" t="n"/>
      <x:c r="I5" s="137" t="n"/>
      <x:c r="J5" s="137" t="n"/>
      <x:c r="K5" s="137" t="n"/>
    </x:row>
    <x:row r="6" s="51" customFormat="1" ht="24" customHeight="1">
      <x:c r="A6" s="109" t="inlineStr">
        <x:is>
          <x:t xml:space="preserve">Manual completion counts covered rows only; partial automation evidence does not count as a completed manual review.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7">
      <x:c r="A7" s="137" t="n"/>
      <x:c r="B7" s="137" t="n"/>
      <x:c r="C7" s="137" t="n"/>
      <x:c r="D7" s="137" t="n"/>
      <x:c r="E7" s="137" t="n"/>
      <x:c r="F7" s="137" t="n"/>
      <x:c r="G7" s="137" t="n"/>
      <x:c r="H7" s="137" t="n"/>
      <x:c r="I7" s="137" t="n"/>
      <x:c r="J7" s="137" t="n"/>
      <x:c r="K7" s="137" t="n"/>
    </x:row>
    <x:row r="8">
      <x:c r="A8" s="137" t="inlineStr">
        <x:is>
          <x:t xml:space="preserve">ID</x:t>
        </x:is>
      </x:c>
      <x:c r="B8" s="137" t="inlineStr">
        <x:is>
          <x:t xml:space="preserve">Area</x:t>
        </x:is>
      </x:c>
      <x:c r="C8" s="137" t="inlineStr">
        <x:is>
          <x:t xml:space="preserve">Part</x:t>
        </x:is>
      </x:c>
      <x:c r="D8" s="137" t="inlineStr">
        <x:is>
          <x:t xml:space="preserve">Test item</x:t>
        </x:is>
      </x:c>
      <x:c r="E8" s="137" t="inlineStr">
        <x:is>
          <x:t xml:space="preserve">Implemented</x:t>
        </x:is>
      </x:c>
      <x:c r="F8" s="137" t="inlineStr">
        <x:is>
          <x:t xml:space="preserve">Tested</x:t>
        </x:is>
      </x:c>
      <x:c r="G8" s="137" t="inlineStr">
        <x:is>
          <x:t xml:space="preserve">Result</x:t>
        </x:is>
      </x:c>
      <x:c r="H8" s="137" t="inlineStr">
        <x:is>
          <x:t xml:space="preserve">Coverage Status</x:t>
        </x:is>
      </x:c>
      <x:c r="I8" s="137" t="inlineStr">
        <x:is>
          <x:t xml:space="preserve">Currently covered by</x:t>
        </x:is>
      </x:c>
      <x:c r="J8" s="137" t="inlineStr">
        <x:is>
          <x:t xml:space="preserve">Missing / next step</x:t>
        </x:is>
      </x:c>
      <x:c r="K8" s="137" t="inlineStr">
        <x:is>
          <x:t xml:space="preserve">Score</x:t>
        </x:is>
      </x:c>
    </x:row>
    <x:row r="9" s="51" customFormat="1" ht="42" customHeight="1">
      <x:c r="A9" s="137" t="n">
        <x:v>1</x:v>
      </x:c>
      <x:c r="B9" s="137" t="inlineStr">
        <x:is>
          <x:t xml:space="preserve">Disclosure</x:t>
        </x:is>
      </x:c>
      <x:c r="C9" s="137" t="inlineStr">
        <x:is>
          <x:t xml:space="preserve">Viewport</x:t>
        </x:is>
      </x:c>
      <x:c r="D9" s="137" t="inlineStr">
        <x:is>
          <x:t xml:space="preserve">Managed Dialog opens through the mounted host</x:t>
        </x:is>
      </x:c>
      <x:c r="E9" s="137" t="inlineStr">
        <x:is>
          <x:t xml:space="preserve">yes</x:t>
        </x:is>
      </x:c>
      <x:c r="F9" s="137" t="inlineStr">
        <x:is>
          <x:t xml:space="preserve">no</x:t>
        </x:is>
      </x:c>
      <x:c r="G9" s="137" t="inlineStr">
        <x:is>
          <x:t xml:space="preserve">manual pending</x:t>
        </x:is>
      </x:c>
      <x:c r="H9" s="137" t="inlineStr">
        <x:is>
          <x:t xml:space="preserve">partial</x:t>
        </x:is>
      </x:c>
      <x:c r="I9" s="137" t="inlineStr">
        <x:is>
          <x:t xml:space="preserve">playground/src/OverlayManagerCases.tsx; playground/docs/floating-overlays-manual.md</x:t>
        </x:is>
      </x:c>
      <x:c r="J9" s="137" t="inlineStr">
        <x:is>
          <x:t xml:space="preserve">Complete component-owned manual protocol</x:t>
        </x:is>
      </x:c>
      <x:c r="K9" s="137" t="n">
        <x:f>IF(AND(E9="yes",F9="yes",H9="covered"),1,IF(H9="partial",0.5,0))</x:f>
        <x:v>0.5</x:v>
      </x:c>
    </x:row>
    <x:row r="10" s="51" customFormat="1" ht="42" customHeight="1">
      <x:c r="A10" s="137" t="n">
        <x:v>2</x:v>
      </x:c>
      <x:c r="B10" s="137" t="inlineStr">
        <x:is>
          <x:t xml:space="preserve">Result</x:t>
        </x:is>
      </x:c>
      <x:c r="C10" s="137" t="inlineStr">
        <x:is>
          <x:t xml:space="preserve">Viewport</x:t>
        </x:is>
      </x:c>
      <x:c r="D10" s="137" t="inlineStr">
        <x:is>
          <x:t xml:space="preserve">Accept returns result while exit is awaited separately</x:t>
        </x:is>
      </x:c>
      <x:c r="E10" s="137" t="inlineStr">
        <x:is>
          <x:t xml:space="preserve">yes</x:t>
        </x:is>
      </x:c>
      <x:c r="F10" s="137" t="inlineStr">
        <x:is>
          <x:t xml:space="preserve">no</x:t>
        </x:is>
      </x:c>
      <x:c r="G10" s="137" t="inlineStr">
        <x:is>
          <x:t xml:space="preserve">manual pending</x:t>
        </x:is>
      </x:c>
      <x:c r="H10" s="137" t="inlineStr">
        <x:is>
          <x:t xml:space="preserve">partial</x:t>
        </x:is>
      </x:c>
      <x:c r="I10" s="137" t="inlineStr">
        <x:is>
          <x:t xml:space="preserve">playground/src/OverlayManagerCases.tsx; playground/docs/floating-overlays-manual.md</x:t>
        </x:is>
      </x:c>
      <x:c r="J10" s="137" t="inlineStr">
        <x:is>
          <x:t xml:space="preserve">Complete component-owned manual protocol</x:t>
        </x:is>
      </x:c>
      <x:c r="K10" s="137" t="n">
        <x:f>IF(AND(E10="yes",F10="yes",H10="covered"),1,IF(H10="partial",0.5,0))</x:f>
        <x:v>0.5</x:v>
      </x:c>
    </x:row>
    <x:row r="11" s="51" customFormat="1" ht="42" customHeight="1">
      <x:c r="A11" s="137" t="n">
        <x:v>3</x:v>
      </x:c>
      <x:c r="B11" s="137" t="inlineStr">
        <x:is>
          <x:t xml:space="preserve">Dismissal</x:t>
        </x:is>
      </x:c>
      <x:c r="C11" s="137" t="inlineStr">
        <x:is>
          <x:t xml:space="preserve">Viewport</x:t>
        </x:is>
      </x:c>
      <x:c r="D11" s="137" t="inlineStr">
        <x:is>
          <x:t xml:space="preserve">Escape cancels without inventing a confirmation result</x:t>
        </x:is>
      </x:c>
      <x:c r="E11" s="137" t="inlineStr">
        <x:is>
          <x:t xml:space="preserve">yes</x:t>
        </x:is>
      </x:c>
      <x:c r="F11" s="137" t="inlineStr">
        <x:is>
          <x:t xml:space="preserve">no</x:t>
        </x:is>
      </x:c>
      <x:c r="G11" s="137" t="inlineStr">
        <x:is>
          <x:t xml:space="preserve">manual pending</x:t>
        </x:is>
      </x:c>
      <x:c r="H11" s="137" t="inlineStr">
        <x:is>
          <x:t xml:space="preserve">partial</x:t>
        </x:is>
      </x:c>
      <x:c r="I11" s="137" t="inlineStr">
        <x:is>
          <x:t xml:space="preserve">playground/src/OverlayManagerCases.tsx; playground/docs/floating-overlays-manual.md</x:t>
        </x:is>
      </x:c>
      <x:c r="J11" s="137" t="inlineStr">
        <x:is>
          <x:t xml:space="preserve">Complete component-owned manual protocol</x:t>
        </x:is>
      </x:c>
      <x:c r="K11" s="137" t="n">
        <x:f>IF(AND(E11="yes",F11="yes",H11="covered"),1,IF(H11="partial",0.5,0))</x:f>
        <x:v>0.5</x:v>
      </x:c>
    </x:row>
    <x:row r="12" s="51" customFormat="1" ht="42" customHeight="1">
      <x:c r="A12" s="137" t="n">
        <x:v>4</x:v>
      </x:c>
      <x:c r="B12" s="137" t="inlineStr">
        <x:is>
          <x:t xml:space="preserve">Update</x:t>
        </x:is>
      </x:c>
      <x:c r="C12" s="137" t="inlineStr">
        <x:is>
          <x:t xml:space="preserve">Viewport</x:t>
        </x:is>
      </x:c>
      <x:c r="D12" s="137" t="inlineStr">
        <x:is>
          <x:t xml:space="preserve">Updating an open ID preserves the authored draft</x:t>
        </x:is>
      </x:c>
      <x:c r="E12" s="137" t="inlineStr">
        <x:is>
          <x:t xml:space="preserve">yes</x:t>
        </x:is>
      </x:c>
      <x:c r="F12" s="137" t="inlineStr">
        <x:is>
          <x:t xml:space="preserve">no</x:t>
        </x:is>
      </x:c>
      <x:c r="G12" s="137" t="inlineStr">
        <x:is>
          <x:t xml:space="preserve">manual pending</x:t>
        </x:is>
      </x:c>
      <x:c r="H12" s="137" t="inlineStr">
        <x:is>
          <x:t xml:space="preserve">partial</x:t>
        </x:is>
      </x:c>
      <x:c r="I12" s="137" t="inlineStr">
        <x:is>
          <x:t xml:space="preserve">playground/src/OverlayManagerCases.tsx; playground/docs/floating-overlays-manual.md</x:t>
        </x:is>
      </x:c>
      <x:c r="J12" s="137" t="inlineStr">
        <x:is>
          <x:t xml:space="preserve">Complete component-owned manual protocol</x:t>
        </x:is>
      </x:c>
      <x:c r="K12" s="137" t="n">
        <x:f>IF(AND(E12="yes",F12="yes",H12="covered"),1,IF(H12="partial",0.5,0))</x:f>
        <x:v>0.5</x:v>
      </x:c>
    </x:row>
    <x:row r="13" s="51" customFormat="1" ht="42" customHeight="1">
      <x:c r="A13" s="137" t="n">
        <x:v>5</x:v>
      </x:c>
      <x:c r="B13" s="137" t="inlineStr">
        <x:is>
          <x:t xml:space="preserve">Lifetime</x:t>
        </x:is>
      </x:c>
      <x:c r="C13" s="137" t="inlineStr">
        <x:is>
          <x:t xml:space="preserve">Viewport</x:t>
        </x:is>
      </x:c>
      <x:c r="D13" s="137" t="inlineStr">
        <x:is>
          <x:t xml:space="preserve">Reopening an exiting ID ignores stale completion</x:t>
        </x:is>
      </x:c>
      <x:c r="E13" s="137" t="inlineStr">
        <x:is>
          <x:t xml:space="preserve">yes</x:t>
        </x:is>
      </x:c>
      <x:c r="F13" s="137" t="inlineStr">
        <x:is>
          <x:t xml:space="preserve">no</x:t>
        </x:is>
      </x:c>
      <x:c r="G13" s="137" t="inlineStr">
        <x:is>
          <x:t xml:space="preserve">manual pending</x:t>
        </x:is>
      </x:c>
      <x:c r="H13" s="137" t="inlineStr">
        <x:is>
          <x:t xml:space="preserve">partial</x:t>
        </x:is>
      </x:c>
      <x:c r="I13" s="137" t="inlineStr">
        <x:is>
          <x:t xml:space="preserve">playground/src/OverlayManagerCases.tsx; playground/docs/floating-overlays-manual.md</x:t>
        </x:is>
      </x:c>
      <x:c r="J13" s="137" t="inlineStr">
        <x:is>
          <x:t xml:space="preserve">Complete component-owned manual protocol</x:t>
        </x:is>
      </x:c>
      <x:c r="K13" s="137" t="n">
        <x:f>IF(AND(E13="yes",F13="yes",H13="covered"),1,IF(H13="partial",0.5,0))</x:f>
        <x:v>0.5</x:v>
      </x:c>
    </x:row>
    <x:row r="14" s="51" customFormat="1" ht="42" customHeight="1">
      <x:c r="A14" s="137" t="n">
        <x:v>6</x:v>
      </x:c>
      <x:c r="B14" s="137" t="inlineStr">
        <x:is>
          <x:t xml:space="preserve">Removal</x:t>
        </x:is>
      </x:c>
      <x:c r="C14" s="137" t="inlineStr">
        <x:is>
          <x:t xml:space="preserve">Viewport</x:t>
        </x:is>
      </x:c>
      <x:c r="D14" s="137" t="inlineStr">
        <x:is>
          <x:t xml:space="preserve">Remove and removeAll settle pending operations</x:t>
        </x:is>
      </x:c>
      <x:c r="E14" s="137" t="inlineStr">
        <x:is>
          <x:t xml:space="preserve">yes</x:t>
        </x:is>
      </x:c>
      <x:c r="F14" s="137" t="inlineStr">
        <x:is>
          <x:t xml:space="preserve">no</x:t>
        </x:is>
      </x:c>
      <x:c r="G14" s="137" t="inlineStr">
        <x:is>
          <x:t xml:space="preserve">manual pending</x:t>
        </x:is>
      </x:c>
      <x:c r="H14" s="137" t="inlineStr">
        <x:is>
          <x:t xml:space="preserve">partial</x:t>
        </x:is>
      </x:c>
      <x:c r="I14" s="137" t="inlineStr">
        <x:is>
          <x:t xml:space="preserve">playground/src/OverlayManagerCases.tsx; playground/docs/floating-overlays-manual.md</x:t>
        </x:is>
      </x:c>
      <x:c r="J14" s="137" t="inlineStr">
        <x:is>
          <x:t xml:space="preserve">Complete component-owned manual protocol</x:t>
        </x:is>
      </x:c>
      <x:c r="K14" s="137" t="n">
        <x:f>IF(AND(E14="yes",F14="yes",H14="covered"),1,IF(H14="partial",0.5,0))</x:f>
        <x:v>0.5</x:v>
      </x:c>
    </x:row>
    <x:row r="15" s="51" customFormat="1" ht="42" customHeight="1">
      <x:c r="A15" s="137" t="n">
        <x:v>7</x:v>
      </x:c>
      <x:c r="B15" s="137" t="inlineStr">
        <x:is>
          <x:t xml:space="preserve">Host</x:t>
        </x:is>
      </x:c>
      <x:c r="C15" s="137" t="inlineStr">
        <x:is>
          <x:t xml:space="preserve">Viewport</x:t>
        </x:is>
      </x:c>
      <x:c r="D15" s="137" t="inlineStr">
        <x:is>
          <x:t xml:space="preserve">Independent host disposal settles pending results</x:t>
        </x:is>
      </x:c>
      <x:c r="E15" s="137" t="inlineStr">
        <x:is>
          <x:t xml:space="preserve">yes</x:t>
        </x:is>
      </x:c>
      <x:c r="F15" s="137" t="inlineStr">
        <x:is>
          <x:t xml:space="preserve">no</x:t>
        </x:is>
      </x:c>
      <x:c r="G15" s="137" t="inlineStr">
        <x:is>
          <x:t xml:space="preserve">manual pending</x:t>
        </x:is>
      </x:c>
      <x:c r="H15" s="137" t="inlineStr">
        <x:is>
          <x:t xml:space="preserve">partial</x:t>
        </x:is>
      </x:c>
      <x:c r="I15" s="137" t="inlineStr">
        <x:is>
          <x:t xml:space="preserve">playground/src/OverlayManagerCases.tsx; playground/docs/floating-overlays-manual.md</x:t>
        </x:is>
      </x:c>
      <x:c r="J15" s="137" t="inlineStr">
        <x:is>
          <x:t xml:space="preserve">Complete component-owned manual protocol</x:t>
        </x:is>
      </x:c>
      <x:c r="K15" s="137" t="n">
        <x:f>IF(AND(E15="yes",F15="yes",H15="covered"),1,IF(H15="partial",0.5,0))</x:f>
        <x:v>0.5</x:v>
      </x:c>
    </x:row>
    <x:row r="16" s="51" customFormat="1" ht="42" customHeight="1">
      <x:c r="A16" s="137" t="n">
        <x:v>8</x:v>
      </x:c>
      <x:c r="B16" s="137" t="inlineStr">
        <x:is>
          <x:t xml:space="preserve">Context</x:t>
        </x:is>
      </x:c>
      <x:c r="C16" s="137" t="inlineStr">
        <x:is>
          <x:t xml:space="preserve">Viewport</x:t>
        </x:is>
      </x:c>
      <x:c r="D16" s="137" t="inlineStr">
        <x:is>
          <x:t xml:space="preserve">Authored overlay inherits its local application provider</x:t>
        </x:is>
      </x:c>
      <x:c r="E16" s="137" t="inlineStr">
        <x:is>
          <x:t xml:space="preserve">yes</x:t>
        </x:is>
      </x:c>
      <x:c r="F16" s="137" t="inlineStr">
        <x:is>
          <x:t xml:space="preserve">no</x:t>
        </x:is>
      </x:c>
      <x:c r="G16" s="137" t="inlineStr">
        <x:is>
          <x:t xml:space="preserve">manual pending</x:t>
        </x:is>
      </x:c>
      <x:c r="H16" s="137" t="inlineStr">
        <x:is>
          <x:t xml:space="preserve">partial</x:t>
        </x:is>
      </x:c>
      <x:c r="I16" s="137" t="inlineStr">
        <x:is>
          <x:t xml:space="preserve">playground/src/OverlayManagerCases.tsx; playground/docs/floating-overlays-manual.md</x:t>
        </x:is>
      </x:c>
      <x:c r="J16" s="137" t="inlineStr">
        <x:is>
          <x:t xml:space="preserve">Complete component-owned manual protocol</x:t>
        </x:is>
      </x:c>
      <x:c r="K16" s="137" t="n">
        <x:f>IF(AND(E16="yes",F16="yes",H16="covered"),1,IF(H16="partial",0.5,0))</x:f>
        <x:v>0.5</x:v>
      </x:c>
    </x:row>
    <x:row r="17" s="51" customFormat="1" ht="42" customHeight="1">
      <x:c r="A17" s="137" t="n">
        <x:v>9</x:v>
      </x:c>
      <x:c r="B17" s="137" t="inlineStr">
        <x:is>
          <x:t xml:space="preserve">Integration</x:t>
        </x:is>
      </x:c>
      <x:c r="C17" s="137" t="inlineStr">
        <x:is>
          <x:t xml:space="preserve">Viewport</x:t>
        </x:is>
      </x:c>
      <x:c r="D17" s="137" t="inlineStr">
        <x:is>
          <x:t xml:space="preserve">Managed Drawer and FloatingPanel retain primitive behavior</x:t>
        </x:is>
      </x:c>
      <x:c r="E17" s="137" t="inlineStr">
        <x:is>
          <x:t xml:space="preserve">yes</x:t>
        </x:is>
      </x:c>
      <x:c r="F17" s="137" t="inlineStr">
        <x:is>
          <x:t xml:space="preserve">no</x:t>
        </x:is>
      </x:c>
      <x:c r="G17" s="137" t="inlineStr">
        <x:is>
          <x:t xml:space="preserve">manual pending</x:t>
        </x:is>
      </x:c>
      <x:c r="H17" s="137" t="inlineStr">
        <x:is>
          <x:t xml:space="preserve">partial</x:t>
        </x:is>
      </x:c>
      <x:c r="I17" s="137" t="inlineStr">
        <x:is>
          <x:t xml:space="preserve">playground/src/OverlayManagerCases.tsx; playground/docs/floating-overlays-manual.md</x:t>
        </x:is>
      </x:c>
      <x:c r="J17" s="137" t="inlineStr">
        <x:is>
          <x:t xml:space="preserve">Complete component-owned manual protocol</x:t>
        </x:is>
      </x:c>
      <x:c r="K17" s="137" t="n">
        <x:f>IF(AND(E17="yes",F17="yes",H17="covered"),1,IF(H17="partial",0.5,0))</x:f>
        <x:v>0.5</x:v>
      </x:c>
    </x:row>
    <x:row r="18">
      <x:c r="A18" t="n"/>
      <x:c r="B18" t="n"/>
      <x:c r="C18" t="n"/>
      <x:c r="D18" t="n"/>
      <x:c r="E18" t="n"/>
      <x:c r="F18" t="n"/>
      <x:c r="G18" t="n"/>
      <x:c r="H18" t="n"/>
      <x:c r="I18" t="n"/>
      <x:c r="J18" t="n"/>
      <x:c r="K18" t="n"/>
    </x:row>
    <x:row r="19">
      <x:c r="A19" t="n"/>
      <x:c r="B19" t="n"/>
      <x:c r="C19" t="n"/>
      <x:c r="D19" t="n"/>
      <x:c r="E19" t="n"/>
      <x:c r="F19" t="n"/>
      <x:c r="G19" t="n"/>
      <x:c r="H19" t="n"/>
      <x:c r="I19" t="n"/>
      <x:c r="J19" t="n"/>
      <x:c r="K19" t="n"/>
    </x:row>
    <x:row r="20">
      <x:c r="A20" t="n"/>
      <x:c r="B20" t="n"/>
      <x:c r="C20" t="n"/>
      <x:c r="D20" t="n"/>
      <x:c r="E20" t="n"/>
      <x:c r="F20" t="n"/>
      <x:c r="G20" t="n"/>
      <x:c r="H20" t="n"/>
      <x:c r="I20" t="n"/>
      <x:c r="J20" t="n"/>
      <x:c r="K20" t="n"/>
    </x:row>
    <x:row r="21">
      <x:c r="A21" t="n"/>
      <x:c r="B21" t="n"/>
      <x:c r="C21" t="n"/>
      <x:c r="D21" t="n"/>
      <x:c r="E21" t="n"/>
      <x:c r="F21" t="n"/>
      <x:c r="G21" t="n"/>
      <x:c r="H21" t="n"/>
      <x:c r="I21" t="n"/>
      <x:c r="J21" t="n"/>
      <x:c r="K21" t="n"/>
    </x:row>
    <x:row r="22">
      <x:c r="A22" t="n"/>
      <x:c r="B22" t="n"/>
      <x:c r="C22" t="n"/>
      <x:c r="D22" t="n"/>
      <x:c r="E22" t="n"/>
      <x:c r="F22" t="n"/>
      <x:c r="G22" t="n"/>
      <x:c r="H22" t="n"/>
      <x:c r="I22" t="n"/>
      <x:c r="J22" t="n"/>
      <x:c r="K22" t="n"/>
    </x:row>
    <x:row r="23">
      <x:c r="A23" t="n"/>
      <x:c r="B23" t="n"/>
      <x:c r="C23" t="n"/>
      <x:c r="D23" t="n"/>
      <x:c r="E23" t="n"/>
      <x:c r="F23" t="n"/>
      <x:c r="G23" t="n"/>
      <x:c r="H23" t="n"/>
      <x:c r="I23" t="n"/>
      <x:c r="J23" t="n"/>
      <x:c r="K23" t="n"/>
    </x:row>
    <x:row r="24">
      <x:c r="A24" t="n"/>
      <x:c r="B24" t="n"/>
      <x:c r="C24" t="n"/>
      <x:c r="D24" t="n"/>
      <x:c r="E24" t="n"/>
      <x:c r="F24" t="n"/>
      <x:c r="G24" t="n"/>
      <x:c r="H24" t="n"/>
      <x:c r="I24" t="n"/>
      <x:c r="J24" t="n"/>
      <x:c r="K24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RowHeight="15"/>
  <x:cols>
    <x:col min="1" max="1" width="8" style="51" customWidth="1"/>
    <x:col min="2" max="2" width="18" style="51" customWidth="1"/>
    <x:col min="3" max="3" width="22" style="51" customWidth="1"/>
    <x:col min="4" max="4" width="60" style="51" customWidth="1"/>
    <x:col min="5" max="5" width="14" style="51" customWidth="1"/>
    <x:col min="6" max="6" width="12" style="51" customWidth="1"/>
    <x:col min="7" max="7" width="30" style="51" customWidth="1"/>
    <x:col min="8" max="8" width="18" style="51" customWidth="1"/>
    <x:col min="9" max="9" width="40" style="51" customWidth="1"/>
    <x:col min="10" max="10" width="42" style="51" customWidth="1"/>
    <x:col min="11" max="11" width="10" style="51" customWidth="1"/>
  </x:cols>
  <x:sheetData>
    <x:row r="1" s="51" customFormat="1" ht="28" customHeight="1">
      <x:c r="A1" s="132" t="inlineStr">
        <x:is>
          <x:t xml:space="preserve">Marquee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40" customHeight="1">
      <x:c r="A2" s="133" t="inlineStr">
        <x:is>
          <x:t xml:space="preserve">September 7 local candidate. Browser automation is recorded separately; manual protocol has not been performed.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3">
      <x:c r="A3" s="137" t="n"/>
      <x:c r="B3" s="137" t="n"/>
      <x:c r="C3" s="137" t="n"/>
      <x:c r="D3" s="137" t="n"/>
      <x:c r="E3" s="137" t="n"/>
      <x:c r="F3" s="137" t="n"/>
      <x:c r="G3" s="137" t="n"/>
      <x:c r="H3" s="137" t="n"/>
      <x:c r="I3" s="137" t="n"/>
      <x:c r="J3" s="137" t="n"/>
      <x:c r="K3" s="137" t="n"/>
    </x:row>
    <x:row r="4">
      <x:c r="A4" s="137" t="inlineStr">
        <x:is>
          <x:t xml:space="preserve">Coverage</x:t>
        </x:is>
      </x:c>
      <x:c r="B4" s="134" t="n">
        <x:f>IFERROR(D4/COUNTA(A9:A1000),0)</x:f>
        <x:v>0</x:v>
      </x:c>
      <x:c r="C4" s="137" t="inlineStr">
        <x:is>
          <x:t xml:space="preserve">Covered</x:t>
        </x:is>
      </x:c>
      <x:c r="D4" s="137" t="n">
        <x:f>COUNTIFS(A9:A1000,"&lt;&gt;",E9:E1000,"yes",F9:F1000,"yes",H9:H1000,"covered")</x:f>
        <x:v>0</x:v>
      </x:c>
      <x:c r="E4" s="137" t="inlineStr">
        <x:is>
          <x:t xml:space="preserve">Partial</x:t>
        </x:is>
      </x:c>
      <x:c r="F4" s="137" t="n">
        <x:f>COUNTIFS(A9:A1000,"&lt;&gt;",H9:H1000,"partial")</x:f>
        <x:v>0</x:v>
      </x:c>
      <x:c r="G4" s="137" t="inlineStr">
        <x:is>
          <x:t xml:space="preserve">Missing</x:t>
        </x:is>
      </x:c>
      <x:c r="H4" s="137" t="n">
        <x:f>COUNTIFS(A9:A1000,"&lt;&gt;",E9:E1000,"&lt;&gt;yes")+COUNTIFS(A9:A1000,"&lt;&gt;",E9:E1000,"yes",H9:H1000,"missing")</x:f>
        <x:v>0</x:v>
      </x:c>
      <x:c r="I4" s="137" t="inlineStr">
        <x:is>
          <x:t xml:space="preserve">Untested</x:t>
        </x:is>
      </x:c>
      <x:c r="J4" s="137" t="n">
        <x:f>COUNTIFS(A9:A1000,"&lt;&gt;",E9:E1000,"yes",F9:F1000,"&lt;&gt;yes")+COUNTIFS(A9:A1000,"&lt;&gt;",E9:E1000,"yes",F9:F1000,"yes",H9:H1000,"untested")</x:f>
        <x:v>17</x:v>
      </x:c>
      <x:c r="K4" s="137" t="n"/>
    </x:row>
    <x:row r="5">
      <x:c r="A5" s="137" t="n"/>
      <x:c r="B5" s="137" t="n"/>
      <x:c r="C5" s="137" t="n"/>
      <x:c r="D5" s="137" t="n"/>
      <x:c r="E5" s="137" t="n"/>
      <x:c r="F5" s="137" t="n"/>
      <x:c r="G5" s="137" t="n"/>
      <x:c r="H5" s="137" t="n"/>
      <x:c r="I5" s="137" t="n"/>
      <x:c r="J5" s="137" t="n"/>
      <x:c r="K5" s="137" t="n"/>
    </x:row>
    <x:row r="6" s="51" customFormat="1" ht="28" customHeight="1">
      <x:c r="A6" s="109" t="inlineStr">
        <x:is>
          <x:t xml:space="preserve">Completion counts manually covered rows only. Automated browser results do not count as manual passes.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7">
      <x:c r="A7" s="137" t="n"/>
      <x:c r="B7" s="137" t="n"/>
      <x:c r="C7" s="137" t="n"/>
      <x:c r="D7" s="137" t="n"/>
      <x:c r="E7" s="137" t="n"/>
      <x:c r="F7" s="137" t="n"/>
      <x:c r="G7" s="137" t="n"/>
      <x:c r="H7" s="137" t="n"/>
      <x:c r="I7" s="137" t="n"/>
      <x:c r="J7" s="137" t="n"/>
      <x:c r="K7" s="137" t="n"/>
    </x:row>
    <x:row r="8" s="51" customFormat="1" ht="28" customHeight="1">
      <x:c r="A8" s="129" t="inlineStr">
        <x:is>
          <x:t xml:space="preserve">ID</x:t>
        </x:is>
      </x:c>
      <x:c r="B8" s="129" t="inlineStr">
        <x:is>
          <x:t xml:space="preserve">Area</x:t>
        </x:is>
      </x:c>
      <x:c r="C8" s="129" t="inlineStr">
        <x:is>
          <x:t xml:space="preserve">Part</x:t>
        </x:is>
      </x:c>
      <x:c r="D8" s="129" t="inlineStr">
        <x:is>
          <x:t xml:space="preserve">Test item</x:t>
        </x:is>
      </x:c>
      <x:c r="E8" s="129" t="inlineStr">
        <x:is>
          <x:t xml:space="preserve">Implemented</x:t>
        </x:is>
      </x:c>
      <x:c r="F8" s="129" t="inlineStr">
        <x:is>
          <x:t xml:space="preserve">Tested</x:t>
        </x:is>
      </x:c>
      <x:c r="G8" s="129" t="inlineStr">
        <x:is>
          <x:t xml:space="preserve">Result</x:t>
        </x:is>
      </x:c>
      <x:c r="H8" s="129" t="inlineStr">
        <x:is>
          <x:t xml:space="preserve">Coverage Status</x:t>
        </x:is>
      </x:c>
      <x:c r="I8" s="129" t="inlineStr">
        <x:is>
          <x:t xml:space="preserve">Currently covered by</x:t>
        </x:is>
      </x:c>
      <x:c r="J8" s="129" t="inlineStr">
        <x:is>
          <x:t xml:space="preserve">Missing / next step</x:t>
        </x:is>
      </x:c>
      <x:c r="K8" s="129" t="inlineStr">
        <x:is>
          <x:t xml:space="preserve">Score</x:t>
        </x:is>
      </x:c>
    </x:row>
    <x:row r="9" s="51" customFormat="1" ht="62" customHeight="1">
      <x:c r="A9" s="126" t="n">
        <x:v>1</x:v>
      </x:c>
      <x:c r="B9" s="126" t="inlineStr">
        <x:is>
          <x:t xml:space="preserve">Navigation</x:t>
        </x:is>
      </x:c>
      <x:c r="C9" s="126" t="inlineStr">
        <x:is>
          <x:t xml:space="preserve">Root Provider</x:t>
        </x:is>
      </x:c>
      <x:c r="D9" s="126" t="inlineStr">
        <x:is>
          <x:t xml:space="preserve">Reachable from Data with four original items and optional modes off.</x:t>
        </x:is>
      </x:c>
      <x:c r="E9" s="126" t="inlineStr">
        <x:is>
          <x:t xml:space="preserve">yes</x:t>
        </x:is>
      </x:c>
      <x:c r="F9" s="126" t="inlineStr">
        <x:is>
          <x:t xml:space="preserve">no</x:t>
        </x:is>
      </x:c>
      <x:c r="G9" s="126" t="inlineStr">
        <x:is>
          <x:t xml:space="preserve">Manual protocol not run.</x:t>
        </x:is>
      </x:c>
      <x:c r="H9" s="126" t="inlineStr">
        <x:is>
          <x:t xml:space="preserve">untested</x:t>
        </x:is>
      </x:c>
      <x:c r="I9" s="126" t="inlineStr">
        <x:is>
          <x:t xml:space="preserve">Data → Marquee and dedicated Marquee harness.</x:t>
        </x:is>
      </x:c>
      <x:c r="J9" s="126" t="inlineStr">
        <x:is>
          <x:t xml:space="preserve">Run playground/.manual-tests/marquee.md.</x:t>
        </x:is>
      </x:c>
      <x:c r="K9" s="126" t="n">
        <x:f>IF(AND(E9="yes",F9="yes",H9="covered"),1,IF(H9="partial",0.5,0))</x:f>
        <x:v>0</x:v>
      </x:c>
    </x:row>
    <x:row r="10" s="51" customFormat="1" ht="62" customHeight="1">
      <x:c r="A10" s="127" t="n">
        <x:v>2</x:v>
      </x:c>
      <x:c r="B10" s="127" t="inlineStr">
        <x:is>
          <x:t xml:space="preserve">Motion</x:t>
        </x:is>
      </x:c>
      <x:c r="C10" s="127" t="inlineStr">
        <x:is>
          <x:t xml:space="preserve">Content</x:t>
        </x:is>
      </x:c>
      <x:c r="D10" s="127" t="inlineStr">
        <x:is>
          <x:t xml:space="preserve">Default track advances and a persistent pause button stops and resumes it.</x:t>
        </x:is>
      </x:c>
      <x:c r="E10" s="127" t="inlineStr">
        <x:is>
          <x:t xml:space="preserve">yes</x:t>
        </x:is>
      </x:c>
      <x:c r="F10" s="127" t="inlineStr">
        <x:is>
          <x:t xml:space="preserve">no</x:t>
        </x:is>
      </x:c>
      <x:c r="G10" s="127" t="inlineStr">
        <x:is>
          <x:t xml:space="preserve">Manual protocol not run.</x:t>
        </x:is>
      </x:c>
      <x:c r="H10" s="127" t="inlineStr">
        <x:is>
          <x:t xml:space="preserve">untested</x:t>
        </x:is>
      </x:c>
      <x:c r="I10" s="127" t="inlineStr">
        <x:is>
          <x:t xml:space="preserve">Data → Marquee and dedicated Marquee harness.</x:t>
        </x:is>
      </x:c>
      <x:c r="J10" s="127" t="inlineStr">
        <x:is>
          <x:t xml:space="preserve">Run playground/.manual-tests/marquee.md.</x:t>
        </x:is>
      </x:c>
      <x:c r="K10" s="127" t="n">
        <x:f>IF(AND(E10="yes",F10="yes",H10="covered"),1,IF(H10="partial",0.5,0))</x:f>
        <x:v>0</x:v>
      </x:c>
    </x:row>
    <x:row r="11" s="51" customFormat="1" ht="62" customHeight="1">
      <x:c r="A11" s="126" t="n">
        <x:v>3</x:v>
      </x:c>
      <x:c r="B11" s="126" t="inlineStr">
        <x:is>
          <x:t xml:space="preserve">Motion</x:t>
        </x:is>
      </x:c>
      <x:c r="C11" s="126" t="inlineStr">
        <x:is>
          <x:t xml:space="preserve">State controls</x:t>
        </x:is>
      </x:c>
      <x:c r="D11" s="126" t="inlineStr">
        <x:is>
          <x:t xml:space="preserve">Side, reverse, speed, delay and finite-loop options update the live track.</x:t>
        </x:is>
      </x:c>
      <x:c r="E11" s="126" t="inlineStr">
        <x:is>
          <x:t xml:space="preserve">yes</x:t>
        </x:is>
      </x:c>
      <x:c r="F11" s="126" t="inlineStr">
        <x:is>
          <x:t xml:space="preserve">no</x:t>
        </x:is>
      </x:c>
      <x:c r="G11" s="126" t="inlineStr">
        <x:is>
          <x:t xml:space="preserve">Manual protocol not run.</x:t>
        </x:is>
      </x:c>
      <x:c r="H11" s="126" t="inlineStr">
        <x:is>
          <x:t xml:space="preserve">untested</x:t>
        </x:is>
      </x:c>
      <x:c r="I11" s="126" t="inlineStr">
        <x:is>
          <x:t xml:space="preserve">Data → Marquee and dedicated Marquee harness.</x:t>
        </x:is>
      </x:c>
      <x:c r="J11" s="126" t="inlineStr">
        <x:is>
          <x:t xml:space="preserve">Run playground/.manual-tests/marquee.md.</x:t>
        </x:is>
      </x:c>
      <x:c r="K11" s="126" t="n">
        <x:f>IF(AND(E11="yes",F11="yes",H11="covered"),1,IF(H11="partial",0.5,0))</x:f>
        <x:v>0</x:v>
      </x:c>
    </x:row>
    <x:row r="12" s="51" customFormat="1" ht="62" customHeight="1">
      <x:c r="A12" s="127" t="n">
        <x:v>4</x:v>
      </x:c>
      <x:c r="B12" s="127" t="inlineStr">
        <x:is>
          <x:t xml:space="preserve">Layout</x:t>
        </x:is>
      </x:c>
      <x:c r="C12" s="127" t="inlineStr">
        <x:is>
          <x:t xml:space="preserve">Viewport</x:t>
        </x:is>
      </x:c>
      <x:c r="D12" s="127" t="inlineStr">
        <x:is>
          <x:t xml:space="preserve">Horizontal and bounded vertical tracks remain measurable.</x:t>
        </x:is>
      </x:c>
      <x:c r="E12" s="127" t="inlineStr">
        <x:is>
          <x:t xml:space="preserve">yes</x:t>
        </x:is>
      </x:c>
      <x:c r="F12" s="127" t="inlineStr">
        <x:is>
          <x:t xml:space="preserve">no</x:t>
        </x:is>
      </x:c>
      <x:c r="G12" s="127" t="inlineStr">
        <x:is>
          <x:t xml:space="preserve">Manual protocol not run.</x:t>
        </x:is>
      </x:c>
      <x:c r="H12" s="127" t="inlineStr">
        <x:is>
          <x:t xml:space="preserve">untested</x:t>
        </x:is>
      </x:c>
      <x:c r="I12" s="127" t="inlineStr">
        <x:is>
          <x:t xml:space="preserve">Data → Marquee and dedicated Marquee harness.</x:t>
        </x:is>
      </x:c>
      <x:c r="J12" s="127" t="inlineStr">
        <x:is>
          <x:t xml:space="preserve">Run playground/.manual-tests/marquee.md.</x:t>
        </x:is>
      </x:c>
      <x:c r="K12" s="127" t="n">
        <x:f>IF(AND(E12="yes",F12="yes",H12="covered"),1,IF(H12="partial",0.5,0))</x:f>
        <x:v>0</x:v>
      </x:c>
    </x:row>
    <x:row r="13" s="51" customFormat="1" ht="62" customHeight="1">
      <x:c r="A13" s="126" t="n">
        <x:v>5</x:v>
      </x:c>
      <x:c r="B13" s="126" t="inlineStr">
        <x:is>
          <x:t xml:space="preserve">Layout</x:t>
        </x:is>
      </x:c>
      <x:c r="C13" s="126" t="inlineStr">
        <x:is>
          <x:t xml:space="preserve">Content</x:t>
        </x:is>
      </x:c>
      <x:c r="D13" s="126" t="inlineStr">
        <x:is>
          <x:t xml:space="preserve">Spacing and auto-fill controls update the repeated geometry.</x:t>
        </x:is>
      </x:c>
      <x:c r="E13" s="126" t="inlineStr">
        <x:is>
          <x:t xml:space="preserve">yes</x:t>
        </x:is>
      </x:c>
      <x:c r="F13" s="126" t="inlineStr">
        <x:is>
          <x:t xml:space="preserve">no</x:t>
        </x:is>
      </x:c>
      <x:c r="G13" s="126" t="inlineStr">
        <x:is>
          <x:t xml:space="preserve">Manual protocol not run.</x:t>
        </x:is>
      </x:c>
      <x:c r="H13" s="126" t="inlineStr">
        <x:is>
          <x:t xml:space="preserve">untested</x:t>
        </x:is>
      </x:c>
      <x:c r="I13" s="126" t="inlineStr">
        <x:is>
          <x:t xml:space="preserve">Data → Marquee and dedicated Marquee harness.</x:t>
        </x:is>
      </x:c>
      <x:c r="J13" s="126" t="inlineStr">
        <x:is>
          <x:t xml:space="preserve">Run playground/.manual-tests/marquee.md.</x:t>
        </x:is>
      </x:c>
      <x:c r="K13" s="126" t="n">
        <x:f>IF(AND(E13="yes",F13="yes",H13="covered"),1,IF(H13="partial",0.5,0))</x:f>
        <x:v>0</x:v>
      </x:c>
    </x:row>
    <x:row r="14" s="51" customFormat="1" ht="62" customHeight="1">
      <x:c r="A14" s="127" t="n">
        <x:v>6</x:v>
      </x:c>
      <x:c r="B14" s="127" t="inlineStr">
        <x:is>
          <x:t xml:space="preserve">Direction</x:t>
        </x:is>
      </x:c>
      <x:c r="C14" s="127" t="inlineStr">
        <x:is>
          <x:t xml:space="preserve">Provider / local</x:t>
        </x:is>
      </x:c>
      <x:c r="D14" s="127" t="inlineStr">
        <x:is>
          <x:t xml:space="preserve">Provider RTL and local LTR/RTL override remain inspectable.</x:t>
        </x:is>
      </x:c>
      <x:c r="E14" s="127" t="inlineStr">
        <x:is>
          <x:t xml:space="preserve">yes</x:t>
        </x:is>
      </x:c>
      <x:c r="F14" s="127" t="inlineStr">
        <x:is>
          <x:t xml:space="preserve">no</x:t>
        </x:is>
      </x:c>
      <x:c r="G14" s="127" t="inlineStr">
        <x:is>
          <x:t xml:space="preserve">Manual protocol not run.</x:t>
        </x:is>
      </x:c>
      <x:c r="H14" s="127" t="inlineStr">
        <x:is>
          <x:t xml:space="preserve">untested</x:t>
        </x:is>
      </x:c>
      <x:c r="I14" s="127" t="inlineStr">
        <x:is>
          <x:t xml:space="preserve">Data → Marquee and dedicated Marquee harness.</x:t>
        </x:is>
      </x:c>
      <x:c r="J14" s="127" t="inlineStr">
        <x:is>
          <x:t xml:space="preserve">Run playground/.manual-tests/marquee.md.</x:t>
        </x:is>
      </x:c>
      <x:c r="K14" s="127" t="n">
        <x:f>IF(AND(E14="yes",F14="yes",H14="covered"),1,IF(H14="partial",0.5,0))</x:f>
        <x:v>0</x:v>
      </x:c>
    </x:row>
    <x:row r="15" s="51" customFormat="1" ht="62" customHeight="1">
      <x:c r="A15" s="126" t="n">
        <x:v>7</x:v>
      </x:c>
      <x:c r="B15" s="126" t="inlineStr">
        <x:is>
          <x:t xml:space="preserve">State</x:t>
        </x:is>
      </x:c>
      <x:c r="C15" s="126" t="inlineStr">
        <x:is>
          <x:t xml:space="preserve">Controlled pause</x:t>
        </x:is>
      </x:c>
      <x:c r="D15" s="126" t="inlineStr">
        <x:is>
          <x:t xml:space="preserve">Controlled and uncontrolled requested pause remain distinct.</x:t>
        </x:is>
      </x:c>
      <x:c r="E15" s="126" t="inlineStr">
        <x:is>
          <x:t xml:space="preserve">yes</x:t>
        </x:is>
      </x:c>
      <x:c r="F15" s="126" t="inlineStr">
        <x:is>
          <x:t xml:space="preserve">no</x:t>
        </x:is>
      </x:c>
      <x:c r="G15" s="126" t="inlineStr">
        <x:is>
          <x:t xml:space="preserve">Manual protocol not run.</x:t>
        </x:is>
      </x:c>
      <x:c r="H15" s="126" t="inlineStr">
        <x:is>
          <x:t xml:space="preserve">untested</x:t>
        </x:is>
      </x:c>
      <x:c r="I15" s="126" t="inlineStr">
        <x:is>
          <x:t xml:space="preserve">Data → Marquee and dedicated Marquee harness.</x:t>
        </x:is>
      </x:c>
      <x:c r="J15" s="126" t="inlineStr">
        <x:is>
          <x:t xml:space="preserve">Run playground/.manual-tests/marquee.md.</x:t>
        </x:is>
      </x:c>
      <x:c r="K15" s="126" t="n">
        <x:f>IF(AND(E15="yes",F15="yes",H15="covered"),1,IF(H15="partial",0.5,0))</x:f>
        <x:v>0</x:v>
      </x:c>
    </x:row>
    <x:row r="16" s="51" customFormat="1" ht="62" customHeight="1">
      <x:c r="A16" s="127" t="n">
        <x:v>8</x:v>
      </x:c>
      <x:c r="B16" s="127" t="inlineStr">
        <x:is>
          <x:t xml:space="preserve">Interaction</x:t>
        </x:is>
      </x:c>
      <x:c r="C16" s="127" t="inlineStr">
        <x:is>
          <x:t xml:space="preserve">Original links</x:t>
        </x:is>
      </x:c>
      <x:c r="D16" s="127" t="inlineStr">
        <x:is>
          <x:t xml:space="preserve">Original link focus reveals stationary reachable content.</x:t>
        </x:is>
      </x:c>
      <x:c r="E16" s="127" t="inlineStr">
        <x:is>
          <x:t xml:space="preserve">yes</x:t>
        </x:is>
      </x:c>
      <x:c r="F16" s="127" t="inlineStr">
        <x:is>
          <x:t xml:space="preserve">no</x:t>
        </x:is>
      </x:c>
      <x:c r="G16" s="127" t="inlineStr">
        <x:is>
          <x:t xml:space="preserve">Manual protocol not run.</x:t>
        </x:is>
      </x:c>
      <x:c r="H16" s="127" t="inlineStr">
        <x:is>
          <x:t xml:space="preserve">untested</x:t>
        </x:is>
      </x:c>
      <x:c r="I16" s="127" t="inlineStr">
        <x:is>
          <x:t xml:space="preserve">Data → Marquee and dedicated Marquee harness.</x:t>
        </x:is>
      </x:c>
      <x:c r="J16" s="127" t="inlineStr">
        <x:is>
          <x:t xml:space="preserve">Run playground/.manual-tests/marquee.md.</x:t>
        </x:is>
      </x:c>
      <x:c r="K16" s="127" t="n">
        <x:f>IF(AND(E16="yes",F16="yes",H16="covered"),1,IF(H16="partial",0.5,0))</x:f>
        <x:v>0</x:v>
      </x:c>
    </x:row>
    <x:row r="17" s="51" customFormat="1" ht="62" customHeight="1">
      <x:c r="A17" s="126" t="n">
        <x:v>9</x:v>
      </x:c>
      <x:c r="B17" s="126" t="inlineStr">
        <x:is>
          <x:t xml:space="preserve">Accessibility</x:t>
        </x:is>
      </x:c>
      <x:c r="C17" s="126" t="inlineStr">
        <x:is>
          <x:t xml:space="preserve">Viewport</x:t>
        </x:is>
      </x:c>
      <x:c r="D17" s="126" t="inlineStr">
        <x:is>
          <x:t xml:space="preserve">Reduced-motion originals remain keyboard-scrollable without replicas.</x:t>
        </x:is>
      </x:c>
      <x:c r="E17" s="126" t="inlineStr">
        <x:is>
          <x:t xml:space="preserve">yes</x:t>
        </x:is>
      </x:c>
      <x:c r="F17" s="126" t="inlineStr">
        <x:is>
          <x:t xml:space="preserve">no</x:t>
        </x:is>
      </x:c>
      <x:c r="G17" s="126" t="inlineStr">
        <x:is>
          <x:t xml:space="preserve">Manual protocol not run.</x:t>
        </x:is>
      </x:c>
      <x:c r="H17" s="126" t="inlineStr">
        <x:is>
          <x:t xml:space="preserve">untested</x:t>
        </x:is>
      </x:c>
      <x:c r="I17" s="126" t="inlineStr">
        <x:is>
          <x:t xml:space="preserve">Data → Marquee and dedicated Marquee harness.</x:t>
        </x:is>
      </x:c>
      <x:c r="J17" s="126" t="inlineStr">
        <x:is>
          <x:t xml:space="preserve">Run playground/.manual-tests/marquee.md.</x:t>
        </x:is>
      </x:c>
      <x:c r="K17" s="126" t="n">
        <x:f>IF(AND(E17="yes",F17="yes",H17="covered"),1,IF(H17="partial",0.5,0))</x:f>
        <x:v>0</x:v>
      </x:c>
    </x:row>
    <x:row r="18" s="51" customFormat="1" ht="62" customHeight="1">
      <x:c r="A18" s="127" t="n">
        <x:v>10</x:v>
      </x:c>
      <x:c r="B18" s="127" t="inlineStr">
        <x:is>
          <x:t xml:space="preserve">Safety</x:t>
        </x:is>
      </x:c>
      <x:c r="C18" s="127" t="inlineStr">
        <x:is>
          <x:t xml:space="preserve">Replicas</x:t>
        </x:is>
      </x:c>
      <x:c r="D18" s="127" t="inlineStr">
        <x:is>
          <x:t xml:space="preserve">Unsafe interactive replicas and missing replicas fall back to stationary originals.</x:t>
        </x:is>
      </x:c>
      <x:c r="E18" s="127" t="inlineStr">
        <x:is>
          <x:t xml:space="preserve">yes</x:t>
        </x:is>
      </x:c>
      <x:c r="F18" s="127" t="inlineStr">
        <x:is>
          <x:t xml:space="preserve">no</x:t>
        </x:is>
      </x:c>
      <x:c r="G18" s="127" t="inlineStr">
        <x:is>
          <x:t xml:space="preserve">Manual protocol not run.</x:t>
        </x:is>
      </x:c>
      <x:c r="H18" s="127" t="inlineStr">
        <x:is>
          <x:t xml:space="preserve">untested</x:t>
        </x:is>
      </x:c>
      <x:c r="I18" s="127" t="inlineStr">
        <x:is>
          <x:t xml:space="preserve">Data → Marquee and dedicated Marquee harness.</x:t>
        </x:is>
      </x:c>
      <x:c r="J18" s="127" t="inlineStr">
        <x:is>
          <x:t xml:space="preserve">Run playground/.manual-tests/marquee.md.</x:t>
        </x:is>
      </x:c>
      <x:c r="K18" s="127" t="n">
        <x:f>IF(AND(E18="yes",F18="yes",H18="covered"),1,IF(H18="partial",0.5,0))</x:f>
        <x:v>0</x:v>
      </x:c>
    </x:row>
    <x:row r="19" s="51" customFormat="1" ht="62" customHeight="1">
      <x:c r="A19" s="126" t="n">
        <x:v>11</x:v>
      </x:c>
      <x:c r="B19" s="126" t="inlineStr">
        <x:is>
          <x:t xml:space="preserve">Composition</x:t>
        </x:is>
      </x:c>
      <x:c r="C19" s="126" t="inlineStr">
        <x:is>
          <x:t xml:space="preserve">All parts</x:t>
        </x:is>
      </x:c>
      <x:c r="D19" s="126" t="inlineStr">
        <x:is>
          <x:t xml:space="preserve">Default, asChild and render hosts preserve the same public anatomy.</x:t>
        </x:is>
      </x:c>
      <x:c r="E19" s="126" t="inlineStr">
        <x:is>
          <x:t xml:space="preserve">yes</x:t>
        </x:is>
      </x:c>
      <x:c r="F19" s="126" t="inlineStr">
        <x:is>
          <x:t xml:space="preserve">no</x:t>
        </x:is>
      </x:c>
      <x:c r="G19" s="126" t="inlineStr">
        <x:is>
          <x:t xml:space="preserve">Manual protocol not run.</x:t>
        </x:is>
      </x:c>
      <x:c r="H19" s="126" t="inlineStr">
        <x:is>
          <x:t xml:space="preserve">untested</x:t>
        </x:is>
      </x:c>
      <x:c r="I19" s="126" t="inlineStr">
        <x:is>
          <x:t xml:space="preserve">Data → Marquee and dedicated Marquee harness.</x:t>
        </x:is>
      </x:c>
      <x:c r="J19" s="126" t="inlineStr">
        <x:is>
          <x:t xml:space="preserve">Run playground/.manual-tests/marquee.md.</x:t>
        </x:is>
      </x:c>
      <x:c r="K19" s="126" t="n">
        <x:f>IF(AND(E19="yes",F19="yes",H19="covered"),1,IF(H19="partial",0.5,0))</x:f>
        <x:v>0</x:v>
      </x:c>
    </x:row>
    <x:row r="20" s="51" customFormat="1" ht="62" customHeight="1">
      <x:c r="A20" s="127" t="n">
        <x:v>12</x:v>
      </x:c>
      <x:c r="B20" s="127" t="inlineStr">
        <x:is>
          <x:t xml:space="preserve">Props</x:t>
        </x:is>
      </x:c>
      <x:c r="C20" s="127" t="inlineStr">
        <x:is>
          <x:t xml:space="preserve">All parts</x:t>
        </x:is>
      </x:c>
      <x:c r="D20" s="127" t="inlineStr">
        <x:is>
          <x:t xml:space="preserve">Native data attributes and custom slots remain visible in live Anatomy.</x:t>
        </x:is>
      </x:c>
      <x:c r="E20" s="127" t="inlineStr">
        <x:is>
          <x:t xml:space="preserve">yes</x:t>
        </x:is>
      </x:c>
      <x:c r="F20" s="127" t="inlineStr">
        <x:is>
          <x:t xml:space="preserve">no</x:t>
        </x:is>
      </x:c>
      <x:c r="G20" s="127" t="inlineStr">
        <x:is>
          <x:t xml:space="preserve">Manual protocol not run.</x:t>
        </x:is>
      </x:c>
      <x:c r="H20" s="127" t="inlineStr">
        <x:is>
          <x:t xml:space="preserve">untested</x:t>
        </x:is>
      </x:c>
      <x:c r="I20" s="127" t="inlineStr">
        <x:is>
          <x:t xml:space="preserve">Data → Marquee and dedicated Marquee harness.</x:t>
        </x:is>
      </x:c>
      <x:c r="J20" s="127" t="inlineStr">
        <x:is>
          <x:t xml:space="preserve">Run playground/.manual-tests/marquee.md.</x:t>
        </x:is>
      </x:c>
      <x:c r="K20" s="127" t="n">
        <x:f>IF(AND(E20="yes",F20="yes",H20="covered"),1,IF(H20="partial",0.5,0))</x:f>
        <x:v>0</x:v>
      </x:c>
    </x:row>
    <x:row r="21" s="51" customFormat="1" ht="62" customHeight="1">
      <x:c r="A21" s="126" t="n">
        <x:v>13</x:v>
      </x:c>
      <x:c r="B21" s="126" t="inlineStr">
        <x:is>
          <x:t xml:space="preserve">Source</x:t>
        </x:is>
      </x:c>
      <x:c r="C21" s="126" t="inlineStr">
        <x:is>
          <x:t xml:space="preserve">Generated code</x:t>
        </x:is>
      </x:c>
      <x:c r="D21" s="126" t="inlineStr">
        <x:is>
          <x:t xml:space="preserve">Source follows selected options, hosts and passive replica structure.</x:t>
        </x:is>
      </x:c>
      <x:c r="E21" s="126" t="inlineStr">
        <x:is>
          <x:t xml:space="preserve">yes</x:t>
        </x:is>
      </x:c>
      <x:c r="F21" s="126" t="inlineStr">
        <x:is>
          <x:t xml:space="preserve">no</x:t>
        </x:is>
      </x:c>
      <x:c r="G21" s="126" t="inlineStr">
        <x:is>
          <x:t xml:space="preserve">Manual protocol not run.</x:t>
        </x:is>
      </x:c>
      <x:c r="H21" s="126" t="inlineStr">
        <x:is>
          <x:t xml:space="preserve">untested</x:t>
        </x:is>
      </x:c>
      <x:c r="I21" s="126" t="inlineStr">
        <x:is>
          <x:t xml:space="preserve">Data → Marquee and dedicated Marquee harness.</x:t>
        </x:is>
      </x:c>
      <x:c r="J21" s="126" t="inlineStr">
        <x:is>
          <x:t xml:space="preserve">Run playground/.manual-tests/marquee.md.</x:t>
        </x:is>
      </x:c>
      <x:c r="K21" s="126" t="n">
        <x:f>IF(AND(E21="yes",F21="yes",H21="covered"),1,IF(H21="partial",0.5,0))</x:f>
        <x:v>0</x:v>
      </x:c>
    </x:row>
    <x:row r="22" s="51" customFormat="1" ht="62" customHeight="1">
      <x:c r="A22" s="127" t="n">
        <x:v>14</x:v>
      </x:c>
      <x:c r="B22" s="127" t="inlineStr">
        <x:is>
          <x:t xml:space="preserve">Events</x:t>
        </x:is>
      </x:c>
      <x:c r="C22" s="127" t="inlineStr">
        <x:is>
          <x:t xml:space="preserve">Logs</x:t>
        </x:is>
      </x:c>
      <x:c r="D22" s="127" t="inlineStr">
        <x:is>
          <x:t xml:space="preserve">Pause, iteration and completion callbacks appear in clearable shared logs.</x:t>
        </x:is>
      </x:c>
      <x:c r="E22" s="127" t="inlineStr">
        <x:is>
          <x:t xml:space="preserve">yes</x:t>
        </x:is>
      </x:c>
      <x:c r="F22" s="127" t="inlineStr">
        <x:is>
          <x:t xml:space="preserve">no</x:t>
        </x:is>
      </x:c>
      <x:c r="G22" s="127" t="inlineStr">
        <x:is>
          <x:t xml:space="preserve">Manual protocol not run.</x:t>
        </x:is>
      </x:c>
      <x:c r="H22" s="127" t="inlineStr">
        <x:is>
          <x:t xml:space="preserve">untested</x:t>
        </x:is>
      </x:c>
      <x:c r="I22" s="127" t="inlineStr">
        <x:is>
          <x:t xml:space="preserve">Data → Marquee and dedicated Marquee harness.</x:t>
        </x:is>
      </x:c>
      <x:c r="J22" s="127" t="inlineStr">
        <x:is>
          <x:t xml:space="preserve">Run playground/.manual-tests/marquee.md.</x:t>
        </x:is>
      </x:c>
      <x:c r="K22" s="127" t="n">
        <x:f>IF(AND(E22="yes",F22="yes",H22="covered"),1,IF(H22="partial",0.5,0))</x:f>
        <x:v>0</x:v>
      </x:c>
    </x:row>
    <x:row r="23" s="51" customFormat="1" ht="62" customHeight="1">
      <x:c r="A23" s="126" t="n">
        <x:v>15</x:v>
      </x:c>
      <x:c r="B23" s="126" t="inlineStr">
        <x:is>
          <x:t xml:space="preserve">Lifecycle</x:t>
        </x:is>
      </x:c>
      <x:c r="C23" s="126" t="inlineStr">
        <x:is>
          <x:t xml:space="preserve">Restart</x:t>
        </x:is>
      </x:c>
      <x:c r="D23" s="126" t="inlineStr">
        <x:is>
          <x:t xml:space="preserve">Restart resets the finite run without duplicate completion callbacks.</x:t>
        </x:is>
      </x:c>
      <x:c r="E23" s="126" t="inlineStr">
        <x:is>
          <x:t xml:space="preserve">yes</x:t>
        </x:is>
      </x:c>
      <x:c r="F23" s="126" t="inlineStr">
        <x:is>
          <x:t xml:space="preserve">no</x:t>
        </x:is>
      </x:c>
      <x:c r="G23" s="126" t="inlineStr">
        <x:is>
          <x:t xml:space="preserve">Manual protocol not run.</x:t>
        </x:is>
      </x:c>
      <x:c r="H23" s="126" t="inlineStr">
        <x:is>
          <x:t xml:space="preserve">untested</x:t>
        </x:is>
      </x:c>
      <x:c r="I23" s="126" t="inlineStr">
        <x:is>
          <x:t xml:space="preserve">Data → Marquee and dedicated Marquee harness.</x:t>
        </x:is>
      </x:c>
      <x:c r="J23" s="126" t="inlineStr">
        <x:is>
          <x:t xml:space="preserve">Run playground/.manual-tests/marquee.md.</x:t>
        </x:is>
      </x:c>
      <x:c r="K23" s="126" t="n">
        <x:f>IF(AND(E23="yes",F23="yes",H23="covered"),1,IF(H23="partial",0.5,0))</x:f>
        <x:v>0</x:v>
      </x:c>
    </x:row>
    <x:row r="24" s="51" customFormat="1" ht="62" customHeight="1">
      <x:c r="A24" s="127" t="n">
        <x:v>16</x:v>
      </x:c>
      <x:c r="B24" s="127" t="inlineStr">
        <x:is>
          <x:t xml:space="preserve">Geometry</x:t>
        </x:is>
      </x:c>
      <x:c r="C24" s="127" t="inlineStr">
        <x:is>
          <x:t xml:space="preserve">Dedicated harness</x:t>
        </x:is>
      </x:c>
      <x:c r="D24" s="127" t="inlineStr">
        <x:is>
          <x:t xml:space="preserve">Hidden mount, resize and content changes recover at safe boundaries.</x:t>
        </x:is>
      </x:c>
      <x:c r="E24" s="127" t="inlineStr">
        <x:is>
          <x:t xml:space="preserve">yes</x:t>
        </x:is>
      </x:c>
      <x:c r="F24" s="127" t="inlineStr">
        <x:is>
          <x:t xml:space="preserve">no</x:t>
        </x:is>
      </x:c>
      <x:c r="G24" s="127" t="inlineStr">
        <x:is>
          <x:t xml:space="preserve">Manual protocol not run.</x:t>
        </x:is>
      </x:c>
      <x:c r="H24" s="127" t="inlineStr">
        <x:is>
          <x:t xml:space="preserve">untested</x:t>
        </x:is>
      </x:c>
      <x:c r="I24" s="127" t="inlineStr">
        <x:is>
          <x:t xml:space="preserve">Data → Marquee and dedicated Marquee harness.</x:t>
        </x:is>
      </x:c>
      <x:c r="J24" s="127" t="inlineStr">
        <x:is>
          <x:t xml:space="preserve">Run playground/.manual-tests/marquee.md.</x:t>
        </x:is>
      </x:c>
      <x:c r="K24" s="127" t="n">
        <x:f>IF(AND(E24="yes",F24="yes",H24="covered"),1,IF(H24="partial",0.5,0))</x:f>
        <x:v>0</x:v>
      </x:c>
    </x:row>
    <x:row r="25" s="51" customFormat="1" ht="62" customHeight="1">
      <x:c r="A25" s="126" t="n">
        <x:v>17</x:v>
      </x:c>
      <x:c r="B25" s="126" t="inlineStr">
        <x:is>
          <x:t xml:space="preserve">Preferences</x:t>
        </x:is>
      </x:c>
      <x:c r="C25" s="126" t="inlineStr">
        <x:is>
          <x:t xml:space="preserve">Manual devices</x:t>
        </x:is>
      </x:c>
      <x:c r="D25" s="126" t="inlineStr">
        <x:is>
          <x:t xml:space="preserve">Actual zoom, screen-reader, forced colors and physical touch checks.</x:t>
        </x:is>
      </x:c>
      <x:c r="E25" s="126" t="inlineStr">
        <x:is>
          <x:t xml:space="preserve">yes</x:t>
        </x:is>
      </x:c>
      <x:c r="F25" s="126" t="inlineStr">
        <x:is>
          <x:t xml:space="preserve">no</x:t>
        </x:is>
      </x:c>
      <x:c r="G25" s="126" t="inlineStr">
        <x:is>
          <x:t xml:space="preserve">Manual protocol not run.</x:t>
        </x:is>
      </x:c>
      <x:c r="H25" s="126" t="inlineStr">
        <x:is>
          <x:t xml:space="preserve">untested</x:t>
        </x:is>
      </x:c>
      <x:c r="I25" s="126" t="inlineStr">
        <x:is>
          <x:t xml:space="preserve">Data → Marquee and dedicated Marquee harness.</x:t>
        </x:is>
      </x:c>
      <x:c r="J25" s="126" t="inlineStr">
        <x:is>
          <x:t xml:space="preserve">Run playground/.manual-tests/marquee.md.</x:t>
        </x:is>
      </x:c>
      <x:c r="K25" s="126" t="n">
        <x:f>IF(AND(E25="yes",F25="yes",H25="covered"),1,IF(H25="partial",0.5,0))</x:f>
        <x:v>0</x:v>
      </x:c>
    </x:row>
  </x:sheetData>
  <x:mergeCells>
    <x:mergeCell ref="A2:K2"/>
    <x:mergeCell ref="A6:K6"/>
    <x:mergeCell ref="A1:K1"/>
  </x:mergeCells>
  <x:dataValidations count="2">
    <x:dataValidation type="list" allowBlank="0" showDropDown="0" showInputMessage="0" showErrorMessage="0" sqref="E9:F25">
      <x:formula1>"yes,no"</x:formula1>
    </x:dataValidation>
    <x:dataValidation type="list" allowBlank="0" showDropDown="0" showInputMessage="0" showErrorMessage="0" sqref="H9:H25">
      <x:formula1>"covered,partial,missing,untested"</x:formula1>
    </x:dataValidation>
  </x:dataValidation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baseColWidth="8" defaultRowHeight="15"/>
  <x:cols>
    <x:col min="1" max="1" width="10" style="51" customWidth="1"/>
    <x:col min="2" max="2" width="18" style="51" customWidth="1"/>
    <x:col min="3" max="3" width="22" style="51" customWidth="1"/>
    <x:col min="4" max="4" width="55" style="51" customWidth="1"/>
    <x:col min="5" max="5" width="15" style="51" customWidth="1"/>
    <x:col min="6" max="6" width="12" style="51" customWidth="1"/>
    <x:col min="7" max="7" width="18" style="51" customWidth="1"/>
    <x:col min="8" max="8" width="18" style="51" customWidth="1"/>
    <x:col min="9" max="9" width="48" style="51" customWidth="1"/>
    <x:col min="10" max="10" width="48" style="51" customWidth="1"/>
    <x:col min="11" max="11" width="12" style="51" customWidth="1"/>
  </x:cols>
  <x:sheetData>
    <x:row r="1">
      <x:c r="A1" t="inlineStr">
        <x:is>
          <x:t xml:space="preserve">TableOfContents Manual Coverage</x:t>
        </x:is>
      </x:c>
      <x:c r="B1" t="n"/>
      <x:c r="C1" t="n"/>
      <x:c r="D1" t="n"/>
      <x:c r="E1" t="n"/>
      <x:c r="F1" t="n"/>
      <x:c r="G1" t="n"/>
      <x:c r="H1" t="n"/>
      <x:c r="I1" t="n"/>
      <x:c r="J1" t="n"/>
      <x:c r="K1" t="n"/>
    </x:row>
    <x:row r="2">
      <x:c r="A2" t="inlineStr">
        <x:is>
          <x:t xml:space="preserve">Manual protocol only. Automated test results do not mark these checks covered.</x:t>
        </x:is>
      </x:c>
      <x:c r="B2" t="n"/>
      <x:c r="C2" t="n"/>
      <x:c r="D2" t="n"/>
      <x:c r="E2" t="n"/>
      <x:c r="F2" t="n"/>
      <x:c r="G2" t="n"/>
      <x:c r="H2" t="n"/>
      <x:c r="I2" t="n"/>
      <x:c r="J2" t="n"/>
      <x:c r="K2" t="n"/>
    </x:row>
    <x:row r="3">
      <x:c r="A3" t="n"/>
      <x:c r="B3" t="n"/>
      <x:c r="C3" t="n"/>
      <x:c r="D3" t="n"/>
      <x:c r="E3" t="n"/>
      <x:c r="F3" t="n"/>
      <x:c r="G3" t="n"/>
      <x:c r="H3" t="n"/>
      <x:c r="I3" t="n"/>
      <x:c r="J3" t="n"/>
      <x:c r="K3" t="n"/>
    </x:row>
    <x:row r="4">
      <x:c r="A4" t="inlineStr">
        <x:is>
          <x:t xml:space="preserve">Coverage</x:t>
        </x:is>
      </x:c>
      <x:c r="B4" s="135" t="n">
        <x:f>IFERROR(D4/COUNTA(A9:A1000),0)</x:f>
        <x:v>0</x:v>
      </x:c>
      <x:c r="C4" t="inlineStr">
        <x:is>
          <x:t xml:space="preserve">Covered</x:t>
        </x:is>
      </x:c>
      <x:c r="D4" t="n">
        <x:f>COUNTIF(H9:H1000,"covered")</x:f>
        <x:v>0</x:v>
      </x:c>
      <x:c r="E4" t="inlineStr">
        <x:is>
          <x:t xml:space="preserve">Partial</x:t>
        </x:is>
      </x:c>
      <x:c r="F4" t="n">
        <x:f>COUNTIF(H9:H1000,"partial")</x:f>
        <x:v>0</x:v>
      </x:c>
      <x:c r="G4" t="inlineStr">
        <x:is>
          <x:t xml:space="preserve">Missing</x:t>
        </x:is>
      </x:c>
      <x:c r="H4" t="n">
        <x:f>COUNTIF(H9:H1000,"missing")</x:f>
        <x:v>0</x:v>
      </x:c>
      <x:c r="I4" t="inlineStr">
        <x:is>
          <x:t xml:space="preserve">Untested</x:t>
        </x:is>
      </x:c>
      <x:c r="J4" t="n">
        <x:f>COUNTIF(H9:H1000,"untested")</x:f>
        <x:v>10</x:v>
      </x:c>
      <x:c r="K4" t="n"/>
    </x:row>
    <x:row r="5">
      <x:c r="A5" t="n"/>
      <x:c r="B5" t="n"/>
      <x:c r="C5" t="n"/>
      <x:c r="D5" t="n"/>
      <x:c r="E5" t="n"/>
      <x:c r="F5" t="n"/>
      <x:c r="G5" t="n"/>
      <x:c r="H5" t="n"/>
      <x:c r="I5" t="n"/>
      <x:c r="J5" t="n"/>
      <x:c r="K5" t="n"/>
    </x:row>
    <x:row r="6">
      <x:c r="A6" t="n"/>
      <x:c r="B6" t="n"/>
      <x:c r="C6" t="n"/>
      <x:c r="D6" t="n"/>
      <x:c r="E6" t="n"/>
      <x:c r="F6" t="n"/>
      <x:c r="G6" t="n"/>
      <x:c r="H6" t="n"/>
      <x:c r="I6" t="n"/>
      <x:c r="J6" t="n"/>
      <x:c r="K6" t="n"/>
    </x:row>
    <x:row r="7">
      <x:c r="A7" t="n"/>
      <x:c r="B7" t="n"/>
      <x:c r="C7" t="n"/>
      <x:c r="D7" t="n"/>
      <x:c r="E7" t="n"/>
      <x:c r="F7" t="n"/>
      <x:c r="G7" t="n"/>
      <x:c r="H7" t="n"/>
      <x:c r="I7" t="n"/>
      <x:c r="J7" t="n"/>
      <x:c r="K7" t="n"/>
    </x:row>
    <x:row r="8">
      <x:c r="A8" s="137" t="inlineStr">
        <x:is>
          <x:t xml:space="preserve">ID</x:t>
        </x:is>
      </x:c>
      <x:c r="B8" s="137" t="inlineStr">
        <x:is>
          <x:t xml:space="preserve">Area</x:t>
        </x:is>
      </x:c>
      <x:c r="C8" s="137" t="inlineStr">
        <x:is>
          <x:t xml:space="preserve">Part</x:t>
        </x:is>
      </x:c>
      <x:c r="D8" s="137" t="inlineStr">
        <x:is>
          <x:t xml:space="preserve">Test item</x:t>
        </x:is>
      </x:c>
      <x:c r="E8" s="137" t="inlineStr">
        <x:is>
          <x:t xml:space="preserve">Implemented</x:t>
        </x:is>
      </x:c>
      <x:c r="F8" s="137" t="inlineStr">
        <x:is>
          <x:t xml:space="preserve">Tested</x:t>
        </x:is>
      </x:c>
      <x:c r="G8" s="137" t="inlineStr">
        <x:is>
          <x:t xml:space="preserve">Result</x:t>
        </x:is>
      </x:c>
      <x:c r="H8" s="137" t="inlineStr">
        <x:is>
          <x:t xml:space="preserve">Coverage Status</x:t>
        </x:is>
      </x:c>
      <x:c r="I8" s="137" t="inlineStr">
        <x:is>
          <x:t xml:space="preserve">Currently covered by</x:t>
        </x:is>
      </x:c>
      <x:c r="J8" s="137" t="inlineStr">
        <x:is>
          <x:t xml:space="preserve">Missing / next step</x:t>
        </x:is>
      </x:c>
      <x:c r="K8" s="137" t="inlineStr">
        <x:is>
          <x:t xml:space="preserve">Score</x:t>
        </x:is>
      </x:c>
    </x:row>
    <x:row r="9" s="51" customFormat="1" ht="50" customHeight="1">
      <x:c r="A9" s="137" t="n">
        <x:v>1</x:v>
      </x:c>
      <x:c r="B9" s="137" t="inlineStr">
        <x:is>
          <x:t xml:space="preserve">Navigation</x:t>
        </x:is>
      </x:c>
      <x:c r="C9" s="137" t="inlineStr">
        <x:is>
          <x:t xml:space="preserve">TableOfContents</x:t>
        </x:is>
      </x:c>
      <x:c r="D9" s="137" t="inlineStr">
        <x:is>
          <x:t xml:space="preserve">Keyboard and pointer navigation</x:t>
        </x:is>
      </x:c>
      <x:c r="E9" s="137" t="inlineStr">
        <x:is>
          <x:t xml:space="preserve">yes</x:t>
        </x:is>
      </x:c>
      <x:c r="F9" s="137" t="inlineStr">
        <x:is>
          <x:t xml:space="preserve">no</x:t>
        </x:is>
      </x:c>
      <x:c r="G9" s="137" t="inlineStr">
        <x:is>
          <x:t xml:space="preserve">Not run</x:t>
        </x:is>
      </x:c>
      <x:c r="H9" s="137" t="inlineStr">
        <x:is>
          <x:t xml:space="preserve">untested</x:t>
        </x:is>
      </x:c>
      <x:c r="I9" s="137" t="inlineStr">
        <x:is>
          <x:t xml:space="preserve">manual-tests/table-of-contents.md</x:t>
        </x:is>
      </x:c>
      <x:c r="J9" s="137" t="inlineStr">
        <x:is>
          <x:t xml:space="preserve">Perform protocol and record environment</x:t>
        </x:is>
      </x:c>
      <x:c r="K9" s="137" t="n">
        <x:v>0</x:v>
      </x:c>
    </x:row>
    <x:row r="10" s="51" customFormat="1" ht="50" customHeight="1">
      <x:c r="A10" s="137" t="n">
        <x:v>2</x:v>
      </x:c>
      <x:c r="B10" s="137" t="inlineStr">
        <x:is>
          <x:t xml:space="preserve">Navigation</x:t>
        </x:is>
      </x:c>
      <x:c r="C10" s="137" t="inlineStr">
        <x:is>
          <x:t xml:space="preserve">TableOfContents</x:t>
        </x:is>
      </x:c>
      <x:c r="D10" s="137" t="inlineStr">
        <x:is>
          <x:t xml:space="preserve">Long sections and final short section</x:t>
        </x:is>
      </x:c>
      <x:c r="E10" s="137" t="inlineStr">
        <x:is>
          <x:t xml:space="preserve">yes</x:t>
        </x:is>
      </x:c>
      <x:c r="F10" s="137" t="inlineStr">
        <x:is>
          <x:t xml:space="preserve">no</x:t>
        </x:is>
      </x:c>
      <x:c r="G10" s="137" t="inlineStr">
        <x:is>
          <x:t xml:space="preserve">Not run</x:t>
        </x:is>
      </x:c>
      <x:c r="H10" s="137" t="inlineStr">
        <x:is>
          <x:t xml:space="preserve">untested</x:t>
        </x:is>
      </x:c>
      <x:c r="I10" s="137" t="inlineStr">
        <x:is>
          <x:t xml:space="preserve">manual-tests/table-of-contents.md</x:t>
        </x:is>
      </x:c>
      <x:c r="J10" s="137" t="inlineStr">
        <x:is>
          <x:t xml:space="preserve">Perform protocol and record environment</x:t>
        </x:is>
      </x:c>
      <x:c r="K10" s="137" t="n">
        <x:v>0</x:v>
      </x:c>
    </x:row>
    <x:row r="11" s="51" customFormat="1" ht="50" customHeight="1">
      <x:c r="A11" s="137" t="n">
        <x:v>3</x:v>
      </x:c>
      <x:c r="B11" s="137" t="inlineStr">
        <x:is>
          <x:t xml:space="preserve">Navigation</x:t>
        </x:is>
      </x:c>
      <x:c r="C11" s="137" t="inlineStr">
        <x:is>
          <x:t xml:space="preserve">TableOfContents</x:t>
        </x:is>
      </x:c>
      <x:c r="D11" s="137" t="inlineStr">
        <x:is>
          <x:t xml:space="preserve">Repeated navigation and user interruption</x:t>
        </x:is>
      </x:c>
      <x:c r="E11" s="137" t="inlineStr">
        <x:is>
          <x:t xml:space="preserve">yes</x:t>
        </x:is>
      </x:c>
      <x:c r="F11" s="137" t="inlineStr">
        <x:is>
          <x:t xml:space="preserve">no</x:t>
        </x:is>
      </x:c>
      <x:c r="G11" s="137" t="inlineStr">
        <x:is>
          <x:t xml:space="preserve">Not run</x:t>
        </x:is>
      </x:c>
      <x:c r="H11" s="137" t="inlineStr">
        <x:is>
          <x:t xml:space="preserve">untested</x:t>
        </x:is>
      </x:c>
      <x:c r="I11" s="137" t="inlineStr">
        <x:is>
          <x:t xml:space="preserve">manual-tests/table-of-contents.md</x:t>
        </x:is>
      </x:c>
      <x:c r="J11" s="137" t="inlineStr">
        <x:is>
          <x:t xml:space="preserve">Perform protocol and record environment</x:t>
        </x:is>
      </x:c>
      <x:c r="K11" s="137" t="n">
        <x:v>0</x:v>
      </x:c>
    </x:row>
    <x:row r="12" s="51" customFormat="1" ht="50" customHeight="1">
      <x:c r="A12" s="137" t="n">
        <x:v>4</x:v>
      </x:c>
      <x:c r="B12" s="137" t="inlineStr">
        <x:is>
          <x:t xml:space="preserve">Navigation</x:t>
        </x:is>
      </x:c>
      <x:c r="C12" s="137" t="inlineStr">
        <x:is>
          <x:t xml:space="preserve">TableOfContents</x:t>
        </x:is>
      </x:c>
      <x:c r="D12" s="137" t="inlineStr">
        <x:is>
          <x:t xml:space="preserve">Remove and restore a target</x:t>
        </x:is>
      </x:c>
      <x:c r="E12" s="137" t="inlineStr">
        <x:is>
          <x:t xml:space="preserve">yes</x:t>
        </x:is>
      </x:c>
      <x:c r="F12" s="137" t="inlineStr">
        <x:is>
          <x:t xml:space="preserve">no</x:t>
        </x:is>
      </x:c>
      <x:c r="G12" s="137" t="inlineStr">
        <x:is>
          <x:t xml:space="preserve">Not run</x:t>
        </x:is>
      </x:c>
      <x:c r="H12" s="137" t="inlineStr">
        <x:is>
          <x:t xml:space="preserve">untested</x:t>
        </x:is>
      </x:c>
      <x:c r="I12" s="137" t="inlineStr">
        <x:is>
          <x:t xml:space="preserve">manual-tests/table-of-contents.md</x:t>
        </x:is>
      </x:c>
      <x:c r="J12" s="137" t="inlineStr">
        <x:is>
          <x:t xml:space="preserve">Perform protocol and record environment</x:t>
        </x:is>
      </x:c>
      <x:c r="K12" s="137" t="n">
        <x:v>0</x:v>
      </x:c>
    </x:row>
    <x:row r="13" s="51" customFormat="1" ht="50" customHeight="1">
      <x:c r="A13" s="137" t="n">
        <x:v>5</x:v>
      </x:c>
      <x:c r="B13" s="137" t="inlineStr">
        <x:is>
          <x:t xml:space="preserve">Navigation</x:t>
        </x:is>
      </x:c>
      <x:c r="C13" s="137" t="inlineStr">
        <x:is>
          <x:t xml:space="preserve">TableOfContents</x:t>
        </x:is>
      </x:c>
      <x:c r="D13" s="137" t="inlineStr">
        <x:is>
          <x:t xml:space="preserve">Controlled update refusal</x:t>
        </x:is>
      </x:c>
      <x:c r="E13" s="137" t="inlineStr">
        <x:is>
          <x:t xml:space="preserve">yes</x:t>
        </x:is>
      </x:c>
      <x:c r="F13" s="137" t="inlineStr">
        <x:is>
          <x:t xml:space="preserve">no</x:t>
        </x:is>
      </x:c>
      <x:c r="G13" s="137" t="inlineStr">
        <x:is>
          <x:t xml:space="preserve">Not run</x:t>
        </x:is>
      </x:c>
      <x:c r="H13" s="137" t="inlineStr">
        <x:is>
          <x:t xml:space="preserve">untested</x:t>
        </x:is>
      </x:c>
      <x:c r="I13" s="137" t="inlineStr">
        <x:is>
          <x:t xml:space="preserve">manual-tests/table-of-contents.md</x:t>
        </x:is>
      </x:c>
      <x:c r="J13" s="137" t="inlineStr">
        <x:is>
          <x:t xml:space="preserve">Perform protocol and record environment</x:t>
        </x:is>
      </x:c>
      <x:c r="K13" s="137" t="n">
        <x:v>0</x:v>
      </x:c>
    </x:row>
    <x:row r="14" s="51" customFormat="1" ht="50" customHeight="1">
      <x:c r="A14" s="137" t="n">
        <x:v>6</x:v>
      </x:c>
      <x:c r="B14" s="137" t="inlineStr">
        <x:is>
          <x:t xml:space="preserve">Navigation</x:t>
        </x:is>
      </x:c>
      <x:c r="C14" s="137" t="inlineStr">
        <x:is>
          <x:t xml:space="preserve">TableOfContents</x:t>
        </x:is>
      </x:c>
      <x:c r="D14" s="137" t="inlineStr">
        <x:is>
          <x:t xml:space="preserve">Native fragments, modifiers and history</x:t>
        </x:is>
      </x:c>
      <x:c r="E14" s="137" t="inlineStr">
        <x:is>
          <x:t xml:space="preserve">yes</x:t>
        </x:is>
      </x:c>
      <x:c r="F14" s="137" t="inlineStr">
        <x:is>
          <x:t xml:space="preserve">no</x:t>
        </x:is>
      </x:c>
      <x:c r="G14" s="137" t="inlineStr">
        <x:is>
          <x:t xml:space="preserve">Not run</x:t>
        </x:is>
      </x:c>
      <x:c r="H14" s="137" t="inlineStr">
        <x:is>
          <x:t xml:space="preserve">untested</x:t>
        </x:is>
      </x:c>
      <x:c r="I14" s="137" t="inlineStr">
        <x:is>
          <x:t xml:space="preserve">manual-tests/table-of-contents.md</x:t>
        </x:is>
      </x:c>
      <x:c r="J14" s="137" t="inlineStr">
        <x:is>
          <x:t xml:space="preserve">Perform protocol and record environment</x:t>
        </x:is>
      </x:c>
      <x:c r="K14" s="137" t="n">
        <x:v>0</x:v>
      </x:c>
    </x:row>
    <x:row r="15" s="51" customFormat="1" ht="50" customHeight="1">
      <x:c r="A15" s="137" t="n">
        <x:v>7</x:v>
      </x:c>
      <x:c r="B15" s="137" t="inlineStr">
        <x:is>
          <x:t xml:space="preserve">Navigation</x:t>
        </x:is>
      </x:c>
      <x:c r="C15" s="137" t="inlineStr">
        <x:is>
          <x:t xml:space="preserve">TableOfContents</x:t>
        </x:is>
      </x:c>
      <x:c r="D15" s="137" t="inlineStr">
        <x:is>
          <x:t xml:space="preserve">Independent rail scrolling and passive focus</x:t>
        </x:is>
      </x:c>
      <x:c r="E15" s="137" t="inlineStr">
        <x:is>
          <x:t xml:space="preserve">yes</x:t>
        </x:is>
      </x:c>
      <x:c r="F15" s="137" t="inlineStr">
        <x:is>
          <x:t xml:space="preserve">no</x:t>
        </x:is>
      </x:c>
      <x:c r="G15" s="137" t="inlineStr">
        <x:is>
          <x:t xml:space="preserve">Not run</x:t>
        </x:is>
      </x:c>
      <x:c r="H15" s="137" t="inlineStr">
        <x:is>
          <x:t xml:space="preserve">untested</x:t>
        </x:is>
      </x:c>
      <x:c r="I15" s="137" t="inlineStr">
        <x:is>
          <x:t xml:space="preserve">manual-tests/table-of-contents.md</x:t>
        </x:is>
      </x:c>
      <x:c r="J15" s="137" t="inlineStr">
        <x:is>
          <x:t xml:space="preserve">Perform protocol and record environment</x:t>
        </x:is>
      </x:c>
      <x:c r="K15" s="137" t="n">
        <x:v>0</x:v>
      </x:c>
    </x:row>
    <x:row r="16" s="51" customFormat="1" ht="50" customHeight="1">
      <x:c r="A16" s="137" t="n">
        <x:v>8</x:v>
      </x:c>
      <x:c r="B16" s="137" t="inlineStr">
        <x:is>
          <x:t xml:space="preserve">Navigation</x:t>
        </x:is>
      </x:c>
      <x:c r="C16" s="137" t="inlineStr">
        <x:is>
          <x:t xml:space="preserve">TableOfContents</x:t>
        </x:is>
      </x:c>
      <x:c r="D16" s="137" t="inlineStr">
        <x:is>
          <x:t xml:space="preserve">Reduced motion, missing observers and lifecycle</x:t>
        </x:is>
      </x:c>
      <x:c r="E16" s="137" t="inlineStr">
        <x:is>
          <x:t xml:space="preserve">yes</x:t>
        </x:is>
      </x:c>
      <x:c r="F16" s="137" t="inlineStr">
        <x:is>
          <x:t xml:space="preserve">no</x:t>
        </x:is>
      </x:c>
      <x:c r="G16" s="137" t="inlineStr">
        <x:is>
          <x:t xml:space="preserve">Not run</x:t>
        </x:is>
      </x:c>
      <x:c r="H16" s="137" t="inlineStr">
        <x:is>
          <x:t xml:space="preserve">untested</x:t>
        </x:is>
      </x:c>
      <x:c r="I16" s="137" t="inlineStr">
        <x:is>
          <x:t xml:space="preserve">manual-tests/table-of-contents.md</x:t>
        </x:is>
      </x:c>
      <x:c r="J16" s="137" t="inlineStr">
        <x:is>
          <x:t xml:space="preserve">Perform protocol and record environment</x:t>
        </x:is>
      </x:c>
      <x:c r="K16" s="137" t="n">
        <x:v>0</x:v>
      </x:c>
    </x:row>
    <x:row r="17" s="51" customFormat="1" ht="50" customHeight="1">
      <x:c r="A17" s="137" t="n">
        <x:v>9</x:v>
      </x:c>
      <x:c r="B17" s="137" t="inlineStr">
        <x:is>
          <x:t xml:space="preserve">Navigation</x:t>
        </x:is>
      </x:c>
      <x:c r="C17" s="137" t="inlineStr">
        <x:is>
          <x:t xml:space="preserve">TableOfContents</x:t>
        </x:is>
      </x:c>
      <x:c r="D17" s="137" t="inlineStr">
        <x:is>
          <x:t xml:space="preserve">Screen reader semantics and focus</x:t>
        </x:is>
      </x:c>
      <x:c r="E17" s="137" t="inlineStr">
        <x:is>
          <x:t xml:space="preserve">yes</x:t>
        </x:is>
      </x:c>
      <x:c r="F17" s="137" t="inlineStr">
        <x:is>
          <x:t xml:space="preserve">no</x:t>
        </x:is>
      </x:c>
      <x:c r="G17" s="137" t="inlineStr">
        <x:is>
          <x:t xml:space="preserve">Not run</x:t>
        </x:is>
      </x:c>
      <x:c r="H17" s="137" t="inlineStr">
        <x:is>
          <x:t xml:space="preserve">untested</x:t>
        </x:is>
      </x:c>
      <x:c r="I17" s="137" t="inlineStr">
        <x:is>
          <x:t xml:space="preserve">manual-tests/table-of-contents.md</x:t>
        </x:is>
      </x:c>
      <x:c r="J17" s="137" t="inlineStr">
        <x:is>
          <x:t xml:space="preserve">Perform protocol and record environment</x:t>
        </x:is>
      </x:c>
      <x:c r="K17" s="137" t="n">
        <x:v>0</x:v>
      </x:c>
    </x:row>
    <x:row r="18" s="51" customFormat="1" ht="50" customHeight="1">
      <x:c r="A18" s="137" t="n">
        <x:v>10</x:v>
      </x:c>
      <x:c r="B18" s="137" t="inlineStr">
        <x:is>
          <x:t xml:space="preserve">Navigation</x:t>
        </x:is>
      </x:c>
      <x:c r="C18" s="137" t="inlineStr">
        <x:is>
          <x:t xml:space="preserve">TableOfContents</x:t>
        </x:is>
      </x:c>
      <x:c r="D18" s="137" t="inlineStr">
        <x:is>
          <x:t xml:space="preserve">Actual browser zoom and physical touch</x:t>
        </x:is>
      </x:c>
      <x:c r="E18" s="137" t="inlineStr">
        <x:is>
          <x:t xml:space="preserve">yes</x:t>
        </x:is>
      </x:c>
      <x:c r="F18" s="137" t="inlineStr">
        <x:is>
          <x:t xml:space="preserve">no</x:t>
        </x:is>
      </x:c>
      <x:c r="G18" s="137" t="inlineStr">
        <x:is>
          <x:t xml:space="preserve">Not run</x:t>
        </x:is>
      </x:c>
      <x:c r="H18" s="137" t="inlineStr">
        <x:is>
          <x:t xml:space="preserve">untested</x:t>
        </x:is>
      </x:c>
      <x:c r="I18" s="137" t="inlineStr">
        <x:is>
          <x:t xml:space="preserve">manual-tests/table-of-contents.md</x:t>
        </x:is>
      </x:c>
      <x:c r="J18" s="137" t="inlineStr">
        <x:is>
          <x:t xml:space="preserve">Perform protocol and record environment</x:t>
        </x:is>
      </x:c>
      <x:c r="K18" s="137" t="n">
        <x:v>0</x:v>
      </x:c>
    </x:row>
    <x:row r="19">
      <x:c r="A19" t="n"/>
      <x:c r="B19" t="n"/>
      <x:c r="C19" t="n"/>
      <x:c r="D19" t="n"/>
      <x:c r="E19" t="n"/>
      <x:c r="F19" t="n"/>
      <x:c r="G19" t="n"/>
      <x:c r="H19" t="n"/>
      <x:c r="I19" t="n"/>
      <x:c r="J19" t="n"/>
      <x:c r="K19" t="n"/>
    </x:row>
    <x:row r="20">
      <x:c r="A20" t="n"/>
      <x:c r="B20" t="n"/>
      <x:c r="C20" t="n"/>
      <x:c r="D20" t="n"/>
      <x:c r="E20" t="n"/>
      <x:c r="F20" t="n"/>
      <x:c r="G20" t="n"/>
      <x:c r="H20" t="n"/>
      <x:c r="I20" t="n"/>
      <x:c r="J20" t="n"/>
      <x:c r="K20" t="n"/>
    </x:row>
    <x:row r="21">
      <x:c r="A21" t="n"/>
      <x:c r="B21" t="n"/>
      <x:c r="C21" t="n"/>
      <x:c r="D21" t="n"/>
      <x:c r="E21" t="n"/>
      <x:c r="F21" t="n"/>
      <x:c r="G21" t="n"/>
      <x:c r="H21" t="n"/>
      <x:c r="I21" t="n"/>
      <x:c r="J21" t="n"/>
      <x:c r="K21" t="n"/>
    </x:row>
    <x:row r="22">
      <x:c r="A22" t="n"/>
      <x:c r="B22" t="n"/>
      <x:c r="C22" t="n"/>
      <x:c r="D22" t="n"/>
      <x:c r="E22" t="n"/>
      <x:c r="F22" t="n"/>
      <x:c r="G22" t="n"/>
      <x:c r="H22" t="n"/>
      <x:c r="I22" t="n"/>
      <x:c r="J22" t="n"/>
      <x:c r="K22" t="n"/>
    </x:row>
    <x:row r="23">
      <x:c r="A23" t="n"/>
      <x:c r="B23" t="n"/>
      <x:c r="C23" t="n"/>
      <x:c r="D23" t="n"/>
      <x:c r="E23" t="n"/>
      <x:c r="F23" t="n"/>
      <x:c r="G23" t="n"/>
      <x:c r="H23" t="n"/>
      <x:c r="I23" t="n"/>
      <x:c r="J23" t="n"/>
      <x:c r="K23" t="n"/>
    </x:row>
    <x:row r="24">
      <x:c r="A24" t="n"/>
      <x:c r="B24" t="n"/>
      <x:c r="C24" t="n"/>
      <x:c r="D24" t="n"/>
      <x:c r="E24" t="n"/>
      <x:c r="F24" t="n"/>
      <x:c r="G24" t="n"/>
      <x:c r="H24" t="n"/>
      <x:c r="I24" t="n"/>
      <x:c r="J24" t="n"/>
      <x:c r="K24" t="n"/>
    </x:row>
    <x:row r="25">
      <x:c r="A25" t="n"/>
      <x:c r="B25" t="n"/>
      <x:c r="C25" t="n"/>
      <x:c r="D25" t="n"/>
      <x:c r="E25" t="n"/>
      <x:c r="F25" t="n"/>
      <x:c r="G25" t="n"/>
      <x:c r="H25" t="n"/>
      <x:c r="I25" t="n"/>
      <x:c r="J25" t="n"/>
      <x:c r="K25" t="n"/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baseColWidth="8" defaultRowHeight="15"/>
  <x:cols>
    <x:col min="1" max="1" width="8" style="51" customWidth="1"/>
    <x:col min="2" max="2" width="18" style="51" customWidth="1"/>
    <x:col min="3" max="3" width="22" style="51" customWidth="1"/>
    <x:col min="4" max="4" width="52" style="51" customWidth="1"/>
    <x:col min="5" max="5" width="14" style="51" customWidth="1"/>
    <x:col min="6" max="6" width="12" style="51" customWidth="1"/>
    <x:col min="7" max="7" width="18" style="51" customWidth="1"/>
    <x:col min="8" max="8" width="18" style="51" customWidth="1"/>
    <x:col min="9" max="9" width="38" style="51" customWidth="1"/>
    <x:col min="10" max="10" width="38" style="51" customWidth="1"/>
    <x:col min="11" max="11" width="10" style="51" customWidth="1"/>
  </x:cols>
  <x:sheetData>
    <x:row r="1">
      <x:c r="A1" t="inlineStr">
        <x:is>
          <x:t xml:space="preserve">Selection Playground Coverage</x:t>
        </x:is>
      </x:c>
      <x:c r="B1" t="n"/>
      <x:c r="C1" t="n"/>
      <x:c r="D1" t="n"/>
      <x:c r="E1" t="n"/>
      <x:c r="F1" t="n"/>
      <x:c r="G1" t="n"/>
      <x:c r="H1" t="n"/>
      <x:c r="I1" t="n"/>
      <x:c r="J1" t="n"/>
      <x:c r="K1" t="n"/>
    </x:row>
    <x:row r="2">
      <x:c r="A2" t="inlineStr">
        <x:is>
          <x:t xml:space="preserve">Tracks manual playground coverage only. Rows that are not applicable to this component are removed, not counted as covered.</x:t>
        </x:is>
      </x:c>
      <x:c r="B2" t="n"/>
      <x:c r="C2" t="n"/>
      <x:c r="D2" t="n"/>
      <x:c r="E2" t="n"/>
      <x:c r="F2" t="n"/>
      <x:c r="G2" t="n"/>
      <x:c r="H2" t="n"/>
      <x:c r="I2" t="n"/>
      <x:c r="J2" t="n"/>
      <x:c r="K2" t="n"/>
    </x:row>
    <x:row r="3">
      <x:c r="A3" t="n"/>
      <x:c r="B3" t="n"/>
      <x:c r="C3" t="n"/>
      <x:c r="D3" t="n"/>
      <x:c r="E3" t="n"/>
      <x:c r="F3" t="n"/>
      <x:c r="G3" t="n"/>
      <x:c r="H3" t="n"/>
      <x:c r="I3" t="n"/>
      <x:c r="J3" t="n"/>
      <x:c r="K3" t="n"/>
    </x:row>
    <x:row r="4">
      <x:c r="A4" t="inlineStr">
        <x:is>
          <x:t xml:space="preserve">Coverage</x:t>
        </x:is>
      </x:c>
      <x:c r="B4" t="n">
        <x:f>IFERROR(SUM(K9:K13)/COUNTA(A9:A13),0)</x:f>
        <x:v>0</x:v>
      </x:c>
      <x:c r="C4" t="inlineStr">
        <x:is>
          <x:t xml:space="preserve">Covered</x:t>
        </x:is>
      </x:c>
      <x:c r="D4" t="n">
        <x:f>COUNTIF(H9:H31,"covered")</x:f>
        <x:v>0</x:v>
      </x:c>
      <x:c r="E4" t="inlineStr">
        <x:is>
          <x:t xml:space="preserve">Partial</x:t>
        </x:is>
      </x:c>
      <x:c r="F4" t="n">
        <x:f>COUNTIF(H9:H31,"partial")</x:f>
        <x:v>0</x:v>
      </x:c>
      <x:c r="G4" t="inlineStr">
        <x:is>
          <x:t xml:space="preserve">Missing</x:t>
        </x:is>
      </x:c>
      <x:c r="H4" t="n">
        <x:f>COUNTIF(H9:H31,"missing")</x:f>
        <x:v>0</x:v>
      </x:c>
      <x:c r="I4" t="inlineStr">
        <x:is>
          <x:t xml:space="preserve">Untested</x:t>
        </x:is>
      </x:c>
      <x:c r="J4" t="n">
        <x:f>COUNTIF(F9:F31,"no")</x:f>
        <x:v>5</x:v>
      </x:c>
      <x:c r="K4" t="n"/>
    </x:row>
    <x:row r="5">
      <x:c r="A5" t="n"/>
      <x:c r="B5" t="n"/>
      <x:c r="C5" t="n"/>
      <x:c r="D5" t="n"/>
      <x:c r="E5" t="n"/>
      <x:c r="F5" t="n"/>
      <x:c r="G5" t="n"/>
      <x:c r="H5" t="n"/>
      <x:c r="I5" t="n"/>
      <x:c r="J5" t="n"/>
      <x:c r="K5" t="n"/>
    </x:row>
    <x:row r="6">
      <x:c r="A6" t="inlineStr">
        <x:is>
          <x:t xml:space="preserve">Scoring: completion is SUM(Score) / total playground rows. Score is formula-driven from Implemented, Tested, and Coverage Status.</x:t>
        </x:is>
      </x:c>
      <x:c r="B6" t="n"/>
      <x:c r="C6" t="n"/>
      <x:c r="D6" t="n"/>
      <x:c r="E6" t="n"/>
      <x:c r="F6" t="n"/>
      <x:c r="G6" t="n"/>
      <x:c r="H6" t="n"/>
      <x:c r="I6" t="n"/>
      <x:c r="J6" t="n"/>
      <x:c r="K6" t="n"/>
    </x:row>
    <x:row r="7">
      <x:c r="A7" t="n"/>
      <x:c r="B7" t="n"/>
      <x:c r="C7" t="n"/>
      <x:c r="D7" t="n"/>
      <x:c r="E7" t="n"/>
      <x:c r="F7" t="n"/>
      <x:c r="G7" t="n"/>
      <x:c r="H7" t="n"/>
      <x:c r="I7" t="n"/>
      <x:c r="J7" t="n"/>
      <x:c r="K7" t="n"/>
    </x:row>
    <x:row r="8">
      <x:c r="A8" t="inlineStr">
        <x:is>
          <x:t xml:space="preserve">ID</x:t>
        </x:is>
      </x:c>
      <x:c r="B8" t="inlineStr">
        <x:is>
          <x:t xml:space="preserve">Area</x:t>
        </x:is>
      </x:c>
      <x:c r="C8" t="inlineStr">
        <x:is>
          <x:t xml:space="preserve">Part</x:t>
        </x:is>
      </x:c>
      <x:c r="D8" t="inlineStr">
        <x:is>
          <x:t xml:space="preserve">Test item</x:t>
        </x:is>
      </x:c>
      <x:c r="E8" t="inlineStr">
        <x:is>
          <x:t xml:space="preserve">Implemented</x:t>
        </x:is>
      </x:c>
      <x:c r="F8" t="inlineStr">
        <x:is>
          <x:t xml:space="preserve">Tested</x:t>
        </x:is>
      </x:c>
      <x:c r="G8" t="inlineStr">
        <x:is>
          <x:t xml:space="preserve">Result</x:t>
        </x:is>
      </x:c>
      <x:c r="H8" t="inlineStr">
        <x:is>
          <x:t xml:space="preserve">Coverage Status</x:t>
        </x:is>
      </x:c>
      <x:c r="I8" t="inlineStr">
        <x:is>
          <x:t xml:space="preserve">Currently covered by</x:t>
        </x:is>
      </x:c>
      <x:c r="J8" t="inlineStr">
        <x:is>
          <x:t xml:space="preserve">Missing / next step</x:t>
        </x:is>
      </x:c>
      <x:c r="K8" t="inlineStr">
        <x:is>
          <x:t xml:space="preserve">Score</x:t>
        </x:is>
      </x:c>
    </x:row>
    <x:row r="9" s="51" customFormat="1" ht="45" customHeight="1">
      <x:c r="A9" s="137" t="n">
        <x:v>1</x:v>
      </x:c>
      <x:c r="B9" s="137" t="inlineStr">
        <x:is>
          <x:t xml:space="preserve">Behavior</x:t>
        </x:is>
      </x:c>
      <x:c r="C9" s="137" t="inlineStr">
        <x:is>
          <x:t xml:space="preserve">Selection</x:t>
        </x:is>
      </x:c>
      <x:c r="D9" s="137" t="inlineStr">
        <x:is>
          <x:t xml:space="preserve">Empty multiple-selection default</x:t>
        </x:is>
      </x:c>
      <x:c r="E9" s="137" t="inlineStr">
        <x:is>
          <x:t xml:space="preserve">yes</x:t>
        </x:is>
      </x:c>
      <x:c r="F9" s="137" t="inlineStr">
        <x:is>
          <x:t xml:space="preserve">no</x:t>
        </x:is>
      </x:c>
      <x:c r="G9" s="137" t="inlineStr">
        <x:is>
          <x:t xml:space="preserve">Not run</x:t>
        </x:is>
      </x:c>
      <x:c r="H9" s="137" t="inlineStr">
        <x:is>
          <x:t xml:space="preserve">untested</x:t>
        </x:is>
      </x:c>
      <x:c r="I9" s="137" t="inlineStr">
        <x:is>
          <x:t xml:space="preserve">Workbench and automated tests</x:t>
        </x:is>
      </x:c>
      <x:c r="J9" s="137" t="inlineStr">
        <x:is>
          <x:t xml:space="preserve">Manual protocol pending</x:t>
        </x:is>
      </x:c>
      <x:c r="K9" s="137" t="n">
        <x:f>IF(AND(E9="yes",F9="yes",H9="covered"),1,0)</x:f>
        <x:v>0</x:v>
      </x:c>
    </x:row>
    <x:row r="10" s="51" customFormat="1" ht="45" customHeight="1">
      <x:c r="A10" s="137" t="n">
        <x:v>2</x:v>
      </x:c>
      <x:c r="B10" s="137" t="inlineStr">
        <x:is>
          <x:t xml:space="preserve">Behavior</x:t>
        </x:is>
      </x:c>
      <x:c r="C10" s="137" t="inlineStr">
        <x:is>
          <x:t xml:space="preserve">Selection</x:t>
        </x:is>
      </x:c>
      <x:c r="D10" s="137" t="inlineStr">
        <x:is>
          <x:t xml:space="preserve">Named Checkbox binding</x:t>
        </x:is>
      </x:c>
      <x:c r="E10" s="137" t="inlineStr">
        <x:is>
          <x:t xml:space="preserve">yes</x:t>
        </x:is>
      </x:c>
      <x:c r="F10" s="137" t="inlineStr">
        <x:is>
          <x:t xml:space="preserve">no</x:t>
        </x:is>
      </x:c>
      <x:c r="G10" s="137" t="inlineStr">
        <x:is>
          <x:t xml:space="preserve">Not run</x:t>
        </x:is>
      </x:c>
      <x:c r="H10" s="137" t="inlineStr">
        <x:is>
          <x:t xml:space="preserve">untested</x:t>
        </x:is>
      </x:c>
      <x:c r="I10" s="137" t="inlineStr">
        <x:is>
          <x:t xml:space="preserve">Workbench and automated tests</x:t>
        </x:is>
      </x:c>
      <x:c r="J10" s="137" t="inlineStr">
        <x:is>
          <x:t xml:space="preserve">Manual protocol pending</x:t>
        </x:is>
      </x:c>
      <x:c r="K10" s="137" t="n">
        <x:f>IF(AND(E10="yes",F10="yes",H10="covered"),1,0)</x:f>
        <x:v>0</x:v>
      </x:c>
    </x:row>
    <x:row r="11" s="51" customFormat="1" ht="45" customHeight="1">
      <x:c r="A11" s="137" t="n">
        <x:v>3</x:v>
      </x:c>
      <x:c r="B11" s="137" t="inlineStr">
        <x:is>
          <x:t xml:space="preserve">Behavior</x:t>
        </x:is>
      </x:c>
      <x:c r="C11" s="137" t="inlineStr">
        <x:is>
          <x:t xml:space="preserve">Selection</x:t>
        </x:is>
      </x:c>
      <x:c r="D11" s="137" t="inlineStr">
        <x:is>
          <x:t xml:space="preserve">Disabled and read-only guards</x:t>
        </x:is>
      </x:c>
      <x:c r="E11" s="137" t="inlineStr">
        <x:is>
          <x:t xml:space="preserve">yes</x:t>
        </x:is>
      </x:c>
      <x:c r="F11" s="137" t="inlineStr">
        <x:is>
          <x:t xml:space="preserve">no</x:t>
        </x:is>
      </x:c>
      <x:c r="G11" s="137" t="inlineStr">
        <x:is>
          <x:t xml:space="preserve">Not run</x:t>
        </x:is>
      </x:c>
      <x:c r="H11" s="137" t="inlineStr">
        <x:is>
          <x:t xml:space="preserve">untested</x:t>
        </x:is>
      </x:c>
      <x:c r="I11" s="137" t="inlineStr">
        <x:is>
          <x:t xml:space="preserve">Workbench and automated tests</x:t>
        </x:is>
      </x:c>
      <x:c r="J11" s="137" t="inlineStr">
        <x:is>
          <x:t xml:space="preserve">Manual protocol pending</x:t>
        </x:is>
      </x:c>
      <x:c r="K11" s="137" t="n">
        <x:f>IF(AND(E11="yes",F11="yes",H11="covered"),1,0)</x:f>
        <x:v>0</x:v>
      </x:c>
    </x:row>
    <x:row r="12" s="51" customFormat="1" ht="45" customHeight="1">
      <x:c r="A12" s="137" t="n">
        <x:v>4</x:v>
      </x:c>
      <x:c r="B12" s="137" t="inlineStr">
        <x:is>
          <x:t xml:space="preserve">Behavior</x:t>
        </x:is>
      </x:c>
      <x:c r="C12" s="137" t="inlineStr">
        <x:is>
          <x:t xml:space="preserve">Selection</x:t>
        </x:is>
      </x:c>
      <x:c r="D12" s="137" t="inlineStr">
        <x:is>
          <x:t xml:space="preserve">Scope selection and retained IDs</x:t>
        </x:is>
      </x:c>
      <x:c r="E12" s="137" t="inlineStr">
        <x:is>
          <x:t xml:space="preserve">yes</x:t>
        </x:is>
      </x:c>
      <x:c r="F12" s="137" t="inlineStr">
        <x:is>
          <x:t xml:space="preserve">no</x:t>
        </x:is>
      </x:c>
      <x:c r="G12" s="137" t="inlineStr">
        <x:is>
          <x:t xml:space="preserve">Not run</x:t>
        </x:is>
      </x:c>
      <x:c r="H12" s="137" t="inlineStr">
        <x:is>
          <x:t xml:space="preserve">untested</x:t>
        </x:is>
      </x:c>
      <x:c r="I12" s="137" t="inlineStr">
        <x:is>
          <x:t xml:space="preserve">Workbench and automated tests</x:t>
        </x:is>
      </x:c>
      <x:c r="J12" s="137" t="inlineStr">
        <x:is>
          <x:t xml:space="preserve">Manual protocol pending</x:t>
        </x:is>
      </x:c>
      <x:c r="K12" s="137" t="n">
        <x:f>IF(AND(E12="yes",F12="yes",H12="covered"),1,0)</x:f>
        <x:v>0</x:v>
      </x:c>
    </x:row>
    <x:row r="13" s="51" customFormat="1" ht="45" customHeight="1">
      <x:c r="A13" s="137" t="n">
        <x:v>5</x:v>
      </x:c>
      <x:c r="B13" s="137" t="inlineStr">
        <x:is>
          <x:t xml:space="preserve">Behavior</x:t>
        </x:is>
      </x:c>
      <x:c r="C13" s="137" t="inlineStr">
        <x:is>
          <x:t xml:space="preserve">Selection</x:t>
        </x:is>
      </x:c>
      <x:c r="D13" s="137" t="inlineStr">
        <x:is>
          <x:t xml:space="preserve">Range order reset</x:t>
        </x:is>
      </x:c>
      <x:c r="E13" s="137" t="inlineStr">
        <x:is>
          <x:t xml:space="preserve">yes</x:t>
        </x:is>
      </x:c>
      <x:c r="F13" s="137" t="inlineStr">
        <x:is>
          <x:t xml:space="preserve">no</x:t>
        </x:is>
      </x:c>
      <x:c r="G13" s="137" t="inlineStr">
        <x:is>
          <x:t xml:space="preserve">Not run</x:t>
        </x:is>
      </x:c>
      <x:c r="H13" s="137" t="inlineStr">
        <x:is>
          <x:t xml:space="preserve">untested</x:t>
        </x:is>
      </x:c>
      <x:c r="I13" s="137" t="inlineStr">
        <x:is>
          <x:t xml:space="preserve">Workbench and automated tests</x:t>
        </x:is>
      </x:c>
      <x:c r="J13" s="137" t="inlineStr">
        <x:is>
          <x:t xml:space="preserve">Manual protocol pending</x:t>
        </x:is>
      </x:c>
      <x:c r="K13" s="137" t="n">
        <x:f>IF(AND(E13="yes",F13="yes",H13="covered"),1,0)</x:f>
        <x:v>0</x:v>
      </x:c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baseColWidth="8" defaultRowHeight="15"/>
  <x:cols>
    <x:col min="1" max="1" width="8" style="51" customWidth="1"/>
    <x:col min="2" max="2" width="18" style="51" customWidth="1"/>
    <x:col min="3" max="3" width="22" style="51" customWidth="1"/>
    <x:col min="4" max="4" width="52" style="51" customWidth="1"/>
    <x:col min="5" max="5" width="14" style="51" customWidth="1"/>
    <x:col min="6" max="6" width="12" style="51" customWidth="1"/>
    <x:col min="7" max="7" width="18" style="51" customWidth="1"/>
    <x:col min="8" max="8" width="18" style="51" customWidth="1"/>
    <x:col min="9" max="9" width="38" style="51" customWidth="1"/>
    <x:col min="10" max="10" width="38" style="51" customWidth="1"/>
    <x:col min="11" max="11" width="10" style="51" customWidth="1"/>
  </x:cols>
  <x:sheetData>
    <x:row r="1">
      <x:c r="A1" t="inlineStr">
        <x:is>
          <x:t xml:space="preserve">ActionDelegate Playground Coverage</x:t>
        </x:is>
      </x:c>
      <x:c r="B1" t="n"/>
      <x:c r="C1" t="n"/>
      <x:c r="D1" t="n"/>
      <x:c r="E1" t="n"/>
      <x:c r="F1" t="n"/>
      <x:c r="G1" t="n"/>
      <x:c r="H1" t="n"/>
      <x:c r="I1" t="n"/>
      <x:c r="J1" t="n"/>
      <x:c r="K1" t="n"/>
    </x:row>
    <x:row r="2">
      <x:c r="A2" t="inlineStr">
        <x:is>
          <x:t xml:space="preserve">Tracks manual playground coverage only. Rows that are not applicable to this component are removed, not counted as covered.</x:t>
        </x:is>
      </x:c>
      <x:c r="B2" t="n"/>
      <x:c r="C2" t="n"/>
      <x:c r="D2" t="n"/>
      <x:c r="E2" t="n"/>
      <x:c r="F2" t="n"/>
      <x:c r="G2" t="n"/>
      <x:c r="H2" t="n"/>
      <x:c r="I2" t="n"/>
      <x:c r="J2" t="n"/>
      <x:c r="K2" t="n"/>
    </x:row>
    <x:row r="3">
      <x:c r="A3" t="n"/>
      <x:c r="B3" t="n"/>
      <x:c r="C3" t="n"/>
      <x:c r="D3" t="n"/>
      <x:c r="E3" t="n"/>
      <x:c r="F3" t="n"/>
      <x:c r="G3" t="n"/>
      <x:c r="H3" t="n"/>
      <x:c r="I3" t="n"/>
      <x:c r="J3" t="n"/>
      <x:c r="K3" t="n"/>
    </x:row>
    <x:row r="4">
      <x:c r="A4" t="inlineStr">
        <x:is>
          <x:t xml:space="preserve">Coverage</x:t>
        </x:is>
      </x:c>
      <x:c r="B4" t="n">
        <x:f>IFERROR(SUM(K9:K13)/COUNTA(A9:A13),0)</x:f>
        <x:v>0</x:v>
      </x:c>
      <x:c r="C4" t="inlineStr">
        <x:is>
          <x:t xml:space="preserve">Covered</x:t>
        </x:is>
      </x:c>
      <x:c r="D4" t="n">
        <x:f>COUNTIF(H9:H31,"covered")</x:f>
        <x:v>0</x:v>
      </x:c>
      <x:c r="E4" t="inlineStr">
        <x:is>
          <x:t xml:space="preserve">Partial</x:t>
        </x:is>
      </x:c>
      <x:c r="F4" t="n">
        <x:f>COUNTIF(H9:H31,"partial")</x:f>
        <x:v>0</x:v>
      </x:c>
      <x:c r="G4" t="inlineStr">
        <x:is>
          <x:t xml:space="preserve">Missing</x:t>
        </x:is>
      </x:c>
      <x:c r="H4" t="n">
        <x:f>COUNTIF(H9:H31,"missing")</x:f>
        <x:v>0</x:v>
      </x:c>
      <x:c r="I4" t="inlineStr">
        <x:is>
          <x:t xml:space="preserve">Untested</x:t>
        </x:is>
      </x:c>
      <x:c r="J4" t="n">
        <x:f>COUNTIF(F9:F31,"no")</x:f>
        <x:v>5</x:v>
      </x:c>
      <x:c r="K4" t="n"/>
    </x:row>
    <x:row r="5">
      <x:c r="A5" t="n"/>
      <x:c r="B5" t="n"/>
      <x:c r="C5" t="n"/>
      <x:c r="D5" t="n"/>
      <x:c r="E5" t="n"/>
      <x:c r="F5" t="n"/>
      <x:c r="G5" t="n"/>
      <x:c r="H5" t="n"/>
      <x:c r="I5" t="n"/>
      <x:c r="J5" t="n"/>
      <x:c r="K5" t="n"/>
    </x:row>
    <x:row r="6">
      <x:c r="A6" t="inlineStr">
        <x:is>
          <x:t xml:space="preserve">Scoring: completion is SUM(Score) / total playground rows. Score is formula-driven from Implemented, Tested, and Coverage Status.</x:t>
        </x:is>
      </x:c>
      <x:c r="B6" t="n"/>
      <x:c r="C6" t="n"/>
      <x:c r="D6" t="n"/>
      <x:c r="E6" t="n"/>
      <x:c r="F6" t="n"/>
      <x:c r="G6" t="n"/>
      <x:c r="H6" t="n"/>
      <x:c r="I6" t="n"/>
      <x:c r="J6" t="n"/>
      <x:c r="K6" t="n"/>
    </x:row>
    <x:row r="7">
      <x:c r="A7" t="n"/>
      <x:c r="B7" t="n"/>
      <x:c r="C7" t="n"/>
      <x:c r="D7" t="n"/>
      <x:c r="E7" t="n"/>
      <x:c r="F7" t="n"/>
      <x:c r="G7" t="n"/>
      <x:c r="H7" t="n"/>
      <x:c r="I7" t="n"/>
      <x:c r="J7" t="n"/>
      <x:c r="K7" t="n"/>
    </x:row>
    <x:row r="8">
      <x:c r="A8" t="inlineStr">
        <x:is>
          <x:t xml:space="preserve">ID</x:t>
        </x:is>
      </x:c>
      <x:c r="B8" t="inlineStr">
        <x:is>
          <x:t xml:space="preserve">Area</x:t>
        </x:is>
      </x:c>
      <x:c r="C8" t="inlineStr">
        <x:is>
          <x:t xml:space="preserve">Part</x:t>
        </x:is>
      </x:c>
      <x:c r="D8" t="inlineStr">
        <x:is>
          <x:t xml:space="preserve">Test item</x:t>
        </x:is>
      </x:c>
      <x:c r="E8" t="inlineStr">
        <x:is>
          <x:t xml:space="preserve">Implemented</x:t>
        </x:is>
      </x:c>
      <x:c r="F8" t="inlineStr">
        <x:is>
          <x:t xml:space="preserve">Tested</x:t>
        </x:is>
      </x:c>
      <x:c r="G8" t="inlineStr">
        <x:is>
          <x:t xml:space="preserve">Result</x:t>
        </x:is>
      </x:c>
      <x:c r="H8" t="inlineStr">
        <x:is>
          <x:t xml:space="preserve">Coverage Status</x:t>
        </x:is>
      </x:c>
      <x:c r="I8" t="inlineStr">
        <x:is>
          <x:t xml:space="preserve">Currently covered by</x:t>
        </x:is>
      </x:c>
      <x:c r="J8" t="inlineStr">
        <x:is>
          <x:t xml:space="preserve">Missing / next step</x:t>
        </x:is>
      </x:c>
      <x:c r="K8" t="inlineStr">
        <x:is>
          <x:t xml:space="preserve">Score</x:t>
        </x:is>
      </x:c>
    </x:row>
    <x:row r="9" s="51" customFormat="1" ht="45" customHeight="1">
      <x:c r="A9" s="137" t="n">
        <x:v>1</x:v>
      </x:c>
      <x:c r="B9" s="137" t="inlineStr">
        <x:is>
          <x:t xml:space="preserve">Behavior</x:t>
        </x:is>
      </x:c>
      <x:c r="C9" s="137" t="inlineStr">
        <x:is>
          <x:t xml:space="preserve">ActionDelegate</x:t>
        </x:is>
      </x:c>
      <x:c r="D9" s="137" t="inlineStr">
        <x:is>
          <x:t xml:space="preserve">Native host and no extra tab stop</x:t>
        </x:is>
      </x:c>
      <x:c r="E9" s="137" t="inlineStr">
        <x:is>
          <x:t xml:space="preserve">yes</x:t>
        </x:is>
      </x:c>
      <x:c r="F9" s="137" t="inlineStr">
        <x:is>
          <x:t xml:space="preserve">no</x:t>
        </x:is>
      </x:c>
      <x:c r="G9" s="137" t="inlineStr">
        <x:is>
          <x:t xml:space="preserve">Not run</x:t>
        </x:is>
      </x:c>
      <x:c r="H9" s="137" t="inlineStr">
        <x:is>
          <x:t xml:space="preserve">untested</x:t>
        </x:is>
      </x:c>
      <x:c r="I9" s="137" t="inlineStr">
        <x:is>
          <x:t xml:space="preserve">Workbench and automated tests</x:t>
        </x:is>
      </x:c>
      <x:c r="J9" s="137" t="inlineStr">
        <x:is>
          <x:t xml:space="preserve">Manual protocol pending</x:t>
        </x:is>
      </x:c>
      <x:c r="K9" s="137" t="n">
        <x:f>IF(AND(E9="yes",F9="yes",H9="covered"),1,0)</x:f>
        <x:v>0</x:v>
      </x:c>
    </x:row>
    <x:row r="10" s="51" customFormat="1" ht="45" customHeight="1">
      <x:c r="A10" s="137" t="n">
        <x:v>2</x:v>
      </x:c>
      <x:c r="B10" s="137" t="inlineStr">
        <x:is>
          <x:t xml:space="preserve">Behavior</x:t>
        </x:is>
      </x:c>
      <x:c r="C10" s="137" t="inlineStr">
        <x:is>
          <x:t xml:space="preserve">ActionDelegate</x:t>
        </x:is>
      </x:c>
      <x:c r="D10" s="137" t="inlineStr">
        <x:is>
          <x:t xml:space="preserve">Primary link activation</x:t>
        </x:is>
      </x:c>
      <x:c r="E10" s="137" t="inlineStr">
        <x:is>
          <x:t xml:space="preserve">yes</x:t>
        </x:is>
      </x:c>
      <x:c r="F10" s="137" t="inlineStr">
        <x:is>
          <x:t xml:space="preserve">no</x:t>
        </x:is>
      </x:c>
      <x:c r="G10" s="137" t="inlineStr">
        <x:is>
          <x:t xml:space="preserve">Not run</x:t>
        </x:is>
      </x:c>
      <x:c r="H10" s="137" t="inlineStr">
        <x:is>
          <x:t xml:space="preserve">untested</x:t>
        </x:is>
      </x:c>
      <x:c r="I10" s="137" t="inlineStr">
        <x:is>
          <x:t xml:space="preserve">Workbench and automated tests</x:t>
        </x:is>
      </x:c>
      <x:c r="J10" s="137" t="inlineStr">
        <x:is>
          <x:t xml:space="preserve">Manual protocol pending</x:t>
        </x:is>
      </x:c>
      <x:c r="K10" s="137" t="n">
        <x:f>IF(AND(E10="yes",F10="yes",H10="covered"),1,0)</x:f>
        <x:v>0</x:v>
      </x:c>
    </x:row>
    <x:row r="11" s="51" customFormat="1" ht="45" customHeight="1">
      <x:c r="A11" s="137" t="n">
        <x:v>3</x:v>
      </x:c>
      <x:c r="B11" s="137" t="inlineStr">
        <x:is>
          <x:t xml:space="preserve">Behavior</x:t>
        </x:is>
      </x:c>
      <x:c r="C11" s="137" t="inlineStr">
        <x:is>
          <x:t xml:space="preserve">ActionDelegate</x:t>
        </x:is>
      </x:c>
      <x:c r="D11" s="137" t="inlineStr">
        <x:is>
          <x:t xml:space="preserve">Independent secondary action</x:t>
        </x:is>
      </x:c>
      <x:c r="E11" s="137" t="inlineStr">
        <x:is>
          <x:t xml:space="preserve">yes</x:t>
        </x:is>
      </x:c>
      <x:c r="F11" s="137" t="inlineStr">
        <x:is>
          <x:t xml:space="preserve">no</x:t>
        </x:is>
      </x:c>
      <x:c r="G11" s="137" t="inlineStr">
        <x:is>
          <x:t xml:space="preserve">Not run</x:t>
        </x:is>
      </x:c>
      <x:c r="H11" s="137" t="inlineStr">
        <x:is>
          <x:t xml:space="preserve">untested</x:t>
        </x:is>
      </x:c>
      <x:c r="I11" s="137" t="inlineStr">
        <x:is>
          <x:t xml:space="preserve">Workbench and automated tests</x:t>
        </x:is>
      </x:c>
      <x:c r="J11" s="137" t="inlineStr">
        <x:is>
          <x:t xml:space="preserve">Manual protocol pending</x:t>
        </x:is>
      </x:c>
      <x:c r="K11" s="137" t="n">
        <x:f>IF(AND(E11="yes",F11="yes",H11="covered"),1,0)</x:f>
        <x:v>0</x:v>
      </x:c>
    </x:row>
    <x:row r="12" s="51" customFormat="1" ht="45" customHeight="1">
      <x:c r="A12" s="137" t="n">
        <x:v>4</x:v>
      </x:c>
      <x:c r="B12" s="137" t="inlineStr">
        <x:is>
          <x:t xml:space="preserve">Behavior</x:t>
        </x:is>
      </x:c>
      <x:c r="C12" s="137" t="inlineStr">
        <x:is>
          <x:t xml:space="preserve">ActionDelegate</x:t>
        </x:is>
      </x:c>
      <x:c r="D12" s="137" t="inlineStr">
        <x:is>
          <x:t xml:space="preserve">Disabled guard</x:t>
        </x:is>
      </x:c>
      <x:c r="E12" s="137" t="inlineStr">
        <x:is>
          <x:t xml:space="preserve">yes</x:t>
        </x:is>
      </x:c>
      <x:c r="F12" s="137" t="inlineStr">
        <x:is>
          <x:t xml:space="preserve">no</x:t>
        </x:is>
      </x:c>
      <x:c r="G12" s="137" t="inlineStr">
        <x:is>
          <x:t xml:space="preserve">Not run</x:t>
        </x:is>
      </x:c>
      <x:c r="H12" s="137" t="inlineStr">
        <x:is>
          <x:t xml:space="preserve">untested</x:t>
        </x:is>
      </x:c>
      <x:c r="I12" s="137" t="inlineStr">
        <x:is>
          <x:t xml:space="preserve">Workbench and automated tests</x:t>
        </x:is>
      </x:c>
      <x:c r="J12" s="137" t="inlineStr">
        <x:is>
          <x:t xml:space="preserve">Manual protocol pending</x:t>
        </x:is>
      </x:c>
      <x:c r="K12" s="137" t="n">
        <x:f>IF(AND(E12="yes",F12="yes",H12="covered"),1,0)</x:f>
        <x:v>0</x:v>
      </x:c>
    </x:row>
    <x:row r="13" s="51" customFormat="1" ht="45" customHeight="1">
      <x:c r="A13" s="137" t="n">
        <x:v>5</x:v>
      </x:c>
      <x:c r="B13" s="137" t="inlineStr">
        <x:is>
          <x:t xml:space="preserve">Behavior</x:t>
        </x:is>
      </x:c>
      <x:c r="C13" s="137" t="inlineStr">
        <x:is>
          <x:t xml:space="preserve">ActionDelegate</x:t>
        </x:is>
      </x:c>
      <x:c r="D13" s="137" t="inlineStr">
        <x:is>
          <x:t xml:space="preserve">OwnerDocument and ref cleanup</x:t>
        </x:is>
      </x:c>
      <x:c r="E13" s="137" t="inlineStr">
        <x:is>
          <x:t xml:space="preserve">yes</x:t>
        </x:is>
      </x:c>
      <x:c r="F13" s="137" t="inlineStr">
        <x:is>
          <x:t xml:space="preserve">no</x:t>
        </x:is>
      </x:c>
      <x:c r="G13" s="137" t="inlineStr">
        <x:is>
          <x:t xml:space="preserve">Not run</x:t>
        </x:is>
      </x:c>
      <x:c r="H13" s="137" t="inlineStr">
        <x:is>
          <x:t xml:space="preserve">untested</x:t>
        </x:is>
      </x:c>
      <x:c r="I13" s="137" t="inlineStr">
        <x:is>
          <x:t xml:space="preserve">Workbench and automated tests</x:t>
        </x:is>
      </x:c>
      <x:c r="J13" s="137" t="inlineStr">
        <x:is>
          <x:t xml:space="preserve">Manual protocol pending</x:t>
        </x:is>
      </x:c>
      <x:c r="K13" s="137" t="n">
        <x:f>IF(AND(E13="yes",F13="yes",H13="covered"),1,0)</x:f>
        <x:v>0</x:v>
      </x:c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RowHeight="15"/>
  <x:cols>
    <x:col min="1" max="1" width="10" style="51" customWidth="1"/>
    <x:col min="2" max="2" width="19" style="51" customWidth="1"/>
    <x:col min="3" max="3" width="27" style="51" customWidth="1"/>
    <x:col min="4" max="4" width="50" style="51" customWidth="1"/>
    <x:col min="5" max="5" width="15" style="51" customWidth="1"/>
    <x:col min="6" max="6" width="15" style="51" customWidth="1"/>
    <x:col min="7" max="7" width="17" style="51" customWidth="1"/>
    <x:col min="8" max="8" width="18" style="51" customWidth="1"/>
    <x:col min="9" max="9" width="56" style="51" customWidth="1"/>
    <x:col min="10" max="10" width="43" style="51" customWidth="1"/>
    <x:col min="11" max="11" width="12" style="51" customWidth="1"/>
  </x:cols>
  <x:sheetData>
    <x:row r="1">
      <x:c r="A1" t="inlineStr">
        <x:is>
          <x:t xml:space="preserve">Checkbox Card Evidence</x:t>
        </x:is>
      </x:c>
      <x:c r="B1" t="n"/>
      <x:c r="C1" t="n"/>
      <x:c r="D1" t="n"/>
      <x:c r="E1" t="n"/>
      <x:c r="F1" t="n"/>
      <x:c r="G1" t="n"/>
      <x:c r="H1" t="n"/>
      <x:c r="I1" t="n"/>
      <x:c r="J1" t="n"/>
      <x:c r="K1" t="n"/>
      <x:c r="L1" t="n"/>
      <x:c r="M1" t="n"/>
    </x:row>
    <x:row r="2">
      <x:c r="A2" t="inlineStr">
        <x:is>
          <x:t xml:space="preserve">Unpublished local candidate; manual qualification remains unperformed.</x:t>
        </x:is>
      </x:c>
      <x:c r="B2" t="n"/>
      <x:c r="C2" t="n"/>
      <x:c r="D2" t="n"/>
      <x:c r="E2" t="n"/>
      <x:c r="F2" t="n"/>
      <x:c r="G2" t="n"/>
      <x:c r="H2" t="n"/>
      <x:c r="I2" t="n"/>
      <x:c r="J2" t="n"/>
      <x:c r="K2" t="n"/>
      <x:c r="L2" t="n"/>
      <x:c r="M2" t="n"/>
    </x:row>
    <x:row r="3">
      <x:c r="A3" t="n"/>
      <x:c r="B3" t="n"/>
      <x:c r="C3" t="n"/>
      <x:c r="D3" t="n"/>
      <x:c r="E3" t="n"/>
      <x:c r="F3" t="n"/>
      <x:c r="G3" t="n"/>
      <x:c r="H3" t="n"/>
      <x:c r="I3" t="n"/>
      <x:c r="J3" t="n"/>
      <x:c r="K3" t="n"/>
      <x:c r="L3" t="n"/>
      <x:c r="M3" t="n"/>
    </x:row>
    <x:row r="4">
      <x:c r="A4" t="inlineStr">
        <x:is>
          <x:t xml:space="preserve">Coverage</x:t>
        </x:is>
      </x:c>
      <x:c r="B4" t="n">
        <x:f>IFERROR(D4/COUNTA(A9:A1000),0)</x:f>
        <x:v>0</x:v>
      </x:c>
      <x:c r="C4" t="inlineStr">
        <x:is>
          <x:t xml:space="preserve">Covered</x:t>
        </x:is>
      </x:c>
      <x:c r="D4" t="n">
        <x:f>COUNTIFS(A9:A1000,"&lt;&gt;",E9:E1000,"yes",F9:F1000,"yes",H9:H1000,"covered")</x:f>
        <x:v>0</x:v>
      </x:c>
      <x:c r="E4" t="inlineStr">
        <x:is>
          <x:t xml:space="preserve">Partial</x:t>
        </x:is>
      </x:c>
      <x:c r="F4" t="n">
        <x:f>COUNTIFS(A9:A1000,"&lt;&gt;",H9:H1000,"partial")</x:f>
        <x:v>0</x:v>
      </x:c>
      <x:c r="G4" t="inlineStr">
        <x:is>
          <x:t xml:space="preserve">Missing</x:t>
        </x:is>
      </x:c>
      <x:c r="H4" t="n">
        <x:f>COUNTIFS(A9:A1000,"&lt;&gt;",E9:E1000,"&lt;&gt;yes")+COUNTIFS(A9:A1000,"&lt;&gt;",E9:E1000,"yes",H9:H1000,"missing")</x:f>
        <x:v>6</x:v>
      </x:c>
      <x:c r="I4" t="inlineStr">
        <x:is>
          <x:t xml:space="preserve">Untested</x:t>
        </x:is>
      </x:c>
      <x:c r="J4" t="n">
        <x:f>COUNTIFS(A9:A1000,"&lt;&gt;",E9:E1000,"yes",F9:F1000,"&lt;&gt;yes")+COUNTIFS(A9:A1000,"&lt;&gt;",E9:E1000,"yes",F9:F1000,"yes",H9:H1000,"untested")</x:f>
        <x:v>0</x:v>
      </x:c>
      <x:c r="K4" t="n"/>
      <x:c r="L4" t="n"/>
      <x:c r="M4" t="n"/>
    </x:row>
    <x:row r="5">
      <x:c r="A5" t="n"/>
      <x:c r="B5" t="n"/>
      <x:c r="C5" t="n"/>
      <x:c r="D5" t="n"/>
      <x:c r="E5" t="n"/>
      <x:c r="F5" t="n"/>
      <x:c r="G5" t="n"/>
      <x:c r="H5" t="n"/>
      <x:c r="I5" t="n"/>
      <x:c r="J5" t="n"/>
      <x:c r="K5" t="n"/>
      <x:c r="L5" t="n"/>
      <x:c r="M5" t="n"/>
    </x:row>
    <x:row r="6">
      <x:c r="A6" t="inlineStr">
        <x:is>
          <x:t xml:space="preserve">Scoring: completion is SUM(Score) / total playground rows. Score is formula-driven from Implemented, Tested, and Coverage Status.</x:t>
        </x:is>
      </x:c>
      <x:c r="B6" t="n"/>
      <x:c r="C6" t="n"/>
      <x:c r="D6" t="n"/>
      <x:c r="E6" t="n"/>
      <x:c r="F6" t="n"/>
      <x:c r="G6" t="n"/>
      <x:c r="H6" t="n"/>
      <x:c r="I6" t="n"/>
      <x:c r="J6" t="n"/>
      <x:c r="K6" t="n"/>
      <x:c r="L6" t="n"/>
      <x:c r="M6" t="n"/>
    </x:row>
    <x:row r="7">
      <x:c r="A7" t="n"/>
      <x:c r="B7" t="n"/>
      <x:c r="C7" t="n"/>
      <x:c r="D7" t="n"/>
      <x:c r="E7" t="n"/>
      <x:c r="F7" t="n"/>
      <x:c r="G7" t="n"/>
      <x:c r="H7" t="n"/>
      <x:c r="I7" t="n"/>
      <x:c r="J7" t="n"/>
      <x:c r="K7" t="n"/>
      <x:c r="L7" t="n"/>
      <x:c r="M7" t="n"/>
    </x:row>
    <x:row r="8">
      <x:c r="A8" t="inlineStr">
        <x:is>
          <x:t xml:space="preserve">ID</x:t>
        </x:is>
      </x:c>
      <x:c r="B8" t="inlineStr">
        <x:is>
          <x:t xml:space="preserve">Area</x:t>
        </x:is>
      </x:c>
      <x:c r="C8" t="inlineStr">
        <x:is>
          <x:t xml:space="preserve">Part</x:t>
        </x:is>
      </x:c>
      <x:c r="D8" t="inlineStr">
        <x:is>
          <x:t xml:space="preserve">Test item</x:t>
        </x:is>
      </x:c>
      <x:c r="E8" t="inlineStr">
        <x:is>
          <x:t xml:space="preserve">Implemented</x:t>
        </x:is>
      </x:c>
      <x:c r="F8" t="inlineStr">
        <x:is>
          <x:t xml:space="preserve">Tested</x:t>
        </x:is>
      </x:c>
      <x:c r="G8" t="inlineStr">
        <x:is>
          <x:t xml:space="preserve">Result</x:t>
        </x:is>
      </x:c>
      <x:c r="H8" t="inlineStr">
        <x:is>
          <x:t xml:space="preserve">Coverage Status</x:t>
        </x:is>
      </x:c>
      <x:c r="I8" t="inlineStr">
        <x:is>
          <x:t xml:space="preserve">Currently covered by</x:t>
        </x:is>
      </x:c>
      <x:c r="J8" t="inlineStr">
        <x:is>
          <x:t xml:space="preserve">Missing / next step</x:t>
        </x:is>
      </x:c>
      <x:c r="K8" t="inlineStr">
        <x:is>
          <x:t xml:space="preserve">Score</x:t>
        </x:is>
      </x:c>
      <x:c r="L8" t="n"/>
      <x:c r="M8" t="n"/>
    </x:row>
    <x:row r="9" s="51" customFormat="1" ht="72" customHeight="1">
      <x:c r="A9" s="139" t="n">
        <x:v>1</x:v>
      </x:c>
      <x:c r="B9" s="139" t="inlineStr">
        <x:is>
          <x:t xml:space="preserve">Anatomy</x:t>
        </x:is>
      </x:c>
      <x:c r="C9" s="139" t="inlineStr">
        <x:is>
          <x:t xml:space="preserve">Root / HiddenInput</x:t>
        </x:is>
      </x:c>
      <x:c r="D9" s="139" t="inlineStr">
        <x:is>
          <x:t xml:space="preserve">Label host and one input</x:t>
        </x:is>
      </x:c>
      <x:c r="E9" s="139" t="inlineStr">
        <x:is>
          <x:t xml:space="preserve">no</x:t>
        </x:is>
      </x:c>
      <x:c r="F9" s="139" t="inlineStr">
        <x:is>
          <x:t xml:space="preserve">no</x:t>
        </x:is>
      </x:c>
      <x:c r="G9" s="139" t="inlineStr">
        <x:is>
          <x:t xml:space="preserve">not run</x:t>
        </x:is>
      </x:c>
      <x:c r="H9" s="139" t="inlineStr">
        <x:is>
          <x:t xml:space="preserve">missing</x:t>
        </x:is>
      </x:c>
      <x:c r="I9" s="139" t="inlineStr">
        <x:is>
          <x:t xml:space="preserve">Brick integration tests exist; no dedicated Atom playground route</x:t>
        </x:is>
      </x:c>
      <x:c r="J9" s="139" t="inlineStr">
        <x:is>
          <x:t xml:space="preserve">Add owner playground/manual qualification</x:t>
        </x:is>
      </x:c>
      <x:c r="K9" s="139" t="n">
        <x:f>IF(AND(E9="yes",F9="yes",H9="covered"),1,0)</x:f>
        <x:v>0</x:v>
      </x:c>
      <x:c r="L9" s="139" t="n"/>
      <x:c r="M9" s="139" t="n"/>
    </x:row>
    <x:row r="10" s="51" customFormat="1" ht="72" customHeight="1">
      <x:c r="A10" s="139" t="n">
        <x:v>2</x:v>
      </x:c>
      <x:c r="B10" s="139" t="inlineStr">
        <x:is>
          <x:t xml:space="preserve">Interaction</x:t>
        </x:is>
      </x:c>
      <x:c r="C10" s="139" t="inlineStr">
        <x:is>
          <x:t xml:space="preserve">Root</x:t>
        </x:is>
      </x:c>
      <x:c r="D10" s="139" t="inlineStr">
        <x:is>
          <x:t xml:space="preserve">Pointer and Space selection</x:t>
        </x:is>
      </x:c>
      <x:c r="E10" s="139" t="inlineStr">
        <x:is>
          <x:t xml:space="preserve">no</x:t>
        </x:is>
      </x:c>
      <x:c r="F10" s="139" t="inlineStr">
        <x:is>
          <x:t xml:space="preserve">no</x:t>
        </x:is>
      </x:c>
      <x:c r="G10" s="139" t="inlineStr">
        <x:is>
          <x:t xml:space="preserve">not run</x:t>
        </x:is>
      </x:c>
      <x:c r="H10" s="139" t="inlineStr">
        <x:is>
          <x:t xml:space="preserve">missing</x:t>
        </x:is>
      </x:c>
      <x:c r="I10" s="139" t="inlineStr">
        <x:is>
          <x:t xml:space="preserve">Brick integration tests exist; no dedicated Atom playground route</x:t>
        </x:is>
      </x:c>
      <x:c r="J10" s="139" t="inlineStr">
        <x:is>
          <x:t xml:space="preserve">Add owner playground/manual qualification</x:t>
        </x:is>
      </x:c>
      <x:c r="K10" s="139" t="n">
        <x:f>IF(AND(E10="yes",F10="yes",H10="covered"),1,0)</x:f>
        <x:v>0</x:v>
      </x:c>
      <x:c r="L10" s="139" t="n"/>
      <x:c r="M10" s="139" t="n"/>
    </x:row>
    <x:row r="11" s="51" customFormat="1" ht="72" customHeight="1">
      <x:c r="A11" s="139" t="n">
        <x:v>3</x:v>
      </x:c>
      <x:c r="B11" s="139" t="inlineStr">
        <x:is>
          <x:t xml:space="preserve">States</x:t>
        </x:is>
      </x:c>
      <x:c r="C11" s="139" t="inlineStr">
        <x:is>
          <x:t xml:space="preserve">HiddenInput</x:t>
        </x:is>
      </x:c>
      <x:c r="D11" s="139" t="inlineStr">
        <x:is>
          <x:t xml:space="preserve">Mixed, disabled and read-only</x:t>
        </x:is>
      </x:c>
      <x:c r="E11" s="139" t="inlineStr">
        <x:is>
          <x:t xml:space="preserve">no</x:t>
        </x:is>
      </x:c>
      <x:c r="F11" s="139" t="inlineStr">
        <x:is>
          <x:t xml:space="preserve">no</x:t>
        </x:is>
      </x:c>
      <x:c r="G11" s="139" t="inlineStr">
        <x:is>
          <x:t xml:space="preserve">not run</x:t>
        </x:is>
      </x:c>
      <x:c r="H11" s="139" t="inlineStr">
        <x:is>
          <x:t xml:space="preserve">missing</x:t>
        </x:is>
      </x:c>
      <x:c r="I11" s="139" t="inlineStr">
        <x:is>
          <x:t xml:space="preserve">Brick integration tests exist; no dedicated Atom playground route</x:t>
        </x:is>
      </x:c>
      <x:c r="J11" s="139" t="inlineStr">
        <x:is>
          <x:t xml:space="preserve">Add owner playground/manual qualification</x:t>
        </x:is>
      </x:c>
      <x:c r="K11" s="139" t="n">
        <x:f>IF(AND(E11="yes",F11="yes",H11="covered"),1,0)</x:f>
        <x:v>0</x:v>
      </x:c>
      <x:c r="L11" s="139" t="n"/>
      <x:c r="M11" s="139" t="n"/>
    </x:row>
    <x:row r="12" s="51" customFormat="1" ht="72" customHeight="1">
      <x:c r="A12" s="139" t="n">
        <x:v>4</x:v>
      </x:c>
      <x:c r="B12" s="139" t="inlineStr">
        <x:is>
          <x:t xml:space="preserve">Forms</x:t>
        </x:is>
      </x:c>
      <x:c r="C12" s="139" t="inlineStr">
        <x:is>
          <x:t xml:space="preserve">Root</x:t>
        </x:is>
      </x:c>
      <x:c r="D12" s="139" t="inlineStr">
        <x:is>
          <x:t xml:space="preserve">Submit, reset, group limits</x:t>
        </x:is>
      </x:c>
      <x:c r="E12" s="139" t="inlineStr">
        <x:is>
          <x:t xml:space="preserve">no</x:t>
        </x:is>
      </x:c>
      <x:c r="F12" s="139" t="inlineStr">
        <x:is>
          <x:t xml:space="preserve">no</x:t>
        </x:is>
      </x:c>
      <x:c r="G12" s="139" t="inlineStr">
        <x:is>
          <x:t xml:space="preserve">not run</x:t>
        </x:is>
      </x:c>
      <x:c r="H12" s="139" t="inlineStr">
        <x:is>
          <x:t xml:space="preserve">missing</x:t>
        </x:is>
      </x:c>
      <x:c r="I12" s="139" t="inlineStr">
        <x:is>
          <x:t xml:space="preserve">Brick integration tests exist; no dedicated Atom playground route</x:t>
        </x:is>
      </x:c>
      <x:c r="J12" s="139" t="inlineStr">
        <x:is>
          <x:t xml:space="preserve">Add owner playground/manual qualification</x:t>
        </x:is>
      </x:c>
      <x:c r="K12" s="139" t="n">
        <x:f>IF(AND(E12="yes",F12="yes",H12="covered"),1,0)</x:f>
        <x:v>0</x:v>
      </x:c>
      <x:c r="L12" s="139" t="n"/>
      <x:c r="M12" s="139" t="n"/>
    </x:row>
    <x:row r="13" s="51" customFormat="1" ht="72" customHeight="1">
      <x:c r="A13" s="139" t="n">
        <x:v>5</x:v>
      </x:c>
      <x:c r="B13" s="139" t="inlineStr">
        <x:is>
          <x:t xml:space="preserve">Composition</x:t>
        </x:is>
      </x:c>
      <x:c r="C13" s="139" t="inlineStr">
        <x:is>
          <x:t xml:space="preserve">Parts</x:t>
        </x:is>
      </x:c>
      <x:c r="D13" s="139" t="inlineStr">
        <x:is>
          <x:t xml:space="preserve">asChild/render and refs</x:t>
        </x:is>
      </x:c>
      <x:c r="E13" s="139" t="inlineStr">
        <x:is>
          <x:t xml:space="preserve">no</x:t>
        </x:is>
      </x:c>
      <x:c r="F13" s="139" t="inlineStr">
        <x:is>
          <x:t xml:space="preserve">no</x:t>
        </x:is>
      </x:c>
      <x:c r="G13" s="139" t="inlineStr">
        <x:is>
          <x:t xml:space="preserve">not run</x:t>
        </x:is>
      </x:c>
      <x:c r="H13" s="139" t="inlineStr">
        <x:is>
          <x:t xml:space="preserve">missing</x:t>
        </x:is>
      </x:c>
      <x:c r="I13" s="139" t="inlineStr">
        <x:is>
          <x:t xml:space="preserve">Brick integration tests exist; no dedicated Atom playground route</x:t>
        </x:is>
      </x:c>
      <x:c r="J13" s="139" t="inlineStr">
        <x:is>
          <x:t xml:space="preserve">Add owner playground/manual qualification</x:t>
        </x:is>
      </x:c>
      <x:c r="K13" s="139" t="n">
        <x:f>IF(AND(E13="yes",F13="yes",H13="covered"),1,0)</x:f>
        <x:v>0</x:v>
      </x:c>
      <x:c r="L13" s="139" t="n"/>
      <x:c r="M13" s="139" t="n"/>
    </x:row>
    <x:row r="14" s="51" customFormat="1" ht="72" customHeight="1">
      <x:c r="A14" s="139" t="n">
        <x:v>6</x:v>
      </x:c>
      <x:c r="B14" s="139" t="inlineStr">
        <x:is>
          <x:t xml:space="preserve">Accessibility</x:t>
        </x:is>
      </x:c>
      <x:c r="C14" s="139" t="inlineStr">
        <x:is>
          <x:t xml:space="preserve">Root</x:t>
        </x:is>
      </x:c>
      <x:c r="D14" s="139" t="inlineStr">
        <x:is>
          <x:t xml:space="preserve">Screen reader and actual zoom</x:t>
        </x:is>
      </x:c>
      <x:c r="E14" s="139" t="inlineStr">
        <x:is>
          <x:t xml:space="preserve">no</x:t>
        </x:is>
      </x:c>
      <x:c r="F14" s="139" t="inlineStr">
        <x:is>
          <x:t xml:space="preserve">no</x:t>
        </x:is>
      </x:c>
      <x:c r="G14" s="139" t="inlineStr">
        <x:is>
          <x:t xml:space="preserve">not run</x:t>
        </x:is>
      </x:c>
      <x:c r="H14" s="139" t="inlineStr">
        <x:is>
          <x:t xml:space="preserve">missing</x:t>
        </x:is>
      </x:c>
      <x:c r="I14" s="139" t="inlineStr">
        <x:is>
          <x:t xml:space="preserve">Brick integration tests exist; no dedicated Atom playground route</x:t>
        </x:is>
      </x:c>
      <x:c r="J14" s="139" t="inlineStr">
        <x:is>
          <x:t xml:space="preserve">Add owner playground/manual qualification</x:t>
        </x:is>
      </x:c>
      <x:c r="K14" s="139" t="n">
        <x:f>IF(AND(E14="yes",F14="yes",H14="covered"),1,0)</x:f>
        <x:v>0</x:v>
      </x:c>
      <x:c r="L14" s="139" t="n"/>
      <x:c r="M14" s="139" t="n"/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baseColWidth="8" defaultColWidth="8.83203125" defaultRowHeight="13.5"/>
  <x:cols>
    <x:col min="1" max="1" width="7" style="50" customWidth="1"/>
    <x:col min="2" max="2" width="16" style="50" customWidth="1"/>
    <x:col min="3" max="3" width="22" style="50" customWidth="1"/>
    <x:col min="4" max="4" width="48" style="50" customWidth="1"/>
    <x:col min="5" max="5" width="14" style="50" customWidth="1"/>
    <x:col min="6" max="6" width="12" style="50" customWidth="1"/>
    <x:col min="7" max="8" width="18" style="50" customWidth="1"/>
    <x:col min="9" max="9" width="42" style="50" customWidth="1"/>
    <x:col min="10" max="10" width="38" style="50" customWidth="1"/>
    <x:col min="11" max="11" width="10" style="50" customWidth="1"/>
  </x:cols>
  <x:sheetData>
    <x:row r="1" s="51" customFormat="1" ht="30" customHeight="1">
      <x:c r="A1" s="103" t="inlineStr">
        <x:is>
          <x:t xml:space="preserve">Reorder Playground Coverage</x:t>
        </x:is>
      </x:c>
      <x:c r="B1" s="104" t="n"/>
      <x:c r="C1" s="104" t="n"/>
      <x:c r="D1" s="104" t="n"/>
      <x:c r="E1" s="104" t="n"/>
      <x:c r="F1" s="104" t="n"/>
      <x:c r="G1" s="104" t="n"/>
      <x:c r="H1" s="104" t="n"/>
      <x:c r="I1" s="104" t="n"/>
      <x:c r="J1" s="104" t="n"/>
      <x:c r="K1" s="104" t="n"/>
    </x:row>
    <x:row r="2" s="51" customFormat="1" ht="24" customHeight="1">
      <x:c r="A2" s="107" t="inlineStr">
        <x:is>
          <x:t xml:space="preserve">Tracks manual playground coverage only. Rows that are not applicable to this component are removed, not counted as covered.</x:t>
        </x:is>
      </x:c>
      <x:c r="B2" s="104" t="n"/>
      <x:c r="C2" s="104" t="n"/>
      <x:c r="D2" s="104" t="n"/>
      <x:c r="E2" s="104" t="n"/>
      <x:c r="F2" s="104" t="n"/>
      <x:c r="G2" s="104" t="n"/>
      <x:c r="H2" s="104" t="n"/>
      <x:c r="I2" s="104" t="n"/>
      <x:c r="J2" s="104" t="n"/>
      <x:c r="K2" s="104" t="n"/>
    </x:row>
    <x:row r="4" s="51" customFormat="1" ht="24" customHeight="1">
      <x:c r="A4" s="70" t="inlineStr">
        <x:is>
          <x:t xml:space="preserve">Coverage</x:t>
        </x:is>
      </x:c>
      <x:c r="B4" s="81" t="n">
        <x:f>IFERROR(SUM(K9:K15)/COUNTA(A9:A15),0)</x:f>
        <x:v>0.5</x:v>
      </x:c>
      <x:c r="C4" s="70" t="inlineStr">
        <x:is>
          <x:t xml:space="preserve">Covered</x:t>
        </x:is>
      </x:c>
      <x:c r="D4" s="82" t="n">
        <x:f>COUNTIF(H9:H15,"covered")</x:f>
        <x:v>0</x:v>
      </x:c>
      <x:c r="E4" s="70" t="inlineStr">
        <x:is>
          <x:t xml:space="preserve">Partial</x:t>
        </x:is>
      </x:c>
      <x:c r="F4" s="82" t="n">
        <x:f>COUNTIF(H9:H15,"partial")</x:f>
        <x:v>7</x:v>
      </x:c>
      <x:c r="G4" s="70" t="inlineStr">
        <x:is>
          <x:t xml:space="preserve">Missing</x:t>
        </x:is>
      </x:c>
      <x:c r="H4" s="82" t="n">
        <x:f>COUNTIF(H9:H15,"missing")</x:f>
        <x:v>0</x:v>
      </x:c>
      <x:c r="I4" s="70" t="inlineStr">
        <x:is>
          <x:t xml:space="preserve">Untested</x:t>
        </x:is>
      </x:c>
      <x:c r="J4" s="82" t="n">
        <x:f>COUNTIF(F9:F15,"no")</x:f>
        <x:v>7</x:v>
      </x:c>
    </x:row>
    <x:row r="6" s="51" customFormat="1" ht="24" customHeight="1">
      <x:c r="A6" s="108" t="inlineStr">
        <x:is>
          <x:t xml:space="preserve">Scoring: completion is SUM(Score) / total playground rows. Score is formula-driven from Implemented, Tested, and Coverage Status.</x:t>
        </x:is>
      </x:c>
      <x:c r="B6" s="104" t="n"/>
      <x:c r="C6" s="104" t="n"/>
      <x:c r="D6" s="104" t="n"/>
      <x:c r="E6" s="104" t="n"/>
      <x:c r="F6" s="104" t="n"/>
      <x:c r="G6" s="104" t="n"/>
      <x:c r="H6" s="104" t="n"/>
      <x:c r="I6" s="104" t="n"/>
      <x:c r="J6" s="104" t="n"/>
      <x:c r="K6" s="104" t="n"/>
    </x:row>
    <x:row r="8" s="51" customFormat="1" ht="24" customHeight="1">
      <x:c r="A8" s="72" t="inlineStr">
        <x:is>
          <x:t xml:space="preserve">ID</x:t>
        </x:is>
      </x:c>
      <x:c r="B8" s="72" t="inlineStr">
        <x:is>
          <x:t xml:space="preserve">Area</x:t>
        </x:is>
      </x:c>
      <x:c r="C8" s="72" t="inlineStr">
        <x:is>
          <x:t xml:space="preserve">Part</x:t>
        </x:is>
      </x:c>
      <x:c r="D8" s="72" t="inlineStr">
        <x:is>
          <x:t xml:space="preserve">Test item</x:t>
        </x:is>
      </x:c>
      <x:c r="E8" s="72" t="inlineStr">
        <x:is>
          <x:t xml:space="preserve">Implemented</x:t>
        </x:is>
      </x:c>
      <x:c r="F8" s="72" t="inlineStr">
        <x:is>
          <x:t xml:space="preserve">Tested</x:t>
        </x:is>
      </x:c>
      <x:c r="G8" s="72" t="inlineStr">
        <x:is>
          <x:t xml:space="preserve">Result</x:t>
        </x:is>
      </x:c>
      <x:c r="H8" s="72" t="inlineStr">
        <x:is>
          <x:t xml:space="preserve">Coverage Status</x:t>
        </x:is>
      </x:c>
      <x:c r="I8" s="72" t="inlineStr">
        <x:is>
          <x:t xml:space="preserve">Currently covered by</x:t>
        </x:is>
      </x:c>
      <x:c r="J8" s="72" t="inlineStr">
        <x:is>
          <x:t xml:space="preserve">Missing / next step</x:t>
        </x:is>
      </x:c>
      <x:c r="K8" s="72" t="inlineStr">
        <x:is>
          <x:t xml:space="preserve">Score</x:t>
        </x:is>
      </x:c>
    </x:row>
    <x:row r="9" s="51" customFormat="1" ht="15" customHeight="1">
      <x:c r="A9" s="73" t="n">
        <x:v>1</x:v>
      </x:c>
      <x:c r="B9" s="84" t="inlineStr">
        <x:is>
          <x:t xml:space="preserve">Anatomy</x:t>
        </x:is>
      </x:c>
      <x:c r="C9" s="84" t="inlineStr">
        <x:is>
          <x:t xml:space="preserve">Root/Item</x:t>
        </x:is>
      </x:c>
      <x:c r="D9" s="84" t="inlineStr">
        <x:is>
          <x:t xml:space="preserve">Ordered-list semantics, stable identities and direct controls</x:t>
        </x:is>
      </x:c>
      <x:c r="E9" s="76" t="inlineStr">
        <x:is>
          <x:t xml:space="preserve">yes</x:t>
        </x:is>
      </x:c>
      <x:c r="F9" s="76" t="inlineStr">
        <x:is>
          <x:t xml:space="preserve">no</x:t>
        </x:is>
      </x:c>
      <x:c r="G9" s="73"/>
      <x:c r="H9" s="92" t="inlineStr">
        <x:is>
          <x:t xml:space="preserve">partial</x:t>
        </x:is>
      </x:c>
      <x:c r="I9" s="84" t="inlineStr">
        <x:is>
          <x:t xml:space="preserve">test/browser/reorder.spec.ts; test/browser/reorder.mobile.spec.ts</x:t>
        </x:is>
      </x:c>
      <x:c r="J9" s="84" t="inlineStr">
        <x:is>
          <x:t xml:space="preserve">Automated evidence exists; complete manual protocol before marking covered.</x:t>
        </x:is>
      </x:c>
      <x:c r="K9" s="87" t="n">
        <x:f>IF(AND(E9="yes",F9="yes",H9="covered"),1,IF(AND(E9="yes",H9="partial"),0.5,0))</x:f>
        <x:v>0.5</x:v>
      </x:c>
    </x:row>
    <x:row r="10" s="51" customFormat="1" ht="15" customHeight="1">
      <x:c r="A10" s="73" t="n">
        <x:v>2</x:v>
      </x:c>
      <x:c r="B10" s="84" t="inlineStr">
        <x:is>
          <x:t xml:space="preserve">Keyboard</x:t>
        </x:is>
      </x:c>
      <x:c r="C10" s="84" t="inlineStr">
        <x:is>
          <x:t xml:space="preserve">Handle</x:t>
        </x:is>
      </x:c>
      <x:c r="D10" s="84" t="inlineStr">
        <x:is>
          <x:t xml:space="preserve">Linear and spatial grid movement, commit, cancel and retained keyed focus</x:t>
        </x:is>
      </x:c>
      <x:c r="E10" s="76" t="inlineStr">
        <x:is>
          <x:t xml:space="preserve">yes</x:t>
        </x:is>
      </x:c>
      <x:c r="F10" s="76" t="inlineStr">
        <x:is>
          <x:t xml:space="preserve">no</x:t>
        </x:is>
      </x:c>
      <x:c r="G10" s="73"/>
      <x:c r="H10" s="92" t="inlineStr">
        <x:is>
          <x:t xml:space="preserve">partial</x:t>
        </x:is>
      </x:c>
      <x:c r="I10" s="84" t="inlineStr">
        <x:is>
          <x:t xml:space="preserve">test/browser/reorder.spec.ts; test/browser/reorder.mobile.spec.ts</x:t>
        </x:is>
      </x:c>
      <x:c r="J10" s="84" t="inlineStr">
        <x:is>
          <x:t xml:space="preserve">Automated evidence exists; complete manual protocol before marking covered.</x:t>
        </x:is>
      </x:c>
      <x:c r="K10" s="87" t="n">
        <x:f>IF(AND(E10="yes",F10="yes",H10="covered"),1,IF(AND(E10="yes",H10="partial"),0.5,0))</x:f>
        <x:v>0.5</x:v>
      </x:c>
    </x:row>
    <x:row r="11" s="51" customFormat="1" ht="15" customHeight="1">
      <x:c r="A11" s="73" t="n">
        <x:v>3</x:v>
      </x:c>
      <x:c r="B11" s="84" t="inlineStr">
        <x:is>
          <x:t xml:space="preserve">Pointer</x:t>
        </x:is>
      </x:c>
      <x:c r="C11" s="84" t="inlineStr">
        <x:is>
          <x:t xml:space="preserve">Handle</x:t>
        </x:is>
      </x:c>
      <x:c r="D11" s="84" t="inlineStr">
        <x:is>
          <x:t xml:space="preserve">Valid drop and outside-target cancellation</x:t>
        </x:is>
      </x:c>
      <x:c r="E11" s="76" t="inlineStr">
        <x:is>
          <x:t xml:space="preserve">yes</x:t>
        </x:is>
      </x:c>
      <x:c r="F11" s="76" t="inlineStr">
        <x:is>
          <x:t xml:space="preserve">no</x:t>
        </x:is>
      </x:c>
      <x:c r="G11" s="73"/>
      <x:c r="H11" s="92" t="inlineStr">
        <x:is>
          <x:t xml:space="preserve">partial</x:t>
        </x:is>
      </x:c>
      <x:c r="I11" s="84" t="inlineStr">
        <x:is>
          <x:t xml:space="preserve">test/browser/reorder.spec.ts; test/browser/reorder.mobile.spec.ts</x:t>
        </x:is>
      </x:c>
      <x:c r="J11" s="84" t="inlineStr">
        <x:is>
          <x:t xml:space="preserve">Automated evidence exists; complete manual protocol before marking covered.</x:t>
        </x:is>
      </x:c>
      <x:c r="K11" s="87" t="n">
        <x:f>IF(AND(E11="yes",F11="yes",H11="covered"),1,IF(AND(E11="yes",H11="partial"),0.5,0))</x:f>
        <x:v>0.5</x:v>
      </x:c>
    </x:row>
    <x:row r="12" s="51" customFormat="1" ht="15" customHeight="1">
      <x:c r="A12" s="73" t="n">
        <x:v>4</x:v>
      </x:c>
      <x:c r="B12" s="84" t="inlineStr">
        <x:is>
          <x:t xml:space="preserve">Geometry</x:t>
        </x:is>
      </x:c>
      <x:c r="C12" s="84" t="inlineStr">
        <x:is>
          <x:t xml:space="preserve">Item</x:t>
        </x:is>
      </x:c>
      <x:c r="D12" s="84" t="inlineStr">
        <x:is>
          <x:t xml:space="preserve">Grid and unequal-width wrap projected positions equal committed layout</x:t>
        </x:is>
      </x:c>
      <x:c r="E12" s="76" t="inlineStr">
        <x:is>
          <x:t xml:space="preserve">yes</x:t>
        </x:is>
      </x:c>
      <x:c r="F12" s="76" t="inlineStr">
        <x:is>
          <x:t xml:space="preserve">no</x:t>
        </x:is>
      </x:c>
      <x:c r="G12" s="73"/>
      <x:c r="H12" s="92" t="inlineStr">
        <x:is>
          <x:t xml:space="preserve">partial</x:t>
        </x:is>
      </x:c>
      <x:c r="I12" s="84" t="inlineStr">
        <x:is>
          <x:t xml:space="preserve">test/browser/reorder.spec.ts; test/browser/reorder.mobile.spec.ts</x:t>
        </x:is>
      </x:c>
      <x:c r="J12" s="84" t="inlineStr">
        <x:is>
          <x:t xml:space="preserve">Automated evidence exists; complete manual protocol before marking covered.</x:t>
        </x:is>
      </x:c>
      <x:c r="K12" s="87" t="n">
        <x:f>IF(AND(E12="yes",F12="yes",H12="covered"),1,IF(AND(E12="yes",H12="partial"),0.5,0))</x:f>
        <x:v>0.5</x:v>
      </x:c>
    </x:row>
    <x:row r="13" s="51" customFormat="1" ht="15" customHeight="1">
      <x:c r="A13" s="73" t="n">
        <x:v>5</x:v>
      </x:c>
      <x:c r="B13" s="84" t="inlineStr">
        <x:is>
          <x:t xml:space="preserve">Touch</x:t>
        </x:is>
      </x:c>
      <x:c r="C13" s="84" t="inlineStr">
        <x:is>
          <x:t xml:space="preserve">Handle</x:t>
        </x:is>
      </x:c>
      <x:c r="D13" s="84" t="inlineStr">
        <x:is>
          <x:t xml:space="preserve">Delayed activation and early movement cancellation</x:t>
        </x:is>
      </x:c>
      <x:c r="E13" s="76" t="inlineStr">
        <x:is>
          <x:t xml:space="preserve">yes</x:t>
        </x:is>
      </x:c>
      <x:c r="F13" s="76" t="inlineStr">
        <x:is>
          <x:t xml:space="preserve">no</x:t>
        </x:is>
      </x:c>
      <x:c r="G13" s="73"/>
      <x:c r="H13" s="92" t="inlineStr">
        <x:is>
          <x:t xml:space="preserve">partial</x:t>
        </x:is>
      </x:c>
      <x:c r="I13" s="84" t="inlineStr">
        <x:is>
          <x:t xml:space="preserve">test/browser/reorder.spec.ts; test/browser/reorder.mobile.spec.ts</x:t>
        </x:is>
      </x:c>
      <x:c r="J13" s="84" t="inlineStr">
        <x:is>
          <x:t xml:space="preserve">Automated evidence exists; complete manual protocol before marking covered.</x:t>
        </x:is>
      </x:c>
      <x:c r="K13" s="87" t="n">
        <x:f>IF(AND(E13="yes",F13="yes",H13="covered"),1,IF(AND(E13="yes",H13="partial"),0.5,0))</x:f>
        <x:v>0.5</x:v>
      </x:c>
    </x:row>
    <x:row r="14" s="51" customFormat="1" ht="15" customHeight="1">
      <x:c r="A14" s="73" t="n">
        <x:v>6</x:v>
      </x:c>
      <x:c r="B14" s="84" t="inlineStr">
        <x:is>
          <x:t xml:space="preserve">Direction</x:t>
        </x:is>
      </x:c>
      <x:c r="C14" s="84" t="inlineStr">
        <x:is>
          <x:t xml:space="preserve">Root</x:t>
        </x:is>
      </x:c>
      <x:c r="D14" s="84" t="inlineStr">
        <x:is>
          <x:t xml:space="preserve">Horizontal RTL keyboard movement</x:t>
        </x:is>
      </x:c>
      <x:c r="E14" s="76" t="inlineStr">
        <x:is>
          <x:t xml:space="preserve">yes</x:t>
        </x:is>
      </x:c>
      <x:c r="F14" s="76" t="inlineStr">
        <x:is>
          <x:t xml:space="preserve">no</x:t>
        </x:is>
      </x:c>
      <x:c r="G14" s="73"/>
      <x:c r="H14" s="92" t="inlineStr">
        <x:is>
          <x:t xml:space="preserve">partial</x:t>
        </x:is>
      </x:c>
      <x:c r="I14" s="84" t="inlineStr">
        <x:is>
          <x:t xml:space="preserve">test/browser/reorder.spec.ts; test/browser/reorder.mobile.spec.ts</x:t>
        </x:is>
      </x:c>
      <x:c r="J14" s="84" t="inlineStr">
        <x:is>
          <x:t xml:space="preserve">Automated evidence exists; complete manual protocol before marking covered.</x:t>
        </x:is>
      </x:c>
      <x:c r="K14" s="87" t="n">
        <x:f>IF(AND(E14="yes",F14="yes",H14="covered"),1,IF(AND(E14="yes",H14="partial"),0.5,0))</x:f>
        <x:v>0.5</x:v>
      </x:c>
    </x:row>
    <x:row r="15" s="51" customFormat="1" ht="30" customHeight="1">
      <x:c r="A15" s="73" t="n">
        <x:v>7</x:v>
      </x:c>
      <x:c r="B15" s="84" t="inlineStr">
        <x:is>
          <x:t xml:space="preserve">Manual</x:t>
        </x:is>
      </x:c>
      <x:c r="C15" s="84" t="inlineStr">
        <x:is>
          <x:t xml:space="preserve">All</x:t>
        </x:is>
      </x:c>
      <x:c r="D15" s="84" t="inlineStr">
        <x:is>
          <x:t xml:space="preserve">Physical touch, screen readers, zoom and reduced-motion visual review</x:t>
        </x:is>
      </x:c>
      <x:c r="E15" s="76" t="inlineStr">
        <x:is>
          <x:t xml:space="preserve">yes</x:t>
        </x:is>
      </x:c>
      <x:c r="F15" s="76" t="inlineStr">
        <x:is>
          <x:t xml:space="preserve">no</x:t>
        </x:is>
      </x:c>
      <x:c r="G15" s="73"/>
      <x:c r="H15" s="92" t="inlineStr">
        <x:is>
          <x:t xml:space="preserve">partial</x:t>
        </x:is>
      </x:c>
      <x:c r="I15" s="84" t="inlineStr">
        <x:is>
          <x:t xml:space="preserve">test/browser/reorder.spec.ts; test/browser/reorder.mobile.spec.ts</x:t>
        </x:is>
      </x:c>
      <x:c r="J15" s="84" t="inlineStr">
        <x:is>
          <x:t xml:space="preserve">Automated evidence exists; complete manual protocol before marking covered.</x:t>
        </x:is>
      </x:c>
      <x:c r="K15" s="87" t="n">
        <x:f>IF(AND(E15="yes",F15="yes",H15="covered"),1,IF(AND(E15="yes",H15="partial"),0.5,0))</x:f>
        <x:v>0.5</x:v>
      </x:c>
    </x:row>
    <x:row r="16" s="51" customFormat="1" ht="15" customHeight="1">
      <x:c r="A16" s="73" t="n"/>
      <x:c r="B16" s="84" t="n"/>
      <x:c r="C16" s="84" t="n"/>
      <x:c r="D16" s="84" t="n"/>
      <x:c r="E16" s="76" t="n"/>
      <x:c r="F16" s="76" t="n"/>
      <x:c r="G16" s="73" t="n"/>
      <x:c r="H16" s="92" t="n"/>
      <x:c r="I16" s="84" t="n"/>
      <x:c r="J16" s="84" t="n"/>
      <x:c r="K16" s="87" t="n"/>
    </x:row>
    <x:row r="17" s="51" customFormat="1" ht="15" customHeight="1">
      <x:c r="A17" s="73" t="n"/>
      <x:c r="B17" s="84" t="n"/>
      <x:c r="C17" s="84" t="n"/>
      <x:c r="D17" s="84" t="n"/>
      <x:c r="E17" s="76" t="n"/>
      <x:c r="F17" s="76" t="n"/>
      <x:c r="G17" s="73" t="n"/>
      <x:c r="H17" s="92" t="n"/>
      <x:c r="I17" s="84" t="n"/>
      <x:c r="J17" s="84" t="n"/>
      <x:c r="K17" s="87" t="n"/>
    </x:row>
    <x:row r="18" s="51" customFormat="1" ht="15" customHeight="1">
      <x:c r="A18" s="73" t="n"/>
      <x:c r="B18" s="84" t="n"/>
      <x:c r="C18" s="84" t="n"/>
      <x:c r="D18" s="84" t="n"/>
      <x:c r="E18" s="76" t="n"/>
      <x:c r="F18" s="76" t="n"/>
      <x:c r="G18" s="73" t="n"/>
      <x:c r="H18" s="92" t="n"/>
      <x:c r="I18" s="84" t="n"/>
      <x:c r="J18" s="84" t="n"/>
      <x:c r="K18" s="87" t="n"/>
    </x:row>
    <x:row r="19" s="51" customFormat="1" ht="15" customHeight="1">
      <x:c r="A19" s="73" t="n"/>
      <x:c r="B19" s="84" t="n"/>
      <x:c r="C19" s="84" t="n"/>
      <x:c r="D19" s="84" t="n"/>
      <x:c r="E19" s="76" t="n"/>
      <x:c r="F19" s="76" t="n"/>
      <x:c r="G19" s="73" t="n"/>
      <x:c r="H19" s="92" t="n"/>
      <x:c r="I19" s="84" t="n"/>
      <x:c r="J19" s="84" t="n"/>
      <x:c r="K19" s="87" t="n"/>
    </x:row>
    <x:row r="20" s="51" customFormat="1" ht="15" customHeight="1">
      <x:c r="A20" s="73" t="n"/>
      <x:c r="B20" s="84" t="n"/>
      <x:c r="C20" s="84" t="n"/>
      <x:c r="D20" s="84" t="n"/>
      <x:c r="E20" s="76" t="n"/>
      <x:c r="F20" s="76" t="n"/>
      <x:c r="G20" s="73" t="n"/>
      <x:c r="H20" s="92" t="n"/>
      <x:c r="I20" s="84" t="n"/>
      <x:c r="J20" s="84" t="n"/>
      <x:c r="K20" s="87" t="n"/>
    </x:row>
    <x:row r="21" s="51" customFormat="1" ht="15" customHeight="1">
      <x:c r="A21" s="73" t="n"/>
      <x:c r="B21" s="84" t="n"/>
      <x:c r="C21" s="84" t="n"/>
      <x:c r="D21" s="84" t="n"/>
      <x:c r="E21" s="76" t="n"/>
      <x:c r="F21" s="76" t="n"/>
      <x:c r="G21" s="73" t="n"/>
      <x:c r="H21" s="92" t="n"/>
      <x:c r="I21" s="84" t="n"/>
      <x:c r="J21" s="84" t="n"/>
      <x:c r="K21" s="87" t="n"/>
    </x:row>
    <x:row r="22" s="51" customFormat="1" ht="30" customHeight="1">
      <x:c r="A22" s="73" t="n"/>
      <x:c r="B22" s="84" t="n"/>
      <x:c r="C22" s="84" t="n"/>
      <x:c r="D22" s="84" t="n"/>
      <x:c r="E22" s="76" t="n"/>
      <x:c r="F22" s="76" t="n"/>
      <x:c r="G22" s="73" t="n"/>
      <x:c r="H22" s="92" t="n"/>
      <x:c r="I22" s="84" t="n"/>
      <x:c r="J22" s="84" t="n"/>
      <x:c r="K22" s="87" t="n"/>
    </x:row>
    <x:row r="23" s="51" customFormat="1" ht="15" customHeight="1">
      <x:c r="A23" s="73" t="n"/>
      <x:c r="B23" s="84" t="n"/>
      <x:c r="C23" s="84" t="n"/>
      <x:c r="D23" s="84" t="n"/>
      <x:c r="E23" s="76" t="n"/>
      <x:c r="F23" s="76" t="n"/>
      <x:c r="G23" s="73" t="n"/>
      <x:c r="H23" s="92" t="n"/>
      <x:c r="I23" s="84" t="n"/>
      <x:c r="J23" s="84" t="n"/>
      <x:c r="K23" s="87" t="n"/>
    </x:row>
    <x:row r="24" s="51" customFormat="1" ht="15" customHeight="1">
      <x:c r="A24" s="73" t="n"/>
      <x:c r="B24" s="84" t="n"/>
      <x:c r="C24" s="84" t="n"/>
      <x:c r="D24" s="84" t="n"/>
      <x:c r="E24" s="76" t="n"/>
      <x:c r="F24" s="76" t="n"/>
      <x:c r="G24" s="73" t="n"/>
      <x:c r="H24" s="92" t="n"/>
      <x:c r="I24" s="84" t="n"/>
      <x:c r="J24" s="84" t="n"/>
      <x:c r="K24" s="87" t="n"/>
    </x:row>
    <x:row r="25" s="51" customFormat="1" ht="15" customHeight="1">
      <x:c r="A25" s="73" t="n"/>
      <x:c r="B25" s="84" t="n"/>
      <x:c r="C25" s="84" t="n"/>
      <x:c r="D25" s="84" t="n"/>
      <x:c r="E25" s="76" t="n"/>
      <x:c r="F25" s="76" t="n"/>
      <x:c r="G25" s="73" t="n"/>
      <x:c r="H25" s="92" t="n"/>
      <x:c r="I25" s="84" t="n"/>
      <x:c r="J25" s="84" t="n"/>
      <x:c r="K25" s="87" t="n"/>
    </x:row>
    <x:row r="26" s="51" customFormat="1" ht="15" customHeight="1">
      <x:c r="A26" s="73" t="n"/>
      <x:c r="B26" s="84" t="n"/>
      <x:c r="C26" s="84" t="n"/>
      <x:c r="D26" s="84" t="n"/>
      <x:c r="E26" s="76" t="n"/>
      <x:c r="F26" s="76" t="n"/>
      <x:c r="G26" s="73" t="n"/>
      <x:c r="H26" s="92" t="n"/>
      <x:c r="I26" s="84" t="n"/>
      <x:c r="J26" s="84" t="n"/>
      <x:c r="K26" s="87" t="n"/>
    </x:row>
    <x:row r="27" s="51" customFormat="1" ht="15" customHeight="1">
      <x:c r="A27" s="73" t="n"/>
      <x:c r="B27" s="84" t="n"/>
      <x:c r="C27" s="84" t="n"/>
      <x:c r="D27" s="84" t="n"/>
      <x:c r="E27" s="76" t="n"/>
      <x:c r="F27" s="76" t="n"/>
      <x:c r="G27" s="73" t="n"/>
      <x:c r="H27" s="92" t="n"/>
      <x:c r="I27" s="84" t="n"/>
      <x:c r="J27" s="84" t="n"/>
      <x:c r="K27" s="87" t="n"/>
    </x:row>
    <x:row r="28" s="51" customFormat="1" ht="15" customHeight="1">
      <x:c r="A28" s="73" t="n"/>
      <x:c r="B28" s="84" t="n"/>
      <x:c r="C28" s="84" t="n"/>
      <x:c r="D28" s="84" t="n"/>
      <x:c r="E28" s="76" t="n"/>
      <x:c r="F28" s="76" t="n"/>
      <x:c r="G28" s="73" t="n"/>
      <x:c r="H28" s="92" t="n"/>
      <x:c r="I28" s="84" t="n"/>
      <x:c r="J28" s="84" t="n"/>
      <x:c r="K28" s="87" t="n"/>
    </x:row>
    <x:row r="29" s="51" customFormat="1" ht="15" customHeight="1">
      <x:c r="A29" s="73" t="n"/>
      <x:c r="B29" s="84" t="n"/>
      <x:c r="C29" s="84" t="n"/>
      <x:c r="D29" s="84" t="n"/>
      <x:c r="E29" s="76" t="n"/>
      <x:c r="F29" s="76" t="n"/>
      <x:c r="G29" s="73" t="n"/>
      <x:c r="H29" s="92" t="n"/>
      <x:c r="I29" s="84" t="n"/>
      <x:c r="J29" s="84" t="n"/>
      <x:c r="K29" s="87" t="n"/>
    </x:row>
    <x:row r="30" s="51" customFormat="1" ht="15" customHeight="1">
      <x:c r="A30" s="73" t="n"/>
      <x:c r="B30" s="84" t="n"/>
      <x:c r="C30" s="84" t="n"/>
      <x:c r="D30" s="84" t="n"/>
      <x:c r="E30" s="76" t="n"/>
      <x:c r="F30" s="76" t="n"/>
      <x:c r="G30" s="73" t="n"/>
      <x:c r="H30" s="92" t="n"/>
      <x:c r="I30" s="84" t="n"/>
      <x:c r="J30" s="84" t="n"/>
      <x:c r="K30" s="87" t="n"/>
    </x:row>
    <x:row r="31" s="51" customFormat="1" ht="15" customHeight="1">
      <x:c r="A31" s="73" t="n"/>
      <x:c r="B31" s="84" t="n"/>
      <x:c r="C31" s="84" t="n"/>
      <x:c r="D31" s="84" t="n"/>
      <x:c r="E31" s="76" t="n"/>
      <x:c r="F31" s="76" t="n"/>
      <x:c r="G31" s="73" t="n"/>
      <x:c r="H31" s="92" t="n"/>
      <x:c r="I31" s="84" t="n"/>
      <x:c r="J31" s="84" t="n"/>
      <x:c r="K31" s="87" t="n"/>
    </x:row>
    <x:row r="32" s="51" customFormat="1" ht="15" customHeight="1">
      <x:c r="A32" s="73" t="n"/>
      <x:c r="B32" s="84" t="n"/>
      <x:c r="C32" s="84" t="n"/>
      <x:c r="D32" s="84" t="n"/>
      <x:c r="E32" s="76" t="n"/>
      <x:c r="F32" s="76" t="n"/>
      <x:c r="G32" s="73" t="n"/>
      <x:c r="H32" s="92" t="n"/>
      <x:c r="I32" s="84" t="n"/>
      <x:c r="J32" s="84" t="n"/>
      <x:c r="K32" s="87" t="n"/>
    </x:row>
    <x:row r="33" s="51" customFormat="1" ht="30" customHeight="1">
      <x:c r="A33" s="73" t="n"/>
      <x:c r="B33" s="84" t="n"/>
      <x:c r="C33" s="84" t="n"/>
      <x:c r="D33" s="84" t="n"/>
      <x:c r="E33" s="76" t="n"/>
      <x:c r="F33" s="76" t="n"/>
      <x:c r="G33" s="73" t="n"/>
      <x:c r="H33" s="92" t="n"/>
      <x:c r="I33" s="84" t="n"/>
      <x:c r="J33" s="84" t="n"/>
      <x:c r="K33" s="87" t="n"/>
    </x:row>
    <x:row r="34" s="51" customFormat="1" ht="15" customHeight="1">
      <x:c r="A34" s="73" t="n"/>
      <x:c r="B34" s="84" t="n"/>
      <x:c r="C34" s="84" t="n"/>
      <x:c r="D34" s="84" t="n"/>
      <x:c r="E34" s="76" t="n"/>
      <x:c r="F34" s="76" t="n"/>
      <x:c r="G34" s="73" t="n"/>
      <x:c r="H34" s="92" t="n"/>
      <x:c r="I34" s="84" t="n"/>
      <x:c r="J34" s="84" t="n"/>
      <x:c r="K34" s="87" t="n"/>
    </x:row>
    <x:row r="35" s="51" customFormat="1" ht="15" customHeight="1">
      <x:c r="A35" s="73" t="n"/>
      <x:c r="B35" s="84" t="n"/>
      <x:c r="C35" s="84" t="n"/>
      <x:c r="D35" s="84" t="n"/>
      <x:c r="E35" s="76" t="n"/>
      <x:c r="F35" s="76" t="n"/>
      <x:c r="G35" s="73" t="n"/>
      <x:c r="H35" s="92" t="n"/>
      <x:c r="I35" s="84" t="n"/>
      <x:c r="J35" s="84" t="n"/>
      <x:c r="K35" s="87" t="n"/>
    </x:row>
    <x:row r="36" s="51" customFormat="1" ht="15" customHeight="1">
      <x:c r="A36" s="73" t="n"/>
      <x:c r="B36" s="84" t="n"/>
      <x:c r="C36" s="84" t="n"/>
      <x:c r="D36" s="84" t="n"/>
      <x:c r="E36" s="76" t="n"/>
      <x:c r="F36" s="76" t="n"/>
      <x:c r="G36" s="73" t="n"/>
      <x:c r="H36" s="92" t="n"/>
      <x:c r="I36" s="84" t="n"/>
      <x:c r="J36" s="84" t="n"/>
      <x:c r="K36" s="87" t="n"/>
    </x:row>
    <x:row r="37" s="51" customFormat="1" ht="15" customHeight="1">
      <x:c r="A37" s="73" t="n"/>
      <x:c r="B37" s="84" t="n"/>
      <x:c r="C37" s="84" t="n"/>
      <x:c r="D37" s="84" t="n"/>
      <x:c r="E37" s="76" t="n"/>
      <x:c r="F37" s="76" t="n"/>
      <x:c r="G37" s="73" t="n"/>
      <x:c r="H37" s="92" t="n"/>
      <x:c r="I37" s="84" t="n"/>
      <x:c r="J37" s="84" t="n"/>
      <x:c r="K37" s="87" t="n"/>
    </x:row>
    <x:row r="38" s="51" customFormat="1" ht="15" customHeight="1">
      <x:c r="A38" s="73" t="n"/>
      <x:c r="B38" s="84" t="n"/>
      <x:c r="C38" s="84" t="n"/>
      <x:c r="D38" s="84" t="n"/>
      <x:c r="E38" s="76" t="n"/>
      <x:c r="F38" s="76" t="n"/>
      <x:c r="G38" s="73" t="n"/>
      <x:c r="H38" s="92" t="n"/>
      <x:c r="I38" s="84" t="n"/>
      <x:c r="J38" s="84" t="n"/>
      <x:c r="K38" s="87" t="n"/>
    </x:row>
    <x:row r="39" s="51" customFormat="1" ht="15" customHeight="1">
      <x:c r="A39" s="73" t="n"/>
      <x:c r="B39" s="84" t="n"/>
      <x:c r="C39" s="84" t="n"/>
      <x:c r="D39" s="84" t="n"/>
      <x:c r="E39" s="76" t="n"/>
      <x:c r="F39" s="76" t="n"/>
      <x:c r="G39" s="73" t="n"/>
      <x:c r="H39" s="92" t="n"/>
      <x:c r="I39" s="84" t="n"/>
      <x:c r="J39" s="84" t="n"/>
      <x:c r="K39" s="87" t="n"/>
    </x:row>
    <x:row r="40" s="51" customFormat="1" ht="15" customHeight="1">
      <x:c r="A40" s="73" t="n"/>
      <x:c r="B40" s="84" t="n"/>
      <x:c r="C40" s="84" t="n"/>
      <x:c r="D40" s="84" t="n"/>
      <x:c r="E40" s="76" t="n"/>
      <x:c r="F40" s="76" t="n"/>
      <x:c r="G40" s="73" t="n"/>
      <x:c r="H40" s="92" t="n"/>
      <x:c r="I40" s="84" t="n"/>
      <x:c r="J40" s="84" t="n"/>
      <x:c r="K40" s="87" t="n"/>
    </x:row>
    <x:row r="41" s="51" customFormat="1" ht="15" customHeight="1">
      <x:c r="A41" s="73" t="n"/>
      <x:c r="B41" s="84" t="n"/>
      <x:c r="C41" s="84" t="n"/>
      <x:c r="D41" s="84" t="n"/>
      <x:c r="E41" s="76" t="n"/>
      <x:c r="F41" s="76" t="n"/>
      <x:c r="G41" s="73" t="n"/>
      <x:c r="H41" s="92" t="n"/>
      <x:c r="I41" s="84" t="n"/>
      <x:c r="J41" s="84" t="n"/>
      <x:c r="K41" s="87" t="n"/>
    </x:row>
    <x:row r="42" s="51" customFormat="1" ht="15" customHeight="1">
      <x:c r="A42" s="73" t="n"/>
      <x:c r="B42" s="84" t="n"/>
      <x:c r="C42" s="84" t="n"/>
      <x:c r="D42" s="84" t="n"/>
      <x:c r="E42" s="76" t="n"/>
      <x:c r="F42" s="76" t="n"/>
      <x:c r="G42" s="73" t="n"/>
      <x:c r="H42" s="92" t="n"/>
      <x:c r="I42" s="84" t="n"/>
      <x:c r="J42" s="84" t="n"/>
      <x:c r="K42" s="87" t="n"/>
    </x:row>
    <x:row r="43" s="51" customFormat="1" ht="15" customHeight="1">
      <x:c r="A43" s="73" t="n"/>
      <x:c r="B43" s="84" t="n"/>
      <x:c r="C43" s="84" t="n"/>
      <x:c r="D43" s="84" t="n"/>
      <x:c r="E43" s="76" t="n"/>
      <x:c r="F43" s="76" t="n"/>
      <x:c r="G43" s="73" t="n"/>
      <x:c r="H43" s="92" t="n"/>
      <x:c r="I43" s="84" t="n"/>
      <x:c r="J43" s="84" t="n"/>
      <x:c r="K43" s="87" t="n"/>
    </x:row>
    <x:row r="44" s="51" customFormat="1" ht="15" customHeight="1">
      <x:c r="A44" s="73" t="n"/>
      <x:c r="B44" s="84" t="n"/>
      <x:c r="C44" s="84" t="n"/>
      <x:c r="D44" s="84" t="n"/>
      <x:c r="E44" s="76" t="n"/>
      <x:c r="F44" s="76" t="n"/>
      <x:c r="G44" s="73" t="n"/>
      <x:c r="H44" s="92" t="n"/>
      <x:c r="I44" s="84" t="n"/>
      <x:c r="J44" s="84" t="n"/>
      <x:c r="K44" s="87" t="n"/>
    </x:row>
    <x:row r="45" s="51" customFormat="1" ht="15" customHeight="1">
      <x:c r="A45" s="73" t="n"/>
      <x:c r="B45" s="84" t="n"/>
      <x:c r="C45" s="84" t="n"/>
      <x:c r="D45" s="84" t="n"/>
      <x:c r="E45" s="76" t="n"/>
      <x:c r="F45" s="76" t="n"/>
      <x:c r="G45" s="73" t="n"/>
      <x:c r="H45" s="92" t="n"/>
      <x:c r="I45" s="84" t="n"/>
      <x:c r="J45" s="84" t="n"/>
      <x:c r="K45" s="87" t="n"/>
    </x:row>
    <x:row r="46" s="51" customFormat="1" ht="15" customHeight="1">
      <x:c r="A46" s="73" t="n"/>
      <x:c r="B46" s="84" t="n"/>
      <x:c r="C46" s="84" t="n"/>
      <x:c r="D46" s="84" t="n"/>
      <x:c r="E46" s="76" t="n"/>
      <x:c r="F46" s="76" t="n"/>
      <x:c r="G46" s="73" t="n"/>
      <x:c r="H46" s="92" t="n"/>
      <x:c r="I46" s="84" t="n"/>
      <x:c r="J46" s="84" t="n"/>
      <x:c r="K46" s="87" t="n"/>
    </x:row>
    <x:row r="47" s="51" customFormat="1" ht="15" customHeight="1">
      <x:c r="A47" s="73" t="n"/>
      <x:c r="B47" s="84" t="n"/>
      <x:c r="C47" s="84" t="n"/>
      <x:c r="D47" s="84" t="n"/>
      <x:c r="E47" s="76" t="n"/>
      <x:c r="F47" s="76" t="n"/>
      <x:c r="G47" s="73" t="n"/>
      <x:c r="H47" s="92" t="n"/>
      <x:c r="I47" s="84" t="n"/>
      <x:c r="J47" s="84" t="n"/>
      <x:c r="K47" s="87" t="n"/>
    </x:row>
    <x:row r="48" s="51" customFormat="1" ht="15" customHeight="1">
      <x:c r="A48" s="73" t="n"/>
      <x:c r="B48" s="84" t="n"/>
      <x:c r="C48" s="84" t="n"/>
      <x:c r="D48" s="84" t="n"/>
      <x:c r="E48" s="76" t="n"/>
      <x:c r="F48" s="76" t="n"/>
      <x:c r="G48" s="73" t="n"/>
      <x:c r="H48" s="92" t="n"/>
      <x:c r="I48" s="84" t="n"/>
      <x:c r="J48" s="84" t="n"/>
      <x:c r="K48" s="87" t="n"/>
    </x:row>
    <x:row r="49" s="51" customFormat="1" ht="15" customHeight="1">
      <x:c r="A49" s="73" t="n"/>
      <x:c r="B49" s="84" t="n"/>
      <x:c r="C49" s="84" t="n"/>
      <x:c r="D49" s="84" t="n"/>
      <x:c r="E49" s="76" t="n"/>
      <x:c r="F49" s="76" t="n"/>
      <x:c r="G49" s="73" t="n"/>
      <x:c r="H49" s="92" t="n"/>
      <x:c r="I49" s="84" t="n"/>
      <x:c r="J49" s="84" t="n"/>
      <x:c r="K49" s="87" t="n"/>
    </x:row>
    <x:row r="50" s="51" customFormat="1" ht="15" customHeight="1">
      <x:c r="A50" s="73" t="n"/>
      <x:c r="B50" s="84" t="n"/>
      <x:c r="C50" s="84" t="n"/>
      <x:c r="D50" s="84" t="n"/>
      <x:c r="E50" s="76" t="n"/>
      <x:c r="F50" s="76" t="n"/>
      <x:c r="G50" s="73" t="n"/>
      <x:c r="H50" s="92" t="n"/>
      <x:c r="I50" s="84" t="n"/>
      <x:c r="J50" s="84" t="n"/>
      <x:c r="K50" s="87" t="n"/>
    </x:row>
  </x:sheetData>
  <x:mergeCells>
    <x:mergeCell ref="A2:K2"/>
    <x:mergeCell ref="A6:K6"/>
    <x:mergeCell ref="A1:K1"/>
  </x:mergeCells>
  <x:pageMargins left="0.7" right="0.7" top="0.75" bottom="0.75" header="0.3" footer="0.3"/>
</x:worksheet>
</file>