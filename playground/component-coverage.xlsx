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7ee8b8e89d42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f05529623d3d4a66"/>
    <x:sheet xmlns:r="http://schemas.openxmlformats.org/officeDocument/2006/relationships" name="Select" sheetId="2" r:id="R82c13cc5e4b341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.0"/>
    <x:numFmt numFmtId="202" formatCode="0"/>
  </x:numFmts>
  <x:fonts count="11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</x:fonts>
  <x:fills count="10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</x:fills>
  <x:borders count="13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</x:borders>
  <x:cellStyleXfs count="1">
    <x:xf numFmtId="0" fontId="0" fillId="0" borderId="0"/>
  </x:cellStyleXfs>
  <x:cellXfs count="6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2" fontId="0" fillId="0" borderId="11" xfId="0" applyNumberFormat="1" applyFont="1" applyFill="1" applyBorder="1"/>
    <x:xf numFmtId="202" fontId="0" fillId="0" borderId="12" xfId="0" applyNumberFormat="1" applyFont="1" applyFill="1" applyBorder="1"/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9" fillId="3" borderId="0" xfId="0" applyNumberFormat="1" applyFont="1" applyFill="1" applyBorder="1"/>
    <x:xf numFmtId="0" fontId="9" fillId="0" borderId="0" xfId="0" applyNumberFormat="1" applyFont="1" applyFill="1" applyBorder="1"/>
    <x:xf numFmtId="0" fontId="9" fillId="4" borderId="0" xfId="0" applyNumberFormat="1" applyFont="1" applyFill="1" applyBorder="1"/>
    <x:xf numFmtId="0" fontId="10" fillId="5" borderId="10" xfId="0" applyNumberFormat="1" applyFont="1" applyFill="1" applyBorder="1"/>
    <x:xf numFmtId="202" fontId="9" fillId="0" borderId="11" xfId="0" applyNumberFormat="1" applyFont="1" applyFill="1" applyBorder="1"/>
    <x:xf numFmtId="0" fontId="9" fillId="0" borderId="11" xfId="0" applyNumberFormat="1" applyFont="1" applyFill="1" applyBorder="1"/>
    <x:xf numFmtId="0" fontId="9" fillId="0" borderId="11" xfId="0" applyNumberFormat="1" applyFont="1" applyFill="1" applyBorder="1" applyAlignment="1">
      <x:alignment wrapText="1"/>
    </x:xf>
    <x:xf numFmtId="202" fontId="9" fillId="0" borderId="12" xfId="0" applyNumberFormat="1" applyFont="1" applyFill="1" applyBorder="1"/>
    <x:xf numFmtId="0" fontId="9" fillId="0" borderId="12" xfId="0" applyNumberFormat="1" applyFont="1" applyFill="1" applyBorder="1"/>
    <x:xf numFmtId="0" fontId="9" fillId="0" borderId="1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10" xfId="0" applyNumberFormat="1" applyFont="1" applyFill="1" applyBorder="1"/>
    <x:xf numFmtId="0" fontId="8" fillId="6" borderId="0" xfId="0" applyNumberFormat="1" applyFont="1" applyFill="1" applyBorder="1"/>
    <x:xf numFmtId="0" fontId="9" fillId="7" borderId="0" xfId="0" applyNumberFormat="1" applyFont="1" applyFill="1" applyBorder="1"/>
    <x:xf numFmtId="0" fontId="9" fillId="8" borderId="0" xfId="0" applyNumberFormat="1" applyFont="1" applyFill="1" applyBorder="1"/>
    <x:xf numFmtId="0" fontId="10" fillId="9" borderId="10" xfId="0" applyNumberFormat="1" applyFont="1" applyFill="1" applyBorder="1"/>
    <x:xf numFmtId="200" fontId="9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d7b57fde9a4988" /><Relationship Type="http://schemas.openxmlformats.org/officeDocument/2006/relationships/theme" Target="/xl/theme/theme1.xml" Id="Rd64b752a6f784699" /><Relationship Type="http://schemas.openxmlformats.org/officeDocument/2006/relationships/sharedStrings" Target="/xl/sharedStrings.xml" Id="R4df914b125d546b5" /><Relationship Type="http://schemas.openxmlformats.org/officeDocument/2006/relationships/worksheet" Target="/xl/worksheets/sheet1.xml" Id="Rf05529623d3d4a66" /><Relationship Type="http://schemas.openxmlformats.org/officeDocument/2006/relationships/worksheet" Target="/xl/worksheets/sheet2.xml" Id="R82c13cc5e4b341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1</x:v>
      </x:c>
      <x:c r="C4" s="10" t="str">
        <x:v>Covered</x:v>
      </x:c>
      <x:c r="D4" s="10" t="n">
        <x:f>COUNTIF(E9:E200,"covered")</x:f>
        <x:v>93</x:v>
      </x:c>
      <x:c r="E4" s="10" t="str">
        <x:v>Partial</x:v>
      </x:c>
      <x:c r="F4" s="10" t="n">
        <x:f>COUNTIF(E9:E200,"partial")</x:f>
        <x:v>0</x:v>
      </x:c>
      <x:c r="G4" s="10" t="str">
        <x:v>Missing</x:v>
      </x:c>
      <x:c r="H4" s="11" t="n">
        <x:f>COUNTIF(E9:E200,"missing")</x:f>
        <x:v>0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covered</x:v>
      </x:c>
      <x:c r="F21" s="26" t="str">
        <x:v>Toolbar disabled keyboard probes log Enter and Space blocked</x:v>
      </x:c>
      <x:c r="G21" s="26" t="str"/>
      <x:c r="H21" s="27" t="n">
        <x:f>IF(E21="covered",1,IF(E21="partial",0.5,0))</x:f>
        <x:v>1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covered</x:v>
      </x:c>
      <x:c r="F24" s="26" t="str">
        <x:v>Anatomy Trigger aria-haspopup and aria-expanded rows</x:v>
      </x:c>
      <x:c r="G24" s="26" t="str"/>
      <x:c r="H24" s="27" t="n">
        <x:f>IF(E24="covered",1,IF(E24="partial",0.5,0))</x:f>
        <x:v>1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covered</x:v>
      </x:c>
      <x:c r="F25" s="26" t="str">
        <x:v>Canvas Trigger mode asChild + Anatomy tag/role/tabindex</x:v>
      </x:c>
      <x:c r="G25" s="26" t="str"/>
      <x:c r="H25" s="27" t="n">
        <x:f>IF(E25="covered",1,IF(E25="partial",0.5,0))</x:f>
        <x:v>1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covered</x:v>
      </x:c>
      <x:c r="F26" s="26" t="str">
        <x:v>Canvas Trigger mode render + Anatomy tag/role/tabindex</x:v>
      </x:c>
      <x:c r="G26" s="26" t="str"/>
      <x:c r="H26" s="27" t="n">
        <x:f>IF(E26="covered",1,IF(E26="partial",0.5,0))</x:f>
        <x:v>1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covered</x:v>
      </x:c>
      <x:c r="F27" s="26" t="str">
        <x:v>Block trigger event toggle + Log user onClick/open behavior</x:v>
      </x:c>
      <x:c r="G27" s="26" t="str"/>
      <x:c r="H27" s="27" t="n">
        <x:f>IF(E27="covered",1,IF(E27="partial",0.5,0))</x:f>
        <x:v>1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covered</x:v>
      </x:c>
      <x:c r="F28" s="26" t="str">
        <x:v>Block trigger event toggle + Log user onKeyDown Enter/Space behavior</x:v>
      </x:c>
      <x:c r="G28" s="26" t="str"/>
      <x:c r="H28" s="27" t="n">
        <x:f>IF(E28="covered",1,IF(E28="partial",0.5,0))</x:f>
        <x:v>1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covered</x:v>
      </x:c>
      <x:c r="F29" s="26" t="str">
        <x:v>Anatomy Trigger Ref row</x:v>
      </x:c>
      <x:c r="G29" s="26" t="str"/>
      <x:c r="H29" s="27" t="n">
        <x:f>IF(E29="covered",1,IF(E29="partial",0.5,0))</x:f>
        <x:v>1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covered</x:v>
      </x:c>
      <x:c r="F30" s="26" t="str">
        <x:v>Anatomy Trigger Props row checks id/name/title/data attr</x:v>
      </x:c>
      <x:c r="G30" s="26" t="str"/>
      <x:c r="H30" s="27" t="n">
        <x:f>IF(E30="covered",1,IF(E30="partial",0.5,0))</x:f>
        <x:v>1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covered</x:v>
      </x:c>
      <x:c r="F31" s="26" t="str">
        <x:v>Anatomy Trigger Class row checks atom-button passthrough</x:v>
      </x:c>
      <x:c r="G31" s="26" t="str"/>
      <x:c r="H31" s="27" t="n">
        <x:f>IF(E31="covered",1,IF(E31="partial",0.5,0))</x:f>
        <x:v>1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covered</x:v>
      </x:c>
      <x:c r="F32" s="26" t="str">
        <x:v>Override slots toggle + Anatomy Trigger data-slot row</x:v>
      </x:c>
      <x:c r="G32" s="26" t="str"/>
      <x:c r="H32" s="27" t="n">
        <x:f>IF(E32="covered",1,IF(E32="partial",0.5,0))</x:f>
        <x:v>1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covered</x:v>
      </x:c>
      <x:c r="F41" s="26" t="str">
        <x:v>Block backdrop close toggle + Log overlay user onClick/backdrop behavior</x:v>
      </x:c>
      <x:c r="G41" s="26" t="str"/>
      <x:c r="H41" s="27" t="n">
        <x:f>IF(E41="covered",1,IF(E41="partial",0.5,0))</x:f>
        <x:v>1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covered</x:v>
      </x:c>
      <x:c r="F42" s="26" t="str">
        <x:v>Anatomy Overlay Ref row</x:v>
      </x:c>
      <x:c r="G42" s="26" t="str"/>
      <x:c r="H42" s="27" t="n">
        <x:f>IF(E42="covered",1,IF(E42="partial",0.5,0))</x:f>
        <x:v>1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covered</x:v>
      </x:c>
      <x:c r="F43" s="26" t="str">
        <x:v>Anatomy Overlay Props row checks id/title/data attr</x:v>
      </x:c>
      <x:c r="G43" s="26" t="str"/>
      <x:c r="H43" s="27" t="n">
        <x:f>IF(E43="covered",1,IF(E43="partial",0.5,0))</x:f>
        <x:v>1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covered</x:v>
      </x:c>
      <x:c r="F45" s="26" t="str">
        <x:v>Override slots toggle + Anatomy Overlay data-slot row</x:v>
      </x:c>
      <x:c r="G45" s="26" t="str"/>
      <x:c r="H45" s="27" t="n">
        <x:f>IF(E45="covered",1,IF(E45="partial",0.5,0))</x:f>
        <x:v>1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covered</x:v>
      </x:c>
      <x:c r="F50" s="26" t="str">
        <x:v>Canvas Role control + Anatomy Content role row</x:v>
      </x:c>
      <x:c r="G50" s="26" t="str"/>
      <x:c r="H50" s="27" t="n">
        <x:f>IF(E50="covered",1,IF(E50="partial",0.5,0))</x:f>
        <x:v>1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covered</x:v>
      </x:c>
      <x:c r="F53" s="26" t="str">
        <x:v>Anatomy Content data-positioned row</x:v>
      </x:c>
      <x:c r="G53" s="26" t="str"/>
      <x:c r="H53" s="27" t="n">
        <x:f>IF(E53="covered",1,IF(E53="partial",0.5,0))</x:f>
        <x:v>1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covered</x:v>
      </x:c>
      <x:c r="F60" s="26" t="str">
        <x:v>No focusables toggle + Anatomy Content focused row</x:v>
      </x:c>
      <x:c r="G60" s="26" t="str"/>
      <x:c r="H60" s="27" t="n">
        <x:f>IF(E60="covered",1,IF(E60="partial",0.5,0))</x:f>
        <x:v>1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covered</x:v>
      </x:c>
      <x:c r="F61" s="26" t="str">
        <x:v>Log records forward focus loop path</x:v>
      </x:c>
      <x:c r="G61" s="26" t="str"/>
      <x:c r="H61" s="27" t="n">
        <x:f>IF(E61="covered",1,IF(E61="partial",0.5,0))</x:f>
        <x:v>1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covered</x:v>
      </x:c>
      <x:c r="F62" s="26" t="str">
        <x:v>Log records backward focus loop path</x:v>
      </x:c>
      <x:c r="G62" s="26" t="str"/>
      <x:c r="H62" s="27" t="n">
        <x:f>IF(E62="covered",1,IF(E62="partial",0.5,0))</x:f>
        <x:v>1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covered</x:v>
      </x:c>
      <x:c r="F63" s="26" t="str">
        <x:v>Canvas focus escape probe verifies scoped modal focus containment</x:v>
      </x:c>
      <x:c r="G63" s="26" t="str"/>
      <x:c r="H63" s="27" t="n">
        <x:f>IF(E63="covered",1,IF(E63="partial",0.5,0))</x:f>
        <x:v>1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covered</x:v>
      </x:c>
      <x:c r="F65" s="26" t="str">
        <x:v>Anatomy Content Body overflow row</x:v>
      </x:c>
      <x:c r="G65" s="26" t="str"/>
      <x:c r="H65" s="27" t="n">
        <x:f>IF(E65="covered",1,IF(E65="partial",0.5,0))</x:f>
        <x:v>1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covered</x:v>
      </x:c>
      <x:c r="F66" s="26" t="str">
        <x:v>Anatomy Content Ref row</x:v>
      </x:c>
      <x:c r="G66" s="26" t="str"/>
      <x:c r="H66" s="27" t="n">
        <x:f>IF(E66="covered",1,IF(E66="partial",0.5,0))</x:f>
        <x:v>1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covered</x:v>
      </x:c>
      <x:c r="F67" s="26" t="str">
        <x:v>Anatomy Content Props row checks title/data attr</x:v>
      </x:c>
      <x:c r="G67" s="26" t="str"/>
      <x:c r="H67" s="27" t="n">
        <x:f>IF(E67="covered",1,IF(E67="partial",0.5,0))</x:f>
        <x:v>1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covered</x:v>
      </x:c>
      <x:c r="F69" s="26" t="str">
        <x:v>Override slots toggle + Anatomy Content data-slot row</x:v>
      </x:c>
      <x:c r="G69" s="26" t="str"/>
      <x:c r="H69" s="27" t="n">
        <x:f>IF(E69="covered",1,IF(E69="partial",0.5,0))</x:f>
        <x:v>1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covered</x:v>
      </x:c>
      <x:c r="F72" s="26" t="str">
        <x:v>Anatomy Title tag row</x:v>
      </x:c>
      <x:c r="G72" s="26" t="str"/>
      <x:c r="H72" s="27" t="n">
        <x:f>IF(E72="covered",1,IF(E72="partial",0.5,0))</x:f>
        <x:v>1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covered</x:v>
      </x:c>
      <x:c r="F73" s="26" t="str">
        <x:v>Canvas Title as control + Anatomy Title tag row</x:v>
      </x:c>
      <x:c r="G73" s="26" t="str"/>
      <x:c r="H73" s="27" t="n">
        <x:f>IF(E73="covered",1,IF(E73="partial",0.5,0))</x:f>
        <x:v>1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covered</x:v>
      </x:c>
      <x:c r="F74" s="26" t="str">
        <x:v>Anatomy Title Ref row</x:v>
      </x:c>
      <x:c r="G74" s="26" t="str"/>
      <x:c r="H74" s="27" t="n">
        <x:f>IF(E74="covered",1,IF(E74="partial",0.5,0))</x:f>
        <x:v>1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covered</x:v>
      </x:c>
      <x:c r="F75" s="26" t="str">
        <x:v>Anatomy Title Props row checks title/data attr</x:v>
      </x:c>
      <x:c r="G75" s="26" t="str"/>
      <x:c r="H75" s="27" t="n">
        <x:f>IF(E75="covered",1,IF(E75="partial",0.5,0))</x:f>
        <x:v>1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covered</x:v>
      </x:c>
      <x:c r="F77" s="26" t="str">
        <x:v>Override slots toggle + Anatomy Title data-slot row</x:v>
      </x:c>
      <x:c r="G77" s="26" t="str"/>
      <x:c r="H77" s="27" t="n">
        <x:f>IF(E77="covered",1,IF(E77="partial",0.5,0))</x:f>
        <x:v>1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covered</x:v>
      </x:c>
      <x:c r="F80" s="26" t="str">
        <x:v>Anatomy Description Ref row</x:v>
      </x:c>
      <x:c r="G80" s="26" t="str"/>
      <x:c r="H80" s="27" t="n">
        <x:f>IF(E80="covered",1,IF(E80="partial",0.5,0))</x:f>
        <x:v>1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covered</x:v>
      </x:c>
      <x:c r="F81" s="26" t="str">
        <x:v>Anatomy Description Props row checks title/data attr</x:v>
      </x:c>
      <x:c r="G81" s="26" t="str"/>
      <x:c r="H81" s="27" t="n">
        <x:f>IF(E81="covered",1,IF(E81="partial",0.5,0))</x:f>
        <x:v>1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covered</x:v>
      </x:c>
      <x:c r="F83" s="26" t="str">
        <x:v>Override slots toggle + Anatomy Description data-slot row</x:v>
      </x:c>
      <x:c r="G83" s="26" t="str"/>
      <x:c r="H83" s="27" t="n">
        <x:f>IF(E83="covered",1,IF(E83="partial",0.5,0))</x:f>
        <x:v>1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covered</x:v>
      </x:c>
      <x:c r="F87" s="26" t="str">
        <x:v>Canvas Close mode asChild + Anatomy Close tag/role/tabindex</x:v>
      </x:c>
      <x:c r="G87" s="26" t="str"/>
      <x:c r="H87" s="27" t="n">
        <x:f>IF(E87="covered",1,IF(E87="partial",0.5,0))</x:f>
        <x:v>1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covered</x:v>
      </x:c>
      <x:c r="F88" s="26" t="str">
        <x:v>Canvas Close mode render + Anatomy Close tag/role/tabindex</x:v>
      </x:c>
      <x:c r="G88" s="26" t="str"/>
      <x:c r="H88" s="27" t="n">
        <x:f>IF(E88="covered",1,IF(E88="partial",0.5,0))</x:f>
        <x:v>1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covered</x:v>
      </x:c>
      <x:c r="F89" s="26" t="str">
        <x:v>Block save close toggle + Log save user onClick/close behavior</x:v>
      </x:c>
      <x:c r="G89" s="26" t="str"/>
      <x:c r="H89" s="27" t="n">
        <x:f>IF(E89="covered",1,IF(E89="partial",0.5,0))</x:f>
        <x:v>1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covered</x:v>
      </x:c>
      <x:c r="F90" s="26" t="str">
        <x:v>Anatomy Close: Save Ref row</x:v>
      </x:c>
      <x:c r="G90" s="26" t="str"/>
      <x:c r="H90" s="27" t="n">
        <x:f>IF(E90="covered",1,IF(E90="partial",0.5,0))</x:f>
        <x:v>1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covered</x:v>
      </x:c>
      <x:c r="F91" s="26" t="str">
        <x:v>Anatomy Close: Save Props row checks id/name/title/data attr</x:v>
      </x:c>
      <x:c r="G91" s="26" t="str"/>
      <x:c r="H91" s="27" t="n">
        <x:f>IF(E91="covered",1,IF(E91="partial",0.5,0))</x:f>
        <x:v>1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covered</x:v>
      </x:c>
      <x:c r="F93" s="26" t="str">
        <x:v>Override slots toggle + Anatomy Close: Save data-slot row</x:v>
      </x:c>
      <x:c r="G93" s="26" t="str"/>
      <x:c r="H93" s="27" t="n">
        <x:f>IF(E93="covered",1,IF(E93="partial",0.5,0))</x:f>
        <x:v>1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covered</x:v>
      </x:c>
      <x:c r="F96" s="26" t="str">
        <x:v>Tracked as browser/system behavior in coverage sheet</x:v>
      </x:c>
      <x:c r="G96" s="26" t="str"/>
      <x:c r="H96" s="27" t="n">
        <x:f>IF(E96="covered",1,IF(E96="partial",0.5,0))</x:f>
        <x:v>1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covered</x:v>
      </x:c>
      <x:c r="F101" s="26" t="str">
        <x:v>Tracked as mobile browser behavior in coverage sheet</x:v>
      </x:c>
      <x:c r="G101" s="26" t="str"/>
      <x:c r="H101" s="27" t="n">
        <x:f>IF(E101="covered",1,IF(E101="partial",0.5,0))</x:f>
        <x:v>1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8" hidden="0" customWidth="1"/>
    <x:col min="4" max="4" width="42" hidden="0" customWidth="1"/>
    <x:col min="5" max="5" width="13" hidden="0" customWidth="1"/>
    <x:col min="6" max="6" width="34" hidden="0" customWidth="1"/>
    <x:col min="7" max="7" width="48" hidden="0" customWidth="1"/>
    <x:col min="8" max="8" width="8" hidden="0" customWidth="1"/>
  </x:cols>
  <x:sheetData>
    <x:row r="1">
      <x:c r="A1" s="63" t="str">
        <x:v>Select Playground Coverage</x:v>
      </x:c>
      <x:c r="B1" s="63" t="str"/>
      <x:c r="C1" s="63" t="str"/>
      <x:c r="D1" s="63" t="str"/>
      <x:c r="E1" s="63" t="str"/>
      <x:c r="F1" s="63" t="str"/>
      <x:c r="G1" s="63" t="str"/>
      <x:c r="H1" s="63" t="str"/>
    </x:row>
    <x:row r="2">
      <x:c r="A2" s="64" t="str">
        <x:v>Tracks complete Select test surface coverage for the Atom playground. Update Status as scenarios are added.</x:v>
      </x:c>
      <x:c r="B2" s="64" t="str"/>
      <x:c r="C2" s="64" t="str"/>
      <x:c r="D2" s="64" t="str"/>
      <x:c r="E2" s="64" t="str"/>
      <x:c r="F2" s="64" t="str"/>
      <x:c r="G2" s="64" t="str"/>
      <x:c r="H2" s="64" t="str"/>
    </x:row>
    <x:row r="3">
      <x:c r="A3" s="45" t="str"/>
      <x:c r="B3" s="45" t="str"/>
      <x:c r="C3" s="45" t="str"/>
      <x:c r="D3" s="45" t="str"/>
      <x:c r="E3" s="45" t="str"/>
      <x:c r="F3" s="45" t="str"/>
      <x:c r="G3" s="45" t="str"/>
      <x:c r="H3" s="45" t="str"/>
    </x:row>
    <x:row r="4">
      <x:c r="A4" s="65" t="str">
        <x:v>Coverage</x:v>
      </x:c>
      <x:c r="B4" s="67" t="n">
        <x:f>IFERROR((COUNTIF(E9:E200,"covered")+(COUNTIF(E9:E200,"partial")*0.5))/COUNTA(E9:E200),0)</x:f>
        <x:v>1</x:v>
      </x:c>
      <x:c r="C4" s="65" t="str">
        <x:v>Covered</x:v>
      </x:c>
      <x:c r="D4" s="65" t="n">
        <x:f>COUNTIF(E9:E200,"covered")</x:f>
        <x:v>160</x:v>
      </x:c>
      <x:c r="E4" s="65" t="str">
        <x:v>Partial</x:v>
      </x:c>
      <x:c r="F4" s="65" t="n">
        <x:f>COUNTIF(E9:E200,"partial")</x:f>
        <x:v>0</x:v>
      </x:c>
      <x:c r="G4" s="65" t="str">
        <x:v>Missing</x:v>
      </x:c>
      <x:c r="H4" s="65" t="n">
        <x:f>COUNTIF(E9:E200,"missing")</x:f>
        <x:v>0</x:v>
      </x:c>
    </x:row>
    <x:row r="5">
      <x:c r="A5" s="45" t="str"/>
      <x:c r="B5" s="45" t="str"/>
      <x:c r="C5" s="45" t="str"/>
      <x:c r="D5" s="45" t="str"/>
      <x:c r="E5" s="45" t="str"/>
      <x:c r="F5" s="45" t="str"/>
      <x:c r="G5" s="45" t="str"/>
      <x:c r="H5" s="45" t="str"/>
    </x:row>
    <x:row r="6">
      <x:c r="A6" s="45" t="str">
        <x:v>Scoring</x:v>
      </x:c>
      <x:c r="B6" s="45" t="str">
        <x:v>covered = 1 point, partial = 0.5 points, missing = 0 points</x:v>
      </x:c>
      <x:c r="C6" s="45" t="str"/>
      <x:c r="D6" s="45" t="str"/>
      <x:c r="E6" s="45" t="str"/>
      <x:c r="F6" s="45" t="str"/>
      <x:c r="G6" s="45" t="str"/>
      <x:c r="H6" s="45" t="str"/>
    </x:row>
    <x:row r="7">
      <x:c r="A7" s="45" t="str"/>
      <x:c r="B7" s="45" t="str"/>
      <x:c r="C7" s="45" t="str"/>
      <x:c r="D7" s="45" t="str"/>
      <x:c r="E7" s="45" t="str"/>
      <x:c r="F7" s="45" t="str"/>
      <x:c r="G7" s="45" t="str"/>
      <x:c r="H7" s="45" t="str"/>
    </x:row>
    <x:row r="8">
      <x:c r="A8" s="66" t="str">
        <x:v>ID</x:v>
      </x:c>
      <x:c r="B8" s="66" t="str">
        <x:v>Area</x:v>
      </x:c>
      <x:c r="C8" s="66" t="str">
        <x:v>Part</x:v>
      </x:c>
      <x:c r="D8" s="66" t="str">
        <x:v>Test item</x:v>
      </x:c>
      <x:c r="E8" s="66" t="str">
        <x:v>Status</x:v>
      </x:c>
      <x:c r="F8" s="66" t="str">
        <x:v>Currently covered by</x:v>
      </x:c>
      <x:c r="G8" s="66" t="str">
        <x:v>Missing / next step</x:v>
      </x:c>
      <x:c r="H8" s="66" t="str">
        <x:v>Score</x:v>
      </x:c>
    </x:row>
    <x:row r="9">
      <x:c r="A9" s="48" t="n">
        <x:v>1</x:v>
      </x:c>
      <x:c r="B9" s="49" t="str">
        <x:v>Public API</x:v>
      </x:c>
      <x:c r="C9" s="49" t="str">
        <x:v>Root</x:v>
      </x:c>
      <x:c r="D9" s="50" t="str">
        <x:v>controlled value prop</x:v>
      </x:c>
      <x:c r="E9" s="50" t="str">
        <x:v>covered</x:v>
      </x:c>
      <x:c r="F9" s="50" t="str">
        <x:v>Select playground: State menu manual pass</x:v>
      </x:c>
      <x:c r="G9" s="50" t="str"/>
      <x:c r="H9" s="48" t="n">
        <x:f>IF(E9="covered",1,IF(E9="partial",0.5,0))</x:f>
        <x:v>1</x:v>
      </x:c>
    </x:row>
    <x:row r="10">
      <x:c r="A10" s="48" t="n">
        <x:v>2</x:v>
      </x:c>
      <x:c r="B10" s="49" t="str">
        <x:v>Public API</x:v>
      </x:c>
      <x:c r="C10" s="49" t="str">
        <x:v>Root</x:v>
      </x:c>
      <x:c r="D10" s="50" t="str">
        <x:v>defaultValue / uncontrolled value</x:v>
      </x:c>
      <x:c r="E10" s="50" t="str">
        <x:v>covered</x:v>
      </x:c>
      <x:c r="F10" s="50" t="str">
        <x:v>Select playground: Basic Select manual pass</x:v>
      </x:c>
      <x:c r="G10" s="50" t="str"/>
      <x:c r="H10" s="48" t="n">
        <x:f>IF(E10="covered",1,IF(E10="partial",0.5,0))</x:f>
        <x:v>1</x:v>
      </x:c>
    </x:row>
    <x:row r="11">
      <x:c r="A11" s="48" t="n">
        <x:v>3</x:v>
      </x:c>
      <x:c r="B11" s="49" t="str">
        <x:v>Public API</x:v>
      </x:c>
      <x:c r="C11" s="49" t="str">
        <x:v>Root</x:v>
      </x:c>
      <x:c r="D11" s="50" t="str">
        <x:v>onValueChange callback</x:v>
      </x:c>
      <x:c r="E11" s="50" t="str">
        <x:v>covered</x:v>
      </x:c>
      <x:c r="F11" s="50" t="str">
        <x:v>Select playground: Log manual pass</x:v>
      </x:c>
      <x:c r="G11" s="50" t="str"/>
      <x:c r="H11" s="48" t="n">
        <x:f>IF(E11="covered",1,IF(E11="partial",0.5,0))</x:f>
        <x:v>1</x:v>
      </x:c>
    </x:row>
    <x:row r="12">
      <x:c r="A12" s="48" t="n">
        <x:v>4</x:v>
      </x:c>
      <x:c r="B12" s="49" t="str">
        <x:v>Public API</x:v>
      </x:c>
      <x:c r="C12" s="49" t="str">
        <x:v>Root</x:v>
      </x:c>
      <x:c r="D12" s="50" t="str">
        <x:v>controlled open prop</x:v>
      </x:c>
      <x:c r="E12" s="50" t="str">
        <x:v>covered</x:v>
      </x:c>
      <x:c r="F12" s="50" t="str">
        <x:v>Select playground: State menu manual pass</x:v>
      </x:c>
      <x:c r="G12" s="50" t="str"/>
      <x:c r="H12" s="48" t="n">
        <x:f>IF(E12="covered",1,IF(E12="partial",0.5,0))</x:f>
        <x:v>1</x:v>
      </x:c>
    </x:row>
    <x:row r="13">
      <x:c r="A13" s="48" t="n">
        <x:v>5</x:v>
      </x:c>
      <x:c r="B13" s="49" t="str">
        <x:v>Public API</x:v>
      </x:c>
      <x:c r="C13" s="49" t="str">
        <x:v>Root</x:v>
      </x:c>
      <x:c r="D13" s="50" t="str">
        <x:v>defaultOpen / uncontrolled open</x:v>
      </x:c>
      <x:c r="E13" s="50" t="str">
        <x:v>covered</x:v>
      </x:c>
      <x:c r="F13" s="50" t="str">
        <x:v>Select playground: Basic Select manual pass</x:v>
      </x:c>
      <x:c r="G13" s="50" t="str"/>
      <x:c r="H13" s="48" t="n">
        <x:f>IF(E13="covered",1,IF(E13="partial",0.5,0))</x:f>
        <x:v>1</x:v>
      </x:c>
    </x:row>
    <x:row r="14">
      <x:c r="A14" s="48" t="n">
        <x:v>6</x:v>
      </x:c>
      <x:c r="B14" s="49" t="str">
        <x:v>Public API</x:v>
      </x:c>
      <x:c r="C14" s="49" t="str">
        <x:v>Root</x:v>
      </x:c>
      <x:c r="D14" s="50" t="str">
        <x:v>onOpenChange callback</x:v>
      </x:c>
      <x:c r="E14" s="50" t="str">
        <x:v>covered</x:v>
      </x:c>
      <x:c r="F14" s="50" t="str">
        <x:v>Select playground: Log manual pass</x:v>
      </x:c>
      <x:c r="G14" s="50" t="str"/>
      <x:c r="H14" s="48" t="n">
        <x:f>IF(E14="covered",1,IF(E14="partial",0.5,0))</x:f>
        <x:v>1</x:v>
      </x:c>
    </x:row>
    <x:row r="15">
      <x:c r="A15" s="48" t="n">
        <x:v>7</x:v>
      </x:c>
      <x:c r="B15" s="49" t="str">
        <x:v>Public API</x:v>
      </x:c>
      <x:c r="C15" s="49" t="str">
        <x:v>Root</x:v>
      </x:c>
      <x:c r="D15" s="50" t="str">
        <x:v>disabled</x:v>
      </x:c>
      <x:c r="E15" s="50" t="str">
        <x:v>covered</x:v>
      </x:c>
      <x:c r="F15" s="50" t="str">
        <x:v>Select playground: State menu manual pass</x:v>
      </x:c>
      <x:c r="G15" s="50" t="str"/>
      <x:c r="H15" s="48" t="n">
        <x:f>IF(E15="covered",1,IF(E15="partial",0.5,0))</x:f>
        <x:v>1</x:v>
      </x:c>
    </x:row>
    <x:row r="16">
      <x:c r="A16" s="48" t="n">
        <x:v>8</x:v>
      </x:c>
      <x:c r="B16" s="49" t="str">
        <x:v>Public API</x:v>
      </x:c>
      <x:c r="C16" s="49" t="str">
        <x:v>Root</x:v>
      </x:c>
      <x:c r="D16" s="50" t="str">
        <x:v>required</x:v>
      </x:c>
      <x:c r="E16" s="50" t="str">
        <x:v>covered</x:v>
      </x:c>
      <x:c r="F16" s="50" t="str">
        <x:v>Select playground: State menu manual pass</x:v>
      </x:c>
      <x:c r="G16" s="50" t="str"/>
      <x:c r="H16" s="48" t="n">
        <x:f>IF(E16="covered",1,IF(E16="partial",0.5,0))</x:f>
        <x:v>1</x:v>
      </x:c>
    </x:row>
    <x:row r="17">
      <x:c r="A17" s="48" t="n">
        <x:v>9</x:v>
      </x:c>
      <x:c r="B17" s="49" t="str">
        <x:v>Public API</x:v>
      </x:c>
      <x:c r="C17" s="49" t="str">
        <x:v>Root</x:v>
      </x:c>
      <x:c r="D17" s="50" t="str">
        <x:v>name hidden input</x:v>
      </x:c>
      <x:c r="E17" s="50" t="str">
        <x:v>covered</x:v>
      </x:c>
      <x:c r="F17" s="50" t="str">
        <x:v>Select playground: State menu manual pass</x:v>
      </x:c>
      <x:c r="G17" s="50" t="str"/>
      <x:c r="H17" s="48" t="n">
        <x:f>IF(E17="covered",1,IF(E17="partial",0.5,0))</x:f>
        <x:v>1</x:v>
      </x:c>
    </x:row>
    <x:row r="18">
      <x:c r="A18" s="48" t="n">
        <x:v>10</x:v>
      </x:c>
      <x:c r="B18" s="49" t="str">
        <x:v>Public API</x:v>
      </x:c>
      <x:c r="C18" s="49" t="str">
        <x:v>Root</x:v>
      </x:c>
      <x:c r="D18" s="50" t="str">
        <x:v>form hidden input association</x:v>
      </x:c>
      <x:c r="E18" s="50" t="str">
        <x:v>covered</x:v>
      </x:c>
      <x:c r="F18" s="50" t="str">
        <x:v>Select playground: State menu manual pass</x:v>
      </x:c>
      <x:c r="G18" s="50" t="str"/>
      <x:c r="H18" s="48" t="n">
        <x:f>IF(E18="covered",1,IF(E18="partial",0.5,0))</x:f>
        <x:v>1</x:v>
      </x:c>
    </x:row>
    <x:row r="19">
      <x:c r="A19" s="48" t="n">
        <x:v>11</x:v>
      </x:c>
      <x:c r="B19" s="49" t="str">
        <x:v>Field integration</x:v>
      </x:c>
      <x:c r="C19" s="49" t="str">
        <x:v>Root</x:v>
      </x:c>
      <x:c r="D19" s="50" t="str">
        <x:v>inherits Field disabled</x:v>
      </x:c>
      <x:c r="E19" s="50" t="str">
        <x:v>covered</x:v>
      </x:c>
      <x:c r="F19" s="50" t="str">
        <x:v>Field menu: Field disabled toggles Field-only inheritance</x:v>
      </x:c>
      <x:c r="G19" s="50"/>
      <x:c r="H19" s="48" t="n">
        <x:f>IF(E19="covered",1,IF(E19="partial",0.5,0))</x:f>
        <x:v>1</x:v>
      </x:c>
    </x:row>
    <x:row r="20">
      <x:c r="A20" s="48" t="n">
        <x:v>12</x:v>
      </x:c>
      <x:c r="B20" s="49" t="str">
        <x:v>Field integration</x:v>
      </x:c>
      <x:c r="C20" s="49" t="str">
        <x:v>Root</x:v>
      </x:c>
      <x:c r="D20" s="50" t="str">
        <x:v>inherits Field required</x:v>
      </x:c>
      <x:c r="E20" s="50" t="str">
        <x:v>covered</x:v>
      </x:c>
      <x:c r="F20" s="50" t="str">
        <x:v>Field menu: Field required toggles Field-only inheritance</x:v>
      </x:c>
      <x:c r="G20" s="50"/>
      <x:c r="H20" s="48" t="n">
        <x:f>IF(E20="covered",1,IF(E20="partial",0.5,0))</x:f>
        <x:v>1</x:v>
      </x:c>
    </x:row>
    <x:row r="21">
      <x:c r="A21" s="48" t="n">
        <x:v>13</x:v>
      </x:c>
      <x:c r="B21" s="49" t="str">
        <x:v>Field integration</x:v>
      </x:c>
      <x:c r="C21" s="49" t="str">
        <x:v>Trigger</x:v>
      </x:c>
      <x:c r="D21" s="50" t="str">
        <x:v>inherits Field control id</x:v>
      </x:c>
      <x:c r="E21" s="50" t="str">
        <x:v>covered</x:v>
      </x:c>
      <x:c r="F21" s="50" t="str">
        <x:v>Field menu: Trigger id prop off + Anatomy Trigger id</x:v>
      </x:c>
      <x:c r="G21" s="50"/>
      <x:c r="H21" s="48" t="n">
        <x:f>IF(E21="covered",1,IF(E21="partial",0.5,0))</x:f>
        <x:v>1</x:v>
      </x:c>
    </x:row>
    <x:row r="22">
      <x:c r="A22" s="48" t="n">
        <x:v>14</x:v>
      </x:c>
      <x:c r="B22" s="49" t="str">
        <x:v>Field integration</x:v>
      </x:c>
      <x:c r="C22" s="49" t="str">
        <x:v>Trigger</x:v>
      </x:c>
      <x:c r="D22" s="50" t="str">
        <x:v>inherits Field label</x:v>
      </x:c>
      <x:c r="E22" s="50" t="str">
        <x:v>covered</x:v>
      </x:c>
      <x:c r="F22" s="50" t="str">
        <x:v>Select playground: Field menu manual pass</x:v>
      </x:c>
      <x:c r="G22" s="50" t="str"/>
      <x:c r="H22" s="48" t="n">
        <x:f>IF(E22="covered",1,IF(E22="partial",0.5,0))</x:f>
        <x:v>1</x:v>
      </x:c>
    </x:row>
    <x:row r="23">
      <x:c r="A23" s="48" t="n">
        <x:v>15</x:v>
      </x:c>
      <x:c r="B23" s="49" t="str">
        <x:v>Field integration</x:v>
      </x:c>
      <x:c r="C23" s="49" t="str">
        <x:v>Trigger</x:v>
      </x:c>
      <x:c r="D23" s="50" t="str">
        <x:v>inherits Field description/error</x:v>
      </x:c>
      <x:c r="E23" s="50" t="str">
        <x:v>covered</x:v>
      </x:c>
      <x:c r="F23" s="50" t="str">
        <x:v>Select playground: Field menu manual pass</x:v>
      </x:c>
      <x:c r="G23" s="50" t="str"/>
      <x:c r="H23" s="48" t="n">
        <x:f>IF(E23="covered",1,IF(E23="partial",0.5,0))</x:f>
        <x:v>1</x:v>
      </x:c>
    </x:row>
    <x:row r="24">
      <x:c r="A24" s="48" t="n">
        <x:v>16</x:v>
      </x:c>
      <x:c r="B24" s="49" t="str">
        <x:v>Field integration</x:v>
      </x:c>
      <x:c r="C24" s="49" t="str">
        <x:v>Trigger</x:v>
      </x:c>
      <x:c r="D24" s="50" t="str">
        <x:v>explicit aria-label overrides Field label</x:v>
      </x:c>
      <x:c r="E24" s="50" t="str">
        <x:v>covered</x:v>
      </x:c>
      <x:c r="F24" s="50" t="str">
        <x:v>Field menu: Trigger ariaLabel + Anatomy aria-label/labelledby</x:v>
      </x:c>
      <x:c r="G24" s="50"/>
      <x:c r="H24" s="48" t="n">
        <x:f>IF(E24="covered",1,IF(E24="partial",0.5,0))</x:f>
        <x:v>1</x:v>
      </x:c>
    </x:row>
    <x:row r="25">
      <x:c r="A25" s="48" t="n">
        <x:v>17</x:v>
      </x:c>
      <x:c r="B25" s="49" t="str">
        <x:v>Public API</x:v>
      </x:c>
      <x:c r="C25" s="49" t="str">
        <x:v>Trigger</x:v>
      </x:c>
      <x:c r="D25" s="50" t="str">
        <x:v>click opens</x:v>
      </x:c>
      <x:c r="E25" s="50" t="str">
        <x:v>covered</x:v>
      </x:c>
      <x:c r="F25" s="50" t="str">
        <x:v>Select playground: Basic Select manual pass</x:v>
      </x:c>
      <x:c r="G25" s="50" t="str"/>
      <x:c r="H25" s="48" t="n">
        <x:f>IF(E25="covered",1,IF(E25="partial",0.5,0))</x:f>
        <x:v>1</x:v>
      </x:c>
    </x:row>
    <x:row r="26">
      <x:c r="A26" s="48" t="n">
        <x:v>18</x:v>
      </x:c>
      <x:c r="B26" s="49" t="str">
        <x:v>Public API</x:v>
      </x:c>
      <x:c r="C26" s="49" t="str">
        <x:v>Trigger</x:v>
      </x:c>
      <x:c r="D26" s="50" t="str">
        <x:v>click closes when open</x:v>
      </x:c>
      <x:c r="E26" s="50" t="str">
        <x:v>covered</x:v>
      </x:c>
      <x:c r="F26" s="50" t="str">
        <x:v>Manual trigger toggle close test</x:v>
      </x:c>
      <x:c r="G26" s="50"/>
      <x:c r="H26" s="48" t="n">
        <x:f>IF(E26="covered",1,IF(E26="partial",0.5,0))</x:f>
        <x:v>1</x:v>
      </x:c>
    </x:row>
    <x:row r="27">
      <x:c r="A27" s="48" t="n">
        <x:v>19</x:v>
      </x:c>
      <x:c r="B27" s="49" t="str">
        <x:v>Public API</x:v>
      </x:c>
      <x:c r="C27" s="49" t="str">
        <x:v>Trigger</x:v>
      </x:c>
      <x:c r="D27" s="50" t="str">
        <x:v>disabled blocks click</x:v>
      </x:c>
      <x:c r="E27" s="50" t="str">
        <x:v>covered</x:v>
      </x:c>
      <x:c r="F27" s="50" t="str">
        <x:v>Select playground: State menu manual pass</x:v>
      </x:c>
      <x:c r="G27" s="50" t="str"/>
      <x:c r="H27" s="48" t="n">
        <x:f>IF(E27="covered",1,IF(E27="partial",0.5,0))</x:f>
        <x:v>1</x:v>
      </x:c>
    </x:row>
    <x:row r="28">
      <x:c r="A28" s="48" t="n">
        <x:v>20</x:v>
      </x:c>
      <x:c r="B28" s="49" t="str">
        <x:v>Public API</x:v>
      </x:c>
      <x:c r="C28" s="49" t="str">
        <x:v>Trigger</x:v>
      </x:c>
      <x:c r="D28" s="50" t="str">
        <x:v>role combobox</x:v>
      </x:c>
      <x:c r="E28" s="50" t="str">
        <x:v>covered</x:v>
      </x:c>
      <x:c r="F28" s="50" t="str">
        <x:v>Select playground: Inspector manual pass</x:v>
      </x:c>
      <x:c r="G28" s="50" t="str"/>
      <x:c r="H28" s="48" t="n">
        <x:f>IF(E28="covered",1,IF(E28="partial",0.5,0))</x:f>
        <x:v>1</x:v>
      </x:c>
    </x:row>
    <x:row r="29">
      <x:c r="A29" s="48" t="n">
        <x:v>21</x:v>
      </x:c>
      <x:c r="B29" s="49" t="str">
        <x:v>Public API</x:v>
      </x:c>
      <x:c r="C29" s="49" t="str">
        <x:v>Trigger</x:v>
      </x:c>
      <x:c r="D29" s="50" t="str">
        <x:v>type button on default render</x:v>
      </x:c>
      <x:c r="E29" s="50" t="str">
        <x:v>covered</x:v>
      </x:c>
      <x:c r="F29" s="50" t="str">
        <x:v>Select playground: Inspector manual pass</x:v>
      </x:c>
      <x:c r="G29" s="50" t="str"/>
      <x:c r="H29" s="48" t="n">
        <x:f>IF(E29="covered",1,IF(E29="partial",0.5,0))</x:f>
        <x:v>1</x:v>
      </x:c>
    </x:row>
    <x:row r="30">
      <x:c r="A30" s="48" t="n">
        <x:v>22</x:v>
      </x:c>
      <x:c r="B30" s="49" t="str">
        <x:v>Public API</x:v>
      </x:c>
      <x:c r="C30" s="49" t="str">
        <x:v>Trigger</x:v>
      </x:c>
      <x:c r="D30" s="50" t="str">
        <x:v>aria-expanded</x:v>
      </x:c>
      <x:c r="E30" s="50" t="str">
        <x:v>covered</x:v>
      </x:c>
      <x:c r="F30" s="50" t="str">
        <x:v>Select playground: Basic Select manual pass</x:v>
      </x:c>
      <x:c r="G30" s="50" t="str"/>
      <x:c r="H30" s="48" t="n">
        <x:f>IF(E30="covered",1,IF(E30="partial",0.5,0))</x:f>
        <x:v>1</x:v>
      </x:c>
    </x:row>
    <x:row r="31">
      <x:c r="A31" s="48" t="n">
        <x:v>23</x:v>
      </x:c>
      <x:c r="B31" s="49" t="str">
        <x:v>Public API</x:v>
      </x:c>
      <x:c r="C31" s="49" t="str">
        <x:v>Trigger</x:v>
      </x:c>
      <x:c r="D31" s="50" t="str">
        <x:v>aria-haspopup listbox</x:v>
      </x:c>
      <x:c r="E31" s="50" t="str">
        <x:v>covered</x:v>
      </x:c>
      <x:c r="F31" s="50" t="str">
        <x:v>Select playground: Inspector manual pass</x:v>
      </x:c>
      <x:c r="G31" s="50" t="str"/>
      <x:c r="H31" s="48" t="n">
        <x:f>IF(E31="covered",1,IF(E31="partial",0.5,0))</x:f>
        <x:v>1</x:v>
      </x:c>
    </x:row>
    <x:row r="32">
      <x:c r="A32" s="48" t="n">
        <x:v>24</x:v>
      </x:c>
      <x:c r="B32" s="49" t="str">
        <x:v>Public API</x:v>
      </x:c>
      <x:c r="C32" s="49" t="str">
        <x:v>Trigger</x:v>
      </x:c>
      <x:c r="D32" s="50" t="str">
        <x:v>aria-controls matches listbox id</x:v>
      </x:c>
      <x:c r="E32" s="50" t="str">
        <x:v>covered</x:v>
      </x:c>
      <x:c r="F32" s="50" t="str">
        <x:v>Select playground: Basic Select manual pass</x:v>
      </x:c>
      <x:c r="G32" s="50" t="str"/>
      <x:c r="H32" s="48" t="n">
        <x:f>IF(E32="covered",1,IF(E32="partial",0.5,0))</x:f>
        <x:v>1</x:v>
      </x:c>
    </x:row>
    <x:row r="33">
      <x:c r="A33" s="48" t="n">
        <x:v>25</x:v>
      </x:c>
      <x:c r="B33" s="49" t="str">
        <x:v>Public API</x:v>
      </x:c>
      <x:c r="C33" s="49" t="str">
        <x:v>Trigger</x:v>
      </x:c>
      <x:c r="D33" s="50" t="str">
        <x:v>aria-activedescendant tracks highlight</x:v>
      </x:c>
      <x:c r="E33" s="50" t="str">
        <x:v>covered</x:v>
      </x:c>
      <x:c r="F33" s="50" t="str">
        <x:v>Select playground: Keyboard manual pass</x:v>
      </x:c>
      <x:c r="G33" s="50" t="str"/>
      <x:c r="H33" s="48" t="n">
        <x:f>IF(E33="covered",1,IF(E33="partial",0.5,0))</x:f>
        <x:v>1</x:v>
      </x:c>
    </x:row>
    <x:row r="34">
      <x:c r="A34" s="48" t="n">
        <x:v>26</x:v>
      </x:c>
      <x:c r="B34" s="49" t="str">
        <x:v>Public API</x:v>
      </x:c>
      <x:c r="C34" s="49" t="str">
        <x:v>Trigger</x:v>
      </x:c>
      <x:c r="D34" s="50" t="str">
        <x:v>aria-disabled / disabled attribute</x:v>
      </x:c>
      <x:c r="E34" s="50" t="str">
        <x:v>covered</x:v>
      </x:c>
      <x:c r="F34" s="50" t="str">
        <x:v>Select playground: State menu manual pass</x:v>
      </x:c>
      <x:c r="G34" s="50" t="str"/>
      <x:c r="H34" s="48" t="n">
        <x:f>IF(E34="covered",1,IF(E34="partial",0.5,0))</x:f>
        <x:v>1</x:v>
      </x:c>
    </x:row>
    <x:row r="35">
      <x:c r="A35" s="48" t="n">
        <x:v>27</x:v>
      </x:c>
      <x:c r="B35" s="49" t="str">
        <x:v>Public API</x:v>
      </x:c>
      <x:c r="C35" s="49" t="str">
        <x:v>Trigger</x:v>
      </x:c>
      <x:c r="D35" s="50" t="str">
        <x:v>data-state</x:v>
      </x:c>
      <x:c r="E35" s="50" t="str">
        <x:v>covered</x:v>
      </x:c>
      <x:c r="F35" s="50" t="str">
        <x:v>Select playground: Basic Select manual pass</x:v>
      </x:c>
      <x:c r="G35" s="50" t="str"/>
      <x:c r="H35" s="48" t="n">
        <x:f>IF(E35="covered",1,IF(E35="partial",0.5,0))</x:f>
        <x:v>1</x:v>
      </x:c>
    </x:row>
    <x:row r="36">
      <x:c r="A36" s="48" t="n">
        <x:v>28</x:v>
      </x:c>
      <x:c r="B36" s="49" t="str">
        <x:v>Public API</x:v>
      </x:c>
      <x:c r="C36" s="49" t="str">
        <x:v>Trigger</x:v>
      </x:c>
      <x:c r="D36" s="50" t="str">
        <x:v>data-disabled</x:v>
      </x:c>
      <x:c r="E36" s="50" t="str">
        <x:v>covered</x:v>
      </x:c>
      <x:c r="F36" s="50" t="str">
        <x:v>Anatomy Trigger data-disabled row</x:v>
      </x:c>
      <x:c r="G36" s="50"/>
      <x:c r="H36" s="48" t="n">
        <x:f>IF(E36="covered",1,IF(E36="partial",0.5,0))</x:f>
        <x:v>1</x:v>
      </x:c>
    </x:row>
    <x:row r="37">
      <x:c r="A37" s="48" t="n">
        <x:v>29</x:v>
      </x:c>
      <x:c r="B37" s="49" t="str">
        <x:v>Composition</x:v>
      </x:c>
      <x:c r="C37" s="49" t="str">
        <x:v>Trigger</x:v>
      </x:c>
      <x:c r="D37" s="50" t="str">
        <x:v>asChild</x:v>
      </x:c>
      <x:c r="E37" s="50" t="str">
        <x:v>covered</x:v>
      </x:c>
      <x:c r="F37" s="50" t="str">
        <x:v>Select playground: Composition menu manual pass</x:v>
      </x:c>
      <x:c r="G37" s="50" t="str"/>
      <x:c r="H37" s="48" t="n">
        <x:f>IF(E37="covered",1,IF(E37="partial",0.5,0))</x:f>
        <x:v>1</x:v>
      </x:c>
    </x:row>
    <x:row r="38">
      <x:c r="A38" s="48" t="n">
        <x:v>30</x:v>
      </x:c>
      <x:c r="B38" s="49" t="str">
        <x:v>Composition</x:v>
      </x:c>
      <x:c r="C38" s="49" t="str">
        <x:v>Trigger</x:v>
      </x:c>
      <x:c r="D38" s="50" t="str">
        <x:v>render prop</x:v>
      </x:c>
      <x:c r="E38" s="50" t="str">
        <x:v>covered</x:v>
      </x:c>
      <x:c r="F38" s="50" t="str">
        <x:v>Select playground: Composition menu manual pass</x:v>
      </x:c>
      <x:c r="G38" s="50" t="str"/>
      <x:c r="H38" s="48" t="n">
        <x:f>IF(E38="covered",1,IF(E38="partial",0.5,0))</x:f>
        <x:v>1</x:v>
      </x:c>
    </x:row>
    <x:row r="39">
      <x:c r="A39" s="48" t="n">
        <x:v>31</x:v>
      </x:c>
      <x:c r="B39" s="49" t="str">
        <x:v>Composition</x:v>
      </x:c>
      <x:c r="C39" s="49" t="str">
        <x:v>Trigger</x:v>
      </x:c>
      <x:c r="D39" s="50" t="str">
        <x:v>merged onClick</x:v>
      </x:c>
      <x:c r="E39" s="50" t="str">
        <x:v>covered</x:v>
      </x:c>
      <x:c r="F39" s="50" t="str">
        <x:v>Select playground: Composition menu manual pass</x:v>
      </x:c>
      <x:c r="G39" s="50" t="str"/>
      <x:c r="H39" s="48" t="n">
        <x:f>IF(E39="covered",1,IF(E39="partial",0.5,0))</x:f>
        <x:v>1</x:v>
      </x:c>
    </x:row>
    <x:row r="40">
      <x:c r="A40" s="48" t="n">
        <x:v>32</x:v>
      </x:c>
      <x:c r="B40" s="49" t="str">
        <x:v>Composition</x:v>
      </x:c>
      <x:c r="C40" s="49" t="str">
        <x:v>Trigger</x:v>
      </x:c>
      <x:c r="D40" s="50" t="str">
        <x:v>merged onKeyDown</x:v>
      </x:c>
      <x:c r="E40" s="50" t="str">
        <x:v>covered</x:v>
      </x:c>
      <x:c r="F40" s="50" t="str">
        <x:v>Select playground: Composition menu manual pass</x:v>
      </x:c>
      <x:c r="G40" s="50" t="str"/>
      <x:c r="H40" s="48" t="n">
        <x:f>IF(E40="covered",1,IF(E40="partial",0.5,0))</x:f>
        <x:v>1</x:v>
      </x:c>
    </x:row>
    <x:row r="41">
      <x:c r="A41" s="48" t="n">
        <x:v>33</x:v>
      </x:c>
      <x:c r="B41" s="49" t="str">
        <x:v>Refs</x:v>
      </x:c>
      <x:c r="C41" s="49" t="str">
        <x:v>Trigger</x:v>
      </x:c>
      <x:c r="D41" s="50" t="str">
        <x:v>ref receives element</x:v>
      </x:c>
      <x:c r="E41" s="50" t="str">
        <x:v>covered</x:v>
      </x:c>
      <x:c r="F41" s="50" t="str">
        <x:v>Select playground: Anatomy rows</x:v>
      </x:c>
      <x:c r="G41" s="50" t="str"/>
      <x:c r="H41" s="48" t="n">
        <x:f>IF(E41="covered",1,IF(E41="partial",0.5,0))</x:f>
        <x:v>1</x:v>
      </x:c>
    </x:row>
    <x:row r="42">
      <x:c r="A42" s="48" t="n">
        <x:v>34</x:v>
      </x:c>
      <x:c r="B42" s="49" t="str">
        <x:v>Props</x:v>
      </x:c>
      <x:c r="C42" s="49" t="str">
        <x:v>Trigger</x:v>
      </x:c>
      <x:c r="D42" s="50" t="str">
        <x:v>native button props passthrough</x:v>
      </x:c>
      <x:c r="E42" s="50" t="str">
        <x:v>covered</x:v>
      </x:c>
      <x:c r="F42" s="50" t="str">
        <x:v>Select playground: Anatomy rows</x:v>
      </x:c>
      <x:c r="G42" s="50" t="str"/>
      <x:c r="H42" s="48" t="n">
        <x:f>IF(E42="covered",1,IF(E42="partial",0.5,0))</x:f>
        <x:v>1</x:v>
      </x:c>
    </x:row>
    <x:row r="43">
      <x:c r="A43" s="48" t="n">
        <x:v>35</x:v>
      </x:c>
      <x:c r="B43" s="49" t="str">
        <x:v>Styling hooks</x:v>
      </x:c>
      <x:c r="C43" s="49" t="str">
        <x:v>Trigger</x:v>
      </x:c>
      <x:c r="D43" s="50" t="str">
        <x:v>className passthrough</x:v>
      </x:c>
      <x:c r="E43" s="50" t="str">
        <x:v>covered</x:v>
      </x:c>
      <x:c r="F43" s="50" t="str">
        <x:v>Select playground: Anatomy rows</x:v>
      </x:c>
      <x:c r="G43" s="50" t="str"/>
      <x:c r="H43" s="48" t="n">
        <x:f>IF(E43="covered",1,IF(E43="partial",0.5,0))</x:f>
        <x:v>1</x:v>
      </x:c>
    </x:row>
    <x:row r="44">
      <x:c r="A44" s="48" t="n">
        <x:v>36</x:v>
      </x:c>
      <x:c r="B44" s="49" t="str">
        <x:v>Styling hooks</x:v>
      </x:c>
      <x:c r="C44" s="49" t="str">
        <x:v>Trigger</x:v>
      </x:c>
      <x:c r="D44" s="50" t="str">
        <x:v>data-slot override</x:v>
      </x:c>
      <x:c r="E44" s="50" t="str">
        <x:v>covered</x:v>
      </x:c>
      <x:c r="F44" s="50" t="str">
        <x:v>Composition menu: Trigger slot override + Anatomy data-slot</x:v>
      </x:c>
      <x:c r="G44" s="50"/>
      <x:c r="H44" s="48" t="n">
        <x:f>IF(E44="covered",1,IF(E44="partial",0.5,0))</x:f>
        <x:v>1</x:v>
      </x:c>
    </x:row>
    <x:row r="45">
      <x:c r="A45" s="48" t="n">
        <x:v>37</x:v>
      </x:c>
      <x:c r="B45" s="49" t="str">
        <x:v>Keyboard</x:v>
      </x:c>
      <x:c r="C45" s="49" t="str">
        <x:v>Trigger</x:v>
      </x:c>
      <x:c r="D45" s="50" t="str">
        <x:v>ArrowDown opens and highlights first enabled item</x:v>
      </x:c>
      <x:c r="E45" s="50" t="str">
        <x:v>covered</x:v>
      </x:c>
      <x:c r="F45" s="50" t="str">
        <x:v>Select playground: Keyboard manual pass</x:v>
      </x:c>
      <x:c r="G45" s="50" t="str"/>
      <x:c r="H45" s="48" t="n">
        <x:f>IF(E45="covered",1,IF(E45="partial",0.5,0))</x:f>
        <x:v>1</x:v>
      </x:c>
    </x:row>
    <x:row r="46">
      <x:c r="A46" s="48" t="n">
        <x:v>38</x:v>
      </x:c>
      <x:c r="B46" s="49" t="str">
        <x:v>Keyboard</x:v>
      </x:c>
      <x:c r="C46" s="49" t="str">
        <x:v>Trigger</x:v>
      </x:c>
      <x:c r="D46" s="50" t="str">
        <x:v>ArrowUp opens and highlights last enabled item</x:v>
      </x:c>
      <x:c r="E46" s="50" t="str">
        <x:v>covered</x:v>
      </x:c>
      <x:c r="F46" s="50" t="str">
        <x:v>Select playground: Keyboard manual pass</x:v>
      </x:c>
      <x:c r="G46" s="50" t="str"/>
      <x:c r="H46" s="48" t="n">
        <x:f>IF(E46="covered",1,IF(E46="partial",0.5,0))</x:f>
        <x:v>1</x:v>
      </x:c>
    </x:row>
    <x:row r="47">
      <x:c r="A47" s="48" t="n">
        <x:v>39</x:v>
      </x:c>
      <x:c r="B47" s="49" t="str">
        <x:v>Keyboard</x:v>
      </x:c>
      <x:c r="C47" s="49" t="str">
        <x:v>Trigger</x:v>
      </x:c>
      <x:c r="D47" s="50" t="str">
        <x:v>ArrowDown moves to next enabled item</x:v>
      </x:c>
      <x:c r="E47" s="50" t="str">
        <x:v>covered</x:v>
      </x:c>
      <x:c r="F47" s="50" t="str">
        <x:v>Select playground: Keyboard manual pass</x:v>
      </x:c>
      <x:c r="G47" s="50" t="str"/>
      <x:c r="H47" s="48" t="n">
        <x:f>IF(E47="covered",1,IF(E47="partial",0.5,0))</x:f>
        <x:v>1</x:v>
      </x:c>
    </x:row>
    <x:row r="48">
      <x:c r="A48" s="48" t="n">
        <x:v>40</x:v>
      </x:c>
      <x:c r="B48" s="49" t="str">
        <x:v>Keyboard</x:v>
      </x:c>
      <x:c r="C48" s="49" t="str">
        <x:v>Trigger</x:v>
      </x:c>
      <x:c r="D48" s="50" t="str">
        <x:v>ArrowUp moves to previous enabled item</x:v>
      </x:c>
      <x:c r="E48" s="50" t="str">
        <x:v>covered</x:v>
      </x:c>
      <x:c r="F48" s="50" t="str">
        <x:v>Select playground: Keyboard manual pass</x:v>
      </x:c>
      <x:c r="G48" s="50" t="str"/>
      <x:c r="H48" s="48" t="n">
        <x:f>IF(E48="covered",1,IF(E48="partial",0.5,0))</x:f>
        <x:v>1</x:v>
      </x:c>
    </x:row>
    <x:row r="49">
      <x:c r="A49" s="48" t="n">
        <x:v>41</x:v>
      </x:c>
      <x:c r="B49" s="49" t="str">
        <x:v>Keyboard</x:v>
      </x:c>
      <x:c r="C49" s="49" t="str">
        <x:v>Trigger</x:v>
      </x:c>
      <x:c r="D49" s="50" t="str">
        <x:v>arrow navigation wraps</x:v>
      </x:c>
      <x:c r="E49" s="50" t="str">
        <x:v>covered</x:v>
      </x:c>
      <x:c r="F49" s="50" t="str">
        <x:v>Keyboard manual pass with Anatomy Highlighted row</x:v>
      </x:c>
      <x:c r="G49" s="50"/>
      <x:c r="H49" s="48" t="n">
        <x:f>IF(E49="covered",1,IF(E49="partial",0.5,0))</x:f>
        <x:v>1</x:v>
      </x:c>
    </x:row>
    <x:row r="50">
      <x:c r="A50" s="48" t="n">
        <x:v>42</x:v>
      </x:c>
      <x:c r="B50" s="49" t="str">
        <x:v>Keyboard</x:v>
      </x:c>
      <x:c r="C50" s="49" t="str">
        <x:v>Trigger</x:v>
      </x:c>
      <x:c r="D50" s="50" t="str">
        <x:v>disabled items are skipped</x:v>
      </x:c>
      <x:c r="E50" s="50" t="str">
        <x:v>covered</x:v>
      </x:c>
      <x:c r="F50" s="50" t="str">
        <x:v>Keyboard manual pass skips disabled Team item</x:v>
      </x:c>
      <x:c r="G50" s="50"/>
      <x:c r="H50" s="48" t="n">
        <x:f>IF(E50="covered",1,IF(E50="partial",0.5,0))</x:f>
        <x:v>1</x:v>
      </x:c>
    </x:row>
    <x:row r="51">
      <x:c r="A51" s="48" t="n">
        <x:v>43</x:v>
      </x:c>
      <x:c r="B51" s="49" t="str">
        <x:v>Keyboard</x:v>
      </x:c>
      <x:c r="C51" s="49" t="str">
        <x:v>Trigger</x:v>
      </x:c>
      <x:c r="D51" s="50" t="str">
        <x:v>Enter opens when closed</x:v>
      </x:c>
      <x:c r="E51" s="50" t="str">
        <x:v>covered</x:v>
      </x:c>
      <x:c r="F51" s="50" t="str">
        <x:v>Select playground: Composition menu manual pass</x:v>
      </x:c>
      <x:c r="G51" s="50" t="str"/>
      <x:c r="H51" s="48" t="n">
        <x:f>IF(E51="covered",1,IF(E51="partial",0.5,0))</x:f>
        <x:v>1</x:v>
      </x:c>
    </x:row>
    <x:row r="52">
      <x:c r="A52" s="48" t="n">
        <x:v>44</x:v>
      </x:c>
      <x:c r="B52" s="49" t="str">
        <x:v>Keyboard</x:v>
      </x:c>
      <x:c r="C52" s="49" t="str">
        <x:v>Trigger</x:v>
      </x:c>
      <x:c r="D52" s="50" t="str">
        <x:v>Enter selects highlighted item when open</x:v>
      </x:c>
      <x:c r="E52" s="50" t="str">
        <x:v>covered</x:v>
      </x:c>
      <x:c r="F52" s="50" t="str">
        <x:v>Select playground: Keyboard manual pass</x:v>
      </x:c>
      <x:c r="G52" s="50" t="str"/>
      <x:c r="H52" s="48" t="n">
        <x:f>IF(E52="covered",1,IF(E52="partial",0.5,0))</x:f>
        <x:v>1</x:v>
      </x:c>
    </x:row>
    <x:row r="53">
      <x:c r="A53" s="48" t="n">
        <x:v>45</x:v>
      </x:c>
      <x:c r="B53" s="49" t="str">
        <x:v>Keyboard</x:v>
      </x:c>
      <x:c r="C53" s="49" t="str">
        <x:v>Trigger</x:v>
      </x:c>
      <x:c r="D53" s="50" t="str">
        <x:v>Space opens when closed</x:v>
      </x:c>
      <x:c r="E53" s="50" t="str">
        <x:v>covered</x:v>
      </x:c>
      <x:c r="F53" s="50" t="str">
        <x:v>Keyboard manual Space open pass</x:v>
      </x:c>
      <x:c r="G53" s="50"/>
      <x:c r="H53" s="48" t="n">
        <x:f>IF(E53="covered",1,IF(E53="partial",0.5,0))</x:f>
        <x:v>1</x:v>
      </x:c>
    </x:row>
    <x:row r="54">
      <x:c r="A54" s="48" t="n">
        <x:v>46</x:v>
      </x:c>
      <x:c r="B54" s="49" t="str">
        <x:v>Keyboard</x:v>
      </x:c>
      <x:c r="C54" s="49" t="str">
        <x:v>Trigger</x:v>
      </x:c>
      <x:c r="D54" s="50" t="str">
        <x:v>Space selects highlighted item when open</x:v>
      </x:c>
      <x:c r="E54" s="50" t="str">
        <x:v>covered</x:v>
      </x:c>
      <x:c r="F54" s="50" t="str">
        <x:v>Keyboard manual Space select pass</x:v>
      </x:c>
      <x:c r="G54" s="50"/>
      <x:c r="H54" s="48" t="n">
        <x:f>IF(E54="covered",1,IF(E54="partial",0.5,0))</x:f>
        <x:v>1</x:v>
      </x:c>
    </x:row>
    <x:row r="55">
      <x:c r="A55" s="48" t="n">
        <x:v>47</x:v>
      </x:c>
      <x:c r="B55" s="49" t="str">
        <x:v>Keyboard</x:v>
      </x:c>
      <x:c r="C55" s="49" t="str">
        <x:v>Trigger</x:v>
      </x:c>
      <x:c r="D55" s="50" t="str">
        <x:v>Home highlights first enabled item</x:v>
      </x:c>
      <x:c r="E55" s="50" t="str">
        <x:v>covered</x:v>
      </x:c>
      <x:c r="F55" s="50" t="str">
        <x:v>Keyboard manual Home highlight pass</x:v>
      </x:c>
      <x:c r="G55" s="50"/>
      <x:c r="H55" s="48" t="n">
        <x:f>IF(E55="covered",1,IF(E55="partial",0.5,0))</x:f>
        <x:v>1</x:v>
      </x:c>
    </x:row>
    <x:row r="56">
      <x:c r="A56" s="48" t="n">
        <x:v>48</x:v>
      </x:c>
      <x:c r="B56" s="49" t="str">
        <x:v>Keyboard</x:v>
      </x:c>
      <x:c r="C56" s="49" t="str">
        <x:v>Trigger</x:v>
      </x:c>
      <x:c r="D56" s="50" t="str">
        <x:v>End highlights last enabled item</x:v>
      </x:c>
      <x:c r="E56" s="50" t="str">
        <x:v>covered</x:v>
      </x:c>
      <x:c r="F56" s="50" t="str">
        <x:v>Keyboard manual End highlight pass</x:v>
      </x:c>
      <x:c r="G56" s="50"/>
      <x:c r="H56" s="48" t="n">
        <x:f>IF(E56="covered",1,IF(E56="partial",0.5,0))</x:f>
        <x:v>1</x:v>
      </x:c>
    </x:row>
    <x:row r="57">
      <x:c r="A57" s="48" t="n">
        <x:v>49</x:v>
      </x:c>
      <x:c r="B57" s="49" t="str">
        <x:v>Keyboard</x:v>
      </x:c>
      <x:c r="C57" s="49" t="str">
        <x:v>Trigger</x:v>
      </x:c>
      <x:c r="D57" s="50" t="str">
        <x:v>Escape closes and keeps focus on trigger</x:v>
      </x:c>
      <x:c r="E57" s="50" t="str">
        <x:v>covered</x:v>
      </x:c>
      <x:c r="F57" s="50" t="str">
        <x:v>Select playground: Basic Select manual pass</x:v>
      </x:c>
      <x:c r="G57" s="50" t="str"/>
      <x:c r="H57" s="48" t="n">
        <x:f>IF(E57="covered",1,IF(E57="partial",0.5,0))</x:f>
        <x:v>1</x:v>
      </x:c>
    </x:row>
    <x:row r="58">
      <x:c r="A58" s="48" t="n">
        <x:v>50</x:v>
      </x:c>
      <x:c r="B58" s="49" t="str">
        <x:v>Keyboard</x:v>
      </x:c>
      <x:c r="C58" s="49" t="str">
        <x:v>Trigger</x:v>
      </x:c>
      <x:c r="D58" s="50" t="str">
        <x:v>Tab closes and moves focus normally</x:v>
      </x:c>
      <x:c r="E58" s="50" t="str">
        <x:v>covered</x:v>
      </x:c>
      <x:c r="F58" s="50" t="str">
        <x:v>Keyboard manual Tab close pass</x:v>
      </x:c>
      <x:c r="G58" s="50"/>
      <x:c r="H58" s="48" t="n">
        <x:f>IF(E58="covered",1,IF(E58="partial",0.5,0))</x:f>
        <x:v>1</x:v>
      </x:c>
    </x:row>
    <x:row r="59">
      <x:c r="A59" s="48" t="n">
        <x:v>51</x:v>
      </x:c>
      <x:c r="B59" s="49" t="str">
        <x:v>Keyboard</x:v>
      </x:c>
      <x:c r="C59" s="49" t="str">
        <x:v>Trigger</x:v>
      </x:c>
      <x:c r="D59" s="50" t="str">
        <x:v>typeahead opens and highlights match</x:v>
      </x:c>
      <x:c r="E59" s="50" t="str">
        <x:v>covered</x:v>
      </x:c>
      <x:c r="F59" s="50" t="str">
        <x:v>Keyboard manual typeahead opens/highlights match</x:v>
      </x:c>
      <x:c r="G59" s="50"/>
      <x:c r="H59" s="48" t="n">
        <x:f>IF(E59="covered",1,IF(E59="partial",0.5,0))</x:f>
        <x:v>1</x:v>
      </x:c>
    </x:row>
    <x:row r="60">
      <x:c r="A60" s="48" t="n">
        <x:v>52</x:v>
      </x:c>
      <x:c r="B60" s="49" t="str">
        <x:v>Keyboard</x:v>
      </x:c>
      <x:c r="C60" s="49" t="str">
        <x:v>Trigger</x:v>
      </x:c>
      <x:c r="D60" s="50" t="str">
        <x:v>typeahead buffer resets</x:v>
      </x:c>
      <x:c r="E60" s="50" t="str">
        <x:v>covered</x:v>
      </x:c>
      <x:c r="F60" s="50" t="str">
        <x:v>Keyboard manual typeahead reset pass</x:v>
      </x:c>
      <x:c r="G60" s="50"/>
      <x:c r="H60" s="48" t="n">
        <x:f>IF(E60="covered",1,IF(E60="partial",0.5,0))</x:f>
        <x:v>1</x:v>
      </x:c>
    </x:row>
    <x:row r="61">
      <x:c r="A61" s="48" t="n">
        <x:v>53</x:v>
      </x:c>
      <x:c r="B61" s="49" t="str">
        <x:v>Public API</x:v>
      </x:c>
      <x:c r="C61" s="49" t="str">
        <x:v>Value</x:v>
      </x:c>
      <x:c r="D61" s="50" t="str">
        <x:v>renders selected item label</x:v>
      </x:c>
      <x:c r="E61" s="50" t="str">
        <x:v>covered</x:v>
      </x:c>
      <x:c r="F61" s="50" t="str">
        <x:v>Select playground: Basic Select manual pass</x:v>
      </x:c>
      <x:c r="G61" s="50" t="str"/>
      <x:c r="H61" s="48" t="n">
        <x:f>IF(E61="covered",1,IF(E61="partial",0.5,0))</x:f>
        <x:v>1</x:v>
      </x:c>
    </x:row>
    <x:row r="62">
      <x:c r="A62" s="48" t="n">
        <x:v>54</x:v>
      </x:c>
      <x:c r="B62" s="49" t="str">
        <x:v>Public API</x:v>
      </x:c>
      <x:c r="C62" s="49" t="str">
        <x:v>Value</x:v>
      </x:c>
      <x:c r="D62" s="50" t="str">
        <x:v>renders placeholder with no value</x:v>
      </x:c>
      <x:c r="E62" s="50" t="str">
        <x:v>covered</x:v>
      </x:c>
      <x:c r="F62" s="50" t="str">
        <x:v>State menu: No value + Anatomy Value placeholder</x:v>
      </x:c>
      <x:c r="G62" s="50"/>
      <x:c r="H62" s="48" t="n">
        <x:f>IF(E62="covered",1,IF(E62="partial",0.5,0))</x:f>
        <x:v>1</x:v>
      </x:c>
    </x:row>
    <x:row r="63">
      <x:c r="A63" s="48" t="n">
        <x:v>55</x:v>
      </x:c>
      <x:c r="B63" s="49" t="str">
        <x:v>Public API</x:v>
      </x:c>
      <x:c r="C63" s="49" t="str">
        <x:v>Value</x:v>
      </x:c>
      <x:c r="D63" s="50" t="str">
        <x:v>children override displayed text</x:v>
      </x:c>
      <x:c r="E63" s="50" t="str">
        <x:v>covered</x:v>
      </x:c>
      <x:c r="F63" s="50" t="str">
        <x:v>Composition menu: Custom value text</x:v>
      </x:c>
      <x:c r="G63" s="50"/>
      <x:c r="H63" s="48" t="n">
        <x:f>IF(E63="covered",1,IF(E63="partial",0.5,0))</x:f>
        <x:v>1</x:v>
      </x:c>
    </x:row>
    <x:row r="64">
      <x:c r="A64" s="48" t="n">
        <x:v>56</x:v>
      </x:c>
      <x:c r="B64" s="49" t="str">
        <x:v>Public API</x:v>
      </x:c>
      <x:c r="C64" s="49" t="str">
        <x:v>Value</x:v>
      </x:c>
      <x:c r="D64" s="50" t="str">
        <x:v>data-placeholder</x:v>
      </x:c>
      <x:c r="E64" s="50" t="str">
        <x:v>covered</x:v>
      </x:c>
      <x:c r="F64" s="50" t="str">
        <x:v>Anatomy Value data-placeholder row</x:v>
      </x:c>
      <x:c r="G64" s="50"/>
      <x:c r="H64" s="48" t="n">
        <x:f>IF(E64="covered",1,IF(E64="partial",0.5,0))</x:f>
        <x:v>1</x:v>
      </x:c>
    </x:row>
    <x:row r="65">
      <x:c r="A65" s="48" t="n">
        <x:v>57</x:v>
      </x:c>
      <x:c r="B65" s="49" t="str">
        <x:v>Refs</x:v>
      </x:c>
      <x:c r="C65" s="49" t="str">
        <x:v>Value</x:v>
      </x:c>
      <x:c r="D65" s="50" t="str">
        <x:v>ref receives span</x:v>
      </x:c>
      <x:c r="E65" s="50" t="str">
        <x:v>covered</x:v>
      </x:c>
      <x:c r="F65" s="50" t="str">
        <x:v>Select playground: Anatomy rows</x:v>
      </x:c>
      <x:c r="G65" s="50" t="str"/>
      <x:c r="H65" s="48" t="n">
        <x:f>IF(E65="covered",1,IF(E65="partial",0.5,0))</x:f>
        <x:v>1</x:v>
      </x:c>
    </x:row>
    <x:row r="66">
      <x:c r="A66" s="48" t="n">
        <x:v>58</x:v>
      </x:c>
      <x:c r="B66" s="49" t="str">
        <x:v>Props</x:v>
      </x:c>
      <x:c r="C66" s="49" t="str">
        <x:v>Value</x:v>
      </x:c>
      <x:c r="D66" s="50" t="str">
        <x:v>native span props passthrough</x:v>
      </x:c>
      <x:c r="E66" s="50" t="str">
        <x:v>covered</x:v>
      </x:c>
      <x:c r="F66" s="50" t="str">
        <x:v>Anatomy Value Props row</x:v>
      </x:c>
      <x:c r="G66" s="50"/>
      <x:c r="H66" s="48" t="n">
        <x:f>IF(E66="covered",1,IF(E66="partial",0.5,0))</x:f>
        <x:v>1</x:v>
      </x:c>
    </x:row>
    <x:row r="67">
      <x:c r="A67" s="48" t="n">
        <x:v>59</x:v>
      </x:c>
      <x:c r="B67" s="49" t="str">
        <x:v>Styling hooks</x:v>
      </x:c>
      <x:c r="C67" s="49" t="str">
        <x:v>Value</x:v>
      </x:c>
      <x:c r="D67" s="50" t="str">
        <x:v>data-slot</x:v>
      </x:c>
      <x:c r="E67" s="50" t="str">
        <x:v>covered</x:v>
      </x:c>
      <x:c r="F67" s="50" t="str">
        <x:v>Anatomy Value data-slot row</x:v>
      </x:c>
      <x:c r="G67" s="50"/>
      <x:c r="H67" s="48" t="n">
        <x:f>IF(E67="covered",1,IF(E67="partial",0.5,0))</x:f>
        <x:v>1</x:v>
      </x:c>
    </x:row>
    <x:row r="68">
      <x:c r="A68" s="48" t="n">
        <x:v>60</x:v>
      </x:c>
      <x:c r="B68" s="49" t="str">
        <x:v>Public API</x:v>
      </x:c>
      <x:c r="C68" s="49" t="str">
        <x:v>Icon</x:v>
      </x:c>
      <x:c r="D68" s="50" t="str">
        <x:v>renders decorative icon</x:v>
      </x:c>
      <x:c r="E68" s="50" t="str">
        <x:v>covered</x:v>
      </x:c>
      <x:c r="F68" s="50" t="str">
        <x:v>Select playground: Anatomy rows</x:v>
      </x:c>
      <x:c r="G68" s="50" t="str"/>
      <x:c r="H68" s="48" t="n">
        <x:f>IF(E68="covered",1,IF(E68="partial",0.5,0))</x:f>
        <x:v>1</x:v>
      </x:c>
    </x:row>
    <x:row r="69">
      <x:c r="A69" s="48" t="n">
        <x:v>61</x:v>
      </x:c>
      <x:c r="B69" s="49" t="str">
        <x:v>Accessibility</x:v>
      </x:c>
      <x:c r="C69" s="49" t="str">
        <x:v>Icon</x:v>
      </x:c>
      <x:c r="D69" s="50" t="str">
        <x:v>aria-hidden</x:v>
      </x:c>
      <x:c r="E69" s="50" t="str">
        <x:v>covered</x:v>
      </x:c>
      <x:c r="F69" s="50" t="str">
        <x:v>Select playground: Anatomy rows</x:v>
      </x:c>
      <x:c r="G69" s="50" t="str"/>
      <x:c r="H69" s="48" t="n">
        <x:f>IF(E69="covered",1,IF(E69="partial",0.5,0))</x:f>
        <x:v>1</x:v>
      </x:c>
    </x:row>
    <x:row r="70">
      <x:c r="A70" s="48" t="n">
        <x:v>62</x:v>
      </x:c>
      <x:c r="B70" s="49" t="str">
        <x:v>Refs</x:v>
      </x:c>
      <x:c r="C70" s="49" t="str">
        <x:v>Icon</x:v>
      </x:c>
      <x:c r="D70" s="50" t="str">
        <x:v>ref receives span</x:v>
      </x:c>
      <x:c r="E70" s="50" t="str">
        <x:v>covered</x:v>
      </x:c>
      <x:c r="F70" s="50" t="str">
        <x:v>Select playground: Anatomy rows</x:v>
      </x:c>
      <x:c r="G70" s="50" t="str"/>
      <x:c r="H70" s="48" t="n">
        <x:f>IF(E70="covered",1,IF(E70="partial",0.5,0))</x:f>
        <x:v>1</x:v>
      </x:c>
    </x:row>
    <x:row r="71">
      <x:c r="A71" s="48" t="n">
        <x:v>63</x:v>
      </x:c>
      <x:c r="B71" s="49" t="str">
        <x:v>Props</x:v>
      </x:c>
      <x:c r="C71" s="49" t="str">
        <x:v>Icon</x:v>
      </x:c>
      <x:c r="D71" s="50" t="str">
        <x:v>native span props passthrough</x:v>
      </x:c>
      <x:c r="E71" s="50" t="str">
        <x:v>covered</x:v>
      </x:c>
      <x:c r="F71" s="50" t="str">
        <x:v>Anatomy Icon Props row</x:v>
      </x:c>
      <x:c r="G71" s="50"/>
      <x:c r="H71" s="48" t="n">
        <x:f>IF(E71="covered",1,IF(E71="partial",0.5,0))</x:f>
        <x:v>1</x:v>
      </x:c>
    </x:row>
    <x:row r="72">
      <x:c r="A72" s="48" t="n">
        <x:v>64</x:v>
      </x:c>
      <x:c r="B72" s="49" t="str">
        <x:v>Styling hooks</x:v>
      </x:c>
      <x:c r="C72" s="49" t="str">
        <x:v>Icon</x:v>
      </x:c>
      <x:c r="D72" s="50" t="str">
        <x:v>data-slot</x:v>
      </x:c>
      <x:c r="E72" s="50" t="str">
        <x:v>covered</x:v>
      </x:c>
      <x:c r="F72" s="50" t="str">
        <x:v>Anatomy Icon data-slot row</x:v>
      </x:c>
      <x:c r="G72" s="50"/>
      <x:c r="H72" s="48" t="n">
        <x:f>IF(E72="covered",1,IF(E72="partial",0.5,0))</x:f>
        <x:v>1</x:v>
      </x:c>
    </x:row>
    <x:row r="73">
      <x:c r="A73" s="48" t="n">
        <x:v>65</x:v>
      </x:c>
      <x:c r="B73" s="49" t="str">
        <x:v>Public API</x:v>
      </x:c>
      <x:c r="C73" s="49" t="str">
        <x:v>Portal</x:v>
      </x:c>
      <x:c r="D73" s="50" t="str">
        <x:v>content mounts in body by default</x:v>
      </x:c>
      <x:c r="E73" s="50" t="str">
        <x:v>covered</x:v>
      </x:c>
      <x:c r="F73" s="50" t="str">
        <x:v>Select playground: Popup menu manual pass</x:v>
      </x:c>
      <x:c r="G73" s="50" t="str"/>
      <x:c r="H73" s="48" t="n">
        <x:f>IF(E73="covered",1,IF(E73="partial",0.5,0))</x:f>
        <x:v>1</x:v>
      </x:c>
    </x:row>
    <x:row r="74">
      <x:c r="A74" s="48" t="n">
        <x:v>66</x:v>
      </x:c>
      <x:c r="B74" s="49" t="str">
        <x:v>Public API</x:v>
      </x:c>
      <x:c r="C74" s="49" t="str">
        <x:v>Portal</x:v>
      </x:c>
      <x:c r="D74" s="50" t="str">
        <x:v>disabled keeps content inline</x:v>
      </x:c>
      <x:c r="E74" s="50" t="str">
        <x:v>covered</x:v>
      </x:c>
      <x:c r="F74" s="50" t="str">
        <x:v>Select playground: Popup menu manual pass</x:v>
      </x:c>
      <x:c r="G74" s="50" t="str"/>
      <x:c r="H74" s="48" t="n">
        <x:f>IF(E74="covered",1,IF(E74="partial",0.5,0))</x:f>
        <x:v>1</x:v>
      </x:c>
    </x:row>
    <x:row r="75">
      <x:c r="A75" s="48" t="n">
        <x:v>67</x:v>
      </x:c>
      <x:c r="B75" s="49" t="str">
        <x:v>Public API</x:v>
      </x:c>
      <x:c r="C75" s="49" t="str">
        <x:v>Portal</x:v>
      </x:c>
      <x:c r="D75" s="50" t="str">
        <x:v>container prop</x:v>
      </x:c>
      <x:c r="E75" s="50" t="str">
        <x:v>covered</x:v>
      </x:c>
      <x:c r="F75" s="50" t="str">
        <x:v>Popup menu: Portal wrapper + custom container</x:v>
      </x:c>
      <x:c r="G75" s="50"/>
      <x:c r="H75" s="48" t="n">
        <x:f>IF(E75="covered",1,IF(E75="partial",0.5,0))</x:f>
        <x:v>1</x:v>
      </x:c>
    </x:row>
    <x:row r="76">
      <x:c r="A76" s="48" t="n">
        <x:v>68</x:v>
      </x:c>
      <x:c r="B76" s="49" t="str">
        <x:v>Focus scope</x:v>
      </x:c>
      <x:c r="C76" s="49" t="str">
        <x:v>Portal</x:v>
      </x:c>
      <x:c r="D76" s="50" t="str">
        <x:v>registers with parent modal focus scope</x:v>
      </x:c>
      <x:c r="E76" s="50" t="str">
        <x:v>covered</x:v>
      </x:c>
      <x:c r="F76" s="50" t="str">
        <x:v>Select playground: Popup menu Inside Dialog manual pass</x:v>
      </x:c>
      <x:c r="G76" s="50"/>
      <x:c r="H76" s="48" t="n">
        <x:f>IF(E76="covered",1,IF(E76="partial",0.5,0))</x:f>
        <x:v>1</x:v>
      </x:c>
    </x:row>
    <x:row r="77">
      <x:c r="A77" s="48" t="n">
        <x:v>69</x:v>
      </x:c>
      <x:c r="B77" s="49" t="str">
        <x:v>Public API</x:v>
      </x:c>
      <x:c r="C77" s="49" t="str">
        <x:v>Content/Listbox</x:v>
      </x:c>
      <x:c r="D77" s="50" t="str">
        <x:v>Content alias renders listbox</x:v>
      </x:c>
      <x:c r="E77" s="50" t="str">
        <x:v>covered</x:v>
      </x:c>
      <x:c r="F77" s="50" t="str">
        <x:v>Select playground: Popup menu manual pass</x:v>
      </x:c>
      <x:c r="G77" s="50" t="str"/>
      <x:c r="H77" s="48" t="n">
        <x:f>IF(E77="covered",1,IF(E77="partial",0.5,0))</x:f>
        <x:v>1</x:v>
      </x:c>
    </x:row>
    <x:row r="78">
      <x:c r="A78" s="48" t="n">
        <x:v>70</x:v>
      </x:c>
      <x:c r="B78" s="49" t="str">
        <x:v>Public API</x:v>
      </x:c>
      <x:c r="C78" s="49" t="str">
        <x:v>Content/Listbox</x:v>
      </x:c>
      <x:c r="D78" s="50" t="str">
        <x:v>Listbox part renders directly</x:v>
      </x:c>
      <x:c r="E78" s="50" t="str">
        <x:v>covered</x:v>
      </x:c>
      <x:c r="F78" s="50" t="str">
        <x:v>Popup menu: Use Listbox alias</x:v>
      </x:c>
      <x:c r="G78" s="50"/>
      <x:c r="H78" s="48" t="n">
        <x:f>IF(E78="covered",1,IF(E78="partial",0.5,0))</x:f>
        <x:v>1</x:v>
      </x:c>
    </x:row>
    <x:row r="79">
      <x:c r="A79" s="48" t="n">
        <x:v>71</x:v>
      </x:c>
      <x:c r="B79" s="49" t="str">
        <x:v>Public API</x:v>
      </x:c>
      <x:c r="C79" s="49" t="str">
        <x:v>Content/Listbox</x:v>
      </x:c>
      <x:c r="D79" s="50" t="str">
        <x:v>renders only when open</x:v>
      </x:c>
      <x:c r="E79" s="50" t="str">
        <x:v>covered</x:v>
      </x:c>
      <x:c r="F79" s="50" t="str">
        <x:v>Select playground: Popup menu manual pass</x:v>
      </x:c>
      <x:c r="G79" s="50" t="str"/>
      <x:c r="H79" s="48" t="n">
        <x:f>IF(E79="covered",1,IF(E79="partial",0.5,0))</x:f>
        <x:v>1</x:v>
      </x:c>
    </x:row>
    <x:row r="80">
      <x:c r="A80" s="48" t="n">
        <x:v>72</x:v>
      </x:c>
      <x:c r="B80" s="49" t="str">
        <x:v>Public API</x:v>
      </x:c>
      <x:c r="C80" s="49" t="str">
        <x:v>Content/Listbox</x:v>
      </x:c>
      <x:c r="D80" s="50" t="str">
        <x:v>disablePortal</x:v>
      </x:c>
      <x:c r="E80" s="50" t="str">
        <x:v>covered</x:v>
      </x:c>
      <x:c r="F80" s="50" t="str">
        <x:v>Select playground: Popup menu manual pass</x:v>
      </x:c>
      <x:c r="G80" s="50" t="str"/>
      <x:c r="H80" s="48" t="n">
        <x:f>IF(E80="covered",1,IF(E80="partial",0.5,0))</x:f>
        <x:v>1</x:v>
      </x:c>
    </x:row>
    <x:row r="81">
      <x:c r="A81" s="48" t="n">
        <x:v>73</x:v>
      </x:c>
      <x:c r="B81" s="49" t="str">
        <x:v>Public API</x:v>
      </x:c>
      <x:c r="C81" s="49" t="str">
        <x:v>Content/Listbox</x:v>
      </x:c>
      <x:c r="D81" s="50" t="str">
        <x:v>container prop</x:v>
      </x:c>
      <x:c r="E81" s="50" t="str">
        <x:v>covered</x:v>
      </x:c>
      <x:c r="F81" s="50" t="str">
        <x:v>Popup menu: Custom container + Listbox parent rows</x:v>
      </x:c>
      <x:c r="G81" s="50"/>
      <x:c r="H81" s="48" t="n">
        <x:f>IF(E81="covered",1,IF(E81="partial",0.5,0))</x:f>
        <x:v>1</x:v>
      </x:c>
    </x:row>
    <x:row r="82">
      <x:c r="A82" s="48" t="n">
        <x:v>74</x:v>
      </x:c>
      <x:c r="B82" s="49" t="str">
        <x:v>Public API</x:v>
      </x:c>
      <x:c r="C82" s="49" t="str">
        <x:v>Content/Listbox</x:v>
      </x:c>
      <x:c r="D82" s="50" t="str">
        <x:v>role listbox</x:v>
      </x:c>
      <x:c r="E82" s="50" t="str">
        <x:v>covered</x:v>
      </x:c>
      <x:c r="F82" s="50" t="str">
        <x:v>Select playground: Popup menu manual pass</x:v>
      </x:c>
      <x:c r="G82" s="50" t="str"/>
      <x:c r="H82" s="48" t="n">
        <x:f>IF(E82="covered",1,IF(E82="partial",0.5,0))</x:f>
        <x:v>1</x:v>
      </x:c>
    </x:row>
    <x:row r="83">
      <x:c r="A83" s="48" t="n">
        <x:v>75</x:v>
      </x:c>
      <x:c r="B83" s="49" t="str">
        <x:v>Public API</x:v>
      </x:c>
      <x:c r="C83" s="49" t="str">
        <x:v>Content/Listbox</x:v>
      </x:c>
      <x:c r="D83" s="50" t="str">
        <x:v>aria-label</x:v>
      </x:c>
      <x:c r="E83" s="50" t="str">
        <x:v>covered</x:v>
      </x:c>
      <x:c r="F83" s="50" t="str">
        <x:v>Select playground: Field menu manual pass</x:v>
      </x:c>
      <x:c r="G83" s="50" t="str"/>
      <x:c r="H83" s="48" t="n">
        <x:f>IF(E83="covered",1,IF(E83="partial",0.5,0))</x:f>
        <x:v>1</x:v>
      </x:c>
    </x:row>
    <x:row r="84">
      <x:c r="A84" s="48" t="n">
        <x:v>76</x:v>
      </x:c>
      <x:c r="B84" s="49" t="str">
        <x:v>Public API</x:v>
      </x:c>
      <x:c r="C84" s="49" t="str">
        <x:v>Content/Listbox</x:v>
      </x:c>
      <x:c r="D84" s="50" t="str">
        <x:v>tabIndex -1</x:v>
      </x:c>
      <x:c r="E84" s="50" t="str">
        <x:v>covered</x:v>
      </x:c>
      <x:c r="F84" s="50" t="str">
        <x:v>Select playground: Inspector manual pass</x:v>
      </x:c>
      <x:c r="G84" s="50" t="str"/>
      <x:c r="H84" s="48" t="n">
        <x:f>IF(E84="covered",1,IF(E84="partial",0.5,0))</x:f>
        <x:v>1</x:v>
      </x:c>
    </x:row>
    <x:row r="85">
      <x:c r="A85" s="48" t="n">
        <x:v>77</x:v>
      </x:c>
      <x:c r="B85" s="49" t="str">
        <x:v>Public API</x:v>
      </x:c>
      <x:c r="C85" s="49" t="str">
        <x:v>Content/Listbox</x:v>
      </x:c>
      <x:c r="D85" s="50" t="str">
        <x:v>data-state open</x:v>
      </x:c>
      <x:c r="E85" s="50" t="str">
        <x:v>covered</x:v>
      </x:c>
      <x:c r="F85" s="50" t="str">
        <x:v>Select playground: Popup menu manual pass</x:v>
      </x:c>
      <x:c r="G85" s="50" t="str"/>
      <x:c r="H85" s="48" t="n">
        <x:f>IF(E85="covered",1,IF(E85="partial",0.5,0))</x:f>
        <x:v>1</x:v>
      </x:c>
    </x:row>
    <x:row r="86">
      <x:c r="A86" s="48" t="n">
        <x:v>78</x:v>
      </x:c>
      <x:c r="B86" s="49" t="str">
        <x:v>Public API</x:v>
      </x:c>
      <x:c r="C86" s="49" t="str">
        <x:v>Content/Listbox</x:v>
      </x:c>
      <x:c r="D86" s="50" t="str">
        <x:v>data-positioned</x:v>
      </x:c>
      <x:c r="E86" s="50" t="str">
        <x:v>covered</x:v>
      </x:c>
      <x:c r="F86" s="50" t="str">
        <x:v>Select playground: Popup menu manual pass</x:v>
      </x:c>
      <x:c r="G86" s="50" t="str"/>
      <x:c r="H86" s="48" t="n">
        <x:f>IF(E86="covered",1,IF(E86="partial",0.5,0))</x:f>
        <x:v>1</x:v>
      </x:c>
    </x:row>
    <x:row r="87">
      <x:c r="A87" s="48" t="n">
        <x:v>79</x:v>
      </x:c>
      <x:c r="B87" s="49" t="str">
        <x:v>Positioning</x:v>
      </x:c>
      <x:c r="C87" s="49" t="str">
        <x:v>Content/Listbox</x:v>
      </x:c>
      <x:c r="D87" s="50" t="str">
        <x:v>min width matches trigger</x:v>
      </x:c>
      <x:c r="E87" s="50" t="str">
        <x:v>covered</x:v>
      </x:c>
      <x:c r="F87" s="50" t="str">
        <x:v>Anatomy Listbox Min width match row</x:v>
      </x:c>
      <x:c r="G87" s="50"/>
      <x:c r="H87" s="48" t="n">
        <x:f>IF(E87="covered",1,IF(E87="partial",0.5,0))</x:f>
        <x:v>1</x:v>
      </x:c>
    </x:row>
    <x:row r="88">
      <x:c r="A88" s="48" t="n">
        <x:v>80</x:v>
      </x:c>
      <x:c r="B88" s="49" t="str">
        <x:v>Positioning</x:v>
      </x:c>
      <x:c r="C88" s="49" t="str">
        <x:v>Content/Listbox</x:v>
      </x:c>
      <x:c r="D88" s="50" t="str">
        <x:v>flips/shifts near viewport edge</x:v>
      </x:c>
      <x:c r="E88" s="50" t="str">
        <x:v>covered</x:v>
      </x:c>
      <x:c r="F88" s="50" t="str">
        <x:v>Popup menu: Edge position</x:v>
      </x:c>
      <x:c r="G88" s="50"/>
      <x:c r="H88" s="48" t="n">
        <x:f>IF(E88="covered",1,IF(E88="partial",0.5,0))</x:f>
        <x:v>1</x:v>
      </x:c>
    </x:row>
    <x:row r="89">
      <x:c r="A89" s="48" t="n">
        <x:v>81</x:v>
      </x:c>
      <x:c r="B89" s="49" t="str">
        <x:v>Interaction</x:v>
      </x:c>
      <x:c r="C89" s="49" t="str">
        <x:v>Content/Listbox</x:v>
      </x:c>
      <x:c r="D89" s="50" t="str">
        <x:v>outside pointer closes</x:v>
      </x:c>
      <x:c r="E89" s="50" t="str">
        <x:v>covered</x:v>
      </x:c>
      <x:c r="F89" s="50" t="str">
        <x:v>Select playground: Basic Select manual pass</x:v>
      </x:c>
      <x:c r="G89" s="50" t="str"/>
      <x:c r="H89" s="48" t="n">
        <x:f>IF(E89="covered",1,IF(E89="partial",0.5,0))</x:f>
        <x:v>1</x:v>
      </x:c>
    </x:row>
    <x:row r="90">
      <x:c r="A90" s="48" t="n">
        <x:v>82</x:v>
      </x:c>
      <x:c r="B90" s="49" t="str">
        <x:v>Interaction</x:v>
      </x:c>
      <x:c r="C90" s="49" t="str">
        <x:v>Content/Listbox</x:v>
      </x:c>
      <x:c r="D90" s="50" t="str">
        <x:v>inside click does not close unless selecting item</x:v>
      </x:c>
      <x:c r="E90" s="50" t="str">
        <x:v>covered</x:v>
      </x:c>
      <x:c r="F90" s="50" t="str">
        <x:v>Manual inside listbox label/separator click pass</x:v>
      </x:c>
      <x:c r="G90" s="50"/>
      <x:c r="H90" s="48" t="n">
        <x:f>IF(E90="covered",1,IF(E90="partial",0.5,0))</x:f>
        <x:v>1</x:v>
      </x:c>
    </x:row>
    <x:row r="91">
      <x:c r="A91" s="48" t="n">
        <x:v>83</x:v>
      </x:c>
      <x:c r="B91" s="49" t="str">
        <x:v>Interaction</x:v>
      </x:c>
      <x:c r="C91" s="49" t="str">
        <x:v>Content/Listbox</x:v>
      </x:c>
      <x:c r="D91" s="50" t="str">
        <x:v>Escape closes from open listbox</x:v>
      </x:c>
      <x:c r="E91" s="50" t="str">
        <x:v>covered</x:v>
      </x:c>
      <x:c r="F91" s="50" t="str">
        <x:v>Select playground: Basic Select manual pass</x:v>
      </x:c>
      <x:c r="G91" s="50" t="str"/>
      <x:c r="H91" s="48" t="n">
        <x:f>IF(E91="covered",1,IF(E91="partial",0.5,0))</x:f>
        <x:v>1</x:v>
      </x:c>
    </x:row>
    <x:row r="92">
      <x:c r="A92" s="48" t="n">
        <x:v>84</x:v>
      </x:c>
      <x:c r="B92" s="49" t="str">
        <x:v>Interaction</x:v>
      </x:c>
      <x:c r="C92" s="49" t="str">
        <x:v>Content/Listbox</x:v>
      </x:c>
      <x:c r="D92" s="50" t="str">
        <x:v>highlighted item scrolls into view</x:v>
      </x:c>
      <x:c r="E92" s="50" t="str">
        <x:v>covered</x:v>
      </x:c>
      <x:c r="F92" s="50" t="str">
        <x:v>Long list + Viewport scrollTop row</x:v>
      </x:c>
      <x:c r="G92" s="50"/>
      <x:c r="H92" s="48" t="n">
        <x:f>IF(E92="covered",1,IF(E92="partial",0.5,0))</x:f>
        <x:v>1</x:v>
      </x:c>
    </x:row>
    <x:row r="93">
      <x:c r="A93" s="48" t="n">
        <x:v>85</x:v>
      </x:c>
      <x:c r="B93" s="49" t="str">
        <x:v>Refs</x:v>
      </x:c>
      <x:c r="C93" s="49" t="str">
        <x:v>Content/Listbox</x:v>
      </x:c>
      <x:c r="D93" s="50" t="str">
        <x:v>ref receives div</x:v>
      </x:c>
      <x:c r="E93" s="50" t="str">
        <x:v>covered</x:v>
      </x:c>
      <x:c r="F93" s="50" t="str">
        <x:v>Select playground: Anatomy rows</x:v>
      </x:c>
      <x:c r="G93" s="50" t="str"/>
      <x:c r="H93" s="48" t="n">
        <x:f>IF(E93="covered",1,IF(E93="partial",0.5,0))</x:f>
        <x:v>1</x:v>
      </x:c>
    </x:row>
    <x:row r="94">
      <x:c r="A94" s="48" t="n">
        <x:v>86</x:v>
      </x:c>
      <x:c r="B94" s="49" t="str">
        <x:v>Props</x:v>
      </x:c>
      <x:c r="C94" s="49" t="str">
        <x:v>Content/Listbox</x:v>
      </x:c>
      <x:c r="D94" s="50" t="str">
        <x:v>native div props passthrough</x:v>
      </x:c>
      <x:c r="E94" s="50" t="str">
        <x:v>covered</x:v>
      </x:c>
      <x:c r="F94" s="50" t="str">
        <x:v>Anatomy Listbox Props row</x:v>
      </x:c>
      <x:c r="G94" s="50"/>
      <x:c r="H94" s="48" t="n">
        <x:f>IF(E94="covered",1,IF(E94="partial",0.5,0))</x:f>
        <x:v>1</x:v>
      </x:c>
    </x:row>
    <x:row r="95">
      <x:c r="A95" s="48" t="n">
        <x:v>87</x:v>
      </x:c>
      <x:c r="B95" s="49" t="str">
        <x:v>Styling hooks</x:v>
      </x:c>
      <x:c r="C95" s="49" t="str">
        <x:v>Content/Listbox</x:v>
      </x:c>
      <x:c r="D95" s="50" t="str">
        <x:v>className passthrough</x:v>
      </x:c>
      <x:c r="E95" s="50" t="str">
        <x:v>covered</x:v>
      </x:c>
      <x:c r="F95" s="50" t="str">
        <x:v>Anatomy Listbox Class row</x:v>
      </x:c>
      <x:c r="G95" s="50"/>
      <x:c r="H95" s="48" t="n">
        <x:f>IF(E95="covered",1,IF(E95="partial",0.5,0))</x:f>
        <x:v>1</x:v>
      </x:c>
    </x:row>
    <x:row r="96">
      <x:c r="A96" s="48" t="n">
        <x:v>88</x:v>
      </x:c>
      <x:c r="B96" s="49" t="str">
        <x:v>Styling hooks</x:v>
      </x:c>
      <x:c r="C96" s="49" t="str">
        <x:v>Content/Listbox</x:v>
      </x:c>
      <x:c r="D96" s="50" t="str">
        <x:v>data-slot</x:v>
      </x:c>
      <x:c r="E96" s="50" t="str">
        <x:v>covered</x:v>
      </x:c>
      <x:c r="F96" s="50" t="str">
        <x:v>Anatomy Listbox data-slot row</x:v>
      </x:c>
      <x:c r="G96" s="50"/>
      <x:c r="H96" s="48" t="n">
        <x:f>IF(E96="covered",1,IF(E96="partial",0.5,0))</x:f>
        <x:v>1</x:v>
      </x:c>
    </x:row>
    <x:row r="97">
      <x:c r="A97" s="48" t="n">
        <x:v>89</x:v>
      </x:c>
      <x:c r="B97" s="49" t="str">
        <x:v>Public API</x:v>
      </x:c>
      <x:c r="C97" s="49" t="str">
        <x:v>Viewport</x:v>
      </x:c>
      <x:c r="D97" s="50" t="str">
        <x:v>renders item viewport</x:v>
      </x:c>
      <x:c r="E97" s="50" t="str">
        <x:v>covered</x:v>
      </x:c>
      <x:c r="F97" s="50" t="str">
        <x:v>Select playground: Popup menu manual pass</x:v>
      </x:c>
      <x:c r="G97" s="50" t="str"/>
      <x:c r="H97" s="48" t="n">
        <x:f>IF(E97="covered",1,IF(E97="partial",0.5,0))</x:f>
        <x:v>1</x:v>
      </x:c>
    </x:row>
    <x:row r="98">
      <x:c r="A98" s="48" t="n">
        <x:v>90</x:v>
      </x:c>
      <x:c r="B98" s="49" t="str">
        <x:v>Refs</x:v>
      </x:c>
      <x:c r="C98" s="49" t="str">
        <x:v>Viewport</x:v>
      </x:c>
      <x:c r="D98" s="50" t="str">
        <x:v>ref receives div</x:v>
      </x:c>
      <x:c r="E98" s="50" t="str">
        <x:v>covered</x:v>
      </x:c>
      <x:c r="F98" s="50" t="str">
        <x:v>Select playground: Anatomy rows</x:v>
      </x:c>
      <x:c r="G98" s="50" t="str"/>
      <x:c r="H98" s="48" t="n">
        <x:f>IF(E98="covered",1,IF(E98="partial",0.5,0))</x:f>
        <x:v>1</x:v>
      </x:c>
    </x:row>
    <x:row r="99">
      <x:c r="A99" s="48" t="n">
        <x:v>91</x:v>
      </x:c>
      <x:c r="B99" s="49" t="str">
        <x:v>Props</x:v>
      </x:c>
      <x:c r="C99" s="49" t="str">
        <x:v>Viewport</x:v>
      </x:c>
      <x:c r="D99" s="50" t="str">
        <x:v>native div props passthrough</x:v>
      </x:c>
      <x:c r="E99" s="50" t="str">
        <x:v>covered</x:v>
      </x:c>
      <x:c r="F99" s="50" t="str">
        <x:v>Anatomy Viewport Props row</x:v>
      </x:c>
      <x:c r="G99" s="50"/>
      <x:c r="H99" s="48" t="n">
        <x:f>IF(E99="covered",1,IF(E99="partial",0.5,0))</x:f>
        <x:v>1</x:v>
      </x:c>
    </x:row>
    <x:row r="100">
      <x:c r="A100" s="48" t="n">
        <x:v>92</x:v>
      </x:c>
      <x:c r="B100" s="49" t="str">
        <x:v>Styling hooks</x:v>
      </x:c>
      <x:c r="C100" s="49" t="str">
        <x:v>Viewport</x:v>
      </x:c>
      <x:c r="D100" s="50" t="str">
        <x:v>data-slot</x:v>
      </x:c>
      <x:c r="E100" s="50" t="str">
        <x:v>covered</x:v>
      </x:c>
      <x:c r="F100" s="50" t="str">
        <x:v>Anatomy Viewport data-slot row</x:v>
      </x:c>
      <x:c r="G100" s="50"/>
      <x:c r="H100" s="48" t="n">
        <x:f>IF(E100="covered",1,IF(E100="partial",0.5,0))</x:f>
        <x:v>1</x:v>
      </x:c>
    </x:row>
    <x:row r="101">
      <x:c r="A101" s="48" t="n">
        <x:v>93</x:v>
      </x:c>
      <x:c r="B101" s="49" t="str">
        <x:v>Public API</x:v>
      </x:c>
      <x:c r="C101" s="49" t="str">
        <x:v>Group</x:v>
      </x:c>
      <x:c r="D101" s="50" t="str">
        <x:v>renders group role</x:v>
      </x:c>
      <x:c r="E101" s="50" t="str">
        <x:v>covered</x:v>
      </x:c>
      <x:c r="F101" s="50" t="str">
        <x:v>Select playground: Popup menu manual pass</x:v>
      </x:c>
      <x:c r="G101" s="50" t="str"/>
      <x:c r="H101" s="48" t="n">
        <x:f>IF(E101="covered",1,IF(E101="partial",0.5,0))</x:f>
        <x:v>1</x:v>
      </x:c>
    </x:row>
    <x:row r="102">
      <x:c r="A102" s="48" t="n">
        <x:v>94</x:v>
      </x:c>
      <x:c r="B102" s="49" t="str">
        <x:v>Public API</x:v>
      </x:c>
      <x:c r="C102" s="49" t="str">
        <x:v>Group</x:v>
      </x:c>
      <x:c r="D102" s="50" t="str">
        <x:v>aria-labelledby matches Label</x:v>
      </x:c>
      <x:c r="E102" s="50" t="str">
        <x:v>covered</x:v>
      </x:c>
      <x:c r="F102" s="50" t="str">
        <x:v>Select playground: Popup menu manual pass</x:v>
      </x:c>
      <x:c r="G102" s="50" t="str"/>
      <x:c r="H102" s="48" t="n">
        <x:f>IF(E102="covered",1,IF(E102="partial",0.5,0))</x:f>
        <x:v>1</x:v>
      </x:c>
    </x:row>
    <x:row r="103">
      <x:c r="A103" s="48" t="n">
        <x:v>95</x:v>
      </x:c>
      <x:c r="B103" s="49" t="str">
        <x:v>Refs</x:v>
      </x:c>
      <x:c r="C103" s="49" t="str">
        <x:v>Group</x:v>
      </x:c>
      <x:c r="D103" s="50" t="str">
        <x:v>ref receives div</x:v>
      </x:c>
      <x:c r="E103" s="50" t="str">
        <x:v>covered</x:v>
      </x:c>
      <x:c r="F103" s="50" t="str">
        <x:v>Select playground: Anatomy rows</x:v>
      </x:c>
      <x:c r="G103" s="50" t="str"/>
      <x:c r="H103" s="48" t="n">
        <x:f>IF(E103="covered",1,IF(E103="partial",0.5,0))</x:f>
        <x:v>1</x:v>
      </x:c>
    </x:row>
    <x:row r="104">
      <x:c r="A104" s="48" t="n">
        <x:v>96</x:v>
      </x:c>
      <x:c r="B104" s="49" t="str">
        <x:v>Props</x:v>
      </x:c>
      <x:c r="C104" s="49" t="str">
        <x:v>Group</x:v>
      </x:c>
      <x:c r="D104" s="50" t="str">
        <x:v>native div props passthrough</x:v>
      </x:c>
      <x:c r="E104" s="50" t="str">
        <x:v>covered</x:v>
      </x:c>
      <x:c r="F104" s="50" t="str">
        <x:v>Anatomy Group Props row</x:v>
      </x:c>
      <x:c r="G104" s="50"/>
      <x:c r="H104" s="48" t="n">
        <x:f>IF(E104="covered",1,IF(E104="partial",0.5,0))</x:f>
        <x:v>1</x:v>
      </x:c>
    </x:row>
    <x:row r="105">
      <x:c r="A105" s="48" t="n">
        <x:v>97</x:v>
      </x:c>
      <x:c r="B105" s="49" t="str">
        <x:v>Styling hooks</x:v>
      </x:c>
      <x:c r="C105" s="49" t="str">
        <x:v>Group</x:v>
      </x:c>
      <x:c r="D105" s="50" t="str">
        <x:v>data-slot</x:v>
      </x:c>
      <x:c r="E105" s="50" t="str">
        <x:v>covered</x:v>
      </x:c>
      <x:c r="F105" s="50" t="str">
        <x:v>Anatomy Group data-slot row</x:v>
      </x:c>
      <x:c r="G105" s="50"/>
      <x:c r="H105" s="48" t="n">
        <x:f>IF(E105="covered",1,IF(E105="partial",0.5,0))</x:f>
        <x:v>1</x:v>
      </x:c>
    </x:row>
    <x:row r="106">
      <x:c r="A106" s="48" t="n">
        <x:v>98</x:v>
      </x:c>
      <x:c r="B106" s="49" t="str">
        <x:v>Public API</x:v>
      </x:c>
      <x:c r="C106" s="49" t="str">
        <x:v>Label</x:v>
      </x:c>
      <x:c r="D106" s="50" t="str">
        <x:v>renders group label</x:v>
      </x:c>
      <x:c r="E106" s="50" t="str">
        <x:v>covered</x:v>
      </x:c>
      <x:c r="F106" s="50" t="str">
        <x:v>Select playground: Popup menu manual pass</x:v>
      </x:c>
      <x:c r="G106" s="50" t="str"/>
      <x:c r="H106" s="48" t="n">
        <x:f>IF(E106="covered",1,IF(E106="partial",0.5,0))</x:f>
        <x:v>1</x:v>
      </x:c>
    </x:row>
    <x:row r="107">
      <x:c r="A107" s="48" t="n">
        <x:v>99</x:v>
      </x:c>
      <x:c r="B107" s="49" t="str">
        <x:v>Public API</x:v>
      </x:c>
      <x:c r="C107" s="49" t="str">
        <x:v>Label</x:v>
      </x:c>
      <x:c r="D107" s="50" t="str">
        <x:v>id registration</x:v>
      </x:c>
      <x:c r="E107" s="50" t="str">
        <x:v>covered</x:v>
      </x:c>
      <x:c r="F107" s="50" t="str">
        <x:v>Select playground: Popup menu manual pass</x:v>
      </x:c>
      <x:c r="G107" s="50" t="str"/>
      <x:c r="H107" s="48" t="n">
        <x:f>IF(E107="covered",1,IF(E107="partial",0.5,0))</x:f>
        <x:v>1</x:v>
      </x:c>
    </x:row>
    <x:row r="108">
      <x:c r="A108" s="48" t="n">
        <x:v>100</x:v>
      </x:c>
      <x:c r="B108" s="49" t="str">
        <x:v>Refs</x:v>
      </x:c>
      <x:c r="C108" s="49" t="str">
        <x:v>Label</x:v>
      </x:c>
      <x:c r="D108" s="50" t="str">
        <x:v>ref receives div</x:v>
      </x:c>
      <x:c r="E108" s="50" t="str">
        <x:v>covered</x:v>
      </x:c>
      <x:c r="F108" s="50" t="str">
        <x:v>Select playground: Anatomy rows</x:v>
      </x:c>
      <x:c r="G108" s="50" t="str"/>
      <x:c r="H108" s="48" t="n">
        <x:f>IF(E108="covered",1,IF(E108="partial",0.5,0))</x:f>
        <x:v>1</x:v>
      </x:c>
    </x:row>
    <x:row r="109">
      <x:c r="A109" s="48" t="n">
        <x:v>101</x:v>
      </x:c>
      <x:c r="B109" s="49" t="str">
        <x:v>Props</x:v>
      </x:c>
      <x:c r="C109" s="49" t="str">
        <x:v>Label</x:v>
      </x:c>
      <x:c r="D109" s="50" t="str">
        <x:v>native div props passthrough</x:v>
      </x:c>
      <x:c r="E109" s="50" t="str">
        <x:v>covered</x:v>
      </x:c>
      <x:c r="F109" s="50" t="str">
        <x:v>Anatomy Label Props row</x:v>
      </x:c>
      <x:c r="G109" s="50"/>
      <x:c r="H109" s="48" t="n">
        <x:f>IF(E109="covered",1,IF(E109="partial",0.5,0))</x:f>
        <x:v>1</x:v>
      </x:c>
    </x:row>
    <x:row r="110">
      <x:c r="A110" s="48" t="n">
        <x:v>102</x:v>
      </x:c>
      <x:c r="B110" s="49" t="str">
        <x:v>Styling hooks</x:v>
      </x:c>
      <x:c r="C110" s="49" t="str">
        <x:v>Label</x:v>
      </x:c>
      <x:c r="D110" s="50" t="str">
        <x:v>data-slot</x:v>
      </x:c>
      <x:c r="E110" s="50" t="str">
        <x:v>covered</x:v>
      </x:c>
      <x:c r="F110" s="50" t="str">
        <x:v>Anatomy Label data-slot row</x:v>
      </x:c>
      <x:c r="G110" s="50"/>
      <x:c r="H110" s="48" t="n">
        <x:f>IF(E110="covered",1,IF(E110="partial",0.5,0))</x:f>
        <x:v>1</x:v>
      </x:c>
    </x:row>
    <x:row r="111">
      <x:c r="A111" s="48" t="n">
        <x:v>103</x:v>
      </x:c>
      <x:c r="B111" s="49" t="str">
        <x:v>Public API</x:v>
      </x:c>
      <x:c r="C111" s="49" t="str">
        <x:v>Item</x:v>
      </x:c>
      <x:c r="D111" s="50" t="str">
        <x:v>renders option role</x:v>
      </x:c>
      <x:c r="E111" s="50" t="str">
        <x:v>covered</x:v>
      </x:c>
      <x:c r="F111" s="50" t="str">
        <x:v>Select playground: Inspector manual pass</x:v>
      </x:c>
      <x:c r="G111" s="50" t="str"/>
      <x:c r="H111" s="48" t="n">
        <x:f>IF(E111="covered",1,IF(E111="partial",0.5,0))</x:f>
        <x:v>1</x:v>
      </x:c>
    </x:row>
    <x:row r="112">
      <x:c r="A112" s="48" t="n">
        <x:v>104</x:v>
      </x:c>
      <x:c r="B112" s="49" t="str">
        <x:v>Public API</x:v>
      </x:c>
      <x:c r="C112" s="49" t="str">
        <x:v>Item</x:v>
      </x:c>
      <x:c r="D112" s="50" t="str">
        <x:v>value is required identity</x:v>
      </x:c>
      <x:c r="E112" s="50" t="str">
        <x:v>covered</x:v>
      </x:c>
      <x:c r="F112" s="50" t="str">
        <x:v>Select playground: Basic Select manual pass</x:v>
      </x:c>
      <x:c r="G112" s="50" t="str"/>
      <x:c r="H112" s="48" t="n">
        <x:f>IF(E112="covered",1,IF(E112="partial",0.5,0))</x:f>
        <x:v>1</x:v>
      </x:c>
    </x:row>
    <x:row r="113">
      <x:c r="A113" s="48" t="n">
        <x:v>105</x:v>
      </x:c>
      <x:c r="B113" s="49" t="str">
        <x:v>Public API</x:v>
      </x:c>
      <x:c r="C113" s="49" t="str">
        <x:v>Item</x:v>
      </x:c>
      <x:c r="D113" s="50" t="str">
        <x:v>label prop controls typeahead/value display</x:v>
      </x:c>
      <x:c r="E113" s="50" t="str">
        <x:v>covered</x:v>
      </x:c>
      <x:c r="F113" s="50" t="str">
        <x:v>Composition menu: Raw item text with label prop</x:v>
      </x:c>
      <x:c r="G113" s="50"/>
      <x:c r="H113" s="48" t="n">
        <x:f>IF(E113="covered",1,IF(E113="partial",0.5,0))</x:f>
        <x:v>1</x:v>
      </x:c>
    </x:row>
    <x:row r="114">
      <x:c r="A114" s="48" t="n">
        <x:v>106</x:v>
      </x:c>
      <x:c r="B114" s="49" t="str">
        <x:v>Public API</x:v>
      </x:c>
      <x:c r="C114" s="49" t="str">
        <x:v>Item</x:v>
      </x:c>
      <x:c r="D114" s="50" t="str">
        <x:v>selected item aria-selected</x:v>
      </x:c>
      <x:c r="E114" s="50" t="str">
        <x:v>covered</x:v>
      </x:c>
      <x:c r="F114" s="50" t="str">
        <x:v>Select playground: Basic Select manual pass</x:v>
      </x:c>
      <x:c r="G114" s="50" t="str"/>
      <x:c r="H114" s="48" t="n">
        <x:f>IF(E114="covered",1,IF(E114="partial",0.5,0))</x:f>
        <x:v>1</x:v>
      </x:c>
    </x:row>
    <x:row r="115">
      <x:c r="A115" s="48" t="n">
        <x:v>107</x:v>
      </x:c>
      <x:c r="B115" s="49" t="str">
        <x:v>Public API</x:v>
      </x:c>
      <x:c r="C115" s="49" t="str">
        <x:v>Item</x:v>
      </x:c>
      <x:c r="D115" s="50" t="str">
        <x:v>data-state checked/unchecked</x:v>
      </x:c>
      <x:c r="E115" s="50" t="str">
        <x:v>covered</x:v>
      </x:c>
      <x:c r="F115" s="50" t="str">
        <x:v>Select playground: Basic Select manual pass</x:v>
      </x:c>
      <x:c r="G115" s="50" t="str"/>
      <x:c r="H115" s="48" t="n">
        <x:f>IF(E115="covered",1,IF(E115="partial",0.5,0))</x:f>
        <x:v>1</x:v>
      </x:c>
    </x:row>
    <x:row r="116">
      <x:c r="A116" s="48" t="n">
        <x:v>108</x:v>
      </x:c>
      <x:c r="B116" s="49" t="str">
        <x:v>Public API</x:v>
      </x:c>
      <x:c r="C116" s="49" t="str">
        <x:v>Item</x:v>
      </x:c>
      <x:c r="D116" s="50" t="str">
        <x:v>disabled item aria-disabled/data-disabled</x:v>
      </x:c>
      <x:c r="E116" s="50" t="str">
        <x:v>covered</x:v>
      </x:c>
      <x:c r="F116" s="50" t="str">
        <x:v>Select playground: Basic Select manual pass</x:v>
      </x:c>
      <x:c r="G116" s="50" t="str"/>
      <x:c r="H116" s="48" t="n">
        <x:f>IF(E116="covered",1,IF(E116="partial",0.5,0))</x:f>
        <x:v>1</x:v>
      </x:c>
    </x:row>
    <x:row r="117">
      <x:c r="A117" s="48" t="n">
        <x:v>109</x:v>
      </x:c>
      <x:c r="B117" s="49" t="str">
        <x:v>Accessibility</x:v>
      </x:c>
      <x:c r="C117" s="49" t="str">
        <x:v>Item</x:v>
      </x:c>
      <x:c r="D117" s="50" t="str">
        <x:v>aria-labelledby appears after ItemText</x:v>
      </x:c>
      <x:c r="E117" s="50" t="str">
        <x:v>covered</x:v>
      </x:c>
      <x:c r="F117" s="50" t="str">
        <x:v>Select playground: Inspector manual pass</x:v>
      </x:c>
      <x:c r="G117" s="50" t="str"/>
      <x:c r="H117" s="48" t="n">
        <x:f>IF(E117="covered",1,IF(E117="partial",0.5,0))</x:f>
        <x:v>1</x:v>
      </x:c>
    </x:row>
    <x:row r="118">
      <x:c r="A118" s="48" t="n">
        <x:v>110</x:v>
      </x:c>
      <x:c r="B118" s="49" t="str">
        <x:v>Accessibility</x:v>
      </x:c>
      <x:c r="C118" s="49" t="str">
        <x:v>Item</x:v>
      </x:c>
      <x:c r="D118" s="50" t="str">
        <x:v>omits aria-labelledby without ItemText</x:v>
      </x:c>
      <x:c r="E118" s="50" t="str">
        <x:v>covered</x:v>
      </x:c>
      <x:c r="F118" s="50" t="str">
        <x:v>Composition menu: Raw item text + Anatomy Item: Raw</x:v>
      </x:c>
      <x:c r="G118" s="50"/>
      <x:c r="H118" s="48" t="n">
        <x:f>IF(E118="covered",1,IF(E118="partial",0.5,0))</x:f>
        <x:v>1</x:v>
      </x:c>
    </x:row>
    <x:row r="119">
      <x:c r="A119" s="48" t="n">
        <x:v>111</x:v>
      </x:c>
      <x:c r="B119" s="49" t="str">
        <x:v>Interaction</x:v>
      </x:c>
      <x:c r="C119" s="49" t="str">
        <x:v>Item</x:v>
      </x:c>
      <x:c r="D119" s="50" t="str">
        <x:v>click selects item</x:v>
      </x:c>
      <x:c r="E119" s="50" t="str">
        <x:v>covered</x:v>
      </x:c>
      <x:c r="F119" s="50" t="str">
        <x:v>Select playground: Basic Select manual pass</x:v>
      </x:c>
      <x:c r="G119" s="50" t="str"/>
      <x:c r="H119" s="48" t="n">
        <x:f>IF(E119="covered",1,IF(E119="partial",0.5,0))</x:f>
        <x:v>1</x:v>
      </x:c>
    </x:row>
    <x:row r="120">
      <x:c r="A120" s="48" t="n">
        <x:v>112</x:v>
      </x:c>
      <x:c r="B120" s="49" t="str">
        <x:v>Interaction</x:v>
      </x:c>
      <x:c r="C120" s="49" t="str">
        <x:v>Item</x:v>
      </x:c>
      <x:c r="D120" s="50" t="str">
        <x:v>click closes listbox</x:v>
      </x:c>
      <x:c r="E120" s="50" t="str">
        <x:v>covered</x:v>
      </x:c>
      <x:c r="F120" s="50" t="str">
        <x:v>Select playground: Basic Select manual pass</x:v>
      </x:c>
      <x:c r="G120" s="50" t="str"/>
      <x:c r="H120" s="48" t="n">
        <x:f>IF(E120="covered",1,IF(E120="partial",0.5,0))</x:f>
        <x:v>1</x:v>
      </x:c>
    </x:row>
    <x:row r="121">
      <x:c r="A121" s="48" t="n">
        <x:v>113</x:v>
      </x:c>
      <x:c r="B121" s="49" t="str">
        <x:v>Interaction</x:v>
      </x:c>
      <x:c r="C121" s="49" t="str">
        <x:v>Item</x:v>
      </x:c>
      <x:c r="D121" s="50" t="str">
        <x:v>click restores focus to trigger</x:v>
      </x:c>
      <x:c r="E121" s="50" t="str">
        <x:v>covered</x:v>
      </x:c>
      <x:c r="F121" s="50" t="str">
        <x:v>Select playground: Inspector manual pass</x:v>
      </x:c>
      <x:c r="G121" s="50" t="str"/>
      <x:c r="H121" s="48" t="n">
        <x:f>IF(E121="covered",1,IF(E121="partial",0.5,0))</x:f>
        <x:v>1</x:v>
      </x:c>
    </x:row>
    <x:row r="122">
      <x:c r="A122" s="48" t="n">
        <x:v>114</x:v>
      </x:c>
      <x:c r="B122" s="49" t="str">
        <x:v>Interaction</x:v>
      </x:c>
      <x:c r="C122" s="49" t="str">
        <x:v>Item</x:v>
      </x:c>
      <x:c r="D122" s="50" t="str">
        <x:v>disabled item click is ignored</x:v>
      </x:c>
      <x:c r="E122" s="50" t="str">
        <x:v>covered</x:v>
      </x:c>
      <x:c r="F122" s="50" t="str">
        <x:v>Select playground: Basic Select manual pass</x:v>
      </x:c>
      <x:c r="G122" s="50" t="str"/>
      <x:c r="H122" s="48" t="n">
        <x:f>IF(E122="covered",1,IF(E122="partial",0.5,0))</x:f>
        <x:v>1</x:v>
      </x:c>
    </x:row>
    <x:row r="123">
      <x:c r="A123" s="48" t="n">
        <x:v>115</x:v>
      </x:c>
      <x:c r="B123" s="49" t="str">
        <x:v>Interaction</x:v>
      </x:c>
      <x:c r="C123" s="49" t="str">
        <x:v>Item</x:v>
      </x:c>
      <x:c r="D123" s="50" t="str">
        <x:v>pointer move highlights enabled item</x:v>
      </x:c>
      <x:c r="E123" s="50" t="str">
        <x:v>covered</x:v>
      </x:c>
      <x:c r="F123" s="50" t="str">
        <x:v>Select playground: Basic Select manual pass</x:v>
      </x:c>
      <x:c r="G123" s="50" t="str"/>
      <x:c r="H123" s="48" t="n">
        <x:f>IF(E123="covered",1,IF(E123="partial",0.5,0))</x:f>
        <x:v>1</x:v>
      </x:c>
    </x:row>
    <x:row r="124">
      <x:c r="A124" s="48" t="n">
        <x:v>116</x:v>
      </x:c>
      <x:c r="B124" s="49" t="str">
        <x:v>Interaction</x:v>
      </x:c>
      <x:c r="C124" s="49" t="str">
        <x:v>Item</x:v>
      </x:c>
      <x:c r="D124" s="50" t="str">
        <x:v>pointer leave clears highlight</x:v>
      </x:c>
      <x:c r="E124" s="50" t="str">
        <x:v>covered</x:v>
      </x:c>
      <x:c r="F124" s="50" t="str">
        <x:v>Select playground: Basic Select manual pass</x:v>
      </x:c>
      <x:c r="G124" s="50" t="str"/>
      <x:c r="H124" s="48" t="n">
        <x:f>IF(E124="covered",1,IF(E124="partial",0.5,0))</x:f>
        <x:v>1</x:v>
      </x:c>
    </x:row>
    <x:row r="125">
      <x:c r="A125" s="48" t="n">
        <x:v>117</x:v>
      </x:c>
      <x:c r="B125" s="49" t="str">
        <x:v>Composition</x:v>
      </x:c>
      <x:c r="C125" s="49" t="str">
        <x:v>Item</x:v>
      </x:c>
      <x:c r="D125" s="50" t="str">
        <x:v>merged onClick</x:v>
      </x:c>
      <x:c r="E125" s="50" t="str">
        <x:v>covered</x:v>
      </x:c>
      <x:c r="F125" s="50" t="str">
        <x:v>Select playground: Log manual pass</x:v>
      </x:c>
      <x:c r="G125" s="50" t="str"/>
      <x:c r="H125" s="48" t="n">
        <x:f>IF(E125="covered",1,IF(E125="partial",0.5,0))</x:f>
        <x:v>1</x:v>
      </x:c>
    </x:row>
    <x:row r="126">
      <x:c r="A126" s="48" t="n">
        <x:v>118</x:v>
      </x:c>
      <x:c r="B126" s="49" t="str">
        <x:v>Composition</x:v>
      </x:c>
      <x:c r="C126" s="49" t="str">
        <x:v>Item</x:v>
      </x:c>
      <x:c r="D126" s="50" t="str">
        <x:v>merged onPointerMove</x:v>
      </x:c>
      <x:c r="E126" s="50" t="str">
        <x:v>covered</x:v>
      </x:c>
      <x:c r="F126" s="50" t="str">
        <x:v>Log records item pointer move</x:v>
      </x:c>
      <x:c r="G126" s="50"/>
      <x:c r="H126" s="48" t="n">
        <x:f>IF(E126="covered",1,IF(E126="partial",0.5,0))</x:f>
        <x:v>1</x:v>
      </x:c>
    </x:row>
    <x:row r="127">
      <x:c r="A127" s="48" t="n">
        <x:v>119</x:v>
      </x:c>
      <x:c r="B127" s="49" t="str">
        <x:v>Composition</x:v>
      </x:c>
      <x:c r="C127" s="49" t="str">
        <x:v>Item</x:v>
      </x:c>
      <x:c r="D127" s="50" t="str">
        <x:v>merged onPointerLeave</x:v>
      </x:c>
      <x:c r="E127" s="50" t="str">
        <x:v>covered</x:v>
      </x:c>
      <x:c r="F127" s="50" t="str">
        <x:v>Log records item pointer leave</x:v>
      </x:c>
      <x:c r="G127" s="50"/>
      <x:c r="H127" s="48" t="n">
        <x:f>IF(E127="covered",1,IF(E127="partial",0.5,0))</x:f>
        <x:v>1</x:v>
      </x:c>
    </x:row>
    <x:row r="128">
      <x:c r="A128" s="48" t="n">
        <x:v>120</x:v>
      </x:c>
      <x:c r="B128" s="49" t="str">
        <x:v>Refs</x:v>
      </x:c>
      <x:c r="C128" s="49" t="str">
        <x:v>Item</x:v>
      </x:c>
      <x:c r="D128" s="50" t="str">
        <x:v>ref receives div</x:v>
      </x:c>
      <x:c r="E128" s="50" t="str">
        <x:v>covered</x:v>
      </x:c>
      <x:c r="F128" s="50" t="str">
        <x:v>Select playground: Anatomy rows</x:v>
      </x:c>
      <x:c r="G128" s="50" t="str"/>
      <x:c r="H128" s="48" t="n">
        <x:f>IF(E128="covered",1,IF(E128="partial",0.5,0))</x:f>
        <x:v>1</x:v>
      </x:c>
    </x:row>
    <x:row r="129">
      <x:c r="A129" s="48" t="n">
        <x:v>121</x:v>
      </x:c>
      <x:c r="B129" s="49" t="str">
        <x:v>Props</x:v>
      </x:c>
      <x:c r="C129" s="49" t="str">
        <x:v>Item</x:v>
      </x:c>
      <x:c r="D129" s="50" t="str">
        <x:v>native div props passthrough</x:v>
      </x:c>
      <x:c r="E129" s="50" t="str">
        <x:v>covered</x:v>
      </x:c>
      <x:c r="F129" s="50" t="str">
        <x:v>Anatomy Item Props row</x:v>
      </x:c>
      <x:c r="G129" s="50"/>
      <x:c r="H129" s="48" t="n">
        <x:f>IF(E129="covered",1,IF(E129="partial",0.5,0))</x:f>
        <x:v>1</x:v>
      </x:c>
    </x:row>
    <x:row r="130">
      <x:c r="A130" s="48" t="n">
        <x:v>122</x:v>
      </x:c>
      <x:c r="B130" s="49" t="str">
        <x:v>Styling hooks</x:v>
      </x:c>
      <x:c r="C130" s="49" t="str">
        <x:v>Item</x:v>
      </x:c>
      <x:c r="D130" s="50" t="str">
        <x:v>className passthrough</x:v>
      </x:c>
      <x:c r="E130" s="50" t="str">
        <x:v>covered</x:v>
      </x:c>
      <x:c r="F130" s="50" t="str">
        <x:v>Anatomy Item Class row</x:v>
      </x:c>
      <x:c r="G130" s="50"/>
      <x:c r="H130" s="48" t="n">
        <x:f>IF(E130="covered",1,IF(E130="partial",0.5,0))</x:f>
        <x:v>1</x:v>
      </x:c>
    </x:row>
    <x:row r="131">
      <x:c r="A131" s="48" t="n">
        <x:v>123</x:v>
      </x:c>
      <x:c r="B131" s="49" t="str">
        <x:v>Styling hooks</x:v>
      </x:c>
      <x:c r="C131" s="49" t="str">
        <x:v>Item</x:v>
      </x:c>
      <x:c r="D131" s="50" t="str">
        <x:v>data-highlighted</x:v>
      </x:c>
      <x:c r="E131" s="50" t="str">
        <x:v>covered</x:v>
      </x:c>
      <x:c r="F131" s="50" t="str">
        <x:v>Select playground: Basic Select manual pass</x:v>
      </x:c>
      <x:c r="G131" s="50" t="str"/>
      <x:c r="H131" s="48" t="n">
        <x:f>IF(E131="covered",1,IF(E131="partial",0.5,0))</x:f>
        <x:v>1</x:v>
      </x:c>
    </x:row>
    <x:row r="132">
      <x:c r="A132" s="48" t="n">
        <x:v>124</x:v>
      </x:c>
      <x:c r="B132" s="49" t="str">
        <x:v>Styling hooks</x:v>
      </x:c>
      <x:c r="C132" s="49" t="str">
        <x:v>Item</x:v>
      </x:c>
      <x:c r="D132" s="50" t="str">
        <x:v>data-value</x:v>
      </x:c>
      <x:c r="E132" s="50" t="str">
        <x:v>covered</x:v>
      </x:c>
      <x:c r="F132" s="50" t="str">
        <x:v>Select playground: Basic Select manual pass</x:v>
      </x:c>
      <x:c r="G132" s="50" t="str"/>
      <x:c r="H132" s="48" t="n">
        <x:f>IF(E132="covered",1,IF(E132="partial",0.5,0))</x:f>
        <x:v>1</x:v>
      </x:c>
    </x:row>
    <x:row r="133">
      <x:c r="A133" s="48" t="n">
        <x:v>125</x:v>
      </x:c>
      <x:c r="B133" s="49" t="str">
        <x:v>Styling hooks</x:v>
      </x:c>
      <x:c r="C133" s="49" t="str">
        <x:v>Item</x:v>
      </x:c>
      <x:c r="D133" s="50" t="str">
        <x:v>data-slot</x:v>
      </x:c>
      <x:c r="E133" s="50" t="str">
        <x:v>covered</x:v>
      </x:c>
      <x:c r="F133" s="50" t="str">
        <x:v>Select playground: Inspector manual pass</x:v>
      </x:c>
      <x:c r="G133" s="50" t="str"/>
      <x:c r="H133" s="48" t="n">
        <x:f>IF(E133="covered",1,IF(E133="partial",0.5,0))</x:f>
        <x:v>1</x:v>
      </x:c>
    </x:row>
    <x:row r="134">
      <x:c r="A134" s="48" t="n">
        <x:v>126</x:v>
      </x:c>
      <x:c r="B134" s="49" t="str">
        <x:v>Public API</x:v>
      </x:c>
      <x:c r="C134" s="49" t="str">
        <x:v>ItemText</x:v>
      </x:c>
      <x:c r="D134" s="50" t="str">
        <x:v>registers item text</x:v>
      </x:c>
      <x:c r="E134" s="50" t="str">
        <x:v>covered</x:v>
      </x:c>
      <x:c r="F134" s="50" t="str">
        <x:v>Select primitive regression test + playground manual pass</x:v>
      </x:c>
      <x:c r="G134" s="50" t="str"/>
      <x:c r="H134" s="48" t="n">
        <x:f>IF(E134="covered",1,IF(E134="partial",0.5,0))</x:f>
        <x:v>1</x:v>
      </x:c>
    </x:row>
    <x:row r="135">
      <x:c r="A135" s="48" t="n">
        <x:v>127</x:v>
      </x:c>
      <x:c r="B135" s="49" t="str">
        <x:v>Public API</x:v>
      </x:c>
      <x:c r="C135" s="49" t="str">
        <x:v>ItemText</x:v>
      </x:c>
      <x:c r="D135" s="50" t="str">
        <x:v>id used by item aria-labelledby</x:v>
      </x:c>
      <x:c r="E135" s="50" t="str">
        <x:v>covered</x:v>
      </x:c>
      <x:c r="F135" s="50" t="str">
        <x:v>Select playground: Inspector manual pass</x:v>
      </x:c>
      <x:c r="G135" s="50" t="str"/>
      <x:c r="H135" s="48" t="n">
        <x:f>IF(E135="covered",1,IF(E135="partial",0.5,0))</x:f>
        <x:v>1</x:v>
      </x:c>
    </x:row>
    <x:row r="136">
      <x:c r="A136" s="48" t="n">
        <x:v>128</x:v>
      </x:c>
      <x:c r="B136" s="49" t="str">
        <x:v>Refs</x:v>
      </x:c>
      <x:c r="C136" s="49" t="str">
        <x:v>ItemText</x:v>
      </x:c>
      <x:c r="D136" s="50" t="str">
        <x:v>ref receives span</x:v>
      </x:c>
      <x:c r="E136" s="50" t="str">
        <x:v>covered</x:v>
      </x:c>
      <x:c r="F136" s="50" t="str">
        <x:v>Anatomy ItemText Ref row</x:v>
      </x:c>
      <x:c r="G136" s="50"/>
      <x:c r="H136" s="48" t="n">
        <x:f>IF(E136="covered",1,IF(E136="partial",0.5,0))</x:f>
        <x:v>1</x:v>
      </x:c>
    </x:row>
    <x:row r="137">
      <x:c r="A137" s="48" t="n">
        <x:v>129</x:v>
      </x:c>
      <x:c r="B137" s="49" t="str">
        <x:v>Props</x:v>
      </x:c>
      <x:c r="C137" s="49" t="str">
        <x:v>ItemText</x:v>
      </x:c>
      <x:c r="D137" s="50" t="str">
        <x:v>native span props passthrough</x:v>
      </x:c>
      <x:c r="E137" s="50" t="str">
        <x:v>covered</x:v>
      </x:c>
      <x:c r="F137" s="50" t="str">
        <x:v>Anatomy ItemText Props row</x:v>
      </x:c>
      <x:c r="G137" s="50"/>
      <x:c r="H137" s="48" t="n">
        <x:f>IF(E137="covered",1,IF(E137="partial",0.5,0))</x:f>
        <x:v>1</x:v>
      </x:c>
    </x:row>
    <x:row r="138">
      <x:c r="A138" s="48" t="n">
        <x:v>130</x:v>
      </x:c>
      <x:c r="B138" s="49" t="str">
        <x:v>Styling hooks</x:v>
      </x:c>
      <x:c r="C138" s="49" t="str">
        <x:v>ItemText</x:v>
      </x:c>
      <x:c r="D138" s="50" t="str">
        <x:v>data-slot</x:v>
      </x:c>
      <x:c r="E138" s="50" t="str">
        <x:v>covered</x:v>
      </x:c>
      <x:c r="F138" s="50" t="str">
        <x:v>Anatomy ItemText data-slot row</x:v>
      </x:c>
      <x:c r="G138" s="50"/>
      <x:c r="H138" s="48" t="n">
        <x:f>IF(E138="covered",1,IF(E138="partial",0.5,0))</x:f>
        <x:v>1</x:v>
      </x:c>
    </x:row>
    <x:row r="139">
      <x:c r="A139" s="48" t="n">
        <x:v>131</x:v>
      </x:c>
      <x:c r="B139" s="49" t="str">
        <x:v>Public API</x:v>
      </x:c>
      <x:c r="C139" s="49" t="str">
        <x:v>ItemIndicator</x:v>
      </x:c>
      <x:c r="D139" s="50" t="str">
        <x:v>renders only when selected by default</x:v>
      </x:c>
      <x:c r="E139" s="50" t="str">
        <x:v>covered</x:v>
      </x:c>
      <x:c r="F139" s="50" t="str">
        <x:v>Select playground: Basic Select manual pass</x:v>
      </x:c>
      <x:c r="G139" s="50" t="str"/>
      <x:c r="H139" s="48" t="n">
        <x:f>IF(E139="covered",1,IF(E139="partial",0.5,0))</x:f>
        <x:v>1</x:v>
      </x:c>
    </x:row>
    <x:row r="140">
      <x:c r="A140" s="48" t="n">
        <x:v>132</x:v>
      </x:c>
      <x:c r="B140" s="49" t="str">
        <x:v>Public API</x:v>
      </x:c>
      <x:c r="C140" s="49" t="str">
        <x:v>ItemIndicator</x:v>
      </x:c>
      <x:c r="D140" s="50" t="str">
        <x:v>forceMount renders unchecked indicator</x:v>
      </x:c>
      <x:c r="E140" s="50" t="str">
        <x:v>covered</x:v>
      </x:c>
      <x:c r="F140" s="50" t="str">
        <x:v>Composition menu: Force indicator</x:v>
      </x:c>
      <x:c r="G140" s="50"/>
      <x:c r="H140" s="48" t="n">
        <x:f>IF(E140="covered",1,IF(E140="partial",0.5,0))</x:f>
        <x:v>1</x:v>
      </x:c>
    </x:row>
    <x:row r="141">
      <x:c r="A141" s="48" t="n">
        <x:v>133</x:v>
      </x:c>
      <x:c r="B141" s="49" t="str">
        <x:v>Public API</x:v>
      </x:c>
      <x:c r="C141" s="49" t="str">
        <x:v>ItemIndicator</x:v>
      </x:c>
      <x:c r="D141" s="50" t="str">
        <x:v>data-state checked/unchecked</x:v>
      </x:c>
      <x:c r="E141" s="50" t="str">
        <x:v>covered</x:v>
      </x:c>
      <x:c r="F141" s="50" t="str">
        <x:v>Anatomy ItemIndicator data-state row</x:v>
      </x:c>
      <x:c r="G141" s="50"/>
      <x:c r="H141" s="48" t="n">
        <x:f>IF(E141="covered",1,IF(E141="partial",0.5,0))</x:f>
        <x:v>1</x:v>
      </x:c>
    </x:row>
    <x:row r="142">
      <x:c r="A142" s="48" t="n">
        <x:v>134</x:v>
      </x:c>
      <x:c r="B142" s="49" t="str">
        <x:v>Accessibility</x:v>
      </x:c>
      <x:c r="C142" s="49" t="str">
        <x:v>ItemIndicator</x:v>
      </x:c>
      <x:c r="D142" s="50" t="str">
        <x:v>aria-hidden</x:v>
      </x:c>
      <x:c r="E142" s="50" t="str">
        <x:v>covered</x:v>
      </x:c>
      <x:c r="F142" s="50" t="str">
        <x:v>Anatomy ItemIndicator aria-hidden row</x:v>
      </x:c>
      <x:c r="G142" s="50"/>
      <x:c r="H142" s="48" t="n">
        <x:f>IF(E142="covered",1,IF(E142="partial",0.5,0))</x:f>
        <x:v>1</x:v>
      </x:c>
    </x:row>
    <x:row r="143">
      <x:c r="A143" s="48" t="n">
        <x:v>135</x:v>
      </x:c>
      <x:c r="B143" s="49" t="str">
        <x:v>Refs</x:v>
      </x:c>
      <x:c r="C143" s="49" t="str">
        <x:v>ItemIndicator</x:v>
      </x:c>
      <x:c r="D143" s="50" t="str">
        <x:v>ref receives span</x:v>
      </x:c>
      <x:c r="E143" s="50" t="str">
        <x:v>covered</x:v>
      </x:c>
      <x:c r="F143" s="50" t="str">
        <x:v>Anatomy ItemIndicator Ref row</x:v>
      </x:c>
      <x:c r="G143" s="50"/>
      <x:c r="H143" s="48" t="n">
        <x:f>IF(E143="covered",1,IF(E143="partial",0.5,0))</x:f>
        <x:v>1</x:v>
      </x:c>
    </x:row>
    <x:row r="144">
      <x:c r="A144" s="48" t="n">
        <x:v>136</x:v>
      </x:c>
      <x:c r="B144" s="49" t="str">
        <x:v>Props</x:v>
      </x:c>
      <x:c r="C144" s="49" t="str">
        <x:v>ItemIndicator</x:v>
      </x:c>
      <x:c r="D144" s="50" t="str">
        <x:v>native span props passthrough</x:v>
      </x:c>
      <x:c r="E144" s="50" t="str">
        <x:v>covered</x:v>
      </x:c>
      <x:c r="F144" s="50" t="str">
        <x:v>Anatomy ItemIndicator Props row</x:v>
      </x:c>
      <x:c r="G144" s="50"/>
      <x:c r="H144" s="48" t="n">
        <x:f>IF(E144="covered",1,IF(E144="partial",0.5,0))</x:f>
        <x:v>1</x:v>
      </x:c>
    </x:row>
    <x:row r="145">
      <x:c r="A145" s="48" t="n">
        <x:v>137</x:v>
      </x:c>
      <x:c r="B145" s="49" t="str">
        <x:v>Styling hooks</x:v>
      </x:c>
      <x:c r="C145" s="49" t="str">
        <x:v>ItemIndicator</x:v>
      </x:c>
      <x:c r="D145" s="50" t="str">
        <x:v>data-slot</x:v>
      </x:c>
      <x:c r="E145" s="50" t="str">
        <x:v>covered</x:v>
      </x:c>
      <x:c r="F145" s="50" t="str">
        <x:v>Anatomy ItemIndicator data-slot row</x:v>
      </x:c>
      <x:c r="G145" s="50"/>
      <x:c r="H145" s="48" t="n">
        <x:f>IF(E145="covered",1,IF(E145="partial",0.5,0))</x:f>
        <x:v>1</x:v>
      </x:c>
    </x:row>
    <x:row r="146">
      <x:c r="A146" s="48" t="n">
        <x:v>138</x:v>
      </x:c>
      <x:c r="B146" s="49" t="str">
        <x:v>Public API</x:v>
      </x:c>
      <x:c r="C146" s="49" t="str">
        <x:v>Separator</x:v>
      </x:c>
      <x:c r="D146" s="50" t="str">
        <x:v>renders separator role</x:v>
      </x:c>
      <x:c r="E146" s="50" t="str">
        <x:v>covered</x:v>
      </x:c>
      <x:c r="F146" s="50" t="str">
        <x:v>Select playground: Popup menu manual pass</x:v>
      </x:c>
      <x:c r="G146" s="50" t="str"/>
      <x:c r="H146" s="48" t="n">
        <x:f>IF(E146="covered",1,IF(E146="partial",0.5,0))</x:f>
        <x:v>1</x:v>
      </x:c>
    </x:row>
    <x:row r="147">
      <x:c r="A147" s="48" t="n">
        <x:v>139</x:v>
      </x:c>
      <x:c r="B147" s="49" t="str">
        <x:v>Public API</x:v>
      </x:c>
      <x:c r="C147" s="49" t="str">
        <x:v>Separator</x:v>
      </x:c>
      <x:c r="D147" s="50" t="str">
        <x:v>aria-orientation horizontal</x:v>
      </x:c>
      <x:c r="E147" s="50" t="str">
        <x:v>covered</x:v>
      </x:c>
      <x:c r="F147" s="50" t="str">
        <x:v>Select playground: Popup menu manual pass</x:v>
      </x:c>
      <x:c r="G147" s="50" t="str"/>
      <x:c r="H147" s="48" t="n">
        <x:f>IF(E147="covered",1,IF(E147="partial",0.5,0))</x:f>
        <x:v>1</x:v>
      </x:c>
    </x:row>
    <x:row r="148">
      <x:c r="A148" s="48" t="n">
        <x:v>140</x:v>
      </x:c>
      <x:c r="B148" s="49" t="str">
        <x:v>Refs</x:v>
      </x:c>
      <x:c r="C148" s="49" t="str">
        <x:v>Separator</x:v>
      </x:c>
      <x:c r="D148" s="50" t="str">
        <x:v>ref receives div</x:v>
      </x:c>
      <x:c r="E148" s="50" t="str">
        <x:v>covered</x:v>
      </x:c>
      <x:c r="F148" s="50" t="str">
        <x:v>Select playground: Anatomy rows</x:v>
      </x:c>
      <x:c r="G148" s="50" t="str"/>
      <x:c r="H148" s="48" t="n">
        <x:f>IF(E148="covered",1,IF(E148="partial",0.5,0))</x:f>
        <x:v>1</x:v>
      </x:c>
    </x:row>
    <x:row r="149">
      <x:c r="A149" s="48" t="n">
        <x:v>141</x:v>
      </x:c>
      <x:c r="B149" s="49" t="str">
        <x:v>Props</x:v>
      </x:c>
      <x:c r="C149" s="49" t="str">
        <x:v>Separator</x:v>
      </x:c>
      <x:c r="D149" s="50" t="str">
        <x:v>native div props passthrough</x:v>
      </x:c>
      <x:c r="E149" s="50" t="str">
        <x:v>covered</x:v>
      </x:c>
      <x:c r="F149" s="50" t="str">
        <x:v>Anatomy Separator Props row</x:v>
      </x:c>
      <x:c r="G149" s="50"/>
      <x:c r="H149" s="48" t="n">
        <x:f>IF(E149="covered",1,IF(E149="partial",0.5,0))</x:f>
        <x:v>1</x:v>
      </x:c>
    </x:row>
    <x:row r="150">
      <x:c r="A150" s="48" t="n">
        <x:v>142</x:v>
      </x:c>
      <x:c r="B150" s="49" t="str">
        <x:v>Styling hooks</x:v>
      </x:c>
      <x:c r="C150" s="49" t="str">
        <x:v>Separator</x:v>
      </x:c>
      <x:c r="D150" s="50" t="str">
        <x:v>data-slot</x:v>
      </x:c>
      <x:c r="E150" s="50" t="str">
        <x:v>covered</x:v>
      </x:c>
      <x:c r="F150" s="50" t="str">
        <x:v>Anatomy Separator data-slot row</x:v>
      </x:c>
      <x:c r="G150" s="50"/>
      <x:c r="H150" s="48" t="n">
        <x:f>IF(E150="covered",1,IF(E150="partial",0.5,0))</x:f>
        <x:v>1</x:v>
      </x:c>
    </x:row>
    <x:row r="151">
      <x:c r="A151" s="48" t="n">
        <x:v>143</x:v>
      </x:c>
      <x:c r="B151" s="49" t="str">
        <x:v>Public API</x:v>
      </x:c>
      <x:c r="C151" s="49" t="str">
        <x:v>ScrollUpButton</x:v>
      </x:c>
      <x:c r="D151" s="50" t="str">
        <x:v>renders only when can scroll up</x:v>
      </x:c>
      <x:c r="E151" s="50" t="str">
        <x:v>covered</x:v>
      </x:c>
      <x:c r="F151" s="50" t="str">
        <x:v>Composition menu: Scroll buttons + long list</x:v>
      </x:c>
      <x:c r="G151" s="50"/>
      <x:c r="H151" s="48" t="n">
        <x:f>IF(E151="covered",1,IF(E151="partial",0.5,0))</x:f>
        <x:v>1</x:v>
      </x:c>
    </x:row>
    <x:row r="152">
      <x:c r="A152" s="48" t="n">
        <x:v>144</x:v>
      </x:c>
      <x:c r="B152" s="49" t="str">
        <x:v>Public API</x:v>
      </x:c>
      <x:c r="C152" s="49" t="str">
        <x:v>ScrollDownButton</x:v>
      </x:c>
      <x:c r="D152" s="50" t="str">
        <x:v>renders only when can scroll down</x:v>
      </x:c>
      <x:c r="E152" s="50" t="str">
        <x:v>covered</x:v>
      </x:c>
      <x:c r="F152" s="50" t="str">
        <x:v>Composition menu: Scroll buttons + long list</x:v>
      </x:c>
      <x:c r="G152" s="50"/>
      <x:c r="H152" s="48" t="n">
        <x:f>IF(E152="covered",1,IF(E152="partial",0.5,0))</x:f>
        <x:v>1</x:v>
      </x:c>
    </x:row>
    <x:row r="153">
      <x:c r="A153" s="48" t="n">
        <x:v>145</x:v>
      </x:c>
      <x:c r="B153" s="49" t="str">
        <x:v>Interaction</x:v>
      </x:c>
      <x:c r="C153" s="49" t="str">
        <x:v>Scroll buttons</x:v>
      </x:c>
      <x:c r="D153" s="50" t="str">
        <x:v>click scrolls viewport</x:v>
      </x:c>
      <x:c r="E153" s="50" t="str">
        <x:v>covered</x:v>
      </x:c>
      <x:c r="F153" s="50" t="str">
        <x:v>Scroll buttons click + Anatomy Viewport scrollTop</x:v>
      </x:c>
      <x:c r="G153" s="50"/>
      <x:c r="H153" s="48" t="n">
        <x:f>IF(E153="covered",1,IF(E153="partial",0.5,0))</x:f>
        <x:v>1</x:v>
      </x:c>
    </x:row>
    <x:row r="154">
      <x:c r="A154" s="48" t="n">
        <x:v>146</x:v>
      </x:c>
      <x:c r="B154" s="49" t="str">
        <x:v>Accessibility</x:v>
      </x:c>
      <x:c r="C154" s="49" t="str">
        <x:v>Scroll buttons</x:v>
      </x:c>
      <x:c r="D154" s="50" t="str">
        <x:v>aria-hidden and tabIndex -1</x:v>
      </x:c>
      <x:c r="E154" s="50" t="str">
        <x:v>covered</x:v>
      </x:c>
      <x:c r="F154" s="50" t="str">
        <x:v>Anatomy Scroll button aria-hidden/tabindex rows</x:v>
      </x:c>
      <x:c r="G154" s="50"/>
      <x:c r="H154" s="48" t="n">
        <x:f>IF(E154="covered",1,IF(E154="partial",0.5,0))</x:f>
        <x:v>1</x:v>
      </x:c>
    </x:row>
    <x:row r="155">
      <x:c r="A155" s="48" t="n">
        <x:v>147</x:v>
      </x:c>
      <x:c r="B155" s="49" t="str">
        <x:v>Composition</x:v>
      </x:c>
      <x:c r="C155" s="49" t="str">
        <x:v>Scroll buttons</x:v>
      </x:c>
      <x:c r="D155" s="50" t="str">
        <x:v>merged onClick</x:v>
      </x:c>
      <x:c r="E155" s="50" t="str">
        <x:v>covered</x:v>
      </x:c>
      <x:c r="F155" s="50" t="str">
        <x:v>Log records scroll button user onClick</x:v>
      </x:c>
      <x:c r="G155" s="50"/>
      <x:c r="H155" s="48" t="n">
        <x:f>IF(E155="covered",1,IF(E155="partial",0.5,0))</x:f>
        <x:v>1</x:v>
      </x:c>
    </x:row>
    <x:row r="156">
      <x:c r="A156" s="48" t="n">
        <x:v>148</x:v>
      </x:c>
      <x:c r="B156" s="49" t="str">
        <x:v>Refs</x:v>
      </x:c>
      <x:c r="C156" s="49" t="str">
        <x:v>Scroll buttons</x:v>
      </x:c>
      <x:c r="D156" s="50" t="str">
        <x:v>refs receive button</x:v>
      </x:c>
      <x:c r="E156" s="50" t="str">
        <x:v>covered</x:v>
      </x:c>
      <x:c r="F156" s="50" t="str">
        <x:v>Anatomy Scroll button Ref rows</x:v>
      </x:c>
      <x:c r="G156" s="50"/>
      <x:c r="H156" s="48" t="n">
        <x:f>IF(E156="covered",1,IF(E156="partial",0.5,0))</x:f>
        <x:v>1</x:v>
      </x:c>
    </x:row>
    <x:row r="157">
      <x:c r="A157" s="48" t="n">
        <x:v>149</x:v>
      </x:c>
      <x:c r="B157" s="49" t="str">
        <x:v>Props</x:v>
      </x:c>
      <x:c r="C157" s="49" t="str">
        <x:v>Scroll buttons</x:v>
      </x:c>
      <x:c r="D157" s="50" t="str">
        <x:v>native button props passthrough</x:v>
      </x:c>
      <x:c r="E157" s="50" t="str">
        <x:v>covered</x:v>
      </x:c>
      <x:c r="F157" s="50" t="str">
        <x:v>Anatomy Scroll button Props rows</x:v>
      </x:c>
      <x:c r="G157" s="50"/>
      <x:c r="H157" s="48" t="n">
        <x:f>IF(E157="covered",1,IF(E157="partial",0.5,0))</x:f>
        <x:v>1</x:v>
      </x:c>
    </x:row>
    <x:row r="158">
      <x:c r="A158" s="48" t="n">
        <x:v>150</x:v>
      </x:c>
      <x:c r="B158" s="49" t="str">
        <x:v>Styling hooks</x:v>
      </x:c>
      <x:c r="C158" s="49" t="str">
        <x:v>Scroll buttons</x:v>
      </x:c>
      <x:c r="D158" s="50" t="str">
        <x:v>data-slot direction</x:v>
      </x:c>
      <x:c r="E158" s="50" t="str">
        <x:v>covered</x:v>
      </x:c>
      <x:c r="F158" s="50" t="str">
        <x:v>Anatomy Scroll button data-slot rows</x:v>
      </x:c>
      <x:c r="G158" s="50"/>
      <x:c r="H158" s="48" t="n">
        <x:f>IF(E158="covered",1,IF(E158="partial",0.5,0))</x:f>
        <x:v>1</x:v>
      </x:c>
    </x:row>
    <x:row r="159">
      <x:c r="A159" s="48" t="n">
        <x:v>151</x:v>
      </x:c>
      <x:c r="B159" s="49" t="str">
        <x:v>Public API</x:v>
      </x:c>
      <x:c r="C159" s="49" t="str">
        <x:v>Arrow</x:v>
      </x:c>
      <x:c r="D159" s="50" t="str">
        <x:v>renders decorative arrow</x:v>
      </x:c>
      <x:c r="E159" s="50" t="str">
        <x:v>covered</x:v>
      </x:c>
      <x:c r="F159" s="50" t="str">
        <x:v>Composition menu: Arrow</x:v>
      </x:c>
      <x:c r="G159" s="50"/>
      <x:c r="H159" s="48" t="n">
        <x:f>IF(E159="covered",1,IF(E159="partial",0.5,0))</x:f>
        <x:v>1</x:v>
      </x:c>
    </x:row>
    <x:row r="160">
      <x:c r="A160" s="48" t="n">
        <x:v>152</x:v>
      </x:c>
      <x:c r="B160" s="49" t="str">
        <x:v>Accessibility</x:v>
      </x:c>
      <x:c r="C160" s="49" t="str">
        <x:v>Arrow</x:v>
      </x:c>
      <x:c r="D160" s="50" t="str">
        <x:v>aria-hidden</x:v>
      </x:c>
      <x:c r="E160" s="50" t="str">
        <x:v>covered</x:v>
      </x:c>
      <x:c r="F160" s="50" t="str">
        <x:v>Anatomy Arrow aria-hidden row</x:v>
      </x:c>
      <x:c r="G160" s="50"/>
      <x:c r="H160" s="48" t="n">
        <x:f>IF(E160="covered",1,IF(E160="partial",0.5,0))</x:f>
        <x:v>1</x:v>
      </x:c>
    </x:row>
    <x:row r="161">
      <x:c r="A161" s="48" t="n">
        <x:v>153</x:v>
      </x:c>
      <x:c r="B161" s="49" t="str">
        <x:v>Refs</x:v>
      </x:c>
      <x:c r="C161" s="49" t="str">
        <x:v>Arrow</x:v>
      </x:c>
      <x:c r="D161" s="50" t="str">
        <x:v>ref receives span</x:v>
      </x:c>
      <x:c r="E161" s="50" t="str">
        <x:v>covered</x:v>
      </x:c>
      <x:c r="F161" s="50" t="str">
        <x:v>Anatomy Arrow Ref row</x:v>
      </x:c>
      <x:c r="G161" s="50"/>
      <x:c r="H161" s="48" t="n">
        <x:f>IF(E161="covered",1,IF(E161="partial",0.5,0))</x:f>
        <x:v>1</x:v>
      </x:c>
    </x:row>
    <x:row r="162">
      <x:c r="A162" s="48" t="n">
        <x:v>154</x:v>
      </x:c>
      <x:c r="B162" s="49" t="str">
        <x:v>Props</x:v>
      </x:c>
      <x:c r="C162" s="49" t="str">
        <x:v>Arrow</x:v>
      </x:c>
      <x:c r="D162" s="50" t="str">
        <x:v>native span props passthrough</x:v>
      </x:c>
      <x:c r="E162" s="50" t="str">
        <x:v>covered</x:v>
      </x:c>
      <x:c r="F162" s="50" t="str">
        <x:v>Anatomy Arrow Props row</x:v>
      </x:c>
      <x:c r="G162" s="50"/>
      <x:c r="H162" s="48" t="n">
        <x:f>IF(E162="covered",1,IF(E162="partial",0.5,0))</x:f>
        <x:v>1</x:v>
      </x:c>
    </x:row>
    <x:row r="163">
      <x:c r="A163" s="48" t="n">
        <x:v>155</x:v>
      </x:c>
      <x:c r="B163" s="49" t="str">
        <x:v>Styling hooks</x:v>
      </x:c>
      <x:c r="C163" s="49" t="str">
        <x:v>Arrow</x:v>
      </x:c>
      <x:c r="D163" s="50" t="str">
        <x:v>data-slot</x:v>
      </x:c>
      <x:c r="E163" s="50" t="str">
        <x:v>covered</x:v>
      </x:c>
      <x:c r="F163" s="50" t="str">
        <x:v>Anatomy Arrow data-slot row</x:v>
      </x:c>
      <x:c r="G163" s="50"/>
      <x:c r="H163" s="48" t="n">
        <x:f>IF(E163="covered",1,IF(E163="partial",0.5,0))</x:f>
        <x:v>1</x:v>
      </x:c>
    </x:row>
    <x:row r="164">
      <x:c r="A164" s="48" t="n">
        <x:v>156</x:v>
      </x:c>
      <x:c r="B164" s="49" t="str">
        <x:v>Interaction</x:v>
      </x:c>
      <x:c r="C164" s="49" t="str">
        <x:v>Cycle</x:v>
      </x:c>
      <x:c r="D164" s="50" t="str">
        <x:v>multiple open/close cycles</x:v>
      </x:c>
      <x:c r="E164" s="50" t="str">
        <x:v>covered</x:v>
      </x:c>
      <x:c r="F164" s="50" t="str">
        <x:v>Select playground: Basic Select manual pass</x:v>
      </x:c>
      <x:c r="G164" s="50" t="str"/>
      <x:c r="H164" s="48" t="n">
        <x:f>IF(E164="covered",1,IF(E164="partial",0.5,0))</x:f>
        <x:v>1</x:v>
      </x:c>
    </x:row>
    <x:row r="165">
      <x:c r="A165" s="48" t="n">
        <x:v>157</x:v>
      </x:c>
      <x:c r="B165" s="49" t="str">
        <x:v>Interaction</x:v>
      </x:c>
      <x:c r="C165" s="49" t="str">
        <x:v>Mobile</x:v>
      </x:c>
      <x:c r="D165" s="50" t="str">
        <x:v>tap trigger opens</x:v>
      </x:c>
      <x:c r="E165" s="50" t="str">
        <x:v>covered</x:v>
      </x:c>
      <x:c r="F165" s="50" t="str">
        <x:v>Manual phone pass</x:v>
      </x:c>
      <x:c r="G165" s="50"/>
      <x:c r="H165" s="48" t="n">
        <x:f>IF(E165="covered",1,IF(E165="partial",0.5,0))</x:f>
        <x:v>1</x:v>
      </x:c>
    </x:row>
    <x:row r="166">
      <x:c r="A166" s="48" t="n">
        <x:v>158</x:v>
      </x:c>
      <x:c r="B166" s="49" t="str">
        <x:v>Interaction</x:v>
      </x:c>
      <x:c r="C166" s="49" t="str">
        <x:v>Mobile</x:v>
      </x:c>
      <x:c r="D166" s="50" t="str">
        <x:v>tap item selects</x:v>
      </x:c>
      <x:c r="E166" s="50" t="str">
        <x:v>covered</x:v>
      </x:c>
      <x:c r="F166" s="50" t="str">
        <x:v>Manual phone pass</x:v>
      </x:c>
      <x:c r="G166" s="50"/>
      <x:c r="H166" s="48" t="n">
        <x:f>IF(E166="covered",1,IF(E166="partial",0.5,0))</x:f>
        <x:v>1</x:v>
      </x:c>
    </x:row>
    <x:row r="167">
      <x:c r="A167" s="48" t="n">
        <x:v>159</x:v>
      </x:c>
      <x:c r="B167" s="49" t="str">
        <x:v>Interaction</x:v>
      </x:c>
      <x:c r="C167" s="49" t="str">
        <x:v>Mobile</x:v>
      </x:c>
      <x:c r="D167" s="50" t="str">
        <x:v>tap outside closes</x:v>
      </x:c>
      <x:c r="E167" s="50" t="str">
        <x:v>covered</x:v>
      </x:c>
      <x:c r="F167" s="50" t="str">
        <x:v>Manual phone pass</x:v>
      </x:c>
      <x:c r="G167" s="50"/>
      <x:c r="H167" s="48" t="n">
        <x:f>IF(E167="covered",1,IF(E167="partial",0.5,0))</x:f>
        <x:v>1</x:v>
      </x:c>
    </x:row>
    <x:row r="168">
      <x:c r="A168" s="51" t="n">
        <x:v>160</x:v>
      </x:c>
      <x:c r="B168" s="52" t="str">
        <x:v>Interaction</x:v>
      </x:c>
      <x:c r="C168" s="52" t="str">
        <x:v>Mobile</x:v>
      </x:c>
      <x:c r="D168" s="53" t="str">
        <x:v>viewport fit and scroll</x:v>
      </x:c>
      <x:c r="E168" s="53" t="str">
        <x:v>covered</x:v>
      </x:c>
      <x:c r="F168" s="53" t="str">
        <x:v>Manual phone pass with long list</x:v>
      </x:c>
      <x:c r="G168" s="53"/>
      <x:c r="H168" s="51" t="n">
        <x:f>IF(E168="covered",1,IF(E168="partial",0.5,0))</x:f>
        <x:v>1</x:v>
      </x:c>
    </x:row>
  </x:sheetData>
  <x:mergeCells>
    <x:mergeCell ref="A1:H1"/>
    <x:mergeCell ref="A2:H2"/>
    <x:mergeCell ref="A6:H6"/>
  </x:mergeCells>
  <x:pageMargins left="0.7" right="0.7" top="0.75" bottom="0.75" header="0.3" footer="0.3"/>
</x:worksheet>
</file>