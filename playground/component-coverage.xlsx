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Mobile Readiness" sheetId="2" state="visible" r:id="rId2"/>
    <sheet xmlns:r="http://schemas.openxmlformats.org/officeDocument/2006/relationships" name="Accordion" sheetId="3" state="visible" r:id="rId3"/>
    <sheet xmlns:r="http://schemas.openxmlformats.org/officeDocument/2006/relationships" name="AlertDialog" sheetId="4" state="visible" r:id="rId4"/>
    <sheet xmlns:r="http://schemas.openxmlformats.org/officeDocument/2006/relationships" name="AppBar" sheetId="5" state="visible" r:id="rId5"/>
    <sheet xmlns:r="http://schemas.openxmlformats.org/officeDocument/2006/relationships" name="AspectRatio" sheetId="6" state="visible" r:id="rId6"/>
    <sheet xmlns:r="http://schemas.openxmlformats.org/officeDocument/2006/relationships" name="Avatar" sheetId="7" state="visible" r:id="rId7"/>
    <sheet xmlns:r="http://schemas.openxmlformats.org/officeDocument/2006/relationships" name="Badge" sheetId="8" state="visible" r:id="rId8"/>
    <sheet xmlns:r="http://schemas.openxmlformats.org/officeDocument/2006/relationships" name="BottomNavigation" sheetId="9" state="visible" r:id="rId9"/>
    <sheet xmlns:r="http://schemas.openxmlformats.org/officeDocument/2006/relationships" name="Breadcrumb" sheetId="10" state="visible" r:id="rId10"/>
    <sheet xmlns:r="http://schemas.openxmlformats.org/officeDocument/2006/relationships" name="Button" sheetId="11" state="visible" r:id="rId11"/>
    <sheet xmlns:r="http://schemas.openxmlformats.org/officeDocument/2006/relationships" name="Checkbox" sheetId="12" state="visible" r:id="rId12"/>
    <sheet xmlns:r="http://schemas.openxmlformats.org/officeDocument/2006/relationships" name="CheckboxGroup" sheetId="13" state="visible" r:id="rId13"/>
    <sheet xmlns:r="http://schemas.openxmlformats.org/officeDocument/2006/relationships" name="Collapsible" sheetId="14" state="visible" r:id="rId14"/>
    <sheet xmlns:r="http://schemas.openxmlformats.org/officeDocument/2006/relationships" name="Collection" sheetId="15" state="visible" r:id="rId15"/>
    <sheet xmlns:r="http://schemas.openxmlformats.org/officeDocument/2006/relationships" name="Combobox" sheetId="16" state="visible" r:id="rId16"/>
    <sheet xmlns:r="http://schemas.openxmlformats.org/officeDocument/2006/relationships" name="ContextMenu" sheetId="17" state="visible" r:id="rId17"/>
    <sheet xmlns:r="http://schemas.openxmlformats.org/officeDocument/2006/relationships" name="DataGrid" sheetId="18" state="visible" r:id="rId18"/>
    <sheet xmlns:r="http://schemas.openxmlformats.org/officeDocument/2006/relationships" name="Dialog" sheetId="19" state="visible" r:id="rId19"/>
    <sheet xmlns:r="http://schemas.openxmlformats.org/officeDocument/2006/relationships" name="Direction" sheetId="20" state="visible" r:id="rId20"/>
    <sheet xmlns:r="http://schemas.openxmlformats.org/officeDocument/2006/relationships" name="Divider" sheetId="21" state="visible" r:id="rId21"/>
    <sheet xmlns:r="http://schemas.openxmlformats.org/officeDocument/2006/relationships" name="Drawer" sheetId="22" state="visible" r:id="rId22"/>
    <sheet xmlns:r="http://schemas.openxmlformats.org/officeDocument/2006/relationships" name="DropdownMenu" sheetId="23" state="visible" r:id="rId23"/>
    <sheet xmlns:r="http://schemas.openxmlformats.org/officeDocument/2006/relationships" name="Feed" sheetId="24" state="visible" r:id="rId24"/>
    <sheet xmlns:r="http://schemas.openxmlformats.org/officeDocument/2006/relationships" name="Field" sheetId="25" state="visible" r:id="rId25"/>
    <sheet xmlns:r="http://schemas.openxmlformats.org/officeDocument/2006/relationships" name="Fieldset" sheetId="26" state="visible" r:id="rId26"/>
    <sheet xmlns:r="http://schemas.openxmlformats.org/officeDocument/2006/relationships" name="FileUpload" sheetId="27" state="visible" r:id="rId27"/>
    <sheet xmlns:r="http://schemas.openxmlformats.org/officeDocument/2006/relationships" name="Form" sheetId="28" state="visible" r:id="rId28"/>
    <sheet xmlns:r="http://schemas.openxmlformats.org/officeDocument/2006/relationships" name="HoverCard" sheetId="29" state="visible" r:id="rId29"/>
    <sheet xmlns:r="http://schemas.openxmlformats.org/officeDocument/2006/relationships" name="Input" sheetId="30" state="visible" r:id="rId30"/>
    <sheet xmlns:r="http://schemas.openxmlformats.org/officeDocument/2006/relationships" name="Label" sheetId="31" state="visible" r:id="rId31"/>
    <sheet xmlns:r="http://schemas.openxmlformats.org/officeDocument/2006/relationships" name="Link" sheetId="32" state="visible" r:id="rId32"/>
    <sheet xmlns:r="http://schemas.openxmlformats.org/officeDocument/2006/relationships" name="List" sheetId="33" state="visible" r:id="rId33"/>
    <sheet xmlns:r="http://schemas.openxmlformats.org/officeDocument/2006/relationships" name="Listbox" sheetId="34" state="visible" r:id="rId34"/>
    <sheet xmlns:r="http://schemas.openxmlformats.org/officeDocument/2006/relationships" name="Menu" sheetId="35" state="visible" r:id="rId35"/>
    <sheet xmlns:r="http://schemas.openxmlformats.org/officeDocument/2006/relationships" name="Menubar" sheetId="36" state="visible" r:id="rId36"/>
    <sheet xmlns:r="http://schemas.openxmlformats.org/officeDocument/2006/relationships" name="Modal" sheetId="37" state="visible" r:id="rId37"/>
    <sheet xmlns:r="http://schemas.openxmlformats.org/officeDocument/2006/relationships" name="NavList" sheetId="38" state="visible" r:id="rId38"/>
    <sheet xmlns:r="http://schemas.openxmlformats.org/officeDocument/2006/relationships" name="NavigationMenu" sheetId="39" state="visible" r:id="rId39"/>
    <sheet xmlns:r="http://schemas.openxmlformats.org/officeDocument/2006/relationships" name="NumberInput" sheetId="40" state="visible" r:id="rId40"/>
    <sheet xmlns:r="http://schemas.openxmlformats.org/officeDocument/2006/relationships" name="OTPField" sheetId="41" state="visible" r:id="rId41"/>
    <sheet xmlns:r="http://schemas.openxmlformats.org/officeDocument/2006/relationships" name="Pagination" sheetId="42" state="visible" r:id="rId42"/>
    <sheet xmlns:r="http://schemas.openxmlformats.org/officeDocument/2006/relationships" name="PasswordToggleField" sheetId="43" state="visible" r:id="rId43"/>
    <sheet xmlns:r="http://schemas.openxmlformats.org/officeDocument/2006/relationships" name="Popover" sheetId="44" state="visible" r:id="rId44"/>
    <sheet xmlns:r="http://schemas.openxmlformats.org/officeDocument/2006/relationships" name="Portal" sheetId="45" state="visible" r:id="rId45"/>
    <sheet xmlns:r="http://schemas.openxmlformats.org/officeDocument/2006/relationships" name="Pressable" sheetId="46" state="visible" r:id="rId46"/>
    <sheet xmlns:r="http://schemas.openxmlformats.org/officeDocument/2006/relationships" name="Progress" sheetId="47" state="visible" r:id="rId47"/>
    <sheet xmlns:r="http://schemas.openxmlformats.org/officeDocument/2006/relationships" name="RadioGroup" sheetId="48" state="visible" r:id="rId48"/>
    <sheet xmlns:r="http://schemas.openxmlformats.org/officeDocument/2006/relationships" name="Rating" sheetId="49" state="visible" r:id="rId49"/>
    <sheet xmlns:r="http://schemas.openxmlformats.org/officeDocument/2006/relationships" name="ScrollArea" sheetId="50" state="visible" r:id="rId50"/>
    <sheet xmlns:r="http://schemas.openxmlformats.org/officeDocument/2006/relationships" name="Select" sheetId="51" state="visible" r:id="rId51"/>
    <sheet xmlns:r="http://schemas.openxmlformats.org/officeDocument/2006/relationships" name="Sidebar" sheetId="52" state="visible" r:id="rId52"/>
    <sheet xmlns:r="http://schemas.openxmlformats.org/officeDocument/2006/relationships" name="SkipLink" sheetId="53" state="visible" r:id="rId53"/>
    <sheet xmlns:r="http://schemas.openxmlformats.org/officeDocument/2006/relationships" name="Slider" sheetId="54" state="visible" r:id="rId54"/>
    <sheet xmlns:r="http://schemas.openxmlformats.org/officeDocument/2006/relationships" name="SwipeableItem" sheetId="55" state="visible" r:id="rId55"/>
    <sheet xmlns:r="http://schemas.openxmlformats.org/officeDocument/2006/relationships" name="Switch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Tabs" sheetId="58" state="visible" r:id="rId58"/>
    <sheet xmlns:r="http://schemas.openxmlformats.org/officeDocument/2006/relationships" name="Textarea" sheetId="59" state="visible" r:id="rId59"/>
    <sheet xmlns:r="http://schemas.openxmlformats.org/officeDocument/2006/relationships" name="Toast" sheetId="60" state="visible" r:id="rId60"/>
    <sheet xmlns:r="http://schemas.openxmlformats.org/officeDocument/2006/relationships" name="Toggle" sheetId="61" state="visible" r:id="rId61"/>
    <sheet xmlns:r="http://schemas.openxmlformats.org/officeDocument/2006/relationships" name="ToggleGroup" sheetId="62" state="visible" r:id="rId62"/>
    <sheet xmlns:r="http://schemas.openxmlformats.org/officeDocument/2006/relationships" name="Toolbar" sheetId="63" state="visible" r:id="rId63"/>
    <sheet xmlns:r="http://schemas.openxmlformats.org/officeDocument/2006/relationships" name="Tooltip" sheetId="64" state="visible" r:id="rId64"/>
    <sheet xmlns:r="http://schemas.openxmlformats.org/officeDocument/2006/relationships" name="Tree" sheetId="65" state="visible" r:id="rId65"/>
    <sheet xmlns:r="http://schemas.openxmlformats.org/officeDocument/2006/relationships" name="TreeGrid" sheetId="66" state="visible" r:id="rId66"/>
    <sheet xmlns:r="http://schemas.openxmlformats.org/officeDocument/2006/relationships" name="Virtualizer" sheetId="67" state="visible" r:id="rId67"/>
    <sheet xmlns:r="http://schemas.openxmlformats.org/officeDocument/2006/relationships" name="VisuallyHidden" sheetId="68" state="visible" r:id="rId68"/>
    <sheet xmlns:r="http://schemas.openxmlformats.org/officeDocument/2006/relationships" name="Clipboard" sheetId="69" state="visible" r:id="rId69"/>
    <sheet xmlns:r="http://schemas.openxmlformats.org/officeDocument/2006/relationships" name="Image" sheetId="70" state="visible" r:id="rId70"/>
    <sheet xmlns:r="http://schemas.openxmlformats.org/officeDocument/2006/relationships" name="MultiSelect" sheetId="71" state="visible" r:id="rId71"/>
  </sheets>
  <definedNames>
    <definedName name="_xlnm._FilterDatabase" localSheetId="0" hidden="1">'Index'!$A$6:$I$75</definedName>
    <definedName name="_xlnm._FilterDatabase" localSheetId="1" hidden="1">'Mobile Readiness'!$A$8:$Y$86</definedName>
    <definedName name="_xlnm._FilterDatabase" localSheetId="31" hidden="1">'Link'!$A$8:$K$31</definedName>
    <definedName name="_xlnm._FilterDatabase" localSheetId="38" hidden="1">'NavigationMenu'!$A$8:$K$136</definedName>
    <definedName name="_xlnm._FilterDatabase" localSheetId="68" hidden="1">'Clipboard'!$A$8:$K$33</definedName>
    <definedName name="_xlnm._FilterDatabase" localSheetId="70" hidden="1">'MultiSelect'!$A$8:$K$70</definedName>
    <definedName name="_xlnm.Print_Area" localSheetId="70">'MultiSelect'!$A$1:$K$70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0.0"/>
  </numFmts>
  <fonts count="19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2937"/>
      <sz val="16"/>
    </font>
    <font>
      <name val="Calibri"/>
      <charset val="1"/>
      <family val="0"/>
      <color rgb="FF667085"/>
      <sz val="11"/>
    </font>
    <font>
      <name val="Calibri"/>
      <charset val="1"/>
      <family val="0"/>
      <b val="1"/>
      <color rgb="FF64748B"/>
      <sz val="11"/>
    </font>
    <font>
      <name val="Calibri"/>
      <charset val="1"/>
      <family val="0"/>
      <b val="1"/>
      <color rgb="FF111827"/>
      <sz val="11"/>
    </font>
    <font>
      <name val="Calibri"/>
      <charset val="1"/>
      <family val="0"/>
      <b val="1"/>
      <color rgb="FF1F2937"/>
      <sz val="11"/>
    </font>
    <font>
      <name val="Calibri"/>
      <charset val="1"/>
      <family val="0"/>
      <b val="1"/>
      <color rgb="FF9C0006"/>
      <sz val="11"/>
    </font>
    <font>
      <name val="Calibri"/>
      <charset val="1"/>
      <family val="0"/>
      <b val="1"/>
      <color rgb="FF006100"/>
      <sz val="11"/>
    </font>
    <font>
      <name val="Calibri"/>
      <charset val="1"/>
      <family val="0"/>
      <color rgb="FF006100"/>
      <sz val="11"/>
    </font>
    <font>
      <name val="Calibri"/>
      <charset val="1"/>
      <family val="0"/>
      <b val="1"/>
      <color rgb="FF111827"/>
      <sz val="16"/>
    </font>
    <font>
      <name val="Calibri"/>
      <charset val="1"/>
      <family val="0"/>
      <i val="1"/>
      <color rgb="FF475569"/>
      <sz val="11"/>
    </font>
    <font>
      <name val="Calibri"/>
      <charset val="1"/>
      <family val="0"/>
      <i val="1"/>
      <color rgb="FF64748B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1F2937"/>
      <sz val="11"/>
    </font>
    <font>
      <name val="Calibri"/>
      <charset val="1"/>
      <family val="0"/>
      <color rgb="FF64748B"/>
      <sz val="10"/>
    </font>
    <font>
      <name val="Calibri"/>
      <charset val="1"/>
      <family val="0"/>
      <i val="1"/>
      <color rgb="FF64748B"/>
      <sz val="9"/>
    </font>
  </fonts>
  <fills count="1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>
      <left/>
      <right/>
      <top/>
      <bottom/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center"/>
    </xf>
    <xf numFmtId="0" fontId="0" fillId="0" borderId="1" pivotButton="0" quotePrefix="0" xfId="0"/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general" vertical="top" wrapText="1"/>
    </xf>
    <xf numFmtId="0" fontId="16" fillId="2" borderId="4" applyAlignment="1" pivotButton="0" quotePrefix="0" xfId="0">
      <alignment horizontal="center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16" fillId="9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styles" Target="styles.xml" Id="rId72"/><Relationship Type="http://schemas.openxmlformats.org/officeDocument/2006/relationships/theme" Target="theme/theme1.xml" Id="rId73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5"/>
  <sheetViews>
    <sheetView showFormulas="0" showGridLines="0" showRowColHeaders="1" showZeros="1" rightToLeft="0" tabSelected="1" showOutlineSymbols="1" defaultGridColor="1" view="normal" topLeftCell="A1" colorId="64" zoomScale="229" zoomScaleNormal="229" zoomScalePageLayoutView="100" workbookViewId="0">
      <selection pane="topLeft" activeCell="E41" activeCellId="0" sqref="E41"/>
    </sheetView>
  </sheetViews>
  <sheetFormatPr baseColWidth="8" defaultColWidth="8.83203125" defaultRowHeight="13.5" customHeight="0" zeroHeight="0" outlineLevelRow="0"/>
  <cols>
    <col width="24" customWidth="1" style="118" min="1" max="1"/>
    <col width="12" customWidth="1" style="118" min="2" max="2"/>
    <col width="10" customWidth="1" style="118" min="3" max="6"/>
    <col width="12" customWidth="1" style="118" min="7" max="7"/>
    <col width="14" customWidth="1" style="118" min="8" max="8"/>
    <col width="10" customWidth="1" style="118" min="9" max="9"/>
  </cols>
  <sheetData>
    <row r="1" ht="22.5" customHeight="1" s="58">
      <c r="A1" s="59" t="inlineStr">
        <is>
          <t>Atom Playground Coverage Index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</row>
    <row r="2" ht="13.5" customHeight="1" s="58">
      <c r="A2" s="61" t="inlineStr">
        <is>
          <t>Formula-driven summary of component playground coverage. Component tabs are alphabetical; completion updates when each component table changes.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</row>
    <row r="3" ht="13.5" customHeight="1" s="58">
      <c r="A3" s="62" t="n"/>
      <c r="B3" s="62" t="n"/>
      <c r="C3" s="62" t="n"/>
      <c r="D3" s="62" t="n"/>
      <c r="E3" s="62" t="n"/>
      <c r="F3" s="62" t="n"/>
      <c r="G3" s="62" t="n"/>
      <c r="H3" s="62" t="n"/>
      <c r="I3" s="62" t="n"/>
    </row>
    <row r="4" ht="15" customHeight="1" s="58">
      <c r="A4" s="63" t="inlineStr">
        <is>
          <t>Components</t>
        </is>
      </c>
      <c r="B4" s="64">
        <f>COUNTA(A7:A500)</f>
        <v/>
      </c>
      <c r="C4" s="63" t="inlineStr">
        <is>
          <t>Overall</t>
        </is>
      </c>
      <c r="D4" s="65">
        <f>IFERROR(SUMPRODUCT(B7:B500,G7:G500)/SUM(B7:B500),0)</f>
        <v/>
      </c>
      <c r="E4" s="63" t="inlineStr">
        <is>
          <t>Done</t>
        </is>
      </c>
      <c r="F4" s="64">
        <f>COUNTIF(H7:H500,"Done")</f>
        <v/>
      </c>
      <c r="G4" s="66" t="inlineStr">
        <is>
          <t>Open</t>
        </is>
      </c>
      <c r="H4" s="67">
        <f>MAX(0,B4-F4)</f>
        <v/>
      </c>
      <c r="I4" s="62" t="n"/>
    </row>
    <row r="5" ht="13.5" customHeight="1" s="58">
      <c r="A5" s="62" t="n"/>
      <c r="B5" s="62" t="n"/>
      <c r="C5" s="62" t="n"/>
      <c r="D5" s="62" t="n"/>
      <c r="E5" s="62" t="n"/>
      <c r="F5" s="62" t="n"/>
      <c r="G5" s="62" t="n"/>
      <c r="H5" s="62" t="n"/>
      <c r="I5" s="62" t="n"/>
    </row>
    <row r="6" ht="15" customHeight="1" s="58">
      <c r="A6" s="68" t="inlineStr">
        <is>
          <t>Component</t>
        </is>
      </c>
      <c r="B6" s="68" t="inlineStr">
        <is>
          <t>Total Tests</t>
        </is>
      </c>
      <c r="C6" s="68" t="inlineStr">
        <is>
          <t>Covered</t>
        </is>
      </c>
      <c r="D6" s="68" t="inlineStr">
        <is>
          <t>Partial</t>
        </is>
      </c>
      <c r="E6" s="68" t="inlineStr">
        <is>
          <t>Missing</t>
        </is>
      </c>
      <c r="F6" s="68" t="inlineStr">
        <is>
          <t>Untested</t>
        </is>
      </c>
      <c r="G6" s="68" t="inlineStr">
        <is>
          <t>Completion</t>
        </is>
      </c>
      <c r="H6" s="68" t="inlineStr">
        <is>
          <t>Status</t>
        </is>
      </c>
      <c r="I6" s="68" t="inlineStr">
        <is>
          <t>Open</t>
        </is>
      </c>
    </row>
    <row r="7" ht="15" customHeight="1" s="58">
      <c r="A7" s="69" t="inlineStr">
        <is>
          <t>Accordion</t>
        </is>
      </c>
      <c r="B7" s="70">
        <f>COUNT('Accordion'!A9:A500)</f>
        <v/>
      </c>
      <c r="C7" s="70">
        <f>COUNTIF('Accordion'!H9:H500,"covered")</f>
        <v/>
      </c>
      <c r="D7" s="70">
        <f>COUNTIF('Accordion'!H9:H500,"partial")</f>
        <v/>
      </c>
      <c r="E7" s="70">
        <f>COUNTIF('Accordion'!H9:H500,"missing")</f>
        <v/>
      </c>
      <c r="F7" s="70">
        <f>COUNTIF('Accordion'!H9:H500,"untested")</f>
        <v/>
      </c>
      <c r="G7" s="71">
        <f>IFERROR(C7/B7,0)</f>
        <v/>
      </c>
      <c r="H7" s="72">
        <f>IF(AND(B7&gt;0,I7=0,G7=1),"Done","Open")</f>
        <v/>
      </c>
      <c r="I7" s="72">
        <f>MAX(0,B7-C7)</f>
        <v/>
      </c>
    </row>
    <row r="8" ht="15" customHeight="1" s="58">
      <c r="A8" s="69" t="inlineStr">
        <is>
          <t>AlertDialog</t>
        </is>
      </c>
      <c r="B8" s="70">
        <f>COUNT('AlertDialog'!A9:A500)</f>
        <v/>
      </c>
      <c r="C8" s="70">
        <f>COUNTIF('AlertDialog'!H9:H500,"covered")</f>
        <v/>
      </c>
      <c r="D8" s="70">
        <f>COUNTIF('AlertDialog'!H9:H500,"partial")</f>
        <v/>
      </c>
      <c r="E8" s="70">
        <f>COUNTIF('AlertDialog'!H9:H500,"missing")</f>
        <v/>
      </c>
      <c r="F8" s="70">
        <f>COUNTIF('AlertDialog'!H9:H500,"untested")</f>
        <v/>
      </c>
      <c r="G8" s="71">
        <f>IFERROR(C8/B8,0)</f>
        <v/>
      </c>
      <c r="H8" s="72">
        <f>IF(AND(B8&gt;0,I8=0,G8=1),"Done","Open")</f>
        <v/>
      </c>
      <c r="I8" s="72">
        <f>MAX(0,B8-C8)</f>
        <v/>
      </c>
    </row>
    <row r="9" ht="15" customHeight="1" s="58">
      <c r="A9" s="69" t="inlineStr">
        <is>
          <t>AppBar</t>
        </is>
      </c>
      <c r="B9" s="70">
        <f>COUNT('AppBar'!A9:A500)</f>
        <v/>
      </c>
      <c r="C9" s="70">
        <f>COUNTIF('AppBar'!H9:H500,"covered")</f>
        <v/>
      </c>
      <c r="D9" s="70">
        <f>COUNTIF('AppBar'!H9:H500,"partial")</f>
        <v/>
      </c>
      <c r="E9" s="70">
        <f>COUNTIF('AppBar'!H9:H500,"missing")</f>
        <v/>
      </c>
      <c r="F9" s="70">
        <f>COUNTIF('AppBar'!H9:H500,"untested")</f>
        <v/>
      </c>
      <c r="G9" s="71">
        <f>IFERROR(C9/B9,0)</f>
        <v/>
      </c>
      <c r="H9" s="72">
        <f>IF(AND(B9&gt;0,I9=0,G9=1),"Done","Open")</f>
        <v/>
      </c>
      <c r="I9" s="72">
        <f>MAX(0,B9-C9)</f>
        <v/>
      </c>
    </row>
    <row r="10" ht="15" customHeight="1" s="58">
      <c r="A10" s="69" t="inlineStr">
        <is>
          <t>AspectRatio</t>
        </is>
      </c>
      <c r="B10" s="70">
        <f>COUNT('AspectRatio'!A9:A500)</f>
        <v/>
      </c>
      <c r="C10" s="70">
        <f>COUNTIF('AspectRatio'!H9:H500,"covered")</f>
        <v/>
      </c>
      <c r="D10" s="70">
        <f>COUNTIF('AspectRatio'!H9:H500,"partial")</f>
        <v/>
      </c>
      <c r="E10" s="70">
        <f>COUNTIF('AspectRatio'!H9:H500,"missing")</f>
        <v/>
      </c>
      <c r="F10" s="70">
        <f>COUNTIF('AspectRatio'!H9:H500,"untested")</f>
        <v/>
      </c>
      <c r="G10" s="71">
        <f>IFERROR(C10/B10,0)</f>
        <v/>
      </c>
      <c r="H10" s="72">
        <f>IF(AND(B10&gt;0,I10=0,G10=1),"Done","Open")</f>
        <v/>
      </c>
      <c r="I10" s="72">
        <f>MAX(0,B10-C10)</f>
        <v/>
      </c>
    </row>
    <row r="11" ht="15" customHeight="1" s="58">
      <c r="A11" s="69" t="inlineStr">
        <is>
          <t>Avatar</t>
        </is>
      </c>
      <c r="B11" s="70">
        <f>COUNT('Avatar'!A9:A500)</f>
        <v/>
      </c>
      <c r="C11" s="70">
        <f>COUNTIF('Avatar'!H9:H500,"covered")</f>
        <v/>
      </c>
      <c r="D11" s="70">
        <f>COUNTIF('Avatar'!H9:H500,"partial")</f>
        <v/>
      </c>
      <c r="E11" s="70">
        <f>COUNTIF('Avatar'!H9:H500,"missing")</f>
        <v/>
      </c>
      <c r="F11" s="70">
        <f>COUNTIF('Avatar'!H9:H500,"untested")</f>
        <v/>
      </c>
      <c r="G11" s="71">
        <f>IFERROR(C11/B11,0)</f>
        <v/>
      </c>
      <c r="H11" s="72">
        <f>IF(AND(B11&gt;0,I11=0,G11=1),"Done","Open")</f>
        <v/>
      </c>
      <c r="I11" s="72">
        <f>MAX(0,B11-C11)</f>
        <v/>
      </c>
    </row>
    <row r="12" ht="15" customHeight="1" s="58">
      <c r="A12" s="69" t="inlineStr">
        <is>
          <t>Badge</t>
        </is>
      </c>
      <c r="B12" s="70">
        <f>COUNT('Badge'!A9:A500)</f>
        <v/>
      </c>
      <c r="C12" s="70">
        <f>COUNTIF('Badge'!H9:H500,"covered")</f>
        <v/>
      </c>
      <c r="D12" s="70">
        <f>COUNTIF('Badge'!H9:H500,"partial")</f>
        <v/>
      </c>
      <c r="E12" s="70">
        <f>COUNTIF('Badge'!H9:H500,"missing")</f>
        <v/>
      </c>
      <c r="F12" s="70">
        <f>COUNTIF('Badge'!H9:H500,"untested")</f>
        <v/>
      </c>
      <c r="G12" s="71">
        <f>IFERROR(C12/B12,0)</f>
        <v/>
      </c>
      <c r="H12" s="72">
        <f>IF(AND(B12&gt;0,I12=0,G12=1),"Done","Open")</f>
        <v/>
      </c>
      <c r="I12" s="72">
        <f>MAX(0,B12-C12)</f>
        <v/>
      </c>
    </row>
    <row r="13" ht="15" customHeight="1" s="58">
      <c r="A13" s="69" t="inlineStr">
        <is>
          <t>BottomNavigation</t>
        </is>
      </c>
      <c r="B13" s="70">
        <f>COUNT('BottomNavigation'!A9:A500)</f>
        <v/>
      </c>
      <c r="C13" s="70">
        <f>COUNTIF('BottomNavigation'!H9:H500,"covered")</f>
        <v/>
      </c>
      <c r="D13" s="70">
        <f>COUNTIF('BottomNavigation'!H9:H500,"partial")</f>
        <v/>
      </c>
      <c r="E13" s="70">
        <f>COUNTIF('BottomNavigation'!H9:H500,"missing")</f>
        <v/>
      </c>
      <c r="F13" s="70">
        <f>COUNTIF('BottomNavigation'!H9:H500,"untested")</f>
        <v/>
      </c>
      <c r="G13" s="71">
        <f>IFERROR(C13/B13,0)</f>
        <v/>
      </c>
      <c r="H13" s="72">
        <f>IF(AND(B13&gt;0,I13=0,G13=1),"Done","Open")</f>
        <v/>
      </c>
      <c r="I13" s="72">
        <f>MAX(0,B13-C13)</f>
        <v/>
      </c>
    </row>
    <row r="14" ht="15" customHeight="1" s="58">
      <c r="A14" s="69" t="inlineStr">
        <is>
          <t>Breadcrumb</t>
        </is>
      </c>
      <c r="B14" s="70">
        <f>COUNT('Breadcrumb'!A9:A500)</f>
        <v/>
      </c>
      <c r="C14" s="70">
        <f>COUNTIF('Breadcrumb'!H9:H500,"covered")</f>
        <v/>
      </c>
      <c r="D14" s="70">
        <f>COUNTIF('Breadcrumb'!H9:H500,"partial")</f>
        <v/>
      </c>
      <c r="E14" s="70">
        <f>COUNTIF('Breadcrumb'!H9:H500,"missing")</f>
        <v/>
      </c>
      <c r="F14" s="70">
        <f>COUNTIF('Breadcrumb'!H9:H500,"untested")</f>
        <v/>
      </c>
      <c r="G14" s="71">
        <f>IFERROR(C14/B14,0)</f>
        <v/>
      </c>
      <c r="H14" s="72">
        <f>IF(AND(B14&gt;0,I14=0,G14=1),"Done","Open")</f>
        <v/>
      </c>
      <c r="I14" s="72">
        <f>MAX(0,B14-C14)</f>
        <v/>
      </c>
    </row>
    <row r="15" ht="15" customHeight="1" s="58">
      <c r="A15" s="69" t="inlineStr">
        <is>
          <t>Button</t>
        </is>
      </c>
      <c r="B15" s="70">
        <f>COUNT('Button'!A9:A500)</f>
        <v/>
      </c>
      <c r="C15" s="70">
        <f>COUNTIF('Button'!H9:H500,"covered")</f>
        <v/>
      </c>
      <c r="D15" s="70">
        <f>COUNTIF('Button'!H9:H500,"partial")</f>
        <v/>
      </c>
      <c r="E15" s="70">
        <f>COUNTIF('Button'!H9:H500,"missing")</f>
        <v/>
      </c>
      <c r="F15" s="70">
        <f>COUNTIF('Button'!H9:H500,"untested")</f>
        <v/>
      </c>
      <c r="G15" s="71">
        <f>IFERROR(C15/B15,0)</f>
        <v/>
      </c>
      <c r="H15" s="72">
        <f>IF(AND(B15&gt;0,I15=0,G15=1),"Done","Open")</f>
        <v/>
      </c>
      <c r="I15" s="72">
        <f>MAX(0,B15-C15)</f>
        <v/>
      </c>
    </row>
    <row r="16" ht="15" customHeight="1" s="58">
      <c r="A16" s="69" t="inlineStr">
        <is>
          <t>Checkbox</t>
        </is>
      </c>
      <c r="B16" s="70">
        <f>COUNT('Checkbox'!A9:A500)</f>
        <v/>
      </c>
      <c r="C16" s="70">
        <f>COUNTIF('Checkbox'!H9:H500,"covered")</f>
        <v/>
      </c>
      <c r="D16" s="70">
        <f>COUNTIF('Checkbox'!H9:H500,"partial")</f>
        <v/>
      </c>
      <c r="E16" s="70">
        <f>COUNTIF('Checkbox'!H9:H500,"missing")</f>
        <v/>
      </c>
      <c r="F16" s="70">
        <f>COUNTIF('Checkbox'!H9:H500,"untested")</f>
        <v/>
      </c>
      <c r="G16" s="71">
        <f>IFERROR(C16/B16,0)</f>
        <v/>
      </c>
      <c r="H16" s="72">
        <f>IF(AND(B16&gt;0,I16=0,G16=1),"Done","Open")</f>
        <v/>
      </c>
      <c r="I16" s="72">
        <f>MAX(0,B16-C16)</f>
        <v/>
      </c>
    </row>
    <row r="17" ht="15" customHeight="1" s="58">
      <c r="A17" s="69" t="inlineStr">
        <is>
          <t>CheckboxGroup</t>
        </is>
      </c>
      <c r="B17" s="70">
        <f>COUNT('CheckboxGroup'!A9:A500)</f>
        <v/>
      </c>
      <c r="C17" s="70">
        <f>COUNTIF('CheckboxGroup'!H9:H500,"covered")</f>
        <v/>
      </c>
      <c r="D17" s="70">
        <f>COUNTIF('CheckboxGroup'!H9:H500,"partial")</f>
        <v/>
      </c>
      <c r="E17" s="70">
        <f>COUNTIF('CheckboxGroup'!H9:H500,"missing")</f>
        <v/>
      </c>
      <c r="F17" s="70">
        <f>COUNTIF('CheckboxGroup'!H9:H500,"untested")</f>
        <v/>
      </c>
      <c r="G17" s="71">
        <f>IFERROR(C17/B17,0)</f>
        <v/>
      </c>
      <c r="H17" s="72">
        <f>IF(AND(B17&gt;0,I17=0,G17=1),"Done","Open")</f>
        <v/>
      </c>
      <c r="I17" s="72">
        <f>MAX(0,B17-C17)</f>
        <v/>
      </c>
    </row>
    <row r="18" ht="15" customHeight="1" s="58">
      <c r="A18" s="69" t="inlineStr">
        <is>
          <t>Clipboard</t>
        </is>
      </c>
      <c r="B18" s="70">
        <f>COUNT('Clipboard'!A9:A500)</f>
        <v/>
      </c>
      <c r="C18" s="70">
        <f>COUNTIF('Clipboard'!H9:H500,"covered")</f>
        <v/>
      </c>
      <c r="D18" s="70">
        <f>COUNTIF('Clipboard'!H9:H500,"partial")</f>
        <v/>
      </c>
      <c r="E18" s="70">
        <f>COUNTIF('Clipboard'!H9:H500,"missing")</f>
        <v/>
      </c>
      <c r="F18" s="70">
        <f>COUNTIF('Clipboard'!H9:H500,"untested")</f>
        <v/>
      </c>
      <c r="G18" s="71">
        <f>IFERROR(C18/B18,0)</f>
        <v/>
      </c>
      <c r="H18" s="72">
        <f>IF(AND(B18&gt;0,I18=0,G18=1),"Done","Open")</f>
        <v/>
      </c>
      <c r="I18" s="72">
        <f>MAX(0,B18-C18)</f>
        <v/>
      </c>
    </row>
    <row r="19" ht="15" customHeight="1" s="58">
      <c r="A19" s="69" t="inlineStr">
        <is>
          <t>Collapsible</t>
        </is>
      </c>
      <c r="B19" s="70">
        <f>COUNT('Collapsible'!A9:A500)</f>
        <v/>
      </c>
      <c r="C19" s="70">
        <f>COUNTIF('Collapsible'!H9:H500,"covered")</f>
        <v/>
      </c>
      <c r="D19" s="70">
        <f>COUNTIF('Collapsible'!H9:H500,"partial")</f>
        <v/>
      </c>
      <c r="E19" s="70">
        <f>COUNTIF('Collapsible'!H9:H500,"missing")</f>
        <v/>
      </c>
      <c r="F19" s="70">
        <f>COUNTIF('Collapsible'!H9:H500,"untested")</f>
        <v/>
      </c>
      <c r="G19" s="71">
        <f>IFERROR(C19/B19,0)</f>
        <v/>
      </c>
      <c r="H19" s="72">
        <f>IF(AND(B19&gt;0,I19=0,G19=1),"Done","Open")</f>
        <v/>
      </c>
      <c r="I19" s="72">
        <f>MAX(0,B19-C19)</f>
        <v/>
      </c>
    </row>
    <row r="20" ht="15" customHeight="1" s="58">
      <c r="A20" s="69" t="inlineStr">
        <is>
          <t>Collection</t>
        </is>
      </c>
      <c r="B20" s="70">
        <f>COUNT('Collection'!A9:A500)</f>
        <v/>
      </c>
      <c r="C20" s="70">
        <f>COUNTIF('Collection'!H9:H500,"covered")</f>
        <v/>
      </c>
      <c r="D20" s="70">
        <f>COUNTIF('Collection'!H9:H500,"partial")</f>
        <v/>
      </c>
      <c r="E20" s="70">
        <f>COUNTIF('Collection'!H9:H500,"missing")</f>
        <v/>
      </c>
      <c r="F20" s="70">
        <f>COUNTIF('Collection'!H9:H500,"untested")</f>
        <v/>
      </c>
      <c r="G20" s="71">
        <f>IFERROR(C20/B20,0)</f>
        <v/>
      </c>
      <c r="H20" s="72">
        <f>IF(AND(B20&gt;0,I20=0,G20=1),"Done","Open")</f>
        <v/>
      </c>
      <c r="I20" s="72">
        <f>MAX(0,B20-C20)</f>
        <v/>
      </c>
    </row>
    <row r="21" ht="15" customHeight="1" s="58">
      <c r="A21" s="69" t="inlineStr">
        <is>
          <t>Combobox</t>
        </is>
      </c>
      <c r="B21" s="70">
        <f>COUNT('Combobox'!A9:A500)</f>
        <v/>
      </c>
      <c r="C21" s="70">
        <f>COUNTIF('Combobox'!H9:H500,"covered")</f>
        <v/>
      </c>
      <c r="D21" s="70">
        <f>COUNTIF('Combobox'!H9:H500,"partial")</f>
        <v/>
      </c>
      <c r="E21" s="70">
        <f>COUNTIF('Combobox'!H9:H500,"missing")</f>
        <v/>
      </c>
      <c r="F21" s="70">
        <f>COUNTIF('Combobox'!H9:H500,"untested")</f>
        <v/>
      </c>
      <c r="G21" s="71">
        <f>IFERROR(C21/B21,0)</f>
        <v/>
      </c>
      <c r="H21" s="72">
        <f>IF(AND(B21&gt;0,I21=0,G21=1),"Done","Open")</f>
        <v/>
      </c>
      <c r="I21" s="72">
        <f>MAX(0,B21-C21)</f>
        <v/>
      </c>
    </row>
    <row r="22" ht="15" customHeight="1" s="58">
      <c r="A22" s="69" t="inlineStr">
        <is>
          <t>ContextMenu</t>
        </is>
      </c>
      <c r="B22" s="70">
        <f>COUNT('ContextMenu'!A9:A500)</f>
        <v/>
      </c>
      <c r="C22" s="70">
        <f>COUNTIF('ContextMenu'!H9:H500,"covered")</f>
        <v/>
      </c>
      <c r="D22" s="70">
        <f>COUNTIF('ContextMenu'!H9:H500,"partial")</f>
        <v/>
      </c>
      <c r="E22" s="70">
        <f>COUNTIF('ContextMenu'!H9:H500,"missing")</f>
        <v/>
      </c>
      <c r="F22" s="70">
        <f>COUNTIF('ContextMenu'!H9:H500,"untested")</f>
        <v/>
      </c>
      <c r="G22" s="71">
        <f>IFERROR(C22/B22,0)</f>
        <v/>
      </c>
      <c r="H22" s="72">
        <f>IF(AND(B22&gt;0,I22=0,G22=1),"Done","Open")</f>
        <v/>
      </c>
      <c r="I22" s="72">
        <f>MAX(0,B22-C22)</f>
        <v/>
      </c>
    </row>
    <row r="23" ht="15" customHeight="1" s="58">
      <c r="A23" s="69" t="inlineStr">
        <is>
          <t>DataGrid</t>
        </is>
      </c>
      <c r="B23" s="70">
        <f>COUNT('DataGrid'!A9:A500)</f>
        <v/>
      </c>
      <c r="C23" s="70">
        <f>COUNTIF('DataGrid'!H9:H500,"covered")</f>
        <v/>
      </c>
      <c r="D23" s="70">
        <f>COUNTIF('DataGrid'!H9:H500,"partial")</f>
        <v/>
      </c>
      <c r="E23" s="70">
        <f>COUNTIF('DataGrid'!H9:H500,"missing")</f>
        <v/>
      </c>
      <c r="F23" s="70">
        <f>COUNTIF('DataGrid'!H9:H500,"untested")</f>
        <v/>
      </c>
      <c r="G23" s="71">
        <f>IFERROR(C23/B23,0)</f>
        <v/>
      </c>
      <c r="H23" s="72">
        <f>IF(AND(B23&gt;0,I23=0,G23=1),"Done","Open")</f>
        <v/>
      </c>
      <c r="I23" s="72">
        <f>MAX(0,B23-C23)</f>
        <v/>
      </c>
    </row>
    <row r="24" ht="15" customHeight="1" s="58">
      <c r="A24" s="69" t="inlineStr">
        <is>
          <t>Dialog</t>
        </is>
      </c>
      <c r="B24" s="70">
        <f>COUNT('Dialog'!A9:A500)</f>
        <v/>
      </c>
      <c r="C24" s="70">
        <f>COUNTIF('Dialog'!H9:H500,"covered")</f>
        <v/>
      </c>
      <c r="D24" s="70">
        <f>COUNTIF('Dialog'!H9:H500,"partial")</f>
        <v/>
      </c>
      <c r="E24" s="70">
        <f>COUNTIF('Dialog'!H9:H500,"missing")</f>
        <v/>
      </c>
      <c r="F24" s="70">
        <f>COUNTIF('Dialog'!H9:H500,"untested")</f>
        <v/>
      </c>
      <c r="G24" s="71">
        <f>IFERROR(C24/B24,0)</f>
        <v/>
      </c>
      <c r="H24" s="72">
        <f>IF(AND(B24&gt;0,I24=0,G24=1),"Done","Open")</f>
        <v/>
      </c>
      <c r="I24" s="72">
        <f>MAX(0,B24-C24)</f>
        <v/>
      </c>
    </row>
    <row r="25" ht="15" customHeight="1" s="58">
      <c r="A25" s="69" t="inlineStr">
        <is>
          <t>Direction</t>
        </is>
      </c>
      <c r="B25" s="70">
        <f>COUNT('Direction'!A9:A500)</f>
        <v/>
      </c>
      <c r="C25" s="70">
        <f>COUNTIF('Direction'!H9:H500,"covered")</f>
        <v/>
      </c>
      <c r="D25" s="70">
        <f>COUNTIF('Direction'!H9:H500,"partial")</f>
        <v/>
      </c>
      <c r="E25" s="70">
        <f>COUNTIF('Direction'!H9:H500,"missing")</f>
        <v/>
      </c>
      <c r="F25" s="70">
        <f>COUNTIF('Direction'!H9:H500,"untested")</f>
        <v/>
      </c>
      <c r="G25" s="71">
        <f>IFERROR(C25/B25,0)</f>
        <v/>
      </c>
      <c r="H25" s="72">
        <f>IF(AND(B25&gt;0,I25=0,G25=1),"Done","Open")</f>
        <v/>
      </c>
      <c r="I25" s="72">
        <f>MAX(0,B25-C25)</f>
        <v/>
      </c>
    </row>
    <row r="26" ht="15" customHeight="1" s="58">
      <c r="A26" s="69" t="inlineStr">
        <is>
          <t>Divider</t>
        </is>
      </c>
      <c r="B26" s="70">
        <f>COUNT('Divider'!A9:A500)</f>
        <v/>
      </c>
      <c r="C26" s="70">
        <f>COUNTIF('Divider'!H9:H500,"covered")</f>
        <v/>
      </c>
      <c r="D26" s="70">
        <f>COUNTIF('Divider'!H9:H500,"partial")</f>
        <v/>
      </c>
      <c r="E26" s="70">
        <f>COUNTIF('Divider'!H9:H500,"missing")</f>
        <v/>
      </c>
      <c r="F26" s="70">
        <f>COUNTIF('Divider'!H9:H500,"untested")</f>
        <v/>
      </c>
      <c r="G26" s="71">
        <f>IFERROR(C26/B26,0)</f>
        <v/>
      </c>
      <c r="H26" s="72">
        <f>IF(AND(B26&gt;0,I26=0,G26=1),"Done","Open")</f>
        <v/>
      </c>
      <c r="I26" s="72">
        <f>MAX(0,B26-C26)</f>
        <v/>
      </c>
    </row>
    <row r="27" ht="15" customHeight="1" s="58">
      <c r="A27" s="69" t="inlineStr">
        <is>
          <t>Drawer</t>
        </is>
      </c>
      <c r="B27" s="70">
        <f>COUNT('Drawer'!A9:A500)</f>
        <v/>
      </c>
      <c r="C27" s="70">
        <f>COUNTIF('Drawer'!H9:H500,"covered")</f>
        <v/>
      </c>
      <c r="D27" s="70">
        <f>COUNTIF('Drawer'!H9:H500,"partial")</f>
        <v/>
      </c>
      <c r="E27" s="70">
        <f>COUNTIF('Drawer'!H9:H500,"missing")</f>
        <v/>
      </c>
      <c r="F27" s="70">
        <f>COUNTIF('Drawer'!H9:H500,"untested")</f>
        <v/>
      </c>
      <c r="G27" s="71">
        <f>IFERROR(C27/B27,0)</f>
        <v/>
      </c>
      <c r="H27" s="72">
        <f>IF(AND(B27&gt;0,I27=0,G27=1),"Done","Open")</f>
        <v/>
      </c>
      <c r="I27" s="72">
        <f>MAX(0,B27-C27)</f>
        <v/>
      </c>
    </row>
    <row r="28" ht="15" customHeight="1" s="58">
      <c r="A28" s="69" t="inlineStr">
        <is>
          <t>DropdownMenu</t>
        </is>
      </c>
      <c r="B28" s="70">
        <f>COUNT('DropdownMenu'!A9:A500)</f>
        <v/>
      </c>
      <c r="C28" s="70">
        <f>COUNTIF('DropdownMenu'!H9:H500,"covered")</f>
        <v/>
      </c>
      <c r="D28" s="70">
        <f>COUNTIF('DropdownMenu'!H9:H500,"partial")</f>
        <v/>
      </c>
      <c r="E28" s="70">
        <f>COUNTIF('DropdownMenu'!H9:H500,"missing")</f>
        <v/>
      </c>
      <c r="F28" s="70">
        <f>COUNTIF('DropdownMenu'!H9:H500,"untested")</f>
        <v/>
      </c>
      <c r="G28" s="71">
        <f>IFERROR(C28/B28,0)</f>
        <v/>
      </c>
      <c r="H28" s="72">
        <f>IF(AND(B28&gt;0,I28=0,G28=1),"Done","Open")</f>
        <v/>
      </c>
      <c r="I28" s="72">
        <f>MAX(0,B28-C28)</f>
        <v/>
      </c>
    </row>
    <row r="29" ht="15" customHeight="1" s="58">
      <c r="A29" s="69" t="inlineStr">
        <is>
          <t>Feed</t>
        </is>
      </c>
      <c r="B29" s="70">
        <f>COUNT('Feed'!A9:A500)</f>
        <v/>
      </c>
      <c r="C29" s="70">
        <f>COUNTIF('Feed'!H9:H500,"covered")</f>
        <v/>
      </c>
      <c r="D29" s="70">
        <f>COUNTIF('Feed'!H9:H500,"partial")</f>
        <v/>
      </c>
      <c r="E29" s="70">
        <f>COUNTIF('Feed'!H9:H500,"missing")</f>
        <v/>
      </c>
      <c r="F29" s="70">
        <f>COUNTIF('Feed'!H9:H500,"untested")</f>
        <v/>
      </c>
      <c r="G29" s="71">
        <f>IFERROR(C29/B29,0)</f>
        <v/>
      </c>
      <c r="H29" s="72">
        <f>IF(AND(B29&gt;0,I29=0,G29=1),"Done","Open")</f>
        <v/>
      </c>
      <c r="I29" s="72">
        <f>MAX(0,B29-C29)</f>
        <v/>
      </c>
    </row>
    <row r="30" ht="15" customHeight="1" s="58">
      <c r="A30" s="69" t="inlineStr">
        <is>
          <t>Field</t>
        </is>
      </c>
      <c r="B30" s="70">
        <f>COUNT('Field'!A9:A500)</f>
        <v/>
      </c>
      <c r="C30" s="70">
        <f>COUNTIF('Field'!H9:H500,"covered")</f>
        <v/>
      </c>
      <c r="D30" s="70">
        <f>COUNTIF('Field'!H9:H500,"partial")</f>
        <v/>
      </c>
      <c r="E30" s="70">
        <f>COUNTIF('Field'!H9:H500,"missing")</f>
        <v/>
      </c>
      <c r="F30" s="70">
        <f>COUNTIF('Field'!H9:H500,"untested")</f>
        <v/>
      </c>
      <c r="G30" s="71">
        <f>IFERROR(C30/B30,0)</f>
        <v/>
      </c>
      <c r="H30" s="72">
        <f>IF(AND(B30&gt;0,I30=0,G30=1),"Done","Open")</f>
        <v/>
      </c>
      <c r="I30" s="72">
        <f>MAX(0,B30-C30)</f>
        <v/>
      </c>
    </row>
    <row r="31" ht="15" customHeight="1" s="58">
      <c r="A31" s="69" t="inlineStr">
        <is>
          <t>Fieldset</t>
        </is>
      </c>
      <c r="B31" s="70">
        <f>COUNT('Fieldset'!A9:A500)</f>
        <v/>
      </c>
      <c r="C31" s="70">
        <f>COUNTIF('Fieldset'!H9:H500,"covered")</f>
        <v/>
      </c>
      <c r="D31" s="70">
        <f>COUNTIF('Fieldset'!H9:H500,"partial")</f>
        <v/>
      </c>
      <c r="E31" s="70">
        <f>COUNTIF('Fieldset'!H9:H500,"missing")</f>
        <v/>
      </c>
      <c r="F31" s="70">
        <f>COUNTIF('Fieldset'!H9:H500,"untested")</f>
        <v/>
      </c>
      <c r="G31" s="71">
        <f>IFERROR(C31/B31,0)</f>
        <v/>
      </c>
      <c r="H31" s="72">
        <f>IF(AND(B31&gt;0,I31=0,G31=1),"Done","Open")</f>
        <v/>
      </c>
      <c r="I31" s="72">
        <f>MAX(0,B31-C31)</f>
        <v/>
      </c>
    </row>
    <row r="32" ht="15" customHeight="1" s="58">
      <c r="A32" s="69" t="inlineStr">
        <is>
          <t>FileUpload</t>
        </is>
      </c>
      <c r="B32" s="70">
        <f>COUNT('FileUpload'!A9:A500)</f>
        <v/>
      </c>
      <c r="C32" s="70">
        <f>COUNTIF('FileUpload'!H9:H500,"covered")</f>
        <v/>
      </c>
      <c r="D32" s="70">
        <f>COUNTIF('FileUpload'!H9:H500,"partial")</f>
        <v/>
      </c>
      <c r="E32" s="70">
        <f>COUNTIF('FileUpload'!H9:H500,"missing")</f>
        <v/>
      </c>
      <c r="F32" s="70">
        <f>COUNTIF('FileUpload'!H9:H500,"untested")</f>
        <v/>
      </c>
      <c r="G32" s="71">
        <f>IFERROR(C32/B32,0)</f>
        <v/>
      </c>
      <c r="H32" s="72">
        <f>IF(AND(B32&gt;0,I32=0,G32=1),"Done","Open")</f>
        <v/>
      </c>
      <c r="I32" s="72">
        <f>MAX(0,B32-C32)</f>
        <v/>
      </c>
    </row>
    <row r="33" ht="15" customHeight="1" s="58">
      <c r="A33" s="69" t="inlineStr">
        <is>
          <t>Form</t>
        </is>
      </c>
      <c r="B33" s="70">
        <f>COUNT('Form'!A9:A500)</f>
        <v/>
      </c>
      <c r="C33" s="70">
        <f>COUNTIF('Form'!H9:H500,"covered")</f>
        <v/>
      </c>
      <c r="D33" s="70">
        <f>COUNTIF('Form'!H9:H500,"partial")</f>
        <v/>
      </c>
      <c r="E33" s="70">
        <f>COUNTIF('Form'!H9:H500,"missing")</f>
        <v/>
      </c>
      <c r="F33" s="70">
        <f>COUNTIF('Form'!H9:H500,"untested")</f>
        <v/>
      </c>
      <c r="G33" s="71">
        <f>IFERROR(C33/B33,0)</f>
        <v/>
      </c>
      <c r="H33" s="72">
        <f>IF(AND(B33&gt;0,I33=0,G33=1),"Done","Open")</f>
        <v/>
      </c>
      <c r="I33" s="72">
        <f>MAX(0,B33-C33)</f>
        <v/>
      </c>
    </row>
    <row r="34" ht="15" customHeight="1" s="58">
      <c r="A34" s="69" t="inlineStr">
        <is>
          <t>HoverCard</t>
        </is>
      </c>
      <c r="B34" s="70">
        <f>COUNT('HoverCard'!A9:A500)</f>
        <v/>
      </c>
      <c r="C34" s="70">
        <f>COUNTIF('HoverCard'!H9:H500,"covered")</f>
        <v/>
      </c>
      <c r="D34" s="70">
        <f>COUNTIF('HoverCard'!H9:H500,"partial")</f>
        <v/>
      </c>
      <c r="E34" s="70">
        <f>COUNTIF('HoverCard'!H9:H500,"missing")</f>
        <v/>
      </c>
      <c r="F34" s="70">
        <f>COUNTIF('HoverCard'!H9:H500,"untested")</f>
        <v/>
      </c>
      <c r="G34" s="71">
        <f>IFERROR(C34/B34,0)</f>
        <v/>
      </c>
      <c r="H34" s="72">
        <f>IF(AND(B34&gt;0,I34=0,G34=1),"Done","Open")</f>
        <v/>
      </c>
      <c r="I34" s="72">
        <f>MAX(0,B34-C34)</f>
        <v/>
      </c>
    </row>
    <row r="35" ht="15" customHeight="1" s="58">
      <c r="A35" s="69" t="inlineStr">
        <is>
          <t>Image</t>
        </is>
      </c>
      <c r="B35" s="70">
        <f>COUNT('Image'!A9:A500)</f>
        <v/>
      </c>
      <c r="C35" s="70">
        <f>COUNTIF('Image'!H9:H500,"covered")</f>
        <v/>
      </c>
      <c r="D35" s="70">
        <f>COUNTIF('Image'!H9:H500,"partial")</f>
        <v/>
      </c>
      <c r="E35" s="70">
        <f>COUNTIF('Image'!H9:H500,"missing")</f>
        <v/>
      </c>
      <c r="F35" s="70">
        <f>COUNTIF('Image'!H9:H500,"untested")</f>
        <v/>
      </c>
      <c r="G35" s="71">
        <f>IFERROR(C35/B35,0)</f>
        <v/>
      </c>
      <c r="H35" s="72">
        <f>IF(AND(B35&gt;0,I35=0,G35=1),"Done","Open")</f>
        <v/>
      </c>
      <c r="I35" s="72">
        <f>MAX(0,B35-C35)</f>
        <v/>
      </c>
    </row>
    <row r="36" ht="15" customHeight="1" s="58">
      <c r="A36" s="69" t="inlineStr">
        <is>
          <t>Input</t>
        </is>
      </c>
      <c r="B36" s="70">
        <f>COUNT('Input'!A9:A500)</f>
        <v/>
      </c>
      <c r="C36" s="70">
        <f>COUNTIF('Input'!H9:H500,"covered")</f>
        <v/>
      </c>
      <c r="D36" s="70">
        <f>COUNTIF('Input'!H9:H500,"partial")</f>
        <v/>
      </c>
      <c r="E36" s="70">
        <f>COUNTIF('Input'!H9:H500,"missing")</f>
        <v/>
      </c>
      <c r="F36" s="70">
        <f>COUNTIF('Input'!H9:H500,"untested")</f>
        <v/>
      </c>
      <c r="G36" s="71">
        <f>IFERROR(C36/B36,0)</f>
        <v/>
      </c>
      <c r="H36" s="72">
        <f>IF(AND(B36&gt;0,I36=0,G36=1),"Done","Open")</f>
        <v/>
      </c>
      <c r="I36" s="72">
        <f>MAX(0,B36-C36)</f>
        <v/>
      </c>
    </row>
    <row r="37" ht="15" customHeight="1" s="58">
      <c r="A37" s="69" t="inlineStr">
        <is>
          <t>Label</t>
        </is>
      </c>
      <c r="B37" s="70">
        <f>COUNT('Label'!A9:A500)</f>
        <v/>
      </c>
      <c r="C37" s="70">
        <f>COUNTIF('Label'!H9:H500,"covered")</f>
        <v/>
      </c>
      <c r="D37" s="70">
        <f>COUNTIF('Label'!H9:H500,"partial")</f>
        <v/>
      </c>
      <c r="E37" s="70">
        <f>COUNTIF('Label'!H9:H500,"missing")</f>
        <v/>
      </c>
      <c r="F37" s="70">
        <f>COUNTIF('Label'!H9:H500,"untested")</f>
        <v/>
      </c>
      <c r="G37" s="71">
        <f>IFERROR(C37/B37,0)</f>
        <v/>
      </c>
      <c r="H37" s="72">
        <f>IF(AND(B37&gt;0,I37=0,G37=1),"Done","Open")</f>
        <v/>
      </c>
      <c r="I37" s="72">
        <f>MAX(0,B37-C37)</f>
        <v/>
      </c>
    </row>
    <row r="38" ht="15" customHeight="1" s="58">
      <c r="A38" s="69" t="inlineStr">
        <is>
          <t>Link</t>
        </is>
      </c>
      <c r="B38" s="70">
        <f>COUNT('Link'!A9:A500)</f>
        <v/>
      </c>
      <c r="C38" s="70">
        <f>COUNTIF('Link'!H9:H500,"covered")</f>
        <v/>
      </c>
      <c r="D38" s="70">
        <f>COUNTIF('Link'!H9:H500,"partial")</f>
        <v/>
      </c>
      <c r="E38" s="70">
        <f>COUNTIF('Link'!H9:H500,"missing")</f>
        <v/>
      </c>
      <c r="F38" s="70">
        <f>COUNTIF('Link'!H9:H500,"untested")</f>
        <v/>
      </c>
      <c r="G38" s="71">
        <f>IFERROR(C38/B38,0)</f>
        <v/>
      </c>
      <c r="H38" s="72">
        <f>IF(AND(B38&gt;0,I38=0,G38=1),"Done","Open")</f>
        <v/>
      </c>
      <c r="I38" s="72">
        <f>MAX(0,B38-C38)</f>
        <v/>
      </c>
    </row>
    <row r="39" ht="15" customHeight="1" s="58">
      <c r="A39" s="69" t="inlineStr">
        <is>
          <t>List</t>
        </is>
      </c>
      <c r="B39" s="70">
        <f>COUNT('List'!A9:A500)</f>
        <v/>
      </c>
      <c r="C39" s="70">
        <f>COUNTIF('List'!H9:H500,"covered")</f>
        <v/>
      </c>
      <c r="D39" s="70">
        <f>COUNTIF('List'!H9:H500,"partial")</f>
        <v/>
      </c>
      <c r="E39" s="70">
        <f>COUNTIF('List'!H9:H500,"missing")</f>
        <v/>
      </c>
      <c r="F39" s="70">
        <f>COUNTIF('List'!H9:H500,"untested")</f>
        <v/>
      </c>
      <c r="G39" s="71">
        <f>IFERROR(C39/B39,0)</f>
        <v/>
      </c>
      <c r="H39" s="72">
        <f>IF(AND(B39&gt;0,I39=0,G39=1),"Done","Open")</f>
        <v/>
      </c>
      <c r="I39" s="72">
        <f>MAX(0,B39-C39)</f>
        <v/>
      </c>
    </row>
    <row r="40" ht="15" customHeight="1" s="58">
      <c r="A40" s="69" t="inlineStr">
        <is>
          <t>Listbox</t>
        </is>
      </c>
      <c r="B40" s="70">
        <f>COUNT('Listbox'!A9:A500)</f>
        <v/>
      </c>
      <c r="C40" s="70">
        <f>COUNTIF('Listbox'!H9:H500,"covered")</f>
        <v/>
      </c>
      <c r="D40" s="70">
        <f>COUNTIF('Listbox'!H9:H500,"partial")</f>
        <v/>
      </c>
      <c r="E40" s="70">
        <f>COUNTIF('Listbox'!H9:H500,"missing")</f>
        <v/>
      </c>
      <c r="F40" s="70">
        <f>COUNTIF('Listbox'!H9:H500,"untested")</f>
        <v/>
      </c>
      <c r="G40" s="71">
        <f>IFERROR(C40/B40,0)</f>
        <v/>
      </c>
      <c r="H40" s="72">
        <f>IF(AND(B40&gt;0,I40=0,G40=1),"Done","Open")</f>
        <v/>
      </c>
      <c r="I40" s="72">
        <f>MAX(0,B40-C40)</f>
        <v/>
      </c>
    </row>
    <row r="41" ht="15" customHeight="1" s="58">
      <c r="A41" s="69" t="inlineStr">
        <is>
          <t>Menu</t>
        </is>
      </c>
      <c r="B41" s="70">
        <f>COUNT('Menu'!A9:A500)</f>
        <v/>
      </c>
      <c r="C41" s="70">
        <f>COUNTIF('Menu'!H9:H500,"covered")</f>
        <v/>
      </c>
      <c r="D41" s="70">
        <f>COUNTIF('Menu'!H9:H500,"partial")</f>
        <v/>
      </c>
      <c r="E41" s="70">
        <f>COUNTIF('Menu'!H9:H500,"missing")</f>
        <v/>
      </c>
      <c r="F41" s="70">
        <f>COUNTIF('Menu'!H9:H500,"untested")</f>
        <v/>
      </c>
      <c r="G41" s="71">
        <f>IFERROR(C41/B41,0)</f>
        <v/>
      </c>
      <c r="H41" s="72">
        <f>IF(AND(B41&gt;0,I41=0,G41=1),"Done","Open")</f>
        <v/>
      </c>
      <c r="I41" s="72">
        <f>MAX(0,B41-C41)</f>
        <v/>
      </c>
    </row>
    <row r="42" ht="15" customHeight="1" s="58">
      <c r="A42" s="69" t="inlineStr">
        <is>
          <t>Menubar</t>
        </is>
      </c>
      <c r="B42" s="70">
        <f>COUNT('Menubar'!A9:A500)</f>
        <v/>
      </c>
      <c r="C42" s="70">
        <f>COUNTIF('Menubar'!H9:H500,"covered")</f>
        <v/>
      </c>
      <c r="D42" s="70">
        <f>COUNTIF('Menubar'!H9:H500,"partial")</f>
        <v/>
      </c>
      <c r="E42" s="70">
        <f>COUNTIF('Menubar'!H9:H500,"missing")</f>
        <v/>
      </c>
      <c r="F42" s="70">
        <f>COUNTIF('Menubar'!H9:H500,"untested")</f>
        <v/>
      </c>
      <c r="G42" s="71">
        <f>IFERROR(C42/B42,0)</f>
        <v/>
      </c>
      <c r="H42" s="72">
        <f>IF(AND(B42&gt;0,I42=0,G42=1),"Done","Open")</f>
        <v/>
      </c>
      <c r="I42" s="72">
        <f>MAX(0,B42-C42)</f>
        <v/>
      </c>
    </row>
    <row r="43" ht="15" customHeight="1" s="58">
      <c r="A43" s="69" t="inlineStr">
        <is>
          <t>Modal</t>
        </is>
      </c>
      <c r="B43" s="70">
        <f>COUNT('Modal'!A9:A500)</f>
        <v/>
      </c>
      <c r="C43" s="70">
        <f>COUNTIF('Modal'!H9:H500,"covered")</f>
        <v/>
      </c>
      <c r="D43" s="70">
        <f>COUNTIF('Modal'!H9:H500,"partial")</f>
        <v/>
      </c>
      <c r="E43" s="70">
        <f>COUNTIF('Modal'!H9:H500,"missing")</f>
        <v/>
      </c>
      <c r="F43" s="70">
        <f>COUNTIF('Modal'!H9:H500,"untested")</f>
        <v/>
      </c>
      <c r="G43" s="71">
        <f>IFERROR(C43/B43,0)</f>
        <v/>
      </c>
      <c r="H43" s="72">
        <f>IF(AND(B43&gt;0,I43=0,G43=1),"Done","Open")</f>
        <v/>
      </c>
      <c r="I43" s="72">
        <f>MAX(0,B43-C43)</f>
        <v/>
      </c>
    </row>
    <row r="44" ht="15" customHeight="1" s="58">
      <c r="A44" s="69" t="inlineStr">
        <is>
          <t>MultiSelect</t>
        </is>
      </c>
      <c r="B44" s="70">
        <f>COUNT('MultiSelect'!A9:A500)</f>
        <v/>
      </c>
      <c r="C44" s="70">
        <f>COUNTIF('MultiSelect'!H9:H500,"covered")</f>
        <v/>
      </c>
      <c r="D44" s="70">
        <f>COUNTIF('MultiSelect'!H9:H500,"partial")</f>
        <v/>
      </c>
      <c r="E44" s="70">
        <f>COUNTIF('MultiSelect'!H9:H500,"missing")</f>
        <v/>
      </c>
      <c r="F44" s="70">
        <f>COUNTIF('MultiSelect'!H9:H500,"untested")</f>
        <v/>
      </c>
      <c r="G44" s="71">
        <f>IFERROR(C44/B44,0)</f>
        <v/>
      </c>
      <c r="H44" s="72">
        <f>IF(AND(B44&gt;0,I44=0,G44=1),"Done","Open")</f>
        <v/>
      </c>
      <c r="I44" s="72">
        <f>MAX(0,B44-C44)</f>
        <v/>
      </c>
    </row>
    <row r="45" ht="15" customHeight="1" s="58">
      <c r="A45" s="69" t="inlineStr">
        <is>
          <t>NavigationMenu</t>
        </is>
      </c>
      <c r="B45" s="70">
        <f>COUNT('NavigationMenu'!A9:A500)</f>
        <v/>
      </c>
      <c r="C45" s="70">
        <f>COUNTIF('NavigationMenu'!H9:H500,"covered")</f>
        <v/>
      </c>
      <c r="D45" s="70">
        <f>COUNTIF('NavigationMenu'!H9:H500,"partial")</f>
        <v/>
      </c>
      <c r="E45" s="70">
        <f>COUNTIF('NavigationMenu'!H9:H500,"missing")</f>
        <v/>
      </c>
      <c r="F45" s="70">
        <f>COUNTIF('NavigationMenu'!H9:H500,"untested")</f>
        <v/>
      </c>
      <c r="G45" s="71">
        <f>IFERROR(C45/B45,0)</f>
        <v/>
      </c>
      <c r="H45" s="72">
        <f>IF(AND(B45&gt;0,I45=0,G45=1),"Done","Open")</f>
        <v/>
      </c>
      <c r="I45" s="72">
        <f>MAX(0,B45-C45)</f>
        <v/>
      </c>
    </row>
    <row r="46" ht="15" customHeight="1" s="58">
      <c r="A46" s="69" t="inlineStr">
        <is>
          <t>NavList</t>
        </is>
      </c>
      <c r="B46" s="70">
        <f>COUNT('NavList'!A9:A500)</f>
        <v/>
      </c>
      <c r="C46" s="70">
        <f>COUNTIF('NavList'!H9:H500,"covered")</f>
        <v/>
      </c>
      <c r="D46" s="70">
        <f>COUNTIF('NavList'!H9:H500,"partial")</f>
        <v/>
      </c>
      <c r="E46" s="70">
        <f>COUNTIF('NavList'!H9:H500,"missing")</f>
        <v/>
      </c>
      <c r="F46" s="70">
        <f>COUNTIF('NavList'!H9:H500,"untested")</f>
        <v/>
      </c>
      <c r="G46" s="71">
        <f>IFERROR(C46/B46,0)</f>
        <v/>
      </c>
      <c r="H46" s="72">
        <f>IF(AND(B46&gt;0,I46=0,G46=1),"Done","Open")</f>
        <v/>
      </c>
      <c r="I46" s="72">
        <f>MAX(0,B46-C46)</f>
        <v/>
      </c>
    </row>
    <row r="47" ht="15" customHeight="1" s="58">
      <c r="A47" s="69" t="inlineStr">
        <is>
          <t>NumberInput</t>
        </is>
      </c>
      <c r="B47" s="70">
        <f>COUNT('NumberInput'!A9:A500)</f>
        <v/>
      </c>
      <c r="C47" s="70">
        <f>COUNTIF('NumberInput'!H9:H500,"covered")</f>
        <v/>
      </c>
      <c r="D47" s="70">
        <f>COUNTIF('NumberInput'!H9:H500,"partial")</f>
        <v/>
      </c>
      <c r="E47" s="70">
        <f>COUNTIF('NumberInput'!H9:H500,"missing")</f>
        <v/>
      </c>
      <c r="F47" s="70">
        <f>COUNTIF('NumberInput'!H9:H500,"untested")</f>
        <v/>
      </c>
      <c r="G47" s="71">
        <f>IFERROR(C47/B47,0)</f>
        <v/>
      </c>
      <c r="H47" s="72">
        <f>IF(AND(B47&gt;0,I47=0,G47=1),"Done","Open")</f>
        <v/>
      </c>
      <c r="I47" s="72">
        <f>MAX(0,B47-C47)</f>
        <v/>
      </c>
    </row>
    <row r="48" ht="15" customHeight="1" s="58">
      <c r="A48" s="69" t="inlineStr">
        <is>
          <t>OTPField</t>
        </is>
      </c>
      <c r="B48" s="70">
        <f>COUNT('OTPField'!A9:A500)</f>
        <v/>
      </c>
      <c r="C48" s="70">
        <f>COUNTIF('OTPField'!H9:H500,"covered")</f>
        <v/>
      </c>
      <c r="D48" s="70">
        <f>COUNTIF('OTPField'!H9:H500,"partial")</f>
        <v/>
      </c>
      <c r="E48" s="70">
        <f>COUNTIF('OTPField'!H9:H500,"missing")</f>
        <v/>
      </c>
      <c r="F48" s="70">
        <f>COUNTIF('OTPField'!H9:H500,"untested")</f>
        <v/>
      </c>
      <c r="G48" s="71">
        <f>IFERROR(C48/B48,0)</f>
        <v/>
      </c>
      <c r="H48" s="72">
        <f>IF(AND(B48&gt;0,I48=0,G48=1),"Done","Open")</f>
        <v/>
      </c>
      <c r="I48" s="72">
        <f>MAX(0,B48-C48)</f>
        <v/>
      </c>
    </row>
    <row r="49" ht="15" customHeight="1" s="58">
      <c r="A49" s="69" t="inlineStr">
        <is>
          <t>Pagination</t>
        </is>
      </c>
      <c r="B49" s="70">
        <f>COUNT('Pagination'!A9:A500)</f>
        <v/>
      </c>
      <c r="C49" s="70">
        <f>COUNTIF('Pagination'!H9:H500,"covered")</f>
        <v/>
      </c>
      <c r="D49" s="70">
        <f>COUNTIF('Pagination'!H9:H500,"partial")</f>
        <v/>
      </c>
      <c r="E49" s="70">
        <f>COUNTIF('Pagination'!H9:H500,"missing")</f>
        <v/>
      </c>
      <c r="F49" s="70">
        <f>COUNTIF('Pagination'!H9:H500,"untested")</f>
        <v/>
      </c>
      <c r="G49" s="71">
        <f>IFERROR(C49/B49,0)</f>
        <v/>
      </c>
      <c r="H49" s="72">
        <f>IF(AND(B49&gt;0,I49=0,G49=1),"Done","Open")</f>
        <v/>
      </c>
      <c r="I49" s="72">
        <f>MAX(0,B49-C49)</f>
        <v/>
      </c>
    </row>
    <row r="50" ht="15" customHeight="1" s="58">
      <c r="A50" s="69" t="inlineStr">
        <is>
          <t>PasswordToggleField</t>
        </is>
      </c>
      <c r="B50" s="70">
        <f>COUNT('PasswordToggleField'!A9:A500)</f>
        <v/>
      </c>
      <c r="C50" s="70">
        <f>COUNTIF('PasswordToggleField'!H9:H500,"covered")</f>
        <v/>
      </c>
      <c r="D50" s="70">
        <f>COUNTIF('PasswordToggleField'!H9:H500,"partial")</f>
        <v/>
      </c>
      <c r="E50" s="70">
        <f>COUNTIF('PasswordToggleField'!H9:H500,"missing")</f>
        <v/>
      </c>
      <c r="F50" s="70">
        <f>COUNTIF('PasswordToggleField'!H9:H500,"untested")</f>
        <v/>
      </c>
      <c r="G50" s="71">
        <f>IFERROR(C50/B50,0)</f>
        <v/>
      </c>
      <c r="H50" s="72">
        <f>IF(AND(B50&gt;0,I50=0,G50=1),"Done","Open")</f>
        <v/>
      </c>
      <c r="I50" s="72">
        <f>MAX(0,B50-C50)</f>
        <v/>
      </c>
    </row>
    <row r="51" ht="15" customHeight="1" s="58">
      <c r="A51" s="69" t="inlineStr">
        <is>
          <t>Popover</t>
        </is>
      </c>
      <c r="B51" s="70">
        <f>COUNT('Popover'!A9:A500)</f>
        <v/>
      </c>
      <c r="C51" s="70">
        <f>COUNTIF('Popover'!H9:H500,"covered")</f>
        <v/>
      </c>
      <c r="D51" s="70">
        <f>COUNTIF('Popover'!H9:H500,"partial")</f>
        <v/>
      </c>
      <c r="E51" s="70">
        <f>COUNTIF('Popover'!H9:H500,"missing")</f>
        <v/>
      </c>
      <c r="F51" s="70">
        <f>COUNTIF('Popover'!H9:H500,"untested")</f>
        <v/>
      </c>
      <c r="G51" s="71">
        <f>IFERROR(C51/B51,0)</f>
        <v/>
      </c>
      <c r="H51" s="72">
        <f>IF(AND(B51&gt;0,I51=0,G51=1),"Done","Open")</f>
        <v/>
      </c>
      <c r="I51" s="72">
        <f>MAX(0,B51-C51)</f>
        <v/>
      </c>
    </row>
    <row r="52" ht="15" customHeight="1" s="58">
      <c r="A52" s="69" t="inlineStr">
        <is>
          <t>Portal</t>
        </is>
      </c>
      <c r="B52" s="70">
        <f>COUNT('Portal'!A9:A500)</f>
        <v/>
      </c>
      <c r="C52" s="70">
        <f>COUNTIF('Portal'!H9:H500,"covered")</f>
        <v/>
      </c>
      <c r="D52" s="70">
        <f>COUNTIF('Portal'!H9:H500,"partial")</f>
        <v/>
      </c>
      <c r="E52" s="70">
        <f>COUNTIF('Portal'!H9:H500,"missing")</f>
        <v/>
      </c>
      <c r="F52" s="70">
        <f>COUNTIF('Portal'!H9:H500,"untested")</f>
        <v/>
      </c>
      <c r="G52" s="71">
        <f>IFERROR(C52/B52,0)</f>
        <v/>
      </c>
      <c r="H52" s="72">
        <f>IF(AND(B52&gt;0,I52=0,G52=1),"Done","Open")</f>
        <v/>
      </c>
      <c r="I52" s="72">
        <f>MAX(0,B52-C52)</f>
        <v/>
      </c>
    </row>
    <row r="53" ht="15" customHeight="1" s="58">
      <c r="A53" s="69" t="inlineStr">
        <is>
          <t>Pressable</t>
        </is>
      </c>
      <c r="B53" s="70">
        <f>COUNT('Pressable'!A9:A500)</f>
        <v/>
      </c>
      <c r="C53" s="70">
        <f>COUNTIF('Pressable'!H9:H500,"covered")</f>
        <v/>
      </c>
      <c r="D53" s="70">
        <f>COUNTIF('Pressable'!H9:H500,"partial")</f>
        <v/>
      </c>
      <c r="E53" s="70">
        <f>COUNTIF('Pressable'!H9:H500,"missing")</f>
        <v/>
      </c>
      <c r="F53" s="70">
        <f>COUNTIF('Pressable'!H9:H500,"untested")</f>
        <v/>
      </c>
      <c r="G53" s="71">
        <f>IFERROR(C53/B53,0)</f>
        <v/>
      </c>
      <c r="H53" s="72">
        <f>IF(AND(B53&gt;0,I53=0,G53=1),"Done","Open")</f>
        <v/>
      </c>
      <c r="I53" s="72">
        <f>MAX(0,B53-C53)</f>
        <v/>
      </c>
    </row>
    <row r="54" ht="15" customHeight="1" s="58">
      <c r="A54" s="69" t="inlineStr">
        <is>
          <t>Progress</t>
        </is>
      </c>
      <c r="B54" s="70">
        <f>COUNT('Progress'!A9:A500)</f>
        <v/>
      </c>
      <c r="C54" s="70">
        <f>COUNTIF('Progress'!H9:H500,"covered")</f>
        <v/>
      </c>
      <c r="D54" s="70">
        <f>COUNTIF('Progress'!H9:H500,"partial")</f>
        <v/>
      </c>
      <c r="E54" s="70">
        <f>COUNTIF('Progress'!H9:H500,"missing")</f>
        <v/>
      </c>
      <c r="F54" s="70">
        <f>COUNTIF('Progress'!H9:H500,"untested")</f>
        <v/>
      </c>
      <c r="G54" s="71">
        <f>IFERROR(C54/B54,0)</f>
        <v/>
      </c>
      <c r="H54" s="72">
        <f>IF(AND(B54&gt;0,I54=0,G54=1),"Done","Open")</f>
        <v/>
      </c>
      <c r="I54" s="72">
        <f>MAX(0,B54-C54)</f>
        <v/>
      </c>
    </row>
    <row r="55" ht="15" customHeight="1" s="58">
      <c r="A55" s="69" t="inlineStr">
        <is>
          <t>RadioGroup</t>
        </is>
      </c>
      <c r="B55" s="70">
        <f>COUNT('RadioGroup'!A9:A500)</f>
        <v/>
      </c>
      <c r="C55" s="70">
        <f>COUNTIF('RadioGroup'!H9:H500,"covered")</f>
        <v/>
      </c>
      <c r="D55" s="70">
        <f>COUNTIF('RadioGroup'!H9:H500,"partial")</f>
        <v/>
      </c>
      <c r="E55" s="70">
        <f>COUNTIF('RadioGroup'!H9:H500,"missing")</f>
        <v/>
      </c>
      <c r="F55" s="70">
        <f>COUNTIF('RadioGroup'!H9:H500,"untested")</f>
        <v/>
      </c>
      <c r="G55" s="71">
        <f>IFERROR(C55/B55,0)</f>
        <v/>
      </c>
      <c r="H55" s="72">
        <f>IF(AND(B55&gt;0,I55=0,G55=1),"Done","Open")</f>
        <v/>
      </c>
      <c r="I55" s="72">
        <f>MAX(0,B55-C55)</f>
        <v/>
      </c>
    </row>
    <row r="56" ht="15" customHeight="1" s="58">
      <c r="A56" s="69" t="inlineStr">
        <is>
          <t>Rating</t>
        </is>
      </c>
      <c r="B56" s="70">
        <f>COUNT('Rating'!A9:A500)</f>
        <v/>
      </c>
      <c r="C56" s="70">
        <f>COUNTIF('Rating'!H9:H500,"covered")</f>
        <v/>
      </c>
      <c r="D56" s="70">
        <f>COUNTIF('Rating'!H9:H500,"partial")</f>
        <v/>
      </c>
      <c r="E56" s="70">
        <f>COUNTIF('Rating'!H9:H500,"missing")</f>
        <v/>
      </c>
      <c r="F56" s="70">
        <f>COUNTIF('Rating'!H9:H500,"untested")</f>
        <v/>
      </c>
      <c r="G56" s="71">
        <f>IFERROR(C56/B56,0)</f>
        <v/>
      </c>
      <c r="H56" s="72">
        <f>IF(AND(B56&gt;0,I56=0,G56=1),"Done","Open")</f>
        <v/>
      </c>
      <c r="I56" s="72">
        <f>MAX(0,B56-C56)</f>
        <v/>
      </c>
    </row>
    <row r="57" ht="15" customHeight="1" s="58">
      <c r="A57" s="69" t="inlineStr">
        <is>
          <t>ScrollArea</t>
        </is>
      </c>
      <c r="B57" s="70">
        <f>COUNT('ScrollArea'!A9:A500)</f>
        <v/>
      </c>
      <c r="C57" s="70">
        <f>COUNTIF('ScrollArea'!H9:H500,"covered")</f>
        <v/>
      </c>
      <c r="D57" s="70">
        <f>COUNTIF('ScrollArea'!H9:H500,"partial")</f>
        <v/>
      </c>
      <c r="E57" s="70">
        <f>COUNTIF('ScrollArea'!H9:H500,"missing")</f>
        <v/>
      </c>
      <c r="F57" s="70">
        <f>COUNTIF('ScrollArea'!H9:H500,"untested")</f>
        <v/>
      </c>
      <c r="G57" s="71">
        <f>IFERROR(C57/B57,0)</f>
        <v/>
      </c>
      <c r="H57" s="72">
        <f>IF(AND(B57&gt;0,I57=0,G57=1),"Done","Open")</f>
        <v/>
      </c>
      <c r="I57" s="72">
        <f>MAX(0,B57-C57)</f>
        <v/>
      </c>
    </row>
    <row r="58" ht="15" customHeight="1" s="58">
      <c r="A58" s="69" t="inlineStr">
        <is>
          <t>Select</t>
        </is>
      </c>
      <c r="B58" s="70">
        <f>COUNT('Select'!A9:A500)</f>
        <v/>
      </c>
      <c r="C58" s="70">
        <f>COUNTIF('Select'!H9:H500,"covered")</f>
        <v/>
      </c>
      <c r="D58" s="70">
        <f>COUNTIF('Select'!H9:H500,"partial")</f>
        <v/>
      </c>
      <c r="E58" s="70">
        <f>COUNTIF('Select'!H9:H500,"missing")</f>
        <v/>
      </c>
      <c r="F58" s="70">
        <f>COUNTIF('Select'!H9:H500,"untested")</f>
        <v/>
      </c>
      <c r="G58" s="71">
        <f>IFERROR(C58/B58,0)</f>
        <v/>
      </c>
      <c r="H58" s="72">
        <f>IF(AND(B58&gt;0,I58=0,G58=1),"Done","Open")</f>
        <v/>
      </c>
      <c r="I58" s="72">
        <f>MAX(0,B58-C58)</f>
        <v/>
      </c>
    </row>
    <row r="59" ht="15" customHeight="1" s="58">
      <c r="A59" s="69" t="inlineStr">
        <is>
          <t>Sidebar</t>
        </is>
      </c>
      <c r="B59" s="70">
        <f>COUNT('Sidebar'!A9:A500)</f>
        <v/>
      </c>
      <c r="C59" s="70">
        <f>COUNTIF('Sidebar'!H9:H500,"covered")</f>
        <v/>
      </c>
      <c r="D59" s="70">
        <f>COUNTIF('Sidebar'!H9:H500,"partial")</f>
        <v/>
      </c>
      <c r="E59" s="70">
        <f>COUNTIF('Sidebar'!H9:H500,"missing")</f>
        <v/>
      </c>
      <c r="F59" s="70">
        <f>COUNTIF('Sidebar'!H9:H500,"untested")</f>
        <v/>
      </c>
      <c r="G59" s="71">
        <f>IFERROR(C59/B59,0)</f>
        <v/>
      </c>
      <c r="H59" s="72">
        <f>IF(AND(B59&gt;0,I59=0,G59=1),"Done","Open")</f>
        <v/>
      </c>
      <c r="I59" s="72">
        <f>MAX(0,B59-C59)</f>
        <v/>
      </c>
    </row>
    <row r="60" ht="15" customHeight="1" s="58">
      <c r="A60" s="69" t="inlineStr">
        <is>
          <t>SkipLink</t>
        </is>
      </c>
      <c r="B60" s="70">
        <f>COUNT('SkipLink'!A9:A500)</f>
        <v/>
      </c>
      <c r="C60" s="70">
        <f>COUNTIF('SkipLink'!H9:H500,"covered")</f>
        <v/>
      </c>
      <c r="D60" s="70">
        <f>COUNTIF('SkipLink'!H9:H500,"partial")</f>
        <v/>
      </c>
      <c r="E60" s="70">
        <f>COUNTIF('SkipLink'!H9:H500,"missing")</f>
        <v/>
      </c>
      <c r="F60" s="70">
        <f>COUNTIF('SkipLink'!H9:H500,"untested")</f>
        <v/>
      </c>
      <c r="G60" s="71">
        <f>IFERROR(C60/B60,0)</f>
        <v/>
      </c>
      <c r="H60" s="72">
        <f>IF(AND(B60&gt;0,I60=0,G60=1),"Done","Open")</f>
        <v/>
      </c>
      <c r="I60" s="72">
        <f>MAX(0,B60-C60)</f>
        <v/>
      </c>
    </row>
    <row r="61" ht="15" customHeight="1" s="58">
      <c r="A61" s="69" t="inlineStr">
        <is>
          <t>Slider</t>
        </is>
      </c>
      <c r="B61" s="70">
        <f>COUNT('Slider'!A9:A500)</f>
        <v/>
      </c>
      <c r="C61" s="70">
        <f>COUNTIF('Slider'!H9:H500,"covered")</f>
        <v/>
      </c>
      <c r="D61" s="70">
        <f>COUNTIF('Slider'!H9:H500,"partial")</f>
        <v/>
      </c>
      <c r="E61" s="70">
        <f>COUNTIF('Slider'!H9:H500,"missing")</f>
        <v/>
      </c>
      <c r="F61" s="70">
        <f>COUNTIF('Slider'!H9:H500,"untested")</f>
        <v/>
      </c>
      <c r="G61" s="71">
        <f>IFERROR(C61/B61,0)</f>
        <v/>
      </c>
      <c r="H61" s="72">
        <f>IF(AND(B61&gt;0,I61=0,G61=1),"Done","Open")</f>
        <v/>
      </c>
      <c r="I61" s="72">
        <f>MAX(0,B61-C61)</f>
        <v/>
      </c>
    </row>
    <row r="62" ht="15" customHeight="1" s="58">
      <c r="A62" s="69" t="inlineStr">
        <is>
          <t>SwipeableItem</t>
        </is>
      </c>
      <c r="B62" s="70">
        <f>COUNT('SwipeableItem'!A9:A500)</f>
        <v/>
      </c>
      <c r="C62" s="70">
        <f>COUNTIF('SwipeableItem'!H9:H500,"covered")</f>
        <v/>
      </c>
      <c r="D62" s="70">
        <f>COUNTIF('SwipeableItem'!H9:H500,"partial")</f>
        <v/>
      </c>
      <c r="E62" s="70">
        <f>COUNTIF('SwipeableItem'!H9:H500,"missing")</f>
        <v/>
      </c>
      <c r="F62" s="70">
        <f>COUNTIF('SwipeableItem'!H9:H500,"untested")</f>
        <v/>
      </c>
      <c r="G62" s="71">
        <f>IFERROR(C62/B62,0)</f>
        <v/>
      </c>
      <c r="H62" s="72">
        <f>IF(AND(B62&gt;0,I62=0,G62=1),"Done","Open")</f>
        <v/>
      </c>
      <c r="I62" s="72">
        <f>MAX(0,B62-C62)</f>
        <v/>
      </c>
    </row>
    <row r="63" ht="15" customHeight="1" s="58">
      <c r="A63" s="69" t="inlineStr">
        <is>
          <t>Switch</t>
        </is>
      </c>
      <c r="B63" s="70">
        <f>COUNT('Switch'!A9:A500)</f>
        <v/>
      </c>
      <c r="C63" s="70">
        <f>COUNTIF('Switch'!H9:H500,"covered")</f>
        <v/>
      </c>
      <c r="D63" s="70">
        <f>COUNTIF('Switch'!H9:H500,"partial")</f>
        <v/>
      </c>
      <c r="E63" s="70">
        <f>COUNTIF('Switch'!H9:H500,"missing")</f>
        <v/>
      </c>
      <c r="F63" s="70">
        <f>COUNTIF('Switch'!H9:H500,"untested")</f>
        <v/>
      </c>
      <c r="G63" s="71">
        <f>IFERROR(C63/B63,0)</f>
        <v/>
      </c>
      <c r="H63" s="72">
        <f>IF(AND(B63&gt;0,I63=0,G63=1),"Done","Open")</f>
        <v/>
      </c>
      <c r="I63" s="72">
        <f>MAX(0,B63-C63)</f>
        <v/>
      </c>
    </row>
    <row r="64" ht="15" customHeight="1" s="58">
      <c r="A64" s="69" t="inlineStr">
        <is>
          <t>Table</t>
        </is>
      </c>
      <c r="B64" s="70">
        <f>COUNT('Table'!A9:A500)</f>
        <v/>
      </c>
      <c r="C64" s="70">
        <f>COUNTIF('Table'!H9:H500,"covered")</f>
        <v/>
      </c>
      <c r="D64" s="70">
        <f>COUNTIF('Table'!H9:H500,"partial")</f>
        <v/>
      </c>
      <c r="E64" s="70">
        <f>COUNTIF('Table'!H9:H500,"missing")</f>
        <v/>
      </c>
      <c r="F64" s="70">
        <f>COUNTIF('Table'!H9:H500,"untested")</f>
        <v/>
      </c>
      <c r="G64" s="71">
        <f>IFERROR(C64/B64,0)</f>
        <v/>
      </c>
      <c r="H64" s="72">
        <f>IF(AND(B64&gt;0,I64=0,G64=1),"Done","Open")</f>
        <v/>
      </c>
      <c r="I64" s="72">
        <f>MAX(0,B64-C64)</f>
        <v/>
      </c>
    </row>
    <row r="65" ht="15" customHeight="1" s="58">
      <c r="A65" s="69" t="inlineStr">
        <is>
          <t>Tabs</t>
        </is>
      </c>
      <c r="B65" s="70">
        <f>COUNT('Tabs'!A9:A500)</f>
        <v/>
      </c>
      <c r="C65" s="70">
        <f>COUNTIF('Tabs'!H9:H500,"covered")</f>
        <v/>
      </c>
      <c r="D65" s="70">
        <f>COUNTIF('Tabs'!H9:H500,"partial")</f>
        <v/>
      </c>
      <c r="E65" s="70">
        <f>COUNTIF('Tabs'!H9:H500,"missing")</f>
        <v/>
      </c>
      <c r="F65" s="70">
        <f>COUNTIF('Tabs'!H9:H500,"untested")</f>
        <v/>
      </c>
      <c r="G65" s="71">
        <f>IFERROR(C65/B65,0)</f>
        <v/>
      </c>
      <c r="H65" s="72">
        <f>IF(AND(B65&gt;0,I65=0,G65=1),"Done","Open")</f>
        <v/>
      </c>
      <c r="I65" s="72">
        <f>MAX(0,B65-C65)</f>
        <v/>
      </c>
    </row>
    <row r="66" ht="15" customHeight="1" s="58">
      <c r="A66" s="69" t="inlineStr">
        <is>
          <t>Textarea</t>
        </is>
      </c>
      <c r="B66" s="70">
        <f>COUNT('Textarea'!A9:A500)</f>
        <v/>
      </c>
      <c r="C66" s="70">
        <f>COUNTIF('Textarea'!H9:H500,"covered")</f>
        <v/>
      </c>
      <c r="D66" s="70">
        <f>COUNTIF('Textarea'!H9:H500,"partial")</f>
        <v/>
      </c>
      <c r="E66" s="70">
        <f>COUNTIF('Textarea'!H9:H500,"missing")</f>
        <v/>
      </c>
      <c r="F66" s="70">
        <f>COUNTIF('Textarea'!H9:H500,"untested")</f>
        <v/>
      </c>
      <c r="G66" s="71">
        <f>IFERROR(C66/B66,0)</f>
        <v/>
      </c>
      <c r="H66" s="72">
        <f>IF(AND(B66&gt;0,I66=0,G66=1),"Done","Open")</f>
        <v/>
      </c>
      <c r="I66" s="72">
        <f>MAX(0,B66-C66)</f>
        <v/>
      </c>
    </row>
    <row r="67" ht="15" customHeight="1" s="58">
      <c r="A67" s="69" t="inlineStr">
        <is>
          <t>Toast</t>
        </is>
      </c>
      <c r="B67" s="70">
        <f>COUNT('Toast'!A9:A500)</f>
        <v/>
      </c>
      <c r="C67" s="70">
        <f>COUNTIF('Toast'!H9:H500,"covered")</f>
        <v/>
      </c>
      <c r="D67" s="70">
        <f>COUNTIF('Toast'!H9:H500,"partial")</f>
        <v/>
      </c>
      <c r="E67" s="70">
        <f>COUNTIF('Toast'!H9:H500,"missing")</f>
        <v/>
      </c>
      <c r="F67" s="70">
        <f>COUNTIF('Toast'!H9:H500,"untested")</f>
        <v/>
      </c>
      <c r="G67" s="71">
        <f>IFERROR(C67/B67,0)</f>
        <v/>
      </c>
      <c r="H67" s="72">
        <f>IF(AND(B67&gt;0,I67=0,G67=1),"Done","Open")</f>
        <v/>
      </c>
      <c r="I67" s="72">
        <f>MAX(0,B67-C67)</f>
        <v/>
      </c>
    </row>
    <row r="68" ht="15" customHeight="1" s="58">
      <c r="A68" s="69" t="inlineStr">
        <is>
          <t>Toggle</t>
        </is>
      </c>
      <c r="B68" s="70">
        <f>COUNT('Toggle'!A9:A500)</f>
        <v/>
      </c>
      <c r="C68" s="70">
        <f>COUNTIF('Toggle'!H9:H500,"covered")</f>
        <v/>
      </c>
      <c r="D68" s="70">
        <f>COUNTIF('Toggle'!H9:H500,"partial")</f>
        <v/>
      </c>
      <c r="E68" s="70">
        <f>COUNTIF('Toggle'!H9:H500,"missing")</f>
        <v/>
      </c>
      <c r="F68" s="70">
        <f>COUNTIF('Toggle'!H9:H500,"untested")</f>
        <v/>
      </c>
      <c r="G68" s="71">
        <f>IFERROR(C68/B68,0)</f>
        <v/>
      </c>
      <c r="H68" s="72">
        <f>IF(AND(B68&gt;0,I68=0,G68=1),"Done","Open")</f>
        <v/>
      </c>
      <c r="I68" s="72">
        <f>MAX(0,B68-C68)</f>
        <v/>
      </c>
    </row>
    <row r="69" ht="15" customHeight="1" s="58">
      <c r="A69" s="69" t="inlineStr">
        <is>
          <t>ToggleGroup</t>
        </is>
      </c>
      <c r="B69" s="70">
        <f>COUNT('ToggleGroup'!A9:A500)</f>
        <v/>
      </c>
      <c r="C69" s="70">
        <f>COUNTIF('ToggleGroup'!H9:H500,"covered")</f>
        <v/>
      </c>
      <c r="D69" s="70">
        <f>COUNTIF('ToggleGroup'!H9:H500,"partial")</f>
        <v/>
      </c>
      <c r="E69" s="70">
        <f>COUNTIF('ToggleGroup'!H9:H500,"missing")</f>
        <v/>
      </c>
      <c r="F69" s="70">
        <f>COUNTIF('ToggleGroup'!H9:H500,"untested")</f>
        <v/>
      </c>
      <c r="G69" s="71">
        <f>IFERROR(C69/B69,0)</f>
        <v/>
      </c>
      <c r="H69" s="72">
        <f>IF(AND(B69&gt;0,I69=0,G69=1),"Done","Open")</f>
        <v/>
      </c>
      <c r="I69" s="72">
        <f>MAX(0,B69-C69)</f>
        <v/>
      </c>
    </row>
    <row r="70" ht="15" customHeight="1" s="58">
      <c r="A70" s="69" t="inlineStr">
        <is>
          <t>Toolbar</t>
        </is>
      </c>
      <c r="B70" s="70">
        <f>COUNT('Toolbar'!A9:A500)</f>
        <v/>
      </c>
      <c r="C70" s="70">
        <f>COUNTIF('Toolbar'!H9:H500,"covered")</f>
        <v/>
      </c>
      <c r="D70" s="70">
        <f>COUNTIF('Toolbar'!H9:H500,"partial")</f>
        <v/>
      </c>
      <c r="E70" s="70">
        <f>COUNTIF('Toolbar'!H9:H500,"missing")</f>
        <v/>
      </c>
      <c r="F70" s="70">
        <f>COUNTIF('Toolbar'!H9:H500,"untested")</f>
        <v/>
      </c>
      <c r="G70" s="71">
        <f>IFERROR(C70/B70,0)</f>
        <v/>
      </c>
      <c r="H70" s="72">
        <f>IF(AND(B70&gt;0,I70=0,G70=1),"Done","Open")</f>
        <v/>
      </c>
      <c r="I70" s="72">
        <f>MAX(0,B70-C70)</f>
        <v/>
      </c>
    </row>
    <row r="71" ht="15" customHeight="1" s="58">
      <c r="A71" s="69" t="inlineStr">
        <is>
          <t>Tooltip</t>
        </is>
      </c>
      <c r="B71" s="70">
        <f>COUNT('Tooltip'!A9:A500)</f>
        <v/>
      </c>
      <c r="C71" s="70">
        <f>COUNTIF('Tooltip'!H9:H500,"covered")</f>
        <v/>
      </c>
      <c r="D71" s="70">
        <f>COUNTIF('Tooltip'!H9:H500,"partial")</f>
        <v/>
      </c>
      <c r="E71" s="70">
        <f>COUNTIF('Tooltip'!H9:H500,"missing")</f>
        <v/>
      </c>
      <c r="F71" s="70">
        <f>COUNTIF('Tooltip'!H9:H500,"untested")</f>
        <v/>
      </c>
      <c r="G71" s="71">
        <f>IFERROR(C71/B71,0)</f>
        <v/>
      </c>
      <c r="H71" s="72">
        <f>IF(AND(B71&gt;0,I71=0,G71=1),"Done","Open")</f>
        <v/>
      </c>
      <c r="I71" s="72">
        <f>MAX(0,B71-C71)</f>
        <v/>
      </c>
    </row>
    <row r="72">
      <c r="A72" s="69" t="inlineStr">
        <is>
          <t>Tree</t>
        </is>
      </c>
      <c r="B72" s="70">
        <f>COUNT('Tree'!A9:A500)</f>
        <v/>
      </c>
      <c r="C72" s="70">
        <f>COUNTIF('Tree'!H9:H500,"covered")</f>
        <v/>
      </c>
      <c r="D72" s="70">
        <f>COUNTIF('Tree'!H9:H500,"partial")</f>
        <v/>
      </c>
      <c r="E72" s="70">
        <f>COUNTIF('Tree'!H9:H500,"missing")</f>
        <v/>
      </c>
      <c r="F72" s="70">
        <f>COUNTIF('Tree'!H9:H500,"untested")</f>
        <v/>
      </c>
      <c r="G72" s="71">
        <f>IFERROR(C72/B72,0)</f>
        <v/>
      </c>
      <c r="H72" s="72">
        <f>IF(AND(B72&gt;0,I72=0,G72=1),"Done","Open")</f>
        <v/>
      </c>
      <c r="I72" s="72">
        <f>MAX(0,B72-C72)</f>
        <v/>
      </c>
    </row>
    <row r="73">
      <c r="A73" s="69" t="inlineStr">
        <is>
          <t>TreeGrid</t>
        </is>
      </c>
      <c r="B73" s="70">
        <f>COUNT('TreeGrid'!A9:A500)</f>
        <v/>
      </c>
      <c r="C73" s="70">
        <f>COUNTIF('TreeGrid'!H9:H500,"covered")</f>
        <v/>
      </c>
      <c r="D73" s="70">
        <f>COUNTIF('TreeGrid'!H9:H500,"partial")</f>
        <v/>
      </c>
      <c r="E73" s="70">
        <f>COUNTIF('TreeGrid'!H9:H500,"missing")</f>
        <v/>
      </c>
      <c r="F73" s="70">
        <f>COUNTIF('TreeGrid'!H9:H500,"untested")</f>
        <v/>
      </c>
      <c r="G73" s="71">
        <f>IFERROR(C73/B73,0)</f>
        <v/>
      </c>
      <c r="H73" s="72">
        <f>IF(AND(B73&gt;0,I73=0,G73=1),"Done","Open")</f>
        <v/>
      </c>
      <c r="I73" s="72">
        <f>MAX(0,B73-C73)</f>
        <v/>
      </c>
    </row>
    <row r="74">
      <c r="A74" s="69" t="inlineStr">
        <is>
          <t>Virtualizer</t>
        </is>
      </c>
      <c r="B74" s="70">
        <f>COUNT('Virtualizer'!A9:A500)</f>
        <v/>
      </c>
      <c r="C74" s="70">
        <f>COUNTIF('Virtualizer'!H9:H500,"covered")</f>
        <v/>
      </c>
      <c r="D74" s="70">
        <f>COUNTIF('Virtualizer'!H9:H500,"partial")</f>
        <v/>
      </c>
      <c r="E74" s="70">
        <f>COUNTIF('Virtualizer'!H9:H500,"missing")</f>
        <v/>
      </c>
      <c r="F74" s="70">
        <f>COUNTIF('Virtualizer'!H9:H500,"untested")</f>
        <v/>
      </c>
      <c r="G74" s="71">
        <f>IFERROR(C74/B74,0)</f>
        <v/>
      </c>
      <c r="H74" s="72">
        <f>IF(AND(B74&gt;0,I74=0,G74=1),"Done","Open")</f>
        <v/>
      </c>
      <c r="I74" s="72">
        <f>MAX(0,B74-C74)</f>
        <v/>
      </c>
    </row>
    <row r="75">
      <c r="A75" s="69" t="inlineStr">
        <is>
          <t>VisuallyHidden</t>
        </is>
      </c>
      <c r="B75" s="70">
        <f>COUNT('VisuallyHidden'!A9:A500)</f>
        <v/>
      </c>
      <c r="C75" s="70">
        <f>COUNTIF('VisuallyHidden'!H9:H500,"covered")</f>
        <v/>
      </c>
      <c r="D75" s="70">
        <f>COUNTIF('VisuallyHidden'!H9:H500,"partial")</f>
        <v/>
      </c>
      <c r="E75" s="70">
        <f>COUNTIF('VisuallyHidden'!H9:H500,"missing")</f>
        <v/>
      </c>
      <c r="F75" s="70">
        <f>COUNTIF('VisuallyHidden'!H9:H500,"untested")</f>
        <v/>
      </c>
      <c r="G75" s="71">
        <f>IFERROR(C75/B75,0)</f>
        <v/>
      </c>
      <c r="H75" s="72">
        <f>IF(AND(B75&gt;0,I75=0,G75=1),"Done","Open")</f>
        <v/>
      </c>
      <c r="I75" s="72">
        <f>MAX(0,B75-C75)</f>
        <v/>
      </c>
    </row>
  </sheetData>
  <autoFilter ref="A6:I75"/>
  <mergeCells count="2">
    <mergeCell ref="A1:I1"/>
    <mergeCell ref="A2:I2"/>
  </mergeCells>
  <conditionalFormatting sqref="A7:I71">
    <cfRule type="expression" rank="0" priority="2" equalAverage="0" aboveAverage="0" dxfId="0" text="" percent="0" bottom="0">
      <formula>$H7="Done"</formula>
    </cfRule>
    <cfRule type="expression" rank="0" priority="3" equalAverage="0" aboveAverage="0" dxfId="1" text="" percent="0" bottom="0">
      <formula>$H7="Open"</formula>
    </cfRule>
  </conditionalFormatting>
  <conditionalFormatting sqref="H7:H71">
    <cfRule type="expression" rank="0" priority="4" equalAverage="0" aboveAverage="0" dxfId="2" text="" percent="0" bottom="0">
      <formula>$H7="Done"</formula>
    </cfRule>
    <cfRule type="expression" rank="0" priority="5" equalAverage="0" aboveAverage="0" dxfId="3" text="" percent="0" bottom="0">
      <formula>$H7="Needs work"</formula>
    </cfRule>
    <cfRule type="expression" rank="0" priority="6" equalAverage="0" aboveAverage="0" dxfId="4" text="" percent="0" bottom="0">
      <formula>$H7="In progress"</formula>
    </cfRule>
    <cfRule type="expression" rank="0" priority="7" equalAverage="0" aboveAverage="0" dxfId="5" text="" percent="0" bottom="0">
      <formula>$H7="No tests"</formula>
    </cfRule>
  </conditionalFormatting>
  <conditionalFormatting sqref="I7:I71">
    <cfRule type="cellIs" rank="0" priority="8" equalAverage="0" operator="equal" aboveAverage="0" dxfId="2" text="" percent="0" bottom="0">
      <formula>0</formula>
    </cfRule>
    <cfRule type="cellIs" rank="0" priority="9" equalAverage="0" operator="greaterThan" aboveAverage="0" dxfId="3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K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22" customWidth="1" style="118" min="1" max="1"/>
    <col width="12" customWidth="1" style="118" min="2" max="2"/>
    <col width="10" customWidth="1" style="118" min="3" max="3"/>
    <col width="18" customWidth="1" style="118" min="4" max="4"/>
    <col width="48" customWidth="1" style="118" min="5" max="5"/>
    <col width="42" customWidth="1" style="118" min="6" max="6"/>
    <col width="28" customWidth="1" style="118" min="7" max="7"/>
    <col width="38" customWidth="1" style="118" min="8" max="8"/>
    <col width="40" customWidth="1" style="118" min="9" max="9"/>
    <col width="18" customWidth="1" style="118" min="10" max="10"/>
    <col width="16" customWidth="1" style="118" min="11" max="11"/>
    <col width="18" customWidth="1" style="118" min="12" max="12"/>
    <col width="20" customWidth="1" style="118" min="13" max="13"/>
    <col width="22" customWidth="1" style="118" min="14" max="16"/>
    <col width="54" customWidth="1" style="118" min="17" max="18"/>
    <col width="44" customWidth="1" style="118" min="19" max="19"/>
    <col width="32" customWidth="1" style="118" min="20" max="20"/>
    <col width="16" customWidth="1" style="118" min="21" max="21"/>
    <col width="14" customWidth="1" style="83" min="22" max="22"/>
    <col width="32" customWidth="1" style="118" min="23" max="23"/>
    <col width="52" customWidth="1" style="118" min="24" max="24"/>
    <col width="24" customWidth="1" style="118" min="25" max="25"/>
    <col hidden="1" width="13" customWidth="1" style="118" min="27" max="37"/>
  </cols>
  <sheetData>
    <row r="1" ht="30" customHeight="1" s="58">
      <c r="A1" s="84" t="inlineStr">
        <is>
          <t>Atom Mobile Readiness</t>
        </is>
      </c>
      <c r="AA1" s="118" t="inlineStr">
        <is>
          <t>Validation: AA</t>
        </is>
      </c>
      <c r="AB1" s="118" t="inlineStr">
        <is>
          <t>Validation: AB</t>
        </is>
      </c>
      <c r="AC1" s="118" t="inlineStr">
        <is>
          <t>Validation: AC</t>
        </is>
      </c>
      <c r="AD1" s="118" t="inlineStr">
        <is>
          <t>Validation: AD</t>
        </is>
      </c>
      <c r="AE1" s="118" t="inlineStr">
        <is>
          <t>Validation: AE</t>
        </is>
      </c>
      <c r="AF1" s="118" t="inlineStr">
        <is>
          <t>Validation: AF</t>
        </is>
      </c>
      <c r="AG1" s="118" t="inlineStr">
        <is>
          <t>Validation: AG</t>
        </is>
      </c>
      <c r="AH1" s="118" t="inlineStr">
        <is>
          <t>Validation: AH</t>
        </is>
      </c>
      <c r="AI1" s="118" t="inlineStr">
        <is>
          <t>Validation: AI</t>
        </is>
      </c>
      <c r="AJ1" s="118" t="inlineStr">
        <is>
          <t>Validation: AJ</t>
        </is>
      </c>
      <c r="AK1" s="118" t="inlineStr">
        <is>
          <t>Validation: AK</t>
        </is>
      </c>
    </row>
    <row r="2" ht="30" customHeight="1" s="58">
      <c r="A2" s="85" t="inlineStr">
        <is>
          <t>Additional mobile/device qualification over the existing completed component baseline. Responsive mode and touch emulation are not real iOS Safari or Android Chrome evidence.</t>
        </is>
      </c>
      <c r="AA2" s="118" t="inlineStr">
        <is>
          <t>MR-01</t>
        </is>
      </c>
      <c r="AB2" s="118" t="inlineStr">
        <is>
          <t>MR-P0</t>
        </is>
      </c>
      <c r="AC2" s="118" t="inlineStr">
        <is>
          <t>preserve verified baseline</t>
        </is>
      </c>
      <c r="AD2" s="118" t="inlineStr">
        <is>
          <t>confirmed Atom implementation gap</t>
        </is>
      </c>
      <c r="AE2" s="118" t="inlineStr">
        <is>
          <t>source / contract review</t>
        </is>
      </c>
      <c r="AF2" s="118" t="inlineStr">
        <is>
          <t>desktop</t>
        </is>
      </c>
      <c r="AG2" s="118" t="inlineStr">
        <is>
          <t>keyboard</t>
        </is>
      </c>
      <c r="AH2" s="118" t="inlineStr">
        <is>
          <t>none</t>
        </is>
      </c>
      <c r="AI2" s="118" t="inlineStr">
        <is>
          <t>not run</t>
        </is>
      </c>
      <c r="AJ2" s="118" t="inlineStr">
        <is>
          <t>Safari</t>
        </is>
      </c>
      <c r="AK2" s="118" t="inlineStr">
        <is>
          <t>Accordion</t>
        </is>
      </c>
    </row>
    <row r="3" ht="15" customHeight="1" s="58">
      <c r="AA3" s="118" t="inlineStr">
        <is>
          <t>MR-02</t>
        </is>
      </c>
      <c r="AB3" s="118" t="inlineStr">
        <is>
          <t>MR-P1</t>
        </is>
      </c>
      <c r="AC3" s="118" t="inlineStr">
        <is>
          <t>narrow unsupported claim</t>
        </is>
      </c>
      <c r="AD3" s="118" t="inlineStr">
        <is>
          <t>Atom API/design decision required</t>
        </is>
      </c>
      <c r="AE3" s="118" t="inlineStr">
        <is>
          <t>package automated test</t>
        </is>
      </c>
      <c r="AF3" s="118" t="inlineStr">
        <is>
          <t>desktop emulating iOS</t>
        </is>
      </c>
      <c r="AG3" s="118" t="inlineStr">
        <is>
          <t>mouse</t>
        </is>
      </c>
      <c r="AH3" s="118" t="inlineStr">
        <is>
          <t>VoiceOver</t>
        </is>
      </c>
      <c r="AI3" s="118" t="inlineStr">
        <is>
          <t>passed</t>
        </is>
      </c>
      <c r="AJ3" s="118" t="inlineStr">
        <is>
          <t>Chrome</t>
        </is>
      </c>
      <c r="AK3" s="118" t="inlineStr">
        <is>
          <t>AlertDialog</t>
        </is>
      </c>
    </row>
    <row r="4" ht="24" customHeight="1" s="58">
      <c r="A4" s="86" t="inlineStr">
        <is>
          <t>Records</t>
        </is>
      </c>
      <c r="B4" s="86">
        <f>COUNTA($A$9:$A$200)</f>
        <v/>
      </c>
      <c r="C4" s="86" t="inlineStr">
        <is>
          <t>Passed</t>
        </is>
      </c>
      <c r="D4" s="86">
        <f>COUNTIF($U$9:$U$200,"passed")</f>
        <v/>
      </c>
      <c r="E4" s="86" t="inlineStr">
        <is>
          <t>Failed</t>
        </is>
      </c>
      <c r="F4" s="86">
        <f>COUNTIF($U$9:$U$200,"failed")</f>
        <v/>
      </c>
      <c r="G4" s="86" t="inlineStr">
        <is>
          <t>Blocked</t>
        </is>
      </c>
      <c r="H4" s="86">
        <f>COUNTIF($U$9:$U$200,"blocked")</f>
        <v/>
      </c>
      <c r="I4" s="86" t="inlineStr">
        <is>
          <t>Not run</t>
        </is>
      </c>
      <c r="J4" s="86">
        <f>COUNTIF($U$9:$U$200,"not run")</f>
        <v/>
      </c>
      <c r="K4" s="86" t="inlineStr">
        <is>
          <t>Not applicable</t>
        </is>
      </c>
      <c r="L4" s="86">
        <f>COUNTIF($U$9:$U$200,"not applicable")</f>
        <v/>
      </c>
      <c r="M4" s="86" t="inlineStr">
        <is>
          <t>Record issues</t>
        </is>
      </c>
      <c r="N4" s="86">
        <f>COUNTIFS($A$9:$A$200,"&lt;&gt;",$Y$9:$Y$200,"&lt;&gt;ready")</f>
        <v/>
      </c>
      <c r="AA4" s="118" t="inlineStr">
        <is>
          <t>MR-03</t>
        </is>
      </c>
      <c r="AB4" s="118" t="inlineStr">
        <is>
          <t>MR-P2</t>
        </is>
      </c>
      <c r="AC4" s="118" t="inlineStr">
        <is>
          <t>reopen only when approved</t>
        </is>
      </c>
      <c r="AD4" s="118" t="inlineStr">
        <is>
          <t>documentation/test gap</t>
        </is>
      </c>
      <c r="AE4" s="118" t="inlineStr">
        <is>
          <t>previous baseline — desktop manual</t>
        </is>
      </c>
      <c r="AF4" s="118" t="inlineStr">
        <is>
          <t>desktop emulating Android</t>
        </is>
      </c>
      <c r="AG4" s="118" t="inlineStr">
        <is>
          <t>touch</t>
        </is>
      </c>
      <c r="AH4" s="118" t="inlineStr">
        <is>
          <t>TalkBack</t>
        </is>
      </c>
      <c r="AI4" s="118" t="inlineStr">
        <is>
          <t>failed</t>
        </is>
      </c>
      <c r="AJ4" s="118" t="inlineStr">
        <is>
          <t>Firefox</t>
        </is>
      </c>
      <c r="AK4" s="118" t="inlineStr">
        <is>
          <t>AppBar</t>
        </is>
      </c>
    </row>
    <row r="5" ht="15" customHeight="1" s="58">
      <c r="AA5" s="118" t="inlineStr">
        <is>
          <t>MR-04</t>
        </is>
      </c>
      <c r="AB5" s="118" t="inlineStr">
        <is>
          <t>MR-P3</t>
        </is>
      </c>
      <c r="AC5" s="118" t="inlineStr">
        <is>
          <t>new mobile qualification</t>
        </is>
      </c>
      <c r="AD5" s="118" t="inlineStr">
        <is>
          <t>consumer styling/application responsibility</t>
        </is>
      </c>
      <c r="AE5" s="118" t="inlineStr">
        <is>
          <t>browser emulation — manual</t>
        </is>
      </c>
      <c r="AF5" s="118" t="inlineStr">
        <is>
          <t>iOS</t>
        </is>
      </c>
      <c r="AG5" s="118" t="inlineStr">
        <is>
          <t>virtual keyboard</t>
        </is>
      </c>
      <c r="AH5" s="118" t="inlineStr">
        <is>
          <t>other</t>
        </is>
      </c>
      <c r="AI5" s="118" t="inlineStr">
        <is>
          <t>blocked</t>
        </is>
      </c>
      <c r="AJ5" s="118" t="inlineStr">
        <is>
          <t>WebKit</t>
        </is>
      </c>
      <c r="AK5" s="118" t="inlineStr">
        <is>
          <t>AspectRatio</t>
        </is>
      </c>
    </row>
    <row r="6" ht="24" customHeight="1" s="58">
      <c r="A6" s="87" t="inlineStr">
        <is>
          <t>Status records evidence runs only: not run, passed, failed, blocked, or not applicable. Lifecycle and authorization remain governed by docs/mobile-readiness.md.</t>
        </is>
      </c>
      <c r="AA6" s="118" t="inlineStr">
        <is>
          <t>MR-05</t>
        </is>
      </c>
      <c r="AB6" s="118" t="inlineStr">
        <is>
          <t>MR-P4</t>
        </is>
      </c>
      <c r="AC6" s="118" t="inlineStr">
        <is>
          <t>not applicable</t>
        </is>
      </c>
      <c r="AD6" s="118" t="inlineStr">
        <is>
          <t>already adequately supported</t>
        </is>
      </c>
      <c r="AE6" s="118" t="inlineStr">
        <is>
          <t>browser automation — desktop</t>
        </is>
      </c>
      <c r="AF6" s="118" t="inlineStr">
        <is>
          <t>Android</t>
        </is>
      </c>
      <c r="AG6" s="118" t="inlineStr">
        <is>
          <t>visual viewport</t>
        </is>
      </c>
      <c r="AH6" s="118" t="inlineStr">
        <is>
          <t>not applicable</t>
        </is>
      </c>
      <c r="AI6" s="118" t="inlineStr">
        <is>
          <t>not applicable</t>
        </is>
      </c>
      <c r="AJ6" s="118" t="inlineStr">
        <is>
          <t>Chromium</t>
        </is>
      </c>
      <c r="AK6" s="118" t="inlineStr">
        <is>
          <t>Avatar</t>
        </is>
      </c>
    </row>
    <row r="7" ht="15" customHeight="1" s="58">
      <c r="AA7" s="118" t="inlineStr">
        <is>
          <t>MR-06</t>
        </is>
      </c>
      <c r="AB7" s="118" t="inlineStr">
        <is>
          <t>MR-P5</t>
        </is>
      </c>
      <c r="AD7" s="118" t="inlineStr">
        <is>
          <t>requires browser validation before concluding</t>
        </is>
      </c>
      <c r="AE7" s="118" t="inlineStr">
        <is>
          <t>browser automation — mobile emulation</t>
        </is>
      </c>
      <c r="AF7" s="118" t="inlineStr">
        <is>
          <t>not applicable</t>
        </is>
      </c>
      <c r="AG7" s="118" t="inlineStr">
        <is>
          <t>screen-reader touch exploration</t>
        </is>
      </c>
      <c r="AJ7" s="118" t="inlineStr">
        <is>
          <t>other</t>
        </is>
      </c>
      <c r="AK7" s="118" t="inlineStr">
        <is>
          <t>Badge</t>
        </is>
      </c>
    </row>
    <row r="8" ht="36" customHeight="1" s="58">
      <c r="A8" s="88" t="inlineStr">
        <is>
          <t>Evidence ID</t>
        </is>
      </c>
      <c r="B8" s="88" t="inlineStr">
        <is>
          <t>Finding ID</t>
        </is>
      </c>
      <c r="C8" s="88" t="inlineStr">
        <is>
          <t>Phase ID</t>
        </is>
      </c>
      <c r="D8" s="88" t="inlineStr">
        <is>
          <t>Component</t>
        </is>
      </c>
      <c r="E8" s="88" t="inlineStr">
        <is>
          <t>Scenario / behavior</t>
        </is>
      </c>
      <c r="F8" s="88" t="inlineStr">
        <is>
          <t>Baseline reference</t>
        </is>
      </c>
      <c r="G8" s="88" t="inlineStr">
        <is>
          <t>Baseline disposition</t>
        </is>
      </c>
      <c r="H8" s="88" t="inlineStr">
        <is>
          <t>Classification</t>
        </is>
      </c>
      <c r="I8" s="88" t="inlineStr">
        <is>
          <t>Evidence category</t>
        </is>
      </c>
      <c r="J8" s="88" t="inlineStr">
        <is>
          <t>Platform</t>
        </is>
      </c>
      <c r="K8" s="88" t="inlineStr">
        <is>
          <t>OS version</t>
        </is>
      </c>
      <c r="L8" s="88" t="inlineStr">
        <is>
          <t>Browser / engine</t>
        </is>
      </c>
      <c r="M8" s="88" t="inlineStr">
        <is>
          <t>Browser version / build</t>
        </is>
      </c>
      <c r="N8" s="88" t="inlineStr">
        <is>
          <t>Device / model</t>
        </is>
      </c>
      <c r="O8" s="88" t="inlineStr">
        <is>
          <t>Interaction mode</t>
        </is>
      </c>
      <c r="P8" s="88" t="inlineStr">
        <is>
          <t>Assistive technology</t>
        </is>
      </c>
      <c r="Q8" s="88" t="inlineStr">
        <is>
          <t>Required evidence</t>
        </is>
      </c>
      <c r="R8" s="88" t="inlineStr">
        <is>
          <t>Expected result</t>
        </is>
      </c>
      <c r="S8" s="88" t="inlineStr">
        <is>
          <t>Reviewed protocol reference</t>
        </is>
      </c>
      <c r="T8" s="88" t="inlineStr">
        <is>
          <t>Automation reference</t>
        </is>
      </c>
      <c r="U8" s="88" t="inlineStr">
        <is>
          <t>Status</t>
        </is>
      </c>
      <c r="V8" s="88" t="inlineStr">
        <is>
          <t>Result date</t>
        </is>
      </c>
      <c r="W8" s="88" t="inlineStr">
        <is>
          <t>Issue / decision / commit</t>
        </is>
      </c>
      <c r="X8" s="88" t="inlineStr">
        <is>
          <t>Notes</t>
        </is>
      </c>
      <c r="Y8" s="88" t="inlineStr">
        <is>
          <t>Record check</t>
        </is>
      </c>
      <c r="AA8" s="118" t="inlineStr">
        <is>
          <t>MR-07</t>
        </is>
      </c>
      <c r="AB8" s="118" t="inlineStr">
        <is>
          <t>MR-P6</t>
        </is>
      </c>
      <c r="AE8" s="118" t="inlineStr">
        <is>
          <t>real device — iOS Safari</t>
        </is>
      </c>
      <c r="AG8" s="118" t="inlineStr">
        <is>
          <t>not applicable</t>
        </is>
      </c>
      <c r="AJ8" s="118" t="inlineStr">
        <is>
          <t>not applicable</t>
        </is>
      </c>
      <c r="AK8" s="118" t="inlineStr">
        <is>
          <t>BottomNavigation</t>
        </is>
      </c>
    </row>
    <row r="9" ht="48" customHeight="1" s="58">
      <c r="A9" s="112" t="inlineStr">
        <is>
          <t>MRE-04-DIALOG-001</t>
        </is>
      </c>
      <c r="B9" s="112" t="inlineStr">
        <is>
          <t>MR-04</t>
        </is>
      </c>
      <c r="C9" s="112" t="inlineStr">
        <is>
          <t>MR-P4</t>
        </is>
      </c>
      <c r="D9" s="90" t="inlineStr">
        <is>
          <t>Dialog</t>
        </is>
      </c>
      <c r="E9" s="90" t="inlineStr">
        <is>
          <t>pointer/click trigger activation opens Dialog in the existing desktop manual scenario</t>
        </is>
      </c>
      <c r="F9" s="90" t="inlineStr">
        <is>
          <t>Dialog!ID-92 — tap trigger</t>
        </is>
      </c>
      <c r="G9" s="91" t="inlineStr">
        <is>
          <t>narrow unsupported claim</t>
        </is>
      </c>
      <c r="H9" s="90" t="inlineStr">
        <is>
          <t>already adequately supported</t>
        </is>
      </c>
      <c r="I9" s="91" t="inlineStr">
        <is>
          <t>real device — iOS Safari</t>
        </is>
      </c>
      <c r="J9" s="112" t="inlineStr">
        <is>
          <t>iOS</t>
        </is>
      </c>
      <c r="K9" s="112" t="inlineStr">
        <is>
          <t>26.5.2</t>
        </is>
      </c>
      <c r="L9" s="112" t="inlineStr">
        <is>
          <t>Safari</t>
        </is>
      </c>
      <c r="M9" s="112" t="inlineStr">
        <is>
          <t>26.5.2 system Safari</t>
        </is>
      </c>
      <c r="N9" s="112" t="inlineStr">
        <is>
          <t>iPhone 16 Pro Max</t>
        </is>
      </c>
      <c r="O9" s="112" t="inlineStr">
        <is>
          <t>touch</t>
        </is>
      </c>
      <c r="P9" s="112" t="inlineStr">
        <is>
          <t>none</t>
        </is>
      </c>
      <c r="Q9" s="90" t="inlineStr">
        <is>
          <t>On a named iOS device, exercise pointer/click trigger activation opens Dialog in the existing desktop manual scenario and record OS, browser version, device, date, and reproduction notes.</t>
        </is>
      </c>
      <c r="R9" s="90" t="inlineStr">
        <is>
          <t>Trigger activation opens the Dialog once without duplicate state changes.</t>
        </is>
      </c>
      <c r="S9" s="90" t="inlineStr">
        <is>
          <t>playground/.manual-tests/dialog.md — focused qualification, 2026-07-17</t>
        </is>
      </c>
      <c r="T9" s="90" t="n"/>
      <c r="U9" s="114" t="inlineStr">
        <is>
          <t>passed</t>
        </is>
      </c>
      <c r="V9" s="93" t="n">
        <v>46220</v>
      </c>
      <c r="W9" s="90" t="inlineStr">
        <is>
          <t>Modal foundation commits bbd4656 and 69be97d</t>
        </is>
      </c>
      <c r="X9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9" s="114">
        <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device",OR(K9="",L9="",M9="",N9="",P9="")),"needs device details",IF(AND(OR(U9="passed",U9="failed",U9="blocked"),V9=""),"needs result date","ready"))))))</f>
        <v/>
      </c>
      <c r="AA9" s="118" t="inlineStr">
        <is>
          <t>MR-08</t>
        </is>
      </c>
      <c r="AB9" s="118" t="inlineStr">
        <is>
          <t>MR-P7</t>
        </is>
      </c>
      <c r="AE9" s="118" t="inlineStr">
        <is>
          <t>real device — Android Chrome</t>
        </is>
      </c>
      <c r="AK9" s="118" t="inlineStr">
        <is>
          <t>Breadcrumb</t>
        </is>
      </c>
    </row>
    <row r="10" ht="48" customHeight="1" s="58">
      <c r="A10" s="112" t="inlineStr">
        <is>
          <t>MRE-04-DIALOG-002</t>
        </is>
      </c>
      <c r="B10" s="112" t="inlineStr">
        <is>
          <t>MR-04</t>
        </is>
      </c>
      <c r="C10" s="112" t="inlineStr">
        <is>
          <t>MR-P4</t>
        </is>
      </c>
      <c r="D10" s="90" t="inlineStr">
        <is>
          <t>Dialog</t>
        </is>
      </c>
      <c r="E10" s="90" t="inlineStr">
        <is>
          <t>pointer/click trigger activation opens Dialog in the existing desktop manual scenario</t>
        </is>
      </c>
      <c r="F10" s="90" t="inlineStr">
        <is>
          <t>Dialog!ID-92 — tap trigger</t>
        </is>
      </c>
      <c r="G10" s="91" t="inlineStr">
        <is>
          <t>narrow unsupported claim</t>
        </is>
      </c>
      <c r="H10" s="90" t="inlineStr">
        <is>
          <t>already adequately supported</t>
        </is>
      </c>
      <c r="I10" s="91" t="inlineStr">
        <is>
          <t>real device — Android Chrome</t>
        </is>
      </c>
      <c r="J10" s="112" t="inlineStr">
        <is>
          <t>Android</t>
        </is>
      </c>
      <c r="K10" s="112" t="n"/>
      <c r="L10" s="112" t="inlineStr">
        <is>
          <t>Chrome</t>
        </is>
      </c>
      <c r="M10" s="112" t="n"/>
      <c r="N10" s="112" t="n"/>
      <c r="O10" s="112" t="inlineStr">
        <is>
          <t>touch</t>
        </is>
      </c>
      <c r="P10" s="112" t="inlineStr">
        <is>
          <t>none</t>
        </is>
      </c>
      <c r="Q10" s="90" t="inlineStr">
        <is>
          <t>On a named Android device, exercise pointer/click trigger activation opens Dialog in the existing desktop manual scenario and record OS, browser version, device, date, and reproduction notes.</t>
        </is>
      </c>
      <c r="R10" s="90" t="inlineStr">
        <is>
          <t>Trigger activation opens the Dialog once without duplicate state changes.</t>
        </is>
      </c>
      <c r="S10" s="90" t="inlineStr">
        <is>
          <t>playground/.manual-tests/dialog.md — focused qualification, 2026-07-17</t>
        </is>
      </c>
      <c r="T10" s="90" t="n"/>
      <c r="U10" s="114" t="inlineStr">
        <is>
          <t>not run</t>
        </is>
      </c>
      <c r="V10" s="112" t="n"/>
      <c r="W10" s="90" t="n"/>
      <c r="X10" s="90" t="inlineStr">
        <is>
          <t>Deferred by maintainer because no Android device is available; remains not run and is not represented as a pass or failure.</t>
        </is>
      </c>
      <c r="Y10" s="114">
        <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device",OR(K10="",L10="",M10="",N10="",P10="")),"needs device details",IF(AND(OR(U10="passed",U10="failed",U10="blocked"),V10=""),"needs result date","ready"))))))</f>
        <v/>
      </c>
      <c r="AA10" s="118" t="inlineStr">
        <is>
          <t>MR-09</t>
        </is>
      </c>
      <c r="AB10" s="118" t="inlineStr">
        <is>
          <t>MR-P8</t>
        </is>
      </c>
      <c r="AE10" s="118" t="inlineStr">
        <is>
          <t>real device + AT — iOS Safari + VoiceOver</t>
        </is>
      </c>
      <c r="AK10" s="118" t="inlineStr">
        <is>
          <t>Button</t>
        </is>
      </c>
    </row>
    <row r="11" ht="48" customHeight="1" s="58">
      <c r="A11" s="112" t="inlineStr">
        <is>
          <t>MRE-04-DIALOG-003</t>
        </is>
      </c>
      <c r="B11" s="112" t="inlineStr">
        <is>
          <t>MR-04</t>
        </is>
      </c>
      <c r="C11" s="112" t="inlineStr">
        <is>
          <t>MR-P4</t>
        </is>
      </c>
      <c r="D11" s="90" t="inlineStr">
        <is>
          <t>Dialog</t>
        </is>
      </c>
      <c r="E11" s="90" t="inlineStr">
        <is>
          <t>pointer/click backdrop activation dismisses Dialog in the existing desktop manual scenario</t>
        </is>
      </c>
      <c r="F11" s="90" t="inlineStr">
        <is>
          <t>Dialog!ID-93 — tap backdrop</t>
        </is>
      </c>
      <c r="G11" s="91" t="inlineStr">
        <is>
          <t>narrow unsupported claim</t>
        </is>
      </c>
      <c r="H11" s="90" t="inlineStr">
        <is>
          <t>already adequately supported</t>
        </is>
      </c>
      <c r="I11" s="91" t="inlineStr">
        <is>
          <t>real device — iOS Safari</t>
        </is>
      </c>
      <c r="J11" s="112" t="inlineStr">
        <is>
          <t>iOS</t>
        </is>
      </c>
      <c r="K11" s="112" t="inlineStr">
        <is>
          <t>26.5.2</t>
        </is>
      </c>
      <c r="L11" s="112" t="inlineStr">
        <is>
          <t>Safari</t>
        </is>
      </c>
      <c r="M11" s="112" t="inlineStr">
        <is>
          <t>26.5.2 system Safari</t>
        </is>
      </c>
      <c r="N11" s="112" t="inlineStr">
        <is>
          <t>iPhone 16 Pro Max</t>
        </is>
      </c>
      <c r="O11" s="112" t="inlineStr">
        <is>
          <t>touch</t>
        </is>
      </c>
      <c r="P11" s="112" t="inlineStr">
        <is>
          <t>none</t>
        </is>
      </c>
      <c r="Q11" s="90" t="inlineStr">
        <is>
          <t>On a named iOS device, exercise pointer/click backdrop activation dismisses Dialog in the existing desktop manual scenario and record OS, browser version, device, date, and reproduction notes.</t>
        </is>
      </c>
      <c r="R11" s="90" t="inlineStr">
        <is>
          <t>Backdrop activation dismisses according to the configured contract and leaves focus usable.</t>
        </is>
      </c>
      <c r="S11" s="90" t="inlineStr">
        <is>
          <t>playground/.manual-tests/dialog.md — focused qualification, 2026-07-17</t>
        </is>
      </c>
      <c r="T11" s="90" t="n"/>
      <c r="U11" s="114" t="inlineStr">
        <is>
          <t>passed</t>
        </is>
      </c>
      <c r="V11" s="93" t="n">
        <v>46220</v>
      </c>
      <c r="W11" s="90" t="inlineStr">
        <is>
          <t>Modal foundation commits bbd4656 and 69be97d</t>
        </is>
      </c>
      <c r="X11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1" s="114">
        <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device",OR(K11="",L11="",M11="",N11="",P11="")),"needs device details",IF(AND(OR(U11="passed",U11="failed",U11="blocked"),V11=""),"needs result date","ready"))))))</f>
        <v/>
      </c>
      <c r="AA11" s="118" t="inlineStr">
        <is>
          <t>MR-10</t>
        </is>
      </c>
      <c r="AE11" s="118" t="inlineStr">
        <is>
          <t>real device + AT — Android Chrome + TalkBack</t>
        </is>
      </c>
      <c r="AK11" s="118" t="inlineStr">
        <is>
          <t>Checkbox</t>
        </is>
      </c>
    </row>
    <row r="12" ht="48" customHeight="1" s="58">
      <c r="A12" s="112" t="inlineStr">
        <is>
          <t>MRE-04-DIALOG-004</t>
        </is>
      </c>
      <c r="B12" s="112" t="inlineStr">
        <is>
          <t>MR-04</t>
        </is>
      </c>
      <c r="C12" s="112" t="inlineStr">
        <is>
          <t>MR-P4</t>
        </is>
      </c>
      <c r="D12" s="90" t="inlineStr">
        <is>
          <t>Dialog</t>
        </is>
      </c>
      <c r="E12" s="90" t="inlineStr">
        <is>
          <t>pointer/click backdrop activation dismisses Dialog in the existing desktop manual scenario</t>
        </is>
      </c>
      <c r="F12" s="90" t="inlineStr">
        <is>
          <t>Dialog!ID-93 — tap backdrop</t>
        </is>
      </c>
      <c r="G12" s="91" t="inlineStr">
        <is>
          <t>narrow unsupported claim</t>
        </is>
      </c>
      <c r="H12" s="90" t="inlineStr">
        <is>
          <t>already adequately supported</t>
        </is>
      </c>
      <c r="I12" s="91" t="inlineStr">
        <is>
          <t>real device — Android Chrome</t>
        </is>
      </c>
      <c r="J12" s="112" t="inlineStr">
        <is>
          <t>Android</t>
        </is>
      </c>
      <c r="K12" s="112" t="n"/>
      <c r="L12" s="112" t="inlineStr">
        <is>
          <t>Chrome</t>
        </is>
      </c>
      <c r="M12" s="112" t="n"/>
      <c r="N12" s="112" t="n"/>
      <c r="O12" s="112" t="inlineStr">
        <is>
          <t>touch</t>
        </is>
      </c>
      <c r="P12" s="112" t="inlineStr">
        <is>
          <t>none</t>
        </is>
      </c>
      <c r="Q12" s="90" t="inlineStr">
        <is>
          <t>On a named Android device, exercise pointer/click backdrop activation dismisses Dialog in the existing desktop manual scenario and record OS, browser version, device, date, and reproduction notes.</t>
        </is>
      </c>
      <c r="R12" s="90" t="inlineStr">
        <is>
          <t>Backdrop activation dismisses according to the configured contract and leaves focus usable.</t>
        </is>
      </c>
      <c r="S12" s="90" t="inlineStr">
        <is>
          <t>playground/.manual-tests/dialog.md — focused qualification, 2026-07-17</t>
        </is>
      </c>
      <c r="T12" s="90" t="n"/>
      <c r="U12" s="114" t="inlineStr">
        <is>
          <t>not run</t>
        </is>
      </c>
      <c r="V12" s="112" t="n"/>
      <c r="W12" s="90" t="n"/>
      <c r="X12" s="90" t="inlineStr">
        <is>
          <t>Deferred by maintainer because no Android device is available; remains not run and is not represented as a pass or failure.</t>
        </is>
      </c>
      <c r="Y12" s="114">
        <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device",OR(K12="",L12="",M12="",N12="",P12="")),"needs device details",IF(AND(OR(U12="passed",U12="failed",U12="blocked"),V12=""),"needs result date","ready"))))))</f>
        <v/>
      </c>
      <c r="AA12" s="118" t="inlineStr">
        <is>
          <t>MR-11</t>
        </is>
      </c>
      <c r="AE12" s="118" t="inlineStr">
        <is>
          <t>approved decision / documentation</t>
        </is>
      </c>
      <c r="AK12" s="118" t="inlineStr">
        <is>
          <t>CheckboxGroup</t>
        </is>
      </c>
    </row>
    <row r="13" ht="48" customHeight="1" s="58">
      <c r="A13" s="112" t="inlineStr">
        <is>
          <t>MRE-02-DIALOG-001</t>
        </is>
      </c>
      <c r="B13" s="112" t="inlineStr">
        <is>
          <t>MR-02</t>
        </is>
      </c>
      <c r="C13" s="112" t="inlineStr">
        <is>
          <t>MR-P5</t>
        </is>
      </c>
      <c r="D13" s="90" t="inlineStr">
        <is>
          <t>Dialog</t>
        </is>
      </c>
      <c r="E13" s="90" t="inlineStr">
        <is>
          <t>Dialog fits the manually tested desktop layout viewport; mobile safe-area, visual-viewport, and virtual-keyboard behavior is not qualified</t>
        </is>
      </c>
      <c r="F13" s="90" t="inlineStr">
        <is>
          <t>Dialog!ID-94 — viewport fit</t>
        </is>
      </c>
      <c r="G13" s="91" t="inlineStr">
        <is>
          <t>narrow unsupported claim</t>
        </is>
      </c>
      <c r="H13" s="90" t="inlineStr">
        <is>
          <t>consumer styling/application responsibility</t>
        </is>
      </c>
      <c r="I13" s="91" t="inlineStr">
        <is>
          <t>real device — iOS Safari</t>
        </is>
      </c>
      <c r="J13" s="112" t="inlineStr">
        <is>
          <t>iOS</t>
        </is>
      </c>
      <c r="K13" s="112" t="inlineStr">
        <is>
          <t>26.5.2</t>
        </is>
      </c>
      <c r="L13" s="112" t="inlineStr">
        <is>
          <t>Safari</t>
        </is>
      </c>
      <c r="M13" s="112" t="inlineStr">
        <is>
          <t>26.5.2 system Safari</t>
        </is>
      </c>
      <c r="N13" s="112" t="inlineStr">
        <is>
          <t>iPhone 16 Pro Max</t>
        </is>
      </c>
      <c r="O13" s="112" t="inlineStr">
        <is>
          <t>visual viewport</t>
        </is>
      </c>
      <c r="P13" s="112" t="inlineStr">
        <is>
          <t>none</t>
        </is>
      </c>
      <c r="Q13" s="90" t="inlineStr">
        <is>
          <t>On a named iOS device, exercise Dialog fits the manually tested desktop layout viewport; mobile safe-area, visual-viewport, and virtual-keyboard behavior is not qualified and record OS, browser version, device, date, and reproduction notes.</t>
        </is>
      </c>
      <c r="R13" s="90" t="inlineStr">
        <is>
          <t>The consumer-styled Dialog remains reachable without clipping or keyboard obstruction in the named device scenario.</t>
        </is>
      </c>
      <c r="S13" s="90" t="inlineStr">
        <is>
          <t>playground/.manual-tests/dialog.md — focused qualification, 2026-07-17</t>
        </is>
      </c>
      <c r="T13" s="90" t="n"/>
      <c r="U13" s="114" t="inlineStr">
        <is>
          <t>passed</t>
        </is>
      </c>
      <c r="V13" s="93" t="n">
        <v>46220</v>
      </c>
      <c r="W13" s="90" t="inlineStr">
        <is>
          <t>Modal foundation commits bbd4656 and 69be97d</t>
        </is>
      </c>
      <c r="X1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3" s="114">
        <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device",OR(K13="",L13="",M13="",N13="",P13="")),"needs device details",IF(AND(OR(U13="passed",U13="failed",U13="blocked"),V13=""),"needs result date","ready"))))))</f>
        <v/>
      </c>
      <c r="AA13" s="118" t="inlineStr">
        <is>
          <t>MR-12</t>
        </is>
      </c>
      <c r="AK13" s="118" t="inlineStr">
        <is>
          <t>Collapsible</t>
        </is>
      </c>
    </row>
    <row r="14" ht="48" customHeight="1" s="58">
      <c r="A14" s="112" t="inlineStr">
        <is>
          <t>MRE-02-DIALOG-002</t>
        </is>
      </c>
      <c r="B14" s="112" t="inlineStr">
        <is>
          <t>MR-02</t>
        </is>
      </c>
      <c r="C14" s="112" t="inlineStr">
        <is>
          <t>MR-P5</t>
        </is>
      </c>
      <c r="D14" s="90" t="inlineStr">
        <is>
          <t>Dialog</t>
        </is>
      </c>
      <c r="E14" s="90" t="inlineStr">
        <is>
          <t>Dialog fits the manually tested desktop layout viewport; mobile safe-area, visual-viewport, and virtual-keyboard behavior is not qualified</t>
        </is>
      </c>
      <c r="F14" s="90" t="inlineStr">
        <is>
          <t>Dialog!ID-94 — viewport fit</t>
        </is>
      </c>
      <c r="G14" s="91" t="inlineStr">
        <is>
          <t>narrow unsupported claim</t>
        </is>
      </c>
      <c r="H14" s="90" t="inlineStr">
        <is>
          <t>consumer styling/application responsibility</t>
        </is>
      </c>
      <c r="I14" s="91" t="inlineStr">
        <is>
          <t>real device — Android Chrome</t>
        </is>
      </c>
      <c r="J14" s="112" t="inlineStr">
        <is>
          <t>Android</t>
        </is>
      </c>
      <c r="K14" s="112" t="n"/>
      <c r="L14" s="112" t="inlineStr">
        <is>
          <t>Chrome</t>
        </is>
      </c>
      <c r="M14" s="112" t="n"/>
      <c r="N14" s="112" t="n"/>
      <c r="O14" s="112" t="inlineStr">
        <is>
          <t>visual viewport</t>
        </is>
      </c>
      <c r="P14" s="112" t="inlineStr">
        <is>
          <t>none</t>
        </is>
      </c>
      <c r="Q14" s="90" t="inlineStr">
        <is>
          <t>On a named Android device, exercise Dialog fits the manually tested desktop layout viewport; mobile safe-area, visual-viewport, and virtual-keyboard behavior is not qualified and record OS, browser version, device, date, and reproduction notes.</t>
        </is>
      </c>
      <c r="R14" s="90" t="inlineStr">
        <is>
          <t>The consumer-styled Dialog remains reachable without clipping or keyboard obstruction in the named device scenario.</t>
        </is>
      </c>
      <c r="S14" s="90" t="inlineStr">
        <is>
          <t>playground/.manual-tests/dialog.md — focused qualification, 2026-07-17</t>
        </is>
      </c>
      <c r="T14" s="90" t="n"/>
      <c r="U14" s="114" t="inlineStr">
        <is>
          <t>not run</t>
        </is>
      </c>
      <c r="V14" s="112" t="n"/>
      <c r="W14" s="90" t="n"/>
      <c r="X14" s="90" t="inlineStr">
        <is>
          <t>Deferred by maintainer because no Android device is available; remains not run and is not represented as a pass or failure.</t>
        </is>
      </c>
      <c r="Y14" s="114">
        <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device",OR(K14="",L14="",M14="",N14="",P14="")),"needs device details",IF(AND(OR(U14="passed",U14="failed",U14="blocked"),V14=""),"needs result date","ready"))))))</f>
        <v/>
      </c>
      <c r="AA14" s="118" t="inlineStr">
        <is>
          <t>MR-13</t>
        </is>
      </c>
      <c r="AK14" s="118" t="inlineStr">
        <is>
          <t>Collection</t>
        </is>
      </c>
    </row>
    <row r="15" ht="48" customHeight="1" s="58">
      <c r="A15" s="112" t="inlineStr">
        <is>
          <t>MRE-04-DIALOG-005</t>
        </is>
      </c>
      <c r="B15" s="112" t="inlineStr">
        <is>
          <t>MR-04</t>
        </is>
      </c>
      <c r="C15" s="112" t="inlineStr">
        <is>
          <t>MR-P4</t>
        </is>
      </c>
      <c r="D15" s="90" t="inlineStr">
        <is>
          <t>Dialog</t>
        </is>
      </c>
      <c r="E15" s="90" t="inlineStr">
        <is>
          <t>desktop focus entry, trap, and restoration expectations; mobile screen-reader touch exploration is not qualified</t>
        </is>
      </c>
      <c r="F15" s="90" t="inlineStr">
        <is>
          <t>Dialog!ID-95 — mobile focus expectations</t>
        </is>
      </c>
      <c r="G15" s="91" t="inlineStr">
        <is>
          <t>narrow unsupported claim</t>
        </is>
      </c>
      <c r="H15" s="90" t="inlineStr">
        <is>
          <t>already adequately supported</t>
        </is>
      </c>
      <c r="I15" s="91" t="inlineStr">
        <is>
          <t>real device — iOS Safari</t>
        </is>
      </c>
      <c r="J15" s="112" t="inlineStr">
        <is>
          <t>iOS</t>
        </is>
      </c>
      <c r="K15" s="112" t="inlineStr">
        <is>
          <t>26.5.2</t>
        </is>
      </c>
      <c r="L15" s="112" t="inlineStr">
        <is>
          <t>Safari</t>
        </is>
      </c>
      <c r="M15" s="112" t="inlineStr">
        <is>
          <t>26.5.2 system Safari</t>
        </is>
      </c>
      <c r="N15" s="112" t="inlineStr">
        <is>
          <t>iPhone 16 Pro Max</t>
        </is>
      </c>
      <c r="O15" s="112" t="inlineStr">
        <is>
          <t>touch</t>
        </is>
      </c>
      <c r="P15" s="112" t="inlineStr">
        <is>
          <t>none</t>
        </is>
      </c>
      <c r="Q15" s="90" t="inlineStr">
        <is>
          <t>On a named iOS device, exercise desktop focus entry, trap, and restoration expectations; mobile screen-reader touch exploration is not qualified and record OS, browser version, device, date, and reproduction notes.</t>
        </is>
      </c>
      <c r="R15" s="90" t="inlineStr">
        <is>
          <t>Focus enters, remains within, and returns from the Dialog according to the modal contract.</t>
        </is>
      </c>
      <c r="S15" s="90" t="inlineStr">
        <is>
          <t>playground/.manual-tests/dialog.md — focused qualification, 2026-07-17</t>
        </is>
      </c>
      <c r="T15" s="90" t="n"/>
      <c r="U15" s="114" t="inlineStr">
        <is>
          <t>passed</t>
        </is>
      </c>
      <c r="V15" s="93" t="n">
        <v>46220</v>
      </c>
      <c r="W15" s="90" t="inlineStr">
        <is>
          <t>Modal foundation commits bbd4656 and 69be97d</t>
        </is>
      </c>
      <c r="X1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5" s="114">
        <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device",OR(K15="",L15="",M15="",N15="",P15="")),"needs device details",IF(AND(OR(U15="passed",U15="failed",U15="blocked"),V15=""),"needs result date","ready"))))))</f>
        <v/>
      </c>
      <c r="AA15" s="118" t="inlineStr">
        <is>
          <t>MR-14</t>
        </is>
      </c>
      <c r="AK15" s="118" t="inlineStr">
        <is>
          <t>Combobox</t>
        </is>
      </c>
    </row>
    <row r="16" ht="48" customHeight="1" s="58">
      <c r="A16" s="112" t="inlineStr">
        <is>
          <t>MRE-04-DIALOG-006</t>
        </is>
      </c>
      <c r="B16" s="112" t="inlineStr">
        <is>
          <t>MR-04</t>
        </is>
      </c>
      <c r="C16" s="112" t="inlineStr">
        <is>
          <t>MR-P4</t>
        </is>
      </c>
      <c r="D16" s="90" t="inlineStr">
        <is>
          <t>Dialog</t>
        </is>
      </c>
      <c r="E16" s="90" t="inlineStr">
        <is>
          <t>desktop focus entry, trap, and restoration expectations; mobile screen-reader touch exploration is not qualified</t>
        </is>
      </c>
      <c r="F16" s="90" t="inlineStr">
        <is>
          <t>Dialog!ID-95 — mobile focus expectations</t>
        </is>
      </c>
      <c r="G16" s="91" t="inlineStr">
        <is>
          <t>narrow unsupported claim</t>
        </is>
      </c>
      <c r="H16" s="90" t="inlineStr">
        <is>
          <t>already adequately supported</t>
        </is>
      </c>
      <c r="I16" s="91" t="inlineStr">
        <is>
          <t>real device — Android Chrome</t>
        </is>
      </c>
      <c r="J16" s="112" t="inlineStr">
        <is>
          <t>Android</t>
        </is>
      </c>
      <c r="K16" s="112" t="n"/>
      <c r="L16" s="112" t="inlineStr">
        <is>
          <t>Chrome</t>
        </is>
      </c>
      <c r="M16" s="112" t="n"/>
      <c r="N16" s="112" t="n"/>
      <c r="O16" s="112" t="inlineStr">
        <is>
          <t>touch</t>
        </is>
      </c>
      <c r="P16" s="112" t="inlineStr">
        <is>
          <t>none</t>
        </is>
      </c>
      <c r="Q16" s="90" t="inlineStr">
        <is>
          <t>On a named Android device, exercise desktop focus entry, trap, and restoration expectations; mobile screen-reader touch exploration is not qualified and record OS, browser version, device, date, and reproduction notes.</t>
        </is>
      </c>
      <c r="R16" s="90" t="inlineStr">
        <is>
          <t>Focus enters, remains within, and returns from the Dialog according to the modal contract.</t>
        </is>
      </c>
      <c r="S16" s="90" t="inlineStr">
        <is>
          <t>playground/.manual-tests/dialog.md — focused qualification, 2026-07-17</t>
        </is>
      </c>
      <c r="T16" s="90" t="n"/>
      <c r="U16" s="114" t="inlineStr">
        <is>
          <t>not run</t>
        </is>
      </c>
      <c r="V16" s="112" t="n"/>
      <c r="W16" s="90" t="n"/>
      <c r="X16" s="90" t="inlineStr">
        <is>
          <t>Deferred by maintainer because no Android device is available; remains not run and is not represented as a pass or failure.</t>
        </is>
      </c>
      <c r="Y16" s="114">
        <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device",OR(K16="",L16="",M16="",N16="",P16="")),"needs device details",IF(AND(OR(U16="passed",U16="failed",U16="blocked"),V16=""),"needs result date","ready"))))))</f>
        <v/>
      </c>
      <c r="AA16" s="118" t="inlineStr">
        <is>
          <t>MR-15</t>
        </is>
      </c>
      <c r="AK16" s="118" t="inlineStr">
        <is>
          <t>ContextMenu</t>
        </is>
      </c>
    </row>
    <row r="17" ht="48" customHeight="1" s="58">
      <c r="A17" s="112" t="inlineStr">
        <is>
          <t>MRE-04-MODAL-001</t>
        </is>
      </c>
      <c r="B17" s="112" t="inlineStr">
        <is>
          <t>MR-04</t>
        </is>
      </c>
      <c r="C17" s="112" t="inlineStr">
        <is>
          <t>MR-P4</t>
        </is>
      </c>
      <c r="D17" s="90" t="inlineStr">
        <is>
          <t>Modal</t>
        </is>
      </c>
      <c r="E17" s="90" t="inlineStr">
        <is>
          <t>desktop browser responsive smoke covers pointer, keyboard, focus, and layout-viewport behavior only</t>
        </is>
      </c>
      <c r="F17" s="90" t="inlineStr">
        <is>
          <t>Modal!ID-102 — mobile viewport/touch behavior</t>
        </is>
      </c>
      <c r="G17" s="91" t="inlineStr">
        <is>
          <t>narrow unsupported claim</t>
        </is>
      </c>
      <c r="H17" s="90" t="inlineStr">
        <is>
          <t>already adequately supported</t>
        </is>
      </c>
      <c r="I17" s="91" t="inlineStr">
        <is>
          <t>real device — iOS Safari</t>
        </is>
      </c>
      <c r="J17" s="112" t="inlineStr">
        <is>
          <t>iOS</t>
        </is>
      </c>
      <c r="K17" s="112" t="inlineStr">
        <is>
          <t>26.5.2</t>
        </is>
      </c>
      <c r="L17" s="112" t="inlineStr">
        <is>
          <t>Safari</t>
        </is>
      </c>
      <c r="M17" s="112" t="inlineStr">
        <is>
          <t>26.5.2 system Safari</t>
        </is>
      </c>
      <c r="N17" s="112" t="inlineStr">
        <is>
          <t>iPhone 16 Pro Max</t>
        </is>
      </c>
      <c r="O17" s="112" t="inlineStr">
        <is>
          <t>touch</t>
        </is>
      </c>
      <c r="P17" s="112" t="inlineStr">
        <is>
          <t>none</t>
        </is>
      </c>
      <c r="Q17" s="90" t="inlineStr">
        <is>
          <t>On a named iOS device, exercise desktop browser responsive smoke covers pointer, keyboard, focus, and layout-viewport behavior only and record OS, browser version, device, date, and reproduction notes.</t>
        </is>
      </c>
      <c r="R17" s="90" t="inlineStr">
        <is>
          <t>The modal interaction remains operable and focus remains contained on the named device.</t>
        </is>
      </c>
      <c r="S17" s="90" t="inlineStr">
        <is>
          <t>playground/.manual-tests/dialog.md — focused qualification, 2026-07-17</t>
        </is>
      </c>
      <c r="T17" s="90" t="n"/>
      <c r="U17" s="114" t="inlineStr">
        <is>
          <t>passed</t>
        </is>
      </c>
      <c r="V17" s="93" t="n">
        <v>46220</v>
      </c>
      <c r="W17" s="90" t="inlineStr">
        <is>
          <t>Modal foundation commits bbd4656 and 69be97d</t>
        </is>
      </c>
      <c r="X17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7" s="114">
        <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device",OR(K17="",L17="",M17="",N17="",P17="")),"needs device details",IF(AND(OR(U17="passed",U17="failed",U17="blocked"),V17=""),"needs result date","ready"))))))</f>
        <v/>
      </c>
      <c r="AA17" s="118" t="inlineStr">
        <is>
          <t>MR-16</t>
        </is>
      </c>
      <c r="AK17" s="118" t="inlineStr">
        <is>
          <t>DataGrid</t>
        </is>
      </c>
    </row>
    <row r="18" ht="48" customHeight="1" s="58">
      <c r="A18" s="112" t="inlineStr">
        <is>
          <t>MRE-04-MODAL-002</t>
        </is>
      </c>
      <c r="B18" s="112" t="inlineStr">
        <is>
          <t>MR-04</t>
        </is>
      </c>
      <c r="C18" s="112" t="inlineStr">
        <is>
          <t>MR-P4</t>
        </is>
      </c>
      <c r="D18" s="90" t="inlineStr">
        <is>
          <t>Modal</t>
        </is>
      </c>
      <c r="E18" s="90" t="inlineStr">
        <is>
          <t>desktop browser responsive smoke covers pointer, keyboard, focus, and layout-viewport behavior only</t>
        </is>
      </c>
      <c r="F18" s="90" t="inlineStr">
        <is>
          <t>Modal!ID-102 — mobile viewport/touch behavior</t>
        </is>
      </c>
      <c r="G18" s="91" t="inlineStr">
        <is>
          <t>narrow unsupported claim</t>
        </is>
      </c>
      <c r="H18" s="90" t="inlineStr">
        <is>
          <t>already adequately supported</t>
        </is>
      </c>
      <c r="I18" s="91" t="inlineStr">
        <is>
          <t>real device — Android Chrome</t>
        </is>
      </c>
      <c r="J18" s="112" t="inlineStr">
        <is>
          <t>Android</t>
        </is>
      </c>
      <c r="K18" s="112" t="n"/>
      <c r="L18" s="112" t="inlineStr">
        <is>
          <t>Chrome</t>
        </is>
      </c>
      <c r="M18" s="112" t="n"/>
      <c r="N18" s="112" t="n"/>
      <c r="O18" s="112" t="inlineStr">
        <is>
          <t>touch</t>
        </is>
      </c>
      <c r="P18" s="112" t="inlineStr">
        <is>
          <t>none</t>
        </is>
      </c>
      <c r="Q18" s="90" t="inlineStr">
        <is>
          <t>On a named Android device, exercise desktop browser responsive smoke covers pointer, keyboard, focus, and layout-viewport behavior only and record OS, browser version, device, date, and reproduction notes.</t>
        </is>
      </c>
      <c r="R18" s="90" t="inlineStr">
        <is>
          <t>The modal interaction remains operable and focus remains contained on the named device.</t>
        </is>
      </c>
      <c r="S18" s="90" t="inlineStr">
        <is>
          <t>playground/.manual-tests/dialog.md — focused qualification, 2026-07-17</t>
        </is>
      </c>
      <c r="T18" s="90" t="n"/>
      <c r="U18" s="114" t="inlineStr">
        <is>
          <t>not run</t>
        </is>
      </c>
      <c r="V18" s="112" t="n"/>
      <c r="W18" s="90" t="n"/>
      <c r="X18" s="90" t="inlineStr">
        <is>
          <t>Deferred by maintainer because no Android device is available; remains not run and is not represented as a pass or failure.</t>
        </is>
      </c>
      <c r="Y18" s="114">
        <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device",OR(K18="",L18="",M18="",N18="",P18="")),"needs device details",IF(AND(OR(U18="passed",U18="failed",U18="blocked"),V18=""),"needs result date","ready"))))))</f>
        <v/>
      </c>
      <c r="AA18" s="118" t="inlineStr">
        <is>
          <t>MR-17</t>
        </is>
      </c>
      <c r="AK18" s="118" t="inlineStr">
        <is>
          <t>Dialog</t>
        </is>
      </c>
    </row>
    <row r="19" ht="48" customHeight="1" s="58">
      <c r="A19" s="112" t="inlineStr">
        <is>
          <t>MRE-14-TOOLTIP-001</t>
        </is>
      </c>
      <c r="B19" s="112" t="inlineStr">
        <is>
          <t>MR-14</t>
        </is>
      </c>
      <c r="C19" s="112" t="inlineStr">
        <is>
          <t>MR-P1</t>
        </is>
      </c>
      <c r="D19" s="90" t="inlineStr">
        <is>
          <t>Tooltip</t>
        </is>
      </c>
      <c r="E19" s="90" t="inlineStr">
        <is>
          <t>stationary long press, quick-tap compatibility suppression, cancellation, and release dismissal</t>
        </is>
      </c>
      <c r="F19" s="90" t="inlineStr">
        <is>
          <t>Tooltip!ID-85 through ID-90 — physical touch contract</t>
        </is>
      </c>
      <c r="G19" s="91" t="inlineStr">
        <is>
          <t>narrow unsupported claim</t>
        </is>
      </c>
      <c r="H19" s="90" t="inlineStr">
        <is>
          <t>confirmed Atom implementation gap</t>
        </is>
      </c>
      <c r="I19" s="91" t="inlineStr">
        <is>
          <t>real device — iOS Safari</t>
        </is>
      </c>
      <c r="J19" s="112" t="inlineStr">
        <is>
          <t>iOS</t>
        </is>
      </c>
      <c r="K19" s="112" t="inlineStr">
        <is>
          <t>26.5.2</t>
        </is>
      </c>
      <c r="L19" s="112" t="inlineStr">
        <is>
          <t>Safari</t>
        </is>
      </c>
      <c r="M19" s="112" t="inlineStr">
        <is>
          <t>26.5.2 system Safari</t>
        </is>
      </c>
      <c r="N19" s="112" t="inlineStr">
        <is>
          <t>iPhone 16 Pro Max</t>
        </is>
      </c>
      <c r="O19" s="112" t="inlineStr">
        <is>
          <t>touch</t>
        </is>
      </c>
      <c r="P19" s="112" t="inlineStr">
        <is>
          <t>none</t>
        </is>
      </c>
      <c r="Q19" s="90" t="inlineStr">
        <is>
          <t>On a named iOS device, verify quick tap does not open, stationary 700 ms long press opens once, abandoned gestures cancel, selection/callout does not replace the hold, and release dismissal is deterministic.</t>
        </is>
      </c>
      <c r="R19" s="90" t="inlineStr">
        <is>
          <t>Quick tap stays closed; long press opens once; plain/rich dismiss 1500/3000 ms after release; cancellation never produces delayed opening.</t>
        </is>
      </c>
      <c r="S19" s="90" t="inlineStr">
        <is>
          <t>playground/manual-tests/tooltip.md — Steps 11–12, 2026-07-19</t>
        </is>
      </c>
      <c r="T19" s="90" t="n"/>
      <c r="U19" s="114" t="inlineStr">
        <is>
          <t>passed</t>
        </is>
      </c>
      <c r="V19" s="94" t="n">
        <v>46222</v>
      </c>
      <c r="W19" s="90" t="inlineStr">
        <is>
          <t>Atom 0.3.5 Tooltip touch candidate</t>
        </is>
      </c>
      <c r="X19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19" s="114">
        <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device",OR(K19="",L19="",M19="",N19="",P19="")),"needs device details",IF(AND(OR(U19="passed",U19="failed",U19="blocked"),V19=""),"needs result date","ready"))))))</f>
        <v/>
      </c>
      <c r="AA19" s="118" t="inlineStr">
        <is>
          <t>MR-18</t>
        </is>
      </c>
      <c r="AK19" s="118" t="inlineStr">
        <is>
          <t>Direction</t>
        </is>
      </c>
    </row>
    <row r="20" ht="48" customHeight="1" s="58">
      <c r="A20" s="112" t="inlineStr">
        <is>
          <t>MRE-14-TOOLTIP-002</t>
        </is>
      </c>
      <c r="B20" s="112" t="inlineStr">
        <is>
          <t>MR-14</t>
        </is>
      </c>
      <c r="C20" s="112" t="inlineStr">
        <is>
          <t>MR-P1</t>
        </is>
      </c>
      <c r="D20" s="90" t="inlineStr">
        <is>
          <t>Tooltip</t>
        </is>
      </c>
      <c r="E20" s="90" t="inlineStr">
        <is>
          <t>opens on pointer hover and keyboard focus-visible</t>
        </is>
      </c>
      <c r="F20" s="90" t="inlineStr">
        <is>
          <t>Tooltip!ID-9 — Opens on pointer hover, keyboard focus-visible, and touch long press</t>
        </is>
      </c>
      <c r="G20" s="91" t="inlineStr">
        <is>
          <t>narrow unsupported claim</t>
        </is>
      </c>
      <c r="H20" s="90" t="inlineStr">
        <is>
          <t>confirmed Atom implementation gap</t>
        </is>
      </c>
      <c r="I20" s="91" t="inlineStr">
        <is>
          <t>real device — Android Chrome</t>
        </is>
      </c>
      <c r="J20" s="112" t="inlineStr">
        <is>
          <t>Android</t>
        </is>
      </c>
      <c r="K20" s="112" t="n"/>
      <c r="L20" s="112" t="inlineStr">
        <is>
          <t>Chrome</t>
        </is>
      </c>
      <c r="M20" s="112" t="n"/>
      <c r="N20" s="112" t="n"/>
      <c r="O20" s="112" t="inlineStr">
        <is>
          <t>touch</t>
        </is>
      </c>
      <c r="P20" s="112" t="inlineStr">
        <is>
          <t>none</t>
        </is>
      </c>
      <c r="Q20" s="90" t="inlineStr">
        <is>
          <t>On a named Android device, exercise opens on pointer hover and keyboard focus-visible and record OS, browser version, device, date, and reproduction notes.</t>
        </is>
      </c>
      <c r="R20" s="90" t="inlineStr">
        <is>
          <t>A completed long press opens the Tooltip; movement, cancellation, and unmount prevent delayed opening.</t>
        </is>
      </c>
      <c r="S20" s="90" t="n"/>
      <c r="T20" s="90" t="n"/>
      <c r="U20" s="114" t="inlineStr">
        <is>
          <t>not run</t>
        </is>
      </c>
      <c r="V20" s="112" t="n"/>
      <c r="W20" s="90" t="n"/>
      <c r="X20" s="90" t="inlineStr">
        <is>
          <t>Existing component coverage remains the verified desktop/manual baseline; this record is an additional device qualification.</t>
        </is>
      </c>
      <c r="Y20" s="114">
        <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device",OR(K20="",L20="",M20="",N20="",P20="")),"needs device details",IF(AND(OR(U20="passed",U20="failed",U20="blocked"),V20=""),"needs result date","ready"))))))</f>
        <v/>
      </c>
      <c r="AA20" s="118" t="inlineStr">
        <is>
          <t>MR-19</t>
        </is>
      </c>
      <c r="AK20" s="118" t="inlineStr">
        <is>
          <t>Divider</t>
        </is>
      </c>
    </row>
    <row r="21" ht="48" customHeight="1" s="58">
      <c r="A21" s="112" t="inlineStr">
        <is>
          <t>MRE-14-TOOLTIP-003</t>
        </is>
      </c>
      <c r="B21" s="112" t="inlineStr">
        <is>
          <t>MR-14</t>
        </is>
      </c>
      <c r="C21" s="112" t="inlineStr">
        <is>
          <t>MR-P1</t>
        </is>
      </c>
      <c r="D21" s="90" t="inlineStr">
        <is>
          <t>Tooltip</t>
        </is>
      </c>
      <c r="E21" s="90" t="inlineStr">
        <is>
          <t>native scrolling cancels pending or opened touch Tooltip without delayed reopening</t>
        </is>
      </c>
      <c r="F21" s="90" t="inlineStr">
        <is>
          <t>Tooltip!ID-88 through ID-90 — touch cancellation and native behavior</t>
        </is>
      </c>
      <c r="G21" s="91" t="inlineStr">
        <is>
          <t>narrow unsupported claim</t>
        </is>
      </c>
      <c r="H21" s="90" t="inlineStr">
        <is>
          <t>confirmed Atom implementation gap</t>
        </is>
      </c>
      <c r="I21" s="91" t="inlineStr">
        <is>
          <t>real device — iOS Safari</t>
        </is>
      </c>
      <c r="J21" s="112" t="inlineStr">
        <is>
          <t>iOS</t>
        </is>
      </c>
      <c r="K21" s="112" t="inlineStr">
        <is>
          <t>26.5.2</t>
        </is>
      </c>
      <c r="L21" s="112" t="inlineStr">
        <is>
          <t>Safari</t>
        </is>
      </c>
      <c r="M21" s="112" t="inlineStr">
        <is>
          <t>26.5.2 system Safari</t>
        </is>
      </c>
      <c r="N21" s="112" t="inlineStr">
        <is>
          <t>iPhone 16 Pro Max</t>
        </is>
      </c>
      <c r="O21" s="112" t="inlineStr">
        <is>
          <t>touch</t>
        </is>
      </c>
      <c r="P21" s="112" t="inlineStr">
        <is>
          <t>none</t>
        </is>
      </c>
      <c r="Q21" s="90" t="inlineStr">
        <is>
          <t>On a named iOS device, drag vertically before and after opening, then repeat a valid long press while confirming ordinary page scrolling remains native.</t>
        </is>
      </c>
      <c r="R21" s="90" t="inlineStr">
        <is>
          <t>Scrolling remains native, cancels the touch session, and leaves later long presses usable without stale callbacks.</t>
        </is>
      </c>
      <c r="S21" s="90" t="inlineStr">
        <is>
          <t>playground/manual-tests/tooltip.md — Steps 11–12, 2026-07-19</t>
        </is>
      </c>
      <c r="T21" s="90" t="n"/>
      <c r="U21" s="114" t="inlineStr">
        <is>
          <t>passed</t>
        </is>
      </c>
      <c r="V21" s="94" t="n">
        <v>46222</v>
      </c>
      <c r="W21" s="90" t="inlineStr">
        <is>
          <t>Atom 0.3.5 Tooltip touch candidate</t>
        </is>
      </c>
      <c r="X21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21" s="114">
        <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device",OR(K21="",L21="",M21="",N21="",P21="")),"needs device details",IF(AND(OR(U21="passed",U21="failed",U21="blocked"),V21=""),"needs result date","ready"))))))</f>
        <v/>
      </c>
      <c r="AA21" s="118" t="inlineStr">
        <is>
          <t>MR-20</t>
        </is>
      </c>
      <c r="AK21" s="118" t="inlineStr">
        <is>
          <t>Drawer</t>
        </is>
      </c>
    </row>
    <row r="22" ht="48" customHeight="1" s="58">
      <c r="A22" s="112" t="inlineStr">
        <is>
          <t>MRE-14-TOOLTIP-004</t>
        </is>
      </c>
      <c r="B22" s="112" t="inlineStr">
        <is>
          <t>MR-14</t>
        </is>
      </c>
      <c r="C22" s="112" t="inlineStr">
        <is>
          <t>MR-P1</t>
        </is>
      </c>
      <c r="D22" s="90" t="inlineStr">
        <is>
          <t>Tooltip</t>
        </is>
      </c>
      <c r="E22" s="90" t="inlineStr">
        <is>
          <t>desktop responsive smoke only; mobile touch and viewport behavior is not qualified</t>
        </is>
      </c>
      <c r="F22" s="90" t="inlineStr">
        <is>
          <t>Tooltip!ID-78 — mobile viewport/touch behavior</t>
        </is>
      </c>
      <c r="G22" s="91" t="inlineStr">
        <is>
          <t>narrow unsupported claim</t>
        </is>
      </c>
      <c r="H22" s="90" t="inlineStr">
        <is>
          <t>confirmed Atom implementation gap</t>
        </is>
      </c>
      <c r="I22" s="91" t="inlineStr">
        <is>
          <t>real device — Android Chrome</t>
        </is>
      </c>
      <c r="J22" s="112" t="inlineStr">
        <is>
          <t>Android</t>
        </is>
      </c>
      <c r="K22" s="112" t="n"/>
      <c r="L22" s="112" t="inlineStr">
        <is>
          <t>Chrome</t>
        </is>
      </c>
      <c r="M22" s="112" t="n"/>
      <c r="N22" s="112" t="n"/>
      <c r="O22" s="112" t="inlineStr">
        <is>
          <t>touch</t>
        </is>
      </c>
      <c r="P22" s="112" t="inlineStr">
        <is>
          <t>none</t>
        </is>
      </c>
      <c r="Q22" s="90" t="inlineStr">
        <is>
          <t>On a named Android device, exercise desktop responsive smoke only; mobile touch and viewport behavior is not qualified and record OS, browser version, device, date, and reproduction notes.</t>
        </is>
      </c>
      <c r="R22" s="90" t="inlineStr">
        <is>
          <t>Tooltip touch activation and cancellation follow the documented contract without affecting scrolling.</t>
        </is>
      </c>
      <c r="S22" s="90" t="n"/>
      <c r="T22" s="90" t="n"/>
      <c r="U22" s="114" t="inlineStr">
        <is>
          <t>not run</t>
        </is>
      </c>
      <c r="V22" s="112" t="n"/>
      <c r="W22" s="90" t="n"/>
      <c r="X22" s="90" t="inlineStr">
        <is>
          <t>Existing component coverage remains the verified desktop/manual baseline; this record is an additional device qualification.</t>
        </is>
      </c>
      <c r="Y22" s="114">
        <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device",OR(K22="",L22="",M22="",N22="",P22="")),"needs device details",IF(AND(OR(U22="passed",U22="failed",U22="blocked"),V22=""),"needs result date","ready"))))))</f>
        <v/>
      </c>
      <c r="AA22" s="118" t="inlineStr">
        <is>
          <t>MR-21</t>
        </is>
      </c>
      <c r="AK22" s="118" t="inlineStr">
        <is>
          <t>DropdownMenu</t>
        </is>
      </c>
    </row>
    <row r="23" ht="48" customHeight="1" s="58">
      <c r="A23" s="112" t="inlineStr">
        <is>
          <t>MRE-01-TOOLTIP-001</t>
        </is>
      </c>
      <c r="B23" s="112" t="inlineStr">
        <is>
          <t>MR-01</t>
        </is>
      </c>
      <c r="C23" s="112" t="inlineStr">
        <is>
          <t>MR-P5</t>
        </is>
      </c>
      <c r="D23" s="90" t="inlineStr">
        <is>
          <t>Tooltip</t>
        </is>
      </c>
      <c r="E23" s="90" t="inlineStr">
        <is>
          <t>collision, flip, and shift stay within the manually tested desktop layout viewport</t>
        </is>
      </c>
      <c r="F23" s="90" t="inlineStr">
        <is>
          <t>Tooltip!ID-83 — collision/flip/shift behavior stays in viewport</t>
        </is>
      </c>
      <c r="G23" s="91" t="inlineStr">
        <is>
          <t>narrow unsupported claim</t>
        </is>
      </c>
      <c r="H23" s="90" t="inlineStr">
        <is>
          <t>requires browser validation before concluding</t>
        </is>
      </c>
      <c r="I23" s="91" t="inlineStr">
        <is>
          <t>real device — iOS Safari</t>
        </is>
      </c>
      <c r="J23" s="112" t="inlineStr">
        <is>
          <t>iOS</t>
        </is>
      </c>
      <c r="K23" s="112" t="n"/>
      <c r="L23" s="112" t="inlineStr">
        <is>
          <t>Safari</t>
        </is>
      </c>
      <c r="M23" s="112" t="n"/>
      <c r="N23" s="112" t="n"/>
      <c r="O23" s="112" t="inlineStr">
        <is>
          <t>visual viewport</t>
        </is>
      </c>
      <c r="P23" s="112" t="inlineStr">
        <is>
          <t>none</t>
        </is>
      </c>
      <c r="Q23" s="90" t="inlineStr">
        <is>
          <t>On a named iOS device, exercise collision, flip, and shift stay within the manually tested desktop layout viewport and record OS, browser version, device, date, and reproduction notes.</t>
        </is>
      </c>
      <c r="R23" s="90" t="inlineStr">
        <is>
          <t>The Tooltip remains visible and correctly anchored during named mobile viewport changes.</t>
        </is>
      </c>
      <c r="S23" s="90" t="n"/>
      <c r="T23" s="90" t="n"/>
      <c r="U23" s="114" t="inlineStr">
        <is>
          <t>not run</t>
        </is>
      </c>
      <c r="V23" s="112" t="n"/>
      <c r="W23" s="90" t="n"/>
      <c r="X23" s="90" t="inlineStr">
        <is>
          <t>Existing component coverage remains the verified desktop/manual baseline; this record is an additional device qualification.</t>
        </is>
      </c>
      <c r="Y23" s="114">
        <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device",OR(K23="",L23="",M23="",N23="",P23="")),"needs device details",IF(AND(OR(U23="passed",U23="failed",U23="blocked"),V23=""),"needs result date","ready"))))))</f>
        <v/>
      </c>
      <c r="AA23" s="118" t="inlineStr">
        <is>
          <t>MR-22</t>
        </is>
      </c>
      <c r="AK23" s="118" t="inlineStr">
        <is>
          <t>Feed</t>
        </is>
      </c>
    </row>
    <row r="24" ht="48" customHeight="1" s="58">
      <c r="A24" s="112" t="inlineStr">
        <is>
          <t>MRE-01-TOOLTIP-002</t>
        </is>
      </c>
      <c r="B24" s="112" t="inlineStr">
        <is>
          <t>MR-01</t>
        </is>
      </c>
      <c r="C24" s="112" t="inlineStr">
        <is>
          <t>MR-P5</t>
        </is>
      </c>
      <c r="D24" s="90" t="inlineStr">
        <is>
          <t>Tooltip</t>
        </is>
      </c>
      <c r="E24" s="90" t="inlineStr">
        <is>
          <t>collision, flip, and shift stay within the manually tested desktop layout viewport</t>
        </is>
      </c>
      <c r="F24" s="90" t="inlineStr">
        <is>
          <t>Tooltip!ID-83 — collision/flip/shift behavior stays in viewport</t>
        </is>
      </c>
      <c r="G24" s="91" t="inlineStr">
        <is>
          <t>narrow unsupported claim</t>
        </is>
      </c>
      <c r="H24" s="90" t="inlineStr">
        <is>
          <t>requires browser validation before concluding</t>
        </is>
      </c>
      <c r="I24" s="91" t="inlineStr">
        <is>
          <t>real device — Android Chrome</t>
        </is>
      </c>
      <c r="J24" s="112" t="inlineStr">
        <is>
          <t>Android</t>
        </is>
      </c>
      <c r="K24" s="112" t="n"/>
      <c r="L24" s="112" t="inlineStr">
        <is>
          <t>Chrome</t>
        </is>
      </c>
      <c r="M24" s="112" t="n"/>
      <c r="N24" s="112" t="n"/>
      <c r="O24" s="112" t="inlineStr">
        <is>
          <t>visual viewport</t>
        </is>
      </c>
      <c r="P24" s="112" t="inlineStr">
        <is>
          <t>none</t>
        </is>
      </c>
      <c r="Q24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4" s="90" t="inlineStr">
        <is>
          <t>The Tooltip remains visible and correctly anchored during named mobile viewport changes.</t>
        </is>
      </c>
      <c r="S24" s="90" t="n"/>
      <c r="T24" s="90" t="n"/>
      <c r="U24" s="114" t="inlineStr">
        <is>
          <t>not run</t>
        </is>
      </c>
      <c r="V24" s="112" t="n"/>
      <c r="W24" s="90" t="n"/>
      <c r="X24" s="90" t="inlineStr">
        <is>
          <t>Existing component coverage remains the verified desktop/manual baseline; this record is an additional device qualification.</t>
        </is>
      </c>
      <c r="Y24" s="114">
        <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device",OR(K24="",L24="",M24="",N24="",P24="")),"needs device details",IF(AND(OR(U24="passed",U24="failed",U24="blocked"),V24=""),"needs result date","ready"))))))</f>
        <v/>
      </c>
      <c r="AK24" s="118" t="inlineStr">
        <is>
          <t>Field</t>
        </is>
      </c>
    </row>
    <row r="25" ht="48" customHeight="1" s="58">
      <c r="A25" s="112" t="inlineStr">
        <is>
          <t>MRE-03-POPOVER-001</t>
        </is>
      </c>
      <c r="B25" s="112" t="inlineStr">
        <is>
          <t>MR-03</t>
        </is>
      </c>
      <c r="C25" s="112" t="inlineStr">
        <is>
          <t>MR-P2</t>
        </is>
      </c>
      <c r="D25" s="90" t="inlineStr">
        <is>
          <t>Popover</t>
        </is>
      </c>
      <c r="E25" s="90" t="inlineStr">
        <is>
          <t>desktop browser manual workflow covers pointer and keyboard; responsive mode is smoke only and is not mobile-device evidence</t>
        </is>
      </c>
      <c r="F25" s="90" t="inlineStr">
        <is>
          <t>Popover!ID-125 — desktop browser manual workflow covers pointer and keyboard behavior; mobile touch remains responsive smoke only</t>
        </is>
      </c>
      <c r="G25" s="91" t="inlineStr">
        <is>
          <t>narrow unsupported claim</t>
        </is>
      </c>
      <c r="H25" s="90" t="inlineStr">
        <is>
          <t>confirmed Atom implementation gap</t>
        </is>
      </c>
      <c r="I25" s="91" t="inlineStr">
        <is>
          <t>real device — iOS Safari</t>
        </is>
      </c>
      <c r="J25" s="112" t="inlineStr">
        <is>
          <t>iOS</t>
        </is>
      </c>
      <c r="K25" s="112" t="n"/>
      <c r="L25" s="112" t="inlineStr">
        <is>
          <t>Safari</t>
        </is>
      </c>
      <c r="M25" s="112" t="n"/>
      <c r="N25" s="112" t="n"/>
      <c r="O25" s="112" t="inlineStr">
        <is>
          <t>touch</t>
        </is>
      </c>
      <c r="P25" s="112" t="inlineStr">
        <is>
          <t>none</t>
        </is>
      </c>
      <c r="Q25" s="90" t="inlineStr">
        <is>
          <t>On a named iOS device, exercise desktop browser manual workflow covers pointer and keyboard; responsive mode is smoke only and is not mobile-device evidence and record OS, browser version, device, date, and reproduction notes.</t>
        </is>
      </c>
      <c r="R25" s="90" t="inlineStr">
        <is>
          <t>Long modal Popover content scrolls while background containment remains correct on the named device.</t>
        </is>
      </c>
      <c r="S25" s="90" t="n"/>
      <c r="T25" s="90" t="n"/>
      <c r="U25" s="114" t="inlineStr">
        <is>
          <t>not run</t>
        </is>
      </c>
      <c r="V25" s="112" t="n"/>
      <c r="W25" s="90" t="n"/>
      <c r="X25" s="90" t="inlineStr">
        <is>
          <t>Existing component coverage remains the verified desktop/manual baseline; this record is an additional device qualification.</t>
        </is>
      </c>
      <c r="Y25" s="114">
        <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device",OR(K25="",L25="",M25="",N25="",P25="")),"needs device details",IF(AND(OR(U25="passed",U25="failed",U25="blocked"),V25=""),"needs result date","ready"))))))</f>
        <v/>
      </c>
      <c r="AK25" s="118" t="inlineStr">
        <is>
          <t>Fieldset</t>
        </is>
      </c>
    </row>
    <row r="26" ht="48" customHeight="1" s="58">
      <c r="A26" s="112" t="inlineStr">
        <is>
          <t>MRE-03-POPOVER-002</t>
        </is>
      </c>
      <c r="B26" s="112" t="inlineStr">
        <is>
          <t>MR-03</t>
        </is>
      </c>
      <c r="C26" s="112" t="inlineStr">
        <is>
          <t>MR-P2</t>
        </is>
      </c>
      <c r="D26" s="90" t="inlineStr">
        <is>
          <t>Popover</t>
        </is>
      </c>
      <c r="E26" s="90" t="inlineStr">
        <is>
          <t>desktop browser manual workflow covers pointer and keyboard; responsive mode is smoke only and is not mobile-device evidence</t>
        </is>
      </c>
      <c r="F26" s="90" t="inlineStr">
        <is>
          <t>Popover!ID-125 — desktop browser manual workflow covers pointer and keyboard behavior; mobile touch remains responsive smoke only</t>
        </is>
      </c>
      <c r="G26" s="91" t="inlineStr">
        <is>
          <t>narrow unsupported claim</t>
        </is>
      </c>
      <c r="H26" s="90" t="inlineStr">
        <is>
          <t>confirmed Atom implementation gap</t>
        </is>
      </c>
      <c r="I26" s="91" t="inlineStr">
        <is>
          <t>real device — Android Chrome</t>
        </is>
      </c>
      <c r="J26" s="112" t="inlineStr">
        <is>
          <t>Android</t>
        </is>
      </c>
      <c r="K26" s="112" t="n"/>
      <c r="L26" s="112" t="inlineStr">
        <is>
          <t>Chrome</t>
        </is>
      </c>
      <c r="M26" s="112" t="n"/>
      <c r="N26" s="112" t="n"/>
      <c r="O26" s="112" t="inlineStr">
        <is>
          <t>touch</t>
        </is>
      </c>
      <c r="P26" s="112" t="inlineStr">
        <is>
          <t>none</t>
        </is>
      </c>
      <c r="Q26" s="90" t="inlineStr">
        <is>
          <t>On a named Android device, exercise desktop browser manual workflow covers pointer and keyboard; responsive mode is smoke only and is not mobile-device evidence and record OS, browser version, device, date, and reproduction notes.</t>
        </is>
      </c>
      <c r="R26" s="90" t="inlineStr">
        <is>
          <t>Long modal Popover content scrolls while background containment remains correct on the named device.</t>
        </is>
      </c>
      <c r="S26" s="90" t="n"/>
      <c r="T26" s="90" t="n"/>
      <c r="U26" s="114" t="inlineStr">
        <is>
          <t>not run</t>
        </is>
      </c>
      <c r="V26" s="112" t="n"/>
      <c r="W26" s="90" t="n"/>
      <c r="X26" s="90" t="inlineStr">
        <is>
          <t>Existing component coverage remains the verified desktop/manual baseline; this record is an additional device qualification.</t>
        </is>
      </c>
      <c r="Y26" s="114">
        <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device",OR(K26="",L26="",M26="",N26="",P26="")),"needs device details",IF(AND(OR(U26="passed",U26="failed",U26="blocked"),V26=""),"needs result date","ready"))))))</f>
        <v/>
      </c>
      <c r="AK26" s="118" t="inlineStr">
        <is>
          <t>FileUpload</t>
        </is>
      </c>
    </row>
    <row r="27" ht="48" customHeight="1" s="58">
      <c r="A27" s="112" t="inlineStr">
        <is>
          <t>MRE-01-POPOVER-001</t>
        </is>
      </c>
      <c r="B27" s="112" t="inlineStr">
        <is>
          <t>MR-01</t>
        </is>
      </c>
      <c r="C27" s="112" t="inlineStr">
        <is>
          <t>MR-P5</t>
        </is>
      </c>
      <c r="D27" s="90" t="inlineStr">
        <is>
          <t>Popover</t>
        </is>
      </c>
      <c r="E27" s="90" t="inlineStr">
        <is>
          <t>collision, flip, and shift stay within the manually tested desktop layout viewport</t>
        </is>
      </c>
      <c r="F27" s="90" t="inlineStr">
        <is>
          <t>Popover!ID-130 — collision/flip/shift behavior stays in viewport</t>
        </is>
      </c>
      <c r="G27" s="91" t="inlineStr">
        <is>
          <t>narrow unsupported claim</t>
        </is>
      </c>
      <c r="H27" s="90" t="inlineStr">
        <is>
          <t>requires browser validation before concluding</t>
        </is>
      </c>
      <c r="I27" s="91" t="inlineStr">
        <is>
          <t>real device — iOS Safari</t>
        </is>
      </c>
      <c r="J27" s="112" t="inlineStr">
        <is>
          <t>iOS</t>
        </is>
      </c>
      <c r="K27" s="112" t="n"/>
      <c r="L27" s="112" t="inlineStr">
        <is>
          <t>Safari</t>
        </is>
      </c>
      <c r="M27" s="112" t="n"/>
      <c r="N27" s="112" t="n"/>
      <c r="O27" s="112" t="inlineStr">
        <is>
          <t>visual viewport</t>
        </is>
      </c>
      <c r="P27" s="112" t="inlineStr">
        <is>
          <t>none</t>
        </is>
      </c>
      <c r="Q27" s="90" t="inlineStr">
        <is>
          <t>On a named iOS device, exercise collision, flip, and shift stay within the manually tested desktop layout viewport and record OS, browser version, device, date, and reproduction notes.</t>
        </is>
      </c>
      <c r="R27" s="90" t="inlineStr">
        <is>
          <t>Popover content remains reachable and correctly anchored during named mobile viewport changes.</t>
        </is>
      </c>
      <c r="S27" s="90" t="n"/>
      <c r="T27" s="90" t="n"/>
      <c r="U27" s="114" t="inlineStr">
        <is>
          <t>not run</t>
        </is>
      </c>
      <c r="V27" s="112" t="n"/>
      <c r="W27" s="90" t="n"/>
      <c r="X27" s="90" t="inlineStr">
        <is>
          <t>Existing component coverage remains the verified desktop/manual baseline; this record is an additional device qualification.</t>
        </is>
      </c>
      <c r="Y27" s="114">
        <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device",OR(K27="",L27="",M27="",N27="",P27="")),"needs device details",IF(AND(OR(U27="passed",U27="failed",U27="blocked"),V27=""),"needs result date","ready"))))))</f>
        <v/>
      </c>
      <c r="AK27" s="118" t="inlineStr">
        <is>
          <t>Form</t>
        </is>
      </c>
    </row>
    <row r="28" ht="48" customHeight="1" s="58">
      <c r="A28" s="112" t="inlineStr">
        <is>
          <t>MRE-01-POPOVER-002</t>
        </is>
      </c>
      <c r="B28" s="112" t="inlineStr">
        <is>
          <t>MR-01</t>
        </is>
      </c>
      <c r="C28" s="112" t="inlineStr">
        <is>
          <t>MR-P5</t>
        </is>
      </c>
      <c r="D28" s="90" t="inlineStr">
        <is>
          <t>Popover</t>
        </is>
      </c>
      <c r="E28" s="90" t="inlineStr">
        <is>
          <t>collision, flip, and shift stay within the manually tested desktop layout viewport</t>
        </is>
      </c>
      <c r="F28" s="90" t="inlineStr">
        <is>
          <t>Popover!ID-130 — collision/flip/shift behavior stays in viewport</t>
        </is>
      </c>
      <c r="G28" s="91" t="inlineStr">
        <is>
          <t>narrow unsupported claim</t>
        </is>
      </c>
      <c r="H28" s="90" t="inlineStr">
        <is>
          <t>requires browser validation before concluding</t>
        </is>
      </c>
      <c r="I28" s="91" t="inlineStr">
        <is>
          <t>real device — Android Chrome</t>
        </is>
      </c>
      <c r="J28" s="112" t="inlineStr">
        <is>
          <t>Android</t>
        </is>
      </c>
      <c r="K28" s="112" t="n"/>
      <c r="L28" s="112" t="inlineStr">
        <is>
          <t>Chrome</t>
        </is>
      </c>
      <c r="M28" s="112" t="n"/>
      <c r="N28" s="112" t="n"/>
      <c r="O28" s="112" t="inlineStr">
        <is>
          <t>visual viewport</t>
        </is>
      </c>
      <c r="P28" s="112" t="inlineStr">
        <is>
          <t>none</t>
        </is>
      </c>
      <c r="Q28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8" s="90" t="inlineStr">
        <is>
          <t>Popover content remains reachable and correctly anchored during named mobile viewport changes.</t>
        </is>
      </c>
      <c r="S28" s="90" t="n"/>
      <c r="T28" s="90" t="n"/>
      <c r="U28" s="114" t="inlineStr">
        <is>
          <t>not run</t>
        </is>
      </c>
      <c r="V28" s="112" t="n"/>
      <c r="W28" s="90" t="n"/>
      <c r="X28" s="90" t="inlineStr">
        <is>
          <t>Existing component coverage remains the verified desktop/manual baseline; this record is an additional device qualification.</t>
        </is>
      </c>
      <c r="Y28" s="114">
        <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device",OR(K28="",L28="",M28="",N28="",P28="")),"needs device details",IF(AND(OR(U28="passed",U28="failed",U28="blocked"),V28=""),"needs result date","ready"))))))</f>
        <v/>
      </c>
      <c r="AK28" s="118" t="inlineStr">
        <is>
          <t>HoverCard</t>
        </is>
      </c>
    </row>
    <row r="29" ht="48" customHeight="1" s="58">
      <c r="A29" s="112" t="inlineStr">
        <is>
          <t>MRE-01-SELECT-001</t>
        </is>
      </c>
      <c r="B29" s="112" t="inlineStr">
        <is>
          <t>MR-01</t>
        </is>
      </c>
      <c r="C29" s="112" t="inlineStr">
        <is>
          <t>MR-P5</t>
        </is>
      </c>
      <c r="D29" s="90" t="inlineStr">
        <is>
          <t>Select</t>
        </is>
      </c>
      <c r="E29" s="90" t="inlineStr">
        <is>
          <t>flips and shifts near the edge of the manually tested desktop layout viewport</t>
        </is>
      </c>
      <c r="F29" s="90" t="inlineStr">
        <is>
          <t>Select!ID-82 — flips/shifts near viewport edge</t>
        </is>
      </c>
      <c r="G29" s="91" t="inlineStr">
        <is>
          <t>narrow unsupported claim</t>
        </is>
      </c>
      <c r="H29" s="90" t="inlineStr">
        <is>
          <t>requires browser validation before concluding</t>
        </is>
      </c>
      <c r="I29" s="91" t="inlineStr">
        <is>
          <t>real device — iOS Safari</t>
        </is>
      </c>
      <c r="J29" s="112" t="inlineStr">
        <is>
          <t>iOS</t>
        </is>
      </c>
      <c r="K29" s="112" t="n"/>
      <c r="L29" s="112" t="inlineStr">
        <is>
          <t>Safari</t>
        </is>
      </c>
      <c r="M29" s="112" t="n"/>
      <c r="N29" s="112" t="n"/>
      <c r="O29" s="112" t="inlineStr">
        <is>
          <t>visual viewport</t>
        </is>
      </c>
      <c r="P29" s="112" t="inlineStr">
        <is>
          <t>none</t>
        </is>
      </c>
      <c r="Q29" s="90" t="inlineStr">
        <is>
          <t>On a named iOS device, exercise flips and shifts near the edge of the manually tested desktop layout viewport and record OS, browser version, device, date, and reproduction notes.</t>
        </is>
      </c>
      <c r="R29" s="90" t="inlineStr">
        <is>
          <t>Select content stays reachable and correctly positioned at device viewport edges.</t>
        </is>
      </c>
      <c r="S29" s="90" t="n"/>
      <c r="T29" s="90" t="n"/>
      <c r="U29" s="114" t="inlineStr">
        <is>
          <t>not run</t>
        </is>
      </c>
      <c r="V29" s="112" t="n"/>
      <c r="W29" s="90" t="n"/>
      <c r="X29" s="90" t="inlineStr">
        <is>
          <t>Existing component coverage remains the verified desktop/manual baseline; this record is an additional device qualification.</t>
        </is>
      </c>
      <c r="Y29" s="114">
        <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device",OR(K29="",L29="",M29="",N29="",P29="")),"needs device details",IF(AND(OR(U29="passed",U29="failed",U29="blocked"),V29=""),"needs result date","ready"))))))</f>
        <v/>
      </c>
      <c r="AK29" s="118" t="inlineStr">
        <is>
          <t>Input</t>
        </is>
      </c>
    </row>
    <row r="30" ht="48" customHeight="1" s="58">
      <c r="A30" s="112" t="inlineStr">
        <is>
          <t>MRE-01-SELECT-002</t>
        </is>
      </c>
      <c r="B30" s="112" t="inlineStr">
        <is>
          <t>MR-01</t>
        </is>
      </c>
      <c r="C30" s="112" t="inlineStr">
        <is>
          <t>MR-P5</t>
        </is>
      </c>
      <c r="D30" s="90" t="inlineStr">
        <is>
          <t>Select</t>
        </is>
      </c>
      <c r="E30" s="90" t="inlineStr">
        <is>
          <t>flips and shifts near the edge of the manually tested desktop layout viewport</t>
        </is>
      </c>
      <c r="F30" s="90" t="inlineStr">
        <is>
          <t>Select!ID-82 — flips/shifts near viewport edge</t>
        </is>
      </c>
      <c r="G30" s="91" t="inlineStr">
        <is>
          <t>narrow unsupported claim</t>
        </is>
      </c>
      <c r="H30" s="90" t="inlineStr">
        <is>
          <t>requires browser validation before concluding</t>
        </is>
      </c>
      <c r="I30" s="91" t="inlineStr">
        <is>
          <t>real device — Android Chrome</t>
        </is>
      </c>
      <c r="J30" s="112" t="inlineStr">
        <is>
          <t>Android</t>
        </is>
      </c>
      <c r="K30" s="112" t="n"/>
      <c r="L30" s="112" t="inlineStr">
        <is>
          <t>Chrome</t>
        </is>
      </c>
      <c r="M30" s="112" t="n"/>
      <c r="N30" s="112" t="n"/>
      <c r="O30" s="112" t="inlineStr">
        <is>
          <t>visual viewport</t>
        </is>
      </c>
      <c r="P30" s="112" t="inlineStr">
        <is>
          <t>none</t>
        </is>
      </c>
      <c r="Q30" s="90" t="inlineStr">
        <is>
          <t>On a named Android device, exercise flips and shifts near the edge of the manually tested desktop layout viewport and record OS, browser version, device, date, and reproduction notes.</t>
        </is>
      </c>
      <c r="R30" s="90" t="inlineStr">
        <is>
          <t>Select content stays reachable and correctly positioned at device viewport edges.</t>
        </is>
      </c>
      <c r="S30" s="90" t="n"/>
      <c r="T30" s="90" t="n"/>
      <c r="U30" s="114" t="inlineStr">
        <is>
          <t>not run</t>
        </is>
      </c>
      <c r="V30" s="112" t="n"/>
      <c r="W30" s="90" t="n"/>
      <c r="X30" s="90" t="inlineStr">
        <is>
          <t>Existing component coverage remains the verified desktop/manual baseline; this record is an additional device qualification.</t>
        </is>
      </c>
      <c r="Y30" s="114">
        <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device",OR(K30="",L30="",M30="",N30="",P30="")),"needs device details",IF(AND(OR(U30="passed",U30="failed",U30="blocked"),V30=""),"needs result date","ready"))))))</f>
        <v/>
      </c>
      <c r="AK30" s="118" t="inlineStr">
        <is>
          <t>Label</t>
        </is>
      </c>
    </row>
    <row r="31" ht="48" customHeight="1" s="58">
      <c r="A31" s="112" t="inlineStr">
        <is>
          <t>MRE-06-SELECT-001</t>
        </is>
      </c>
      <c r="B31" s="112" t="inlineStr">
        <is>
          <t>MR-06</t>
        </is>
      </c>
      <c r="C31" s="112" t="inlineStr">
        <is>
          <t>MR-P3</t>
        </is>
      </c>
      <c r="D31" s="90" t="inlineStr">
        <is>
          <t>Select</t>
        </is>
      </c>
      <c r="E31" s="90" t="inlineStr">
        <is>
          <t>pointer/click trigger activation opens Select in the existing desktop manual scenario</t>
        </is>
      </c>
      <c r="F31" s="90" t="inlineStr">
        <is>
          <t>Select!ID-159 — tap trigger opens</t>
        </is>
      </c>
      <c r="G31" s="91" t="inlineStr">
        <is>
          <t>narrow unsupported claim</t>
        </is>
      </c>
      <c r="H31" s="90" t="inlineStr">
        <is>
          <t>confirmed Atom implementation gap</t>
        </is>
      </c>
      <c r="I31" s="91" t="inlineStr">
        <is>
          <t>real device — iOS Safari</t>
        </is>
      </c>
      <c r="J31" s="112" t="inlineStr">
        <is>
          <t>iOS</t>
        </is>
      </c>
      <c r="K31" s="112" t="n"/>
      <c r="L31" s="112" t="inlineStr">
        <is>
          <t>Safari</t>
        </is>
      </c>
      <c r="M31" s="112" t="n"/>
      <c r="N31" s="112" t="n"/>
      <c r="O31" s="112" t="inlineStr">
        <is>
          <t>touch</t>
        </is>
      </c>
      <c r="P31" s="112" t="inlineStr">
        <is>
          <t>none</t>
        </is>
      </c>
      <c r="Q31" s="90" t="inlineStr">
        <is>
          <t>On a named iOS device, exercise pointer/click trigger activation opens Select in the existing desktop manual scenario and record OS, browser version, device, date, and reproduction notes.</t>
        </is>
      </c>
      <c r="R31" s="90" t="inlineStr">
        <is>
          <t>A device tap opens Select once without conflicting dismissal or focus ordering.</t>
        </is>
      </c>
      <c r="S31" s="90" t="n"/>
      <c r="T31" s="90" t="n"/>
      <c r="U31" s="114" t="inlineStr">
        <is>
          <t>not run</t>
        </is>
      </c>
      <c r="V31" s="112" t="n"/>
      <c r="W31" s="90" t="n"/>
      <c r="X31" s="90" t="inlineStr">
        <is>
          <t>Existing component coverage remains the verified desktop/manual baseline; this record is an additional device qualification.</t>
        </is>
      </c>
      <c r="Y31" s="114">
        <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device",OR(K31="",L31="",M31="",N31="",P31="")),"needs device details",IF(AND(OR(U31="passed",U31="failed",U31="blocked"),V31=""),"needs result date","ready"))))))</f>
        <v/>
      </c>
      <c r="AK31" s="118" t="inlineStr">
        <is>
          <t>List</t>
        </is>
      </c>
    </row>
    <row r="32" ht="48" customHeight="1" s="58">
      <c r="A32" s="112" t="inlineStr">
        <is>
          <t>MRE-06-SELECT-002</t>
        </is>
      </c>
      <c r="B32" s="112" t="inlineStr">
        <is>
          <t>MR-06</t>
        </is>
      </c>
      <c r="C32" s="112" t="inlineStr">
        <is>
          <t>MR-P3</t>
        </is>
      </c>
      <c r="D32" s="90" t="inlineStr">
        <is>
          <t>Select</t>
        </is>
      </c>
      <c r="E32" s="90" t="inlineStr">
        <is>
          <t>pointer/click trigger activation opens Select in the existing desktop manual scenario</t>
        </is>
      </c>
      <c r="F32" s="90" t="inlineStr">
        <is>
          <t>Select!ID-159 — tap trigger opens</t>
        </is>
      </c>
      <c r="G32" s="91" t="inlineStr">
        <is>
          <t>narrow unsupported claim</t>
        </is>
      </c>
      <c r="H32" s="90" t="inlineStr">
        <is>
          <t>confirmed Atom implementation gap</t>
        </is>
      </c>
      <c r="I32" s="91" t="inlineStr">
        <is>
          <t>real device — Android Chrome</t>
        </is>
      </c>
      <c r="J32" s="112" t="inlineStr">
        <is>
          <t>Android</t>
        </is>
      </c>
      <c r="K32" s="112" t="n"/>
      <c r="L32" s="112" t="inlineStr">
        <is>
          <t>Chrome</t>
        </is>
      </c>
      <c r="M32" s="112" t="n"/>
      <c r="N32" s="112" t="n"/>
      <c r="O32" s="112" t="inlineStr">
        <is>
          <t>touch</t>
        </is>
      </c>
      <c r="P32" s="112" t="inlineStr">
        <is>
          <t>none</t>
        </is>
      </c>
      <c r="Q32" s="90" t="inlineStr">
        <is>
          <t>On a named Android device, exercise pointer/click trigger activation opens Select in the existing desktop manual scenario and record OS, browser version, device, date, and reproduction notes.</t>
        </is>
      </c>
      <c r="R32" s="90" t="inlineStr">
        <is>
          <t>A device tap opens Select once without conflicting dismissal or focus ordering.</t>
        </is>
      </c>
      <c r="S32" s="90" t="n"/>
      <c r="T32" s="90" t="n"/>
      <c r="U32" s="114" t="inlineStr">
        <is>
          <t>not run</t>
        </is>
      </c>
      <c r="V32" s="112" t="n"/>
      <c r="W32" s="90" t="n"/>
      <c r="X32" s="90" t="inlineStr">
        <is>
          <t>Existing component coverage remains the verified desktop/manual baseline; this record is an additional device qualification.</t>
        </is>
      </c>
      <c r="Y32" s="114">
        <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device",OR(K32="",L32="",M32="",N32="",P32="")),"needs device details",IF(AND(OR(U32="passed",U32="failed",U32="blocked"),V32=""),"needs result date","ready"))))))</f>
        <v/>
      </c>
      <c r="AK32" s="118" t="inlineStr">
        <is>
          <t>Listbox</t>
        </is>
      </c>
    </row>
    <row r="33" ht="48" customHeight="1" s="58">
      <c r="A33" s="112" t="inlineStr">
        <is>
          <t>MRE-06-SELECT-003</t>
        </is>
      </c>
      <c r="B33" s="112" t="inlineStr">
        <is>
          <t>MR-06</t>
        </is>
      </c>
      <c r="C33" s="112" t="inlineStr">
        <is>
          <t>MR-P3</t>
        </is>
      </c>
      <c r="D33" s="90" t="inlineStr">
        <is>
          <t>Select</t>
        </is>
      </c>
      <c r="E33" s="90" t="inlineStr">
        <is>
          <t>pointer/click item activation selects in the existing desktop manual scenario</t>
        </is>
      </c>
      <c r="F33" s="90" t="inlineStr">
        <is>
          <t>Select!ID-160 — tap item selects</t>
        </is>
      </c>
      <c r="G33" s="91" t="inlineStr">
        <is>
          <t>narrow unsupported claim</t>
        </is>
      </c>
      <c r="H33" s="90" t="inlineStr">
        <is>
          <t>confirmed Atom implementation gap</t>
        </is>
      </c>
      <c r="I33" s="91" t="inlineStr">
        <is>
          <t>real device — iOS Safari</t>
        </is>
      </c>
      <c r="J33" s="112" t="inlineStr">
        <is>
          <t>iOS</t>
        </is>
      </c>
      <c r="K33" s="112" t="n"/>
      <c r="L33" s="112" t="inlineStr">
        <is>
          <t>Safari</t>
        </is>
      </c>
      <c r="M33" s="112" t="n"/>
      <c r="N33" s="112" t="n"/>
      <c r="O33" s="112" t="inlineStr">
        <is>
          <t>touch</t>
        </is>
      </c>
      <c r="P33" s="112" t="inlineStr">
        <is>
          <t>none</t>
        </is>
      </c>
      <c r="Q33" s="90" t="inlineStr">
        <is>
          <t>On a named iOS device, exercise pointer/click item activation selects in the existing desktop manual scenario and record OS, browser version, device, date, and reproduction notes.</t>
        </is>
      </c>
      <c r="R33" s="90" t="inlineStr">
        <is>
          <t>A device tap selects the intended item once and applies the documented close behavior.</t>
        </is>
      </c>
      <c r="S33" s="90" t="n"/>
      <c r="T33" s="90" t="n"/>
      <c r="U33" s="114" t="inlineStr">
        <is>
          <t>not run</t>
        </is>
      </c>
      <c r="V33" s="112" t="n"/>
      <c r="W33" s="90" t="n"/>
      <c r="X33" s="90" t="inlineStr">
        <is>
          <t>Existing component coverage remains the verified desktop/manual baseline; this record is an additional device qualification.</t>
        </is>
      </c>
      <c r="Y33" s="114">
        <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device",OR(K33="",L33="",M33="",N33="",P33="")),"needs device details",IF(AND(OR(U33="passed",U33="failed",U33="blocked"),V33=""),"needs result date","ready"))))))</f>
        <v/>
      </c>
      <c r="AK33" s="118" t="inlineStr">
        <is>
          <t>Menu</t>
        </is>
      </c>
    </row>
    <row r="34" ht="48" customHeight="1" s="58">
      <c r="A34" s="112" t="inlineStr">
        <is>
          <t>MRE-06-SELECT-004</t>
        </is>
      </c>
      <c r="B34" s="112" t="inlineStr">
        <is>
          <t>MR-06</t>
        </is>
      </c>
      <c r="C34" s="112" t="inlineStr">
        <is>
          <t>MR-P3</t>
        </is>
      </c>
      <c r="D34" s="90" t="inlineStr">
        <is>
          <t>Select</t>
        </is>
      </c>
      <c r="E34" s="90" t="inlineStr">
        <is>
          <t>pointer/click item activation selects in the existing desktop manual scenario</t>
        </is>
      </c>
      <c r="F34" s="90" t="inlineStr">
        <is>
          <t>Select!ID-160 — tap item selects</t>
        </is>
      </c>
      <c r="G34" s="91" t="inlineStr">
        <is>
          <t>narrow unsupported claim</t>
        </is>
      </c>
      <c r="H34" s="90" t="inlineStr">
        <is>
          <t>confirmed Atom implementation gap</t>
        </is>
      </c>
      <c r="I34" s="91" t="inlineStr">
        <is>
          <t>real device — Android Chrome</t>
        </is>
      </c>
      <c r="J34" s="112" t="inlineStr">
        <is>
          <t>Android</t>
        </is>
      </c>
      <c r="K34" s="112" t="n"/>
      <c r="L34" s="112" t="inlineStr">
        <is>
          <t>Chrome</t>
        </is>
      </c>
      <c r="M34" s="112" t="n"/>
      <c r="N34" s="112" t="n"/>
      <c r="O34" s="112" t="inlineStr">
        <is>
          <t>touch</t>
        </is>
      </c>
      <c r="P34" s="112" t="inlineStr">
        <is>
          <t>none</t>
        </is>
      </c>
      <c r="Q34" s="90" t="inlineStr">
        <is>
          <t>On a named Android device, exercise pointer/click item activation selects in the existing desktop manual scenario and record OS, browser version, device, date, and reproduction notes.</t>
        </is>
      </c>
      <c r="R34" s="90" t="inlineStr">
        <is>
          <t>A device tap selects the intended item once and applies the documented close behavior.</t>
        </is>
      </c>
      <c r="S34" s="90" t="n"/>
      <c r="T34" s="90" t="n"/>
      <c r="U34" s="114" t="inlineStr">
        <is>
          <t>not run</t>
        </is>
      </c>
      <c r="V34" s="112" t="n"/>
      <c r="W34" s="90" t="n"/>
      <c r="X34" s="90" t="inlineStr">
        <is>
          <t>Existing component coverage remains the verified desktop/manual baseline; this record is an additional device qualification.</t>
        </is>
      </c>
      <c r="Y34" s="114">
        <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device",OR(K34="",L34="",M34="",N34="",P34="")),"needs device details",IF(AND(OR(U34="passed",U34="failed",U34="blocked"),V34=""),"needs result date","ready"))))))</f>
        <v/>
      </c>
      <c r="AK34" s="118" t="inlineStr">
        <is>
          <t>Menubar</t>
        </is>
      </c>
    </row>
    <row r="35" ht="48" customHeight="1" s="58">
      <c r="A35" s="112" t="inlineStr">
        <is>
          <t>MRE-06-SELECT-005</t>
        </is>
      </c>
      <c r="B35" s="112" t="inlineStr">
        <is>
          <t>MR-06</t>
        </is>
      </c>
      <c r="C35" s="112" t="inlineStr">
        <is>
          <t>MR-P3</t>
        </is>
      </c>
      <c r="D35" s="90" t="inlineStr">
        <is>
          <t>Select</t>
        </is>
      </c>
      <c r="E35" s="90" t="inlineStr">
        <is>
          <t>current desktop pointer-down outside interaction closes Select</t>
        </is>
      </c>
      <c r="F35" s="90" t="inlineStr">
        <is>
          <t>Select!ID-161 — tap outside closes</t>
        </is>
      </c>
      <c r="G35" s="91" t="inlineStr">
        <is>
          <t>narrow unsupported claim</t>
        </is>
      </c>
      <c r="H35" s="90" t="inlineStr">
        <is>
          <t>confirmed Atom implementation gap</t>
        </is>
      </c>
      <c r="I35" s="91" t="inlineStr">
        <is>
          <t>real device — iOS Safari</t>
        </is>
      </c>
      <c r="J35" s="112" t="inlineStr">
        <is>
          <t>iOS</t>
        </is>
      </c>
      <c r="K35" s="112" t="n"/>
      <c r="L35" s="112" t="inlineStr">
        <is>
          <t>Safari</t>
        </is>
      </c>
      <c r="M35" s="112" t="n"/>
      <c r="N35" s="112" t="n"/>
      <c r="O35" s="112" t="inlineStr">
        <is>
          <t>touch</t>
        </is>
      </c>
      <c r="P35" s="112" t="inlineStr">
        <is>
          <t>none</t>
        </is>
      </c>
      <c r="Q35" s="90" t="inlineStr">
        <is>
          <t>On a named iOS device, exercise current desktop pointer-down outside interaction closes Select and record OS, browser version, device, date, and reproduction notes.</t>
        </is>
      </c>
      <c r="R35" s="90" t="inlineStr">
        <is>
          <t>Outside tap dismissal occurs at the approved event boundary and cancels correctly after movement or scrolling.</t>
        </is>
      </c>
      <c r="S35" s="90" t="n"/>
      <c r="T35" s="90" t="n"/>
      <c r="U35" s="114" t="inlineStr">
        <is>
          <t>not run</t>
        </is>
      </c>
      <c r="V35" s="112" t="n"/>
      <c r="W35" s="90" t="n"/>
      <c r="X35" s="90" t="inlineStr">
        <is>
          <t>Existing component coverage remains the verified desktop/manual baseline; this record is an additional device qualification.</t>
        </is>
      </c>
      <c r="Y35" s="114">
        <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device",OR(K35="",L35="",M35="",N35="",P35="")),"needs device details",IF(AND(OR(U35="passed",U35="failed",U35="blocked"),V35=""),"needs result date","ready"))))))</f>
        <v/>
      </c>
      <c r="AK35" s="118" t="inlineStr">
        <is>
          <t>Modal</t>
        </is>
      </c>
    </row>
    <row r="36" ht="48" customHeight="1" s="58">
      <c r="A36" s="112" t="inlineStr">
        <is>
          <t>MRE-06-SELECT-006</t>
        </is>
      </c>
      <c r="B36" s="112" t="inlineStr">
        <is>
          <t>MR-06</t>
        </is>
      </c>
      <c r="C36" s="112" t="inlineStr">
        <is>
          <t>MR-P3</t>
        </is>
      </c>
      <c r="D36" s="90" t="inlineStr">
        <is>
          <t>Select</t>
        </is>
      </c>
      <c r="E36" s="90" t="inlineStr">
        <is>
          <t>current desktop pointer-down outside interaction closes Select</t>
        </is>
      </c>
      <c r="F36" s="90" t="inlineStr">
        <is>
          <t>Select!ID-161 — tap outside closes</t>
        </is>
      </c>
      <c r="G36" s="91" t="inlineStr">
        <is>
          <t>narrow unsupported claim</t>
        </is>
      </c>
      <c r="H36" s="90" t="inlineStr">
        <is>
          <t>confirmed Atom implementation gap</t>
        </is>
      </c>
      <c r="I36" s="91" t="inlineStr">
        <is>
          <t>real device — Android Chrome</t>
        </is>
      </c>
      <c r="J36" s="112" t="inlineStr">
        <is>
          <t>Android</t>
        </is>
      </c>
      <c r="K36" s="112" t="n"/>
      <c r="L36" s="112" t="inlineStr">
        <is>
          <t>Chrome</t>
        </is>
      </c>
      <c r="M36" s="112" t="n"/>
      <c r="N36" s="112" t="n"/>
      <c r="O36" s="112" t="inlineStr">
        <is>
          <t>touch</t>
        </is>
      </c>
      <c r="P36" s="112" t="inlineStr">
        <is>
          <t>none</t>
        </is>
      </c>
      <c r="Q36" s="90" t="inlineStr">
        <is>
          <t>On a named Android device, exercise current desktop pointer-down outside interaction closes Select and record OS, browser version, device, date, and reproduction notes.</t>
        </is>
      </c>
      <c r="R36" s="90" t="inlineStr">
        <is>
          <t>Outside tap dismissal occurs at the approved event boundary and cancels correctly after movement or scrolling.</t>
        </is>
      </c>
      <c r="S36" s="90" t="n"/>
      <c r="T36" s="90" t="n"/>
      <c r="U36" s="114" t="inlineStr">
        <is>
          <t>not run</t>
        </is>
      </c>
      <c r="V36" s="112" t="n"/>
      <c r="W36" s="90" t="n"/>
      <c r="X36" s="90" t="inlineStr">
        <is>
          <t>Existing component coverage remains the verified desktop/manual baseline; this record is an additional device qualification.</t>
        </is>
      </c>
      <c r="Y36" s="114">
        <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device",OR(K36="",L36="",M36="",N36="",P36="")),"needs device details",IF(AND(OR(U36="passed",U36="failed",U36="blocked"),V36=""),"needs result date","ready"))))))</f>
        <v/>
      </c>
      <c r="AK36" s="118" t="inlineStr">
        <is>
          <t>NavList</t>
        </is>
      </c>
    </row>
    <row r="37" ht="48" customHeight="1" s="58">
      <c r="A37" s="112" t="inlineStr">
        <is>
          <t>MRE-01-SELECT-003</t>
        </is>
      </c>
      <c r="B37" s="112" t="inlineStr">
        <is>
          <t>MR-01</t>
        </is>
      </c>
      <c r="C37" s="112" t="inlineStr">
        <is>
          <t>MR-P5</t>
        </is>
      </c>
      <c r="D37" s="90" t="inlineStr">
        <is>
          <t>Select</t>
        </is>
      </c>
      <c r="E37" s="90" t="inlineStr">
        <is>
          <t>listbox fit and scrolling in the manually tested desktop layout viewport</t>
        </is>
      </c>
      <c r="F37" s="90" t="inlineStr">
        <is>
          <t>Select!ID-162 — viewport fit and scroll</t>
        </is>
      </c>
      <c r="G37" s="91" t="inlineStr">
        <is>
          <t>narrow unsupported claim</t>
        </is>
      </c>
      <c r="H37" s="90" t="inlineStr">
        <is>
          <t>requires browser validation before concluding</t>
        </is>
      </c>
      <c r="I37" s="91" t="inlineStr">
        <is>
          <t>real device — iOS Safari</t>
        </is>
      </c>
      <c r="J37" s="112" t="inlineStr">
        <is>
          <t>iOS</t>
        </is>
      </c>
      <c r="K37" s="112" t="n"/>
      <c r="L37" s="112" t="inlineStr">
        <is>
          <t>Safari</t>
        </is>
      </c>
      <c r="M37" s="112" t="n"/>
      <c r="N37" s="112" t="n"/>
      <c r="O37" s="112" t="inlineStr">
        <is>
          <t>visual viewport</t>
        </is>
      </c>
      <c r="P37" s="112" t="inlineStr">
        <is>
          <t>none</t>
        </is>
      </c>
      <c r="Q37" s="90" t="inlineStr">
        <is>
          <t>On a named iOS device, exercise listbox fit and scrolling in the manually tested desktop layout viewport and record OS, browser version, device, date, and reproduction notes.</t>
        </is>
      </c>
      <c r="R37" s="90" t="inlineStr">
        <is>
          <t>The listbox remains reachable and scrollable with mobile browser chrome and virtual-keyboard changes.</t>
        </is>
      </c>
      <c r="S37" s="90" t="n"/>
      <c r="T37" s="90" t="n"/>
      <c r="U37" s="114" t="inlineStr">
        <is>
          <t>not run</t>
        </is>
      </c>
      <c r="V37" s="112" t="n"/>
      <c r="W37" s="90" t="n"/>
      <c r="X37" s="90" t="inlineStr">
        <is>
          <t>Existing component coverage remains the verified desktop/manual baseline; this record is an additional device qualification.</t>
        </is>
      </c>
      <c r="Y37" s="114">
        <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device",OR(K37="",L37="",M37="",N37="",P37="")),"needs device details",IF(AND(OR(U37="passed",U37="failed",U37="blocked"),V37=""),"needs result date","ready"))))))</f>
        <v/>
      </c>
      <c r="AK37" s="118" t="inlineStr">
        <is>
          <t>NavigationMenu</t>
        </is>
      </c>
    </row>
    <row r="38" ht="48" customHeight="1" s="58">
      <c r="A38" s="112" t="inlineStr">
        <is>
          <t>MRE-01-SELECT-004</t>
        </is>
      </c>
      <c r="B38" s="112" t="inlineStr">
        <is>
          <t>MR-01</t>
        </is>
      </c>
      <c r="C38" s="112" t="inlineStr">
        <is>
          <t>MR-P5</t>
        </is>
      </c>
      <c r="D38" s="90" t="inlineStr">
        <is>
          <t>Select</t>
        </is>
      </c>
      <c r="E38" s="90" t="inlineStr">
        <is>
          <t>listbox fit and scrolling in the manually tested desktop layout viewport</t>
        </is>
      </c>
      <c r="F38" s="90" t="inlineStr">
        <is>
          <t>Select!ID-162 — viewport fit and scroll</t>
        </is>
      </c>
      <c r="G38" s="91" t="inlineStr">
        <is>
          <t>narrow unsupported claim</t>
        </is>
      </c>
      <c r="H38" s="90" t="inlineStr">
        <is>
          <t>requires browser validation before concluding</t>
        </is>
      </c>
      <c r="I38" s="91" t="inlineStr">
        <is>
          <t>real device — Android Chrome</t>
        </is>
      </c>
      <c r="J38" s="112" t="inlineStr">
        <is>
          <t>Android</t>
        </is>
      </c>
      <c r="K38" s="112" t="n"/>
      <c r="L38" s="112" t="inlineStr">
        <is>
          <t>Chrome</t>
        </is>
      </c>
      <c r="M38" s="112" t="n"/>
      <c r="N38" s="112" t="n"/>
      <c r="O38" s="112" t="inlineStr">
        <is>
          <t>visual viewport</t>
        </is>
      </c>
      <c r="P38" s="112" t="inlineStr">
        <is>
          <t>none</t>
        </is>
      </c>
      <c r="Q38" s="90" t="inlineStr">
        <is>
          <t>On a named Android device, exercise listbox fit and scrolling in the manually tested desktop layout viewport and record OS, browser version, device, date, and reproduction notes.</t>
        </is>
      </c>
      <c r="R38" s="90" t="inlineStr">
        <is>
          <t>The listbox remains reachable and scrollable with mobile browser chrome and virtual-keyboard changes.</t>
        </is>
      </c>
      <c r="S38" s="90" t="n"/>
      <c r="T38" s="90" t="n"/>
      <c r="U38" s="114" t="inlineStr">
        <is>
          <t>not run</t>
        </is>
      </c>
      <c r="V38" s="112" t="n"/>
      <c r="W38" s="90" t="n"/>
      <c r="X38" s="90" t="inlineStr">
        <is>
          <t>Existing component coverage remains the verified desktop/manual baseline; this record is an additional device qualification.</t>
        </is>
      </c>
      <c r="Y38" s="114">
        <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device",OR(K38="",L38="",M38="",N38="",P38="")),"needs device details",IF(AND(OR(U38="passed",U38="failed",U38="blocked"),V38=""),"needs result date","ready"))))))</f>
        <v/>
      </c>
      <c r="AK38" s="118" t="inlineStr">
        <is>
          <t>NumberInput</t>
        </is>
      </c>
    </row>
    <row r="39" ht="48" customHeight="1" s="58">
      <c r="A39" s="112" t="inlineStr">
        <is>
          <t>MRE-01-COMBOBOX-001</t>
        </is>
      </c>
      <c r="B39" s="112" t="inlineStr">
        <is>
          <t>MR-01</t>
        </is>
      </c>
      <c r="C39" s="112" t="inlineStr">
        <is>
          <t>MR-P5</t>
        </is>
      </c>
      <c r="D39" s="90" t="inlineStr">
        <is>
          <t>Combobox</t>
        </is>
      </c>
      <c r="E39" s="90" t="inlineStr">
        <is>
          <t>collision, flip, and shift stay within the manually tested desktop layout viewport</t>
        </is>
      </c>
      <c r="F39" s="90" t="inlineStr">
        <is>
          <t>Combobox!ID-174 — collision/flip/shift behavior stays in viewport</t>
        </is>
      </c>
      <c r="G39" s="91" t="inlineStr">
        <is>
          <t>narrow unsupported claim</t>
        </is>
      </c>
      <c r="H39" s="90" t="inlineStr">
        <is>
          <t>requires browser validation before concluding</t>
        </is>
      </c>
      <c r="I39" s="91" t="inlineStr">
        <is>
          <t>real device — iOS Safari</t>
        </is>
      </c>
      <c r="J39" s="112" t="inlineStr">
        <is>
          <t>iOS</t>
        </is>
      </c>
      <c r="K39" s="112" t="n"/>
      <c r="L39" s="112" t="inlineStr">
        <is>
          <t>Safari</t>
        </is>
      </c>
      <c r="M39" s="112" t="n"/>
      <c r="N39" s="112" t="n"/>
      <c r="O39" s="112" t="inlineStr">
        <is>
          <t>visual viewport</t>
        </is>
      </c>
      <c r="P39" s="112" t="inlineStr">
        <is>
          <t>none</t>
        </is>
      </c>
      <c r="Q39" s="90" t="inlineStr">
        <is>
          <t>On a named iOS device, exercise collision, flip, and shift stay within the manually tested desktop layout viewport and record OS, browser version, device, date, and reproduction notes.</t>
        </is>
      </c>
      <c r="R39" s="90" t="inlineStr">
        <is>
          <t>Combobox content remains reachable and correctly anchored during named mobile viewport and keyboard changes.</t>
        </is>
      </c>
      <c r="S39" s="90" t="n"/>
      <c r="T39" s="90" t="n"/>
      <c r="U39" s="114" t="inlineStr">
        <is>
          <t>not run</t>
        </is>
      </c>
      <c r="V39" s="112" t="n"/>
      <c r="W39" s="90" t="n"/>
      <c r="X39" s="90" t="inlineStr">
        <is>
          <t>Existing component coverage remains the verified desktop/manual baseline; this record is an additional device qualification.</t>
        </is>
      </c>
      <c r="Y39" s="114">
        <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device",OR(K39="",L39="",M39="",N39="",P39="")),"needs device details",IF(AND(OR(U39="passed",U39="failed",U39="blocked"),V39=""),"needs result date","ready"))))))</f>
        <v/>
      </c>
      <c r="AK39" s="118" t="inlineStr">
        <is>
          <t>OTPField</t>
        </is>
      </c>
    </row>
    <row r="40" ht="48" customHeight="1" s="58">
      <c r="A40" s="112" t="inlineStr">
        <is>
          <t>MRE-01-COMBOBOX-002</t>
        </is>
      </c>
      <c r="B40" s="112" t="inlineStr">
        <is>
          <t>MR-01</t>
        </is>
      </c>
      <c r="C40" s="112" t="inlineStr">
        <is>
          <t>MR-P5</t>
        </is>
      </c>
      <c r="D40" s="90" t="inlineStr">
        <is>
          <t>Combobox</t>
        </is>
      </c>
      <c r="E40" s="90" t="inlineStr">
        <is>
          <t>collision, flip, and shift stay within the manually tested desktop layout viewport</t>
        </is>
      </c>
      <c r="F40" s="90" t="inlineStr">
        <is>
          <t>Combobox!ID-174 — collision/flip/shift behavior stays in viewport</t>
        </is>
      </c>
      <c r="G40" s="91" t="inlineStr">
        <is>
          <t>narrow unsupported claim</t>
        </is>
      </c>
      <c r="H40" s="90" t="inlineStr">
        <is>
          <t>requires browser validation before concluding</t>
        </is>
      </c>
      <c r="I40" s="91" t="inlineStr">
        <is>
          <t>real device — Android Chrome</t>
        </is>
      </c>
      <c r="J40" s="112" t="inlineStr">
        <is>
          <t>Android</t>
        </is>
      </c>
      <c r="K40" s="112" t="n"/>
      <c r="L40" s="112" t="inlineStr">
        <is>
          <t>Chrome</t>
        </is>
      </c>
      <c r="M40" s="112" t="n"/>
      <c r="N40" s="112" t="n"/>
      <c r="O40" s="112" t="inlineStr">
        <is>
          <t>visual viewport</t>
        </is>
      </c>
      <c r="P40" s="112" t="inlineStr">
        <is>
          <t>none</t>
        </is>
      </c>
      <c r="Q40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40" s="90" t="inlineStr">
        <is>
          <t>Combobox content remains reachable and correctly anchored during named mobile viewport and keyboard changes.</t>
        </is>
      </c>
      <c r="S40" s="90" t="n"/>
      <c r="T40" s="90" t="n"/>
      <c r="U40" s="114" t="inlineStr">
        <is>
          <t>not run</t>
        </is>
      </c>
      <c r="V40" s="112" t="n"/>
      <c r="W40" s="90" t="n"/>
      <c r="X40" s="90" t="inlineStr">
        <is>
          <t>Existing component coverage remains the verified desktop/manual baseline; this record is an additional device qualification.</t>
        </is>
      </c>
      <c r="Y40" s="114">
        <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device",OR(K40="",L40="",M40="",N40="",P40="")),"needs device details",IF(AND(OR(U40="passed",U40="failed",U40="blocked"),V40=""),"needs result date","ready"))))))</f>
        <v/>
      </c>
      <c r="AK40" s="118" t="inlineStr">
        <is>
          <t>Pagination</t>
        </is>
      </c>
    </row>
    <row r="41" ht="48" customHeight="1" s="58">
      <c r="A41" s="112" t="inlineStr">
        <is>
          <t>MRE-01-MENU-001</t>
        </is>
      </c>
      <c r="B41" s="112" t="inlineStr">
        <is>
          <t>MR-01</t>
        </is>
      </c>
      <c r="C41" s="112" t="inlineStr">
        <is>
          <t>MR-P5</t>
        </is>
      </c>
      <c r="D41" s="90" t="inlineStr">
        <is>
          <t>Menu</t>
        </is>
      </c>
      <c r="E41" s="90" t="inlineStr">
        <is>
          <t>placement flips or shifts near the edge of the manually tested desktop layout viewport</t>
        </is>
      </c>
      <c r="F41" s="90" t="inlineStr">
        <is>
          <t>Menu!ID-156 — placement flips or shifts near viewport edge</t>
        </is>
      </c>
      <c r="G41" s="91" t="inlineStr">
        <is>
          <t>narrow unsupported claim</t>
        </is>
      </c>
      <c r="H41" s="90" t="inlineStr">
        <is>
          <t>requires browser validation before concluding</t>
        </is>
      </c>
      <c r="I41" s="91" t="inlineStr">
        <is>
          <t>real device — iOS Safari</t>
        </is>
      </c>
      <c r="J41" s="112" t="inlineStr">
        <is>
          <t>iOS</t>
        </is>
      </c>
      <c r="K41" s="112" t="n"/>
      <c r="L41" s="112" t="inlineStr">
        <is>
          <t>Safari</t>
        </is>
      </c>
      <c r="M41" s="112" t="n"/>
      <c r="N41" s="112" t="n"/>
      <c r="O41" s="112" t="inlineStr">
        <is>
          <t>visual viewport</t>
        </is>
      </c>
      <c r="P41" s="112" t="inlineStr">
        <is>
          <t>none</t>
        </is>
      </c>
      <c r="Q4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41" s="90" t="inlineStr">
        <is>
          <t>Menu content remains reachable and correctly placed at mobile viewport edges.</t>
        </is>
      </c>
      <c r="S41" s="90" t="n"/>
      <c r="T41" s="90" t="n"/>
      <c r="U41" s="114" t="inlineStr">
        <is>
          <t>not run</t>
        </is>
      </c>
      <c r="V41" s="112" t="n"/>
      <c r="W41" s="90" t="n"/>
      <c r="X41" s="90" t="inlineStr">
        <is>
          <t>Existing component coverage remains the verified desktop/manual baseline; this record is an additional device qualification.</t>
        </is>
      </c>
      <c r="Y41" s="114">
        <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device",OR(K41="",L41="",M41="",N41="",P41="")),"needs device details",IF(AND(OR(U41="passed",U41="failed",U41="blocked"),V41=""),"needs result date","ready"))))))</f>
        <v/>
      </c>
      <c r="AK41" s="118" t="inlineStr">
        <is>
          <t>PasswordToggleField</t>
        </is>
      </c>
    </row>
    <row r="42" ht="48" customHeight="1" s="58">
      <c r="A42" s="112" t="inlineStr">
        <is>
          <t>MRE-01-MENU-002</t>
        </is>
      </c>
      <c r="B42" s="112" t="inlineStr">
        <is>
          <t>MR-01</t>
        </is>
      </c>
      <c r="C42" s="112" t="inlineStr">
        <is>
          <t>MR-P5</t>
        </is>
      </c>
      <c r="D42" s="90" t="inlineStr">
        <is>
          <t>Menu</t>
        </is>
      </c>
      <c r="E42" s="90" t="inlineStr">
        <is>
          <t>placement flips or shifts near the edge of the manually tested desktop layout viewport</t>
        </is>
      </c>
      <c r="F42" s="90" t="inlineStr">
        <is>
          <t>Menu!ID-156 — placement flips or shifts near viewport edge</t>
        </is>
      </c>
      <c r="G42" s="91" t="inlineStr">
        <is>
          <t>narrow unsupported claim</t>
        </is>
      </c>
      <c r="H42" s="90" t="inlineStr">
        <is>
          <t>requires browser validation before concluding</t>
        </is>
      </c>
      <c r="I42" s="91" t="inlineStr">
        <is>
          <t>real device — Android Chrome</t>
        </is>
      </c>
      <c r="J42" s="112" t="inlineStr">
        <is>
          <t>Android</t>
        </is>
      </c>
      <c r="K42" s="112" t="n"/>
      <c r="L42" s="112" t="inlineStr">
        <is>
          <t>Chrome</t>
        </is>
      </c>
      <c r="M42" s="112" t="n"/>
      <c r="N42" s="112" t="n"/>
      <c r="O42" s="112" t="inlineStr">
        <is>
          <t>visual viewport</t>
        </is>
      </c>
      <c r="P42" s="112" t="inlineStr">
        <is>
          <t>none</t>
        </is>
      </c>
      <c r="Q4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42" s="90" t="inlineStr">
        <is>
          <t>Menu content remains reachable and correctly placed at mobile viewport edges.</t>
        </is>
      </c>
      <c r="S42" s="90" t="n"/>
      <c r="T42" s="90" t="n"/>
      <c r="U42" s="114" t="inlineStr">
        <is>
          <t>not run</t>
        </is>
      </c>
      <c r="V42" s="112" t="n"/>
      <c r="W42" s="90" t="n"/>
      <c r="X42" s="90" t="inlineStr">
        <is>
          <t>Existing component coverage remains the verified desktop/manual baseline; this record is an additional device qualification.</t>
        </is>
      </c>
      <c r="Y42" s="114">
        <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device",OR(K42="",L42="",M42="",N42="",P42="")),"needs device details",IF(AND(OR(U42="passed",U42="failed",U42="blocked"),V42=""),"needs result date","ready"))))))</f>
        <v/>
      </c>
      <c r="AK42" s="118" t="inlineStr">
        <is>
          <t>Popover</t>
        </is>
      </c>
    </row>
    <row r="43" ht="48" customHeight="1" s="58">
      <c r="A43" s="112" t="inlineStr">
        <is>
          <t>MRE-07-MENU-001</t>
        </is>
      </c>
      <c r="B43" s="112" t="inlineStr">
        <is>
          <t>MR-07</t>
        </is>
      </c>
      <c r="C43" s="112" t="inlineStr">
        <is>
          <t>MR-P7</t>
        </is>
      </c>
      <c r="D43" s="90" t="inlineStr">
        <is>
          <t>Menu</t>
        </is>
      </c>
      <c r="E43" s="90" t="inlineStr">
        <is>
          <t>pointer/click activation opens Menu in the existing desktop manual scenario</t>
        </is>
      </c>
      <c r="F43" s="90" t="inlineStr">
        <is>
          <t>Menu!ID-164 — touch opens menu</t>
        </is>
      </c>
      <c r="G43" s="91" t="inlineStr">
        <is>
          <t>narrow unsupported claim</t>
        </is>
      </c>
      <c r="H43" s="90" t="inlineStr">
        <is>
          <t>already adequately supported</t>
        </is>
      </c>
      <c r="I43" s="91" t="inlineStr">
        <is>
          <t>real device — iOS Safari</t>
        </is>
      </c>
      <c r="J43" s="112" t="inlineStr">
        <is>
          <t>iOS</t>
        </is>
      </c>
      <c r="K43" s="112" t="n"/>
      <c r="L43" s="112" t="inlineStr">
        <is>
          <t>Safari</t>
        </is>
      </c>
      <c r="M43" s="112" t="n"/>
      <c r="N43" s="112" t="n"/>
      <c r="O43" s="112" t="inlineStr">
        <is>
          <t>touch</t>
        </is>
      </c>
      <c r="P43" s="112" t="inlineStr">
        <is>
          <t>none</t>
        </is>
      </c>
      <c r="Q43" s="90" t="inlineStr">
        <is>
          <t>On a named iOS device, exercise pointer/click activation opens Menu in the existing desktop manual scenario and record OS, browser version, device, date, and reproduction notes.</t>
        </is>
      </c>
      <c r="R43" s="90" t="inlineStr">
        <is>
          <t>A device tap opens Menu once and preserves the current activation contract.</t>
        </is>
      </c>
      <c r="S43" s="90" t="n"/>
      <c r="T43" s="90" t="n"/>
      <c r="U43" s="114" t="inlineStr">
        <is>
          <t>not run</t>
        </is>
      </c>
      <c r="V43" s="112" t="n"/>
      <c r="W43" s="90" t="n"/>
      <c r="X43" s="90" t="inlineStr">
        <is>
          <t>Existing component coverage remains the verified desktop/manual baseline; this record is an additional device qualification.</t>
        </is>
      </c>
      <c r="Y43" s="114">
        <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device",OR(K43="",L43="",M43="",N43="",P43="")),"needs device details",IF(AND(OR(U43="passed",U43="failed",U43="blocked"),V43=""),"needs result date","ready"))))))</f>
        <v/>
      </c>
      <c r="AK43" s="118" t="inlineStr">
        <is>
          <t>Portal</t>
        </is>
      </c>
    </row>
    <row r="44" ht="48" customHeight="1" s="58">
      <c r="A44" s="112" t="inlineStr">
        <is>
          <t>MRE-07-MENU-002</t>
        </is>
      </c>
      <c r="B44" s="112" t="inlineStr">
        <is>
          <t>MR-07</t>
        </is>
      </c>
      <c r="C44" s="112" t="inlineStr">
        <is>
          <t>MR-P7</t>
        </is>
      </c>
      <c r="D44" s="90" t="inlineStr">
        <is>
          <t>Menu</t>
        </is>
      </c>
      <c r="E44" s="90" t="inlineStr">
        <is>
          <t>pointer/click activation opens Menu in the existing desktop manual scenario</t>
        </is>
      </c>
      <c r="F44" s="90" t="inlineStr">
        <is>
          <t>Menu!ID-164 — touch opens menu</t>
        </is>
      </c>
      <c r="G44" s="91" t="inlineStr">
        <is>
          <t>narrow unsupported claim</t>
        </is>
      </c>
      <c r="H44" s="90" t="inlineStr">
        <is>
          <t>already adequately supported</t>
        </is>
      </c>
      <c r="I44" s="91" t="inlineStr">
        <is>
          <t>real device — Android Chrome</t>
        </is>
      </c>
      <c r="J44" s="112" t="inlineStr">
        <is>
          <t>Android</t>
        </is>
      </c>
      <c r="K44" s="112" t="n"/>
      <c r="L44" s="112" t="inlineStr">
        <is>
          <t>Chrome</t>
        </is>
      </c>
      <c r="M44" s="112" t="n"/>
      <c r="N44" s="112" t="n"/>
      <c r="O44" s="112" t="inlineStr">
        <is>
          <t>touch</t>
        </is>
      </c>
      <c r="P44" s="112" t="inlineStr">
        <is>
          <t>none</t>
        </is>
      </c>
      <c r="Q44" s="90" t="inlineStr">
        <is>
          <t>On a named Android device, exercise pointer/click activation opens Menu in the existing desktop manual scenario and record OS, browser version, device, date, and reproduction notes.</t>
        </is>
      </c>
      <c r="R44" s="90" t="inlineStr">
        <is>
          <t>A device tap opens Menu once and preserves the current activation contract.</t>
        </is>
      </c>
      <c r="S44" s="90" t="n"/>
      <c r="T44" s="90" t="n"/>
      <c r="U44" s="114" t="inlineStr">
        <is>
          <t>not run</t>
        </is>
      </c>
      <c r="V44" s="112" t="n"/>
      <c r="W44" s="90" t="n"/>
      <c r="X44" s="90" t="inlineStr">
        <is>
          <t>Existing component coverage remains the verified desktop/manual baseline; this record is an additional device qualification.</t>
        </is>
      </c>
      <c r="Y44" s="114">
        <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device",OR(K44="",L44="",M44="",N44="",P44="")),"needs device details",IF(AND(OR(U44="passed",U44="failed",U44="blocked"),V44=""),"needs result date","ready"))))))</f>
        <v/>
      </c>
      <c r="AK44" s="118" t="inlineStr">
        <is>
          <t>Pressable</t>
        </is>
      </c>
    </row>
    <row r="45" ht="48" customHeight="1" s="58">
      <c r="A45" s="112" t="inlineStr">
        <is>
          <t>MRE-07-MENU-003</t>
        </is>
      </c>
      <c r="B45" s="112" t="inlineStr">
        <is>
          <t>MR-07</t>
        </is>
      </c>
      <c r="C45" s="112" t="inlineStr">
        <is>
          <t>MR-P7</t>
        </is>
      </c>
      <c r="D45" s="90" t="inlineStr">
        <is>
          <t>Menu</t>
        </is>
      </c>
      <c r="E45" s="90" t="inlineStr">
        <is>
          <t>pointer/click activation selects an action item in the existing desktop manual scenario</t>
        </is>
      </c>
      <c r="F45" s="90" t="inlineStr">
        <is>
          <t>Menu!ID-165 — touch selects action item</t>
        </is>
      </c>
      <c r="G45" s="91" t="inlineStr">
        <is>
          <t>narrow unsupported claim</t>
        </is>
      </c>
      <c r="H45" s="90" t="inlineStr">
        <is>
          <t>already adequately supported</t>
        </is>
      </c>
      <c r="I45" s="91" t="inlineStr">
        <is>
          <t>real device — iOS Safari</t>
        </is>
      </c>
      <c r="J45" s="112" t="inlineStr">
        <is>
          <t>iOS</t>
        </is>
      </c>
      <c r="K45" s="112" t="n"/>
      <c r="L45" s="112" t="inlineStr">
        <is>
          <t>Safari</t>
        </is>
      </c>
      <c r="M45" s="112" t="n"/>
      <c r="N45" s="112" t="n"/>
      <c r="O45" s="112" t="inlineStr">
        <is>
          <t>touch</t>
        </is>
      </c>
      <c r="P45" s="112" t="inlineStr">
        <is>
          <t>none</t>
        </is>
      </c>
      <c r="Q4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45" s="90" t="inlineStr">
        <is>
          <t>A device tap selects the intended action once.</t>
        </is>
      </c>
      <c r="S45" s="90" t="n"/>
      <c r="T45" s="90" t="n"/>
      <c r="U45" s="114" t="inlineStr">
        <is>
          <t>not run</t>
        </is>
      </c>
      <c r="V45" s="112" t="n"/>
      <c r="W45" s="90" t="n"/>
      <c r="X45" s="90" t="inlineStr">
        <is>
          <t>Existing component coverage remains the verified desktop/manual baseline; this record is an additional device qualification.</t>
        </is>
      </c>
      <c r="Y45" s="114">
        <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device",OR(K45="",L45="",M45="",N45="",P45="")),"needs device details",IF(AND(OR(U45="passed",U45="failed",U45="blocked"),V45=""),"needs result date","ready"))))))</f>
        <v/>
      </c>
      <c r="AK45" s="118" t="inlineStr">
        <is>
          <t>Progress</t>
        </is>
      </c>
    </row>
    <row r="46" ht="48" customHeight="1" s="58">
      <c r="A46" s="112" t="inlineStr">
        <is>
          <t>MRE-07-MENU-004</t>
        </is>
      </c>
      <c r="B46" s="112" t="inlineStr">
        <is>
          <t>MR-07</t>
        </is>
      </c>
      <c r="C46" s="112" t="inlineStr">
        <is>
          <t>MR-P7</t>
        </is>
      </c>
      <c r="D46" s="90" t="inlineStr">
        <is>
          <t>Menu</t>
        </is>
      </c>
      <c r="E46" s="90" t="inlineStr">
        <is>
          <t>pointer/click activation selects an action item in the existing desktop manual scenario</t>
        </is>
      </c>
      <c r="F46" s="90" t="inlineStr">
        <is>
          <t>Menu!ID-165 — touch selects action item</t>
        </is>
      </c>
      <c r="G46" s="91" t="inlineStr">
        <is>
          <t>narrow unsupported claim</t>
        </is>
      </c>
      <c r="H46" s="90" t="inlineStr">
        <is>
          <t>already adequately supported</t>
        </is>
      </c>
      <c r="I46" s="91" t="inlineStr">
        <is>
          <t>real device — Android Chrome</t>
        </is>
      </c>
      <c r="J46" s="112" t="inlineStr">
        <is>
          <t>Android</t>
        </is>
      </c>
      <c r="K46" s="112" t="n"/>
      <c r="L46" s="112" t="inlineStr">
        <is>
          <t>Chrome</t>
        </is>
      </c>
      <c r="M46" s="112" t="n"/>
      <c r="N46" s="112" t="n"/>
      <c r="O46" s="112" t="inlineStr">
        <is>
          <t>touch</t>
        </is>
      </c>
      <c r="P46" s="112" t="inlineStr">
        <is>
          <t>none</t>
        </is>
      </c>
      <c r="Q4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46" s="90" t="inlineStr">
        <is>
          <t>A device tap selects the intended action once.</t>
        </is>
      </c>
      <c r="S46" s="90" t="n"/>
      <c r="T46" s="90" t="n"/>
      <c r="U46" s="114" t="inlineStr">
        <is>
          <t>not run</t>
        </is>
      </c>
      <c r="V46" s="112" t="n"/>
      <c r="W46" s="90" t="n"/>
      <c r="X46" s="90" t="inlineStr">
        <is>
          <t>Existing component coverage remains the verified desktop/manual baseline; this record is an additional device qualification.</t>
        </is>
      </c>
      <c r="Y46" s="114">
        <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device",OR(K46="",L46="",M46="",N46="",P46="")),"needs device details",IF(AND(OR(U46="passed",U46="failed",U46="blocked"),V46=""),"needs result date","ready"))))))</f>
        <v/>
      </c>
      <c r="AK46" s="118" t="inlineStr">
        <is>
          <t>RadioGroup</t>
        </is>
      </c>
    </row>
    <row r="47" ht="48" customHeight="1" s="58">
      <c r="A47" s="112" t="inlineStr">
        <is>
          <t>MRE-07-MENU-005</t>
        </is>
      </c>
      <c r="B47" s="112" t="inlineStr">
        <is>
          <t>MR-07</t>
        </is>
      </c>
      <c r="C47" s="112" t="inlineStr">
        <is>
          <t>MR-P7</t>
        </is>
      </c>
      <c r="D47" s="90" t="inlineStr">
        <is>
          <t>Menu</t>
        </is>
      </c>
      <c r="E47" s="90" t="inlineStr">
        <is>
          <t>pointer/click activation toggles a checkbox item in the existing desktop manual scenario</t>
        </is>
      </c>
      <c r="F47" s="90" t="inlineStr">
        <is>
          <t>Menu!ID-166 — touch toggles checkbox item</t>
        </is>
      </c>
      <c r="G47" s="91" t="inlineStr">
        <is>
          <t>narrow unsupported claim</t>
        </is>
      </c>
      <c r="H47" s="90" t="inlineStr">
        <is>
          <t>already adequately supported</t>
        </is>
      </c>
      <c r="I47" s="91" t="inlineStr">
        <is>
          <t>real device — iOS Safari</t>
        </is>
      </c>
      <c r="J47" s="112" t="inlineStr">
        <is>
          <t>iOS</t>
        </is>
      </c>
      <c r="K47" s="112" t="n"/>
      <c r="L47" s="112" t="inlineStr">
        <is>
          <t>Safari</t>
        </is>
      </c>
      <c r="M47" s="112" t="n"/>
      <c r="N47" s="112" t="n"/>
      <c r="O47" s="112" t="inlineStr">
        <is>
          <t>touch</t>
        </is>
      </c>
      <c r="P47" s="112" t="inlineStr">
        <is>
          <t>none</t>
        </is>
      </c>
      <c r="Q4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47" s="90" t="inlineStr">
        <is>
          <t>A device tap toggles the intended checkbox item once.</t>
        </is>
      </c>
      <c r="S47" s="90" t="n"/>
      <c r="T47" s="90" t="n"/>
      <c r="U47" s="114" t="inlineStr">
        <is>
          <t>not run</t>
        </is>
      </c>
      <c r="V47" s="112" t="n"/>
      <c r="W47" s="90" t="n"/>
      <c r="X47" s="90" t="inlineStr">
        <is>
          <t>Existing component coverage remains the verified desktop/manual baseline; this record is an additional device qualification.</t>
        </is>
      </c>
      <c r="Y47" s="114">
        <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device",OR(K47="",L47="",M47="",N47="",P47="")),"needs device details",IF(AND(OR(U47="passed",U47="failed",U47="blocked"),V47=""),"needs result date","ready"))))))</f>
        <v/>
      </c>
      <c r="AK47" s="118" t="inlineStr">
        <is>
          <t>Rating</t>
        </is>
      </c>
    </row>
    <row r="48" ht="48" customHeight="1" s="58">
      <c r="A48" s="112" t="inlineStr">
        <is>
          <t>MRE-07-MENU-006</t>
        </is>
      </c>
      <c r="B48" s="112" t="inlineStr">
        <is>
          <t>MR-07</t>
        </is>
      </c>
      <c r="C48" s="112" t="inlineStr">
        <is>
          <t>MR-P7</t>
        </is>
      </c>
      <c r="D48" s="90" t="inlineStr">
        <is>
          <t>Menu</t>
        </is>
      </c>
      <c r="E48" s="90" t="inlineStr">
        <is>
          <t>pointer/click activation toggles a checkbox item in the existing desktop manual scenario</t>
        </is>
      </c>
      <c r="F48" s="90" t="inlineStr">
        <is>
          <t>Menu!ID-166 — touch toggles checkbox item</t>
        </is>
      </c>
      <c r="G48" s="91" t="inlineStr">
        <is>
          <t>narrow unsupported claim</t>
        </is>
      </c>
      <c r="H48" s="90" t="inlineStr">
        <is>
          <t>already adequately supported</t>
        </is>
      </c>
      <c r="I48" s="91" t="inlineStr">
        <is>
          <t>real device — Android Chrome</t>
        </is>
      </c>
      <c r="J48" s="112" t="inlineStr">
        <is>
          <t>Android</t>
        </is>
      </c>
      <c r="K48" s="112" t="n"/>
      <c r="L48" s="112" t="inlineStr">
        <is>
          <t>Chrome</t>
        </is>
      </c>
      <c r="M48" s="112" t="n"/>
      <c r="N48" s="112" t="n"/>
      <c r="O48" s="112" t="inlineStr">
        <is>
          <t>touch</t>
        </is>
      </c>
      <c r="P48" s="112" t="inlineStr">
        <is>
          <t>none</t>
        </is>
      </c>
      <c r="Q4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48" s="90" t="inlineStr">
        <is>
          <t>A device tap toggles the intended checkbox item once.</t>
        </is>
      </c>
      <c r="S48" s="90" t="n"/>
      <c r="T48" s="90" t="n"/>
      <c r="U48" s="114" t="inlineStr">
        <is>
          <t>not run</t>
        </is>
      </c>
      <c r="V48" s="112" t="n"/>
      <c r="W48" s="90" t="n"/>
      <c r="X48" s="90" t="inlineStr">
        <is>
          <t>Existing component coverage remains the verified desktop/manual baseline; this record is an additional device qualification.</t>
        </is>
      </c>
      <c r="Y48" s="114">
        <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device",OR(K48="",L48="",M48="",N48="",P48="")),"needs device details",IF(AND(OR(U48="passed",U48="failed",U48="blocked"),V48=""),"needs result date","ready"))))))</f>
        <v/>
      </c>
      <c r="AK48" s="118" t="inlineStr">
        <is>
          <t>ScrollArea</t>
        </is>
      </c>
    </row>
    <row r="49" ht="48" customHeight="1" s="58">
      <c r="A49" s="112" t="inlineStr">
        <is>
          <t>MRE-07-MENU-007</t>
        </is>
      </c>
      <c r="B49" s="112" t="inlineStr">
        <is>
          <t>MR-07</t>
        </is>
      </c>
      <c r="C49" s="112" t="inlineStr">
        <is>
          <t>MR-P7</t>
        </is>
      </c>
      <c r="D49" s="90" t="inlineStr">
        <is>
          <t>Menu</t>
        </is>
      </c>
      <c r="E49" s="90" t="inlineStr">
        <is>
          <t>pointer/click activation selects a radio item in the existing desktop manual scenario</t>
        </is>
      </c>
      <c r="F49" s="90" t="inlineStr">
        <is>
          <t>Menu!ID-167 — touch selects radio item</t>
        </is>
      </c>
      <c r="G49" s="91" t="inlineStr">
        <is>
          <t>narrow unsupported claim</t>
        </is>
      </c>
      <c r="H49" s="90" t="inlineStr">
        <is>
          <t>already adequately supported</t>
        </is>
      </c>
      <c r="I49" s="91" t="inlineStr">
        <is>
          <t>real device — iOS Safari</t>
        </is>
      </c>
      <c r="J49" s="112" t="inlineStr">
        <is>
          <t>iOS</t>
        </is>
      </c>
      <c r="K49" s="112" t="n"/>
      <c r="L49" s="112" t="inlineStr">
        <is>
          <t>Safari</t>
        </is>
      </c>
      <c r="M49" s="112" t="n"/>
      <c r="N49" s="112" t="n"/>
      <c r="O49" s="112" t="inlineStr">
        <is>
          <t>touch</t>
        </is>
      </c>
      <c r="P49" s="112" t="inlineStr">
        <is>
          <t>none</t>
        </is>
      </c>
      <c r="Q4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49" s="90" t="inlineStr">
        <is>
          <t>A device tap selects the intended radio item once.</t>
        </is>
      </c>
      <c r="S49" s="90" t="n"/>
      <c r="T49" s="90" t="n"/>
      <c r="U49" s="114" t="inlineStr">
        <is>
          <t>not run</t>
        </is>
      </c>
      <c r="V49" s="112" t="n"/>
      <c r="W49" s="90" t="n"/>
      <c r="X49" s="90" t="inlineStr">
        <is>
          <t>Existing component coverage remains the verified desktop/manual baseline; this record is an additional device qualification.</t>
        </is>
      </c>
      <c r="Y49" s="114">
        <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device",OR(K49="",L49="",M49="",N49="",P49="")),"needs device details",IF(AND(OR(U49="passed",U49="failed",U49="blocked"),V49=""),"needs result date","ready"))))))</f>
        <v/>
      </c>
      <c r="AK49" s="118" t="inlineStr">
        <is>
          <t>Select</t>
        </is>
      </c>
    </row>
    <row r="50" ht="48" customHeight="1" s="58">
      <c r="A50" s="112" t="inlineStr">
        <is>
          <t>MRE-07-MENU-008</t>
        </is>
      </c>
      <c r="B50" s="112" t="inlineStr">
        <is>
          <t>MR-07</t>
        </is>
      </c>
      <c r="C50" s="112" t="inlineStr">
        <is>
          <t>MR-P7</t>
        </is>
      </c>
      <c r="D50" s="90" t="inlineStr">
        <is>
          <t>Menu</t>
        </is>
      </c>
      <c r="E50" s="90" t="inlineStr">
        <is>
          <t>pointer/click activation selects a radio item in the existing desktop manual scenario</t>
        </is>
      </c>
      <c r="F50" s="90" t="inlineStr">
        <is>
          <t>Menu!ID-167 — touch selects radio item</t>
        </is>
      </c>
      <c r="G50" s="91" t="inlineStr">
        <is>
          <t>narrow unsupported claim</t>
        </is>
      </c>
      <c r="H50" s="90" t="inlineStr">
        <is>
          <t>already adequately supported</t>
        </is>
      </c>
      <c r="I50" s="91" t="inlineStr">
        <is>
          <t>real device — Android Chrome</t>
        </is>
      </c>
      <c r="J50" s="112" t="inlineStr">
        <is>
          <t>Android</t>
        </is>
      </c>
      <c r="K50" s="112" t="n"/>
      <c r="L50" s="112" t="inlineStr">
        <is>
          <t>Chrome</t>
        </is>
      </c>
      <c r="M50" s="112" t="n"/>
      <c r="N50" s="112" t="n"/>
      <c r="O50" s="112" t="inlineStr">
        <is>
          <t>touch</t>
        </is>
      </c>
      <c r="P50" s="112" t="inlineStr">
        <is>
          <t>none</t>
        </is>
      </c>
      <c r="Q5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50" s="90" t="inlineStr">
        <is>
          <t>A device tap selects the intended radio item once.</t>
        </is>
      </c>
      <c r="S50" s="90" t="n"/>
      <c r="T50" s="90" t="n"/>
      <c r="U50" s="114" t="inlineStr">
        <is>
          <t>not run</t>
        </is>
      </c>
      <c r="V50" s="112" t="n"/>
      <c r="W50" s="90" t="n"/>
      <c r="X50" s="90" t="inlineStr">
        <is>
          <t>Existing component coverage remains the verified desktop/manual baseline; this record is an additional device qualification.</t>
        </is>
      </c>
      <c r="Y50" s="114">
        <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device",OR(K50="",L50="",M50="",N50="",P50="")),"needs device details",IF(AND(OR(U50="passed",U50="failed",U50="blocked"),V50=""),"needs result date","ready"))))))</f>
        <v/>
      </c>
      <c r="AK50" s="118" t="inlineStr">
        <is>
          <t>Sidebar</t>
        </is>
      </c>
    </row>
    <row r="51" ht="48" customHeight="1" s="58">
      <c r="A51" s="112" t="inlineStr">
        <is>
          <t>MRE-08-MENU-001</t>
        </is>
      </c>
      <c r="B51" s="112" t="inlineStr">
        <is>
          <t>MR-08</t>
        </is>
      </c>
      <c r="C51" s="112" t="inlineStr">
        <is>
          <t>MR-P7</t>
        </is>
      </c>
      <c r="D51" s="90" t="inlineStr">
        <is>
          <t>Menu</t>
        </is>
      </c>
      <c r="E51" s="90" t="inlineStr">
        <is>
          <t>pointer/click activation opens a submenu in the existing desktop manual scenario</t>
        </is>
      </c>
      <c r="F51" s="90" t="inlineStr">
        <is>
          <t>Menu!ID-168 — touch opens submenu</t>
        </is>
      </c>
      <c r="G51" s="91" t="inlineStr">
        <is>
          <t>narrow unsupported claim</t>
        </is>
      </c>
      <c r="H51" s="90" t="inlineStr">
        <is>
          <t>Atom API/design decision required</t>
        </is>
      </c>
      <c r="I51" s="91" t="inlineStr">
        <is>
          <t>real device — iOS Safari</t>
        </is>
      </c>
      <c r="J51" s="112" t="inlineStr">
        <is>
          <t>iOS</t>
        </is>
      </c>
      <c r="K51" s="112" t="n"/>
      <c r="L51" s="112" t="inlineStr">
        <is>
          <t>Safari</t>
        </is>
      </c>
      <c r="M51" s="112" t="n"/>
      <c r="N51" s="112" t="n"/>
      <c r="O51" s="112" t="inlineStr">
        <is>
          <t>touch</t>
        </is>
      </c>
      <c r="P51" s="112" t="inlineStr">
        <is>
          <t>none</t>
        </is>
      </c>
      <c r="Q51" s="90" t="inlineStr">
        <is>
          <t>On a named iOS device, exercise pointer/click activation opens a submenu in the existing desktop manual scenario and record OS, browser version, device, date, and reproduction notes.</t>
        </is>
      </c>
      <c r="R51" s="90" t="inlineStr">
        <is>
          <t>A device tap opens the intended submenu; any drill-in presentation remains an explicit approved contract.</t>
        </is>
      </c>
      <c r="S51" s="90" t="n"/>
      <c r="T51" s="90" t="n"/>
      <c r="U51" s="114" t="inlineStr">
        <is>
          <t>not run</t>
        </is>
      </c>
      <c r="V51" s="112" t="n"/>
      <c r="W51" s="90" t="n"/>
      <c r="X51" s="90" t="inlineStr">
        <is>
          <t>Existing component coverage remains the verified desktop/manual baseline; this record is an additional device qualification.</t>
        </is>
      </c>
      <c r="Y51" s="114">
        <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device",OR(K51="",L51="",M51="",N51="",P51="")),"needs device details",IF(AND(OR(U51="passed",U51="failed",U51="blocked"),V51=""),"needs result date","ready"))))))</f>
        <v/>
      </c>
      <c r="AK51" s="118" t="inlineStr">
        <is>
          <t>SkipLink</t>
        </is>
      </c>
    </row>
    <row r="52" ht="48" customHeight="1" s="58">
      <c r="A52" s="112" t="inlineStr">
        <is>
          <t>MRE-08-MENU-002</t>
        </is>
      </c>
      <c r="B52" s="112" t="inlineStr">
        <is>
          <t>MR-08</t>
        </is>
      </c>
      <c r="C52" s="112" t="inlineStr">
        <is>
          <t>MR-P7</t>
        </is>
      </c>
      <c r="D52" s="90" t="inlineStr">
        <is>
          <t>Menu</t>
        </is>
      </c>
      <c r="E52" s="90" t="inlineStr">
        <is>
          <t>pointer/click activation opens a submenu in the existing desktop manual scenario</t>
        </is>
      </c>
      <c r="F52" s="90" t="inlineStr">
        <is>
          <t>Menu!ID-168 — touch opens submenu</t>
        </is>
      </c>
      <c r="G52" s="91" t="inlineStr">
        <is>
          <t>narrow unsupported claim</t>
        </is>
      </c>
      <c r="H52" s="90" t="inlineStr">
        <is>
          <t>Atom API/design decision required</t>
        </is>
      </c>
      <c r="I52" s="91" t="inlineStr">
        <is>
          <t>real device — Android Chrome</t>
        </is>
      </c>
      <c r="J52" s="112" t="inlineStr">
        <is>
          <t>Android</t>
        </is>
      </c>
      <c r="K52" s="112" t="n"/>
      <c r="L52" s="112" t="inlineStr">
        <is>
          <t>Chrome</t>
        </is>
      </c>
      <c r="M52" s="112" t="n"/>
      <c r="N52" s="112" t="n"/>
      <c r="O52" s="112" t="inlineStr">
        <is>
          <t>touch</t>
        </is>
      </c>
      <c r="P52" s="112" t="inlineStr">
        <is>
          <t>none</t>
        </is>
      </c>
      <c r="Q5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52" s="90" t="inlineStr">
        <is>
          <t>A device tap opens the intended submenu; any drill-in presentation remains an explicit approved contract.</t>
        </is>
      </c>
      <c r="S52" s="90" t="n"/>
      <c r="T52" s="90" t="n"/>
      <c r="U52" s="114" t="inlineStr">
        <is>
          <t>not run</t>
        </is>
      </c>
      <c r="V52" s="112" t="n"/>
      <c r="W52" s="90" t="n"/>
      <c r="X52" s="90" t="inlineStr">
        <is>
          <t>Existing component coverage remains the verified desktop/manual baseline; this record is an additional device qualification.</t>
        </is>
      </c>
      <c r="Y52" s="114">
        <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device",OR(K52="",L52="",M52="",N52="",P52="")),"needs device details",IF(AND(OR(U52="passed",U52="failed",U52="blocked"),V52=""),"needs result date","ready"))))))</f>
        <v/>
      </c>
      <c r="AK52" s="118" t="inlineStr">
        <is>
          <t>Slider</t>
        </is>
      </c>
    </row>
    <row r="53" ht="48" customHeight="1" s="58">
      <c r="A53" s="112" t="inlineStr">
        <is>
          <t>MRE-06-MENU-001</t>
        </is>
      </c>
      <c r="B53" s="112" t="inlineStr">
        <is>
          <t>MR-06</t>
        </is>
      </c>
      <c r="C53" s="112" t="inlineStr">
        <is>
          <t>MR-P3</t>
        </is>
      </c>
      <c r="D53" s="90" t="inlineStr">
        <is>
          <t>Menu</t>
        </is>
      </c>
      <c r="E53" s="90" t="inlineStr">
        <is>
          <t>current desktop pointer-down outside interaction closes Menu</t>
        </is>
      </c>
      <c r="F53" s="90" t="inlineStr">
        <is>
          <t>Menu!ID-169 — outside touch closes menu</t>
        </is>
      </c>
      <c r="G53" s="91" t="inlineStr">
        <is>
          <t>narrow unsupported claim</t>
        </is>
      </c>
      <c r="H53" s="90" t="inlineStr">
        <is>
          <t>confirmed Atom implementation gap</t>
        </is>
      </c>
      <c r="I53" s="91" t="inlineStr">
        <is>
          <t>real device — iOS Safari</t>
        </is>
      </c>
      <c r="J53" s="112" t="inlineStr">
        <is>
          <t>iOS</t>
        </is>
      </c>
      <c r="K53" s="112" t="n"/>
      <c r="L53" s="112" t="inlineStr">
        <is>
          <t>Safari</t>
        </is>
      </c>
      <c r="M53" s="112" t="n"/>
      <c r="N53" s="112" t="n"/>
      <c r="O53" s="112" t="inlineStr">
        <is>
          <t>touch</t>
        </is>
      </c>
      <c r="P53" s="112" t="inlineStr">
        <is>
          <t>none</t>
        </is>
      </c>
      <c r="Q53" s="90" t="inlineStr">
        <is>
          <t>On a named iOS device, exercise current desktop pointer-down outside interaction closes Menu and record OS, browser version, device, date, and reproduction notes.</t>
        </is>
      </c>
      <c r="R53" s="90" t="inlineStr">
        <is>
          <t>Outside tap dismissal occurs at the approved event boundary and cancels correctly after movement or scrolling.</t>
        </is>
      </c>
      <c r="S53" s="90" t="n"/>
      <c r="T53" s="90" t="n"/>
      <c r="U53" s="114" t="inlineStr">
        <is>
          <t>not run</t>
        </is>
      </c>
      <c r="V53" s="112" t="n"/>
      <c r="W53" s="90" t="n"/>
      <c r="X53" s="90" t="inlineStr">
        <is>
          <t>Existing component coverage remains the verified desktop/manual baseline; this record is an additional device qualification.</t>
        </is>
      </c>
      <c r="Y53" s="114">
        <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device",OR(K53="",L53="",M53="",N53="",P53="")),"needs device details",IF(AND(OR(U53="passed",U53="failed",U53="blocked"),V53=""),"needs result date","ready"))))))</f>
        <v/>
      </c>
      <c r="AK53" s="118" t="inlineStr">
        <is>
          <t>SwipeableItem</t>
        </is>
      </c>
    </row>
    <row r="54" ht="48" customHeight="1" s="58">
      <c r="A54" s="112" t="inlineStr">
        <is>
          <t>MRE-06-MENU-002</t>
        </is>
      </c>
      <c r="B54" s="112" t="inlineStr">
        <is>
          <t>MR-06</t>
        </is>
      </c>
      <c r="C54" s="112" t="inlineStr">
        <is>
          <t>MR-P3</t>
        </is>
      </c>
      <c r="D54" s="90" t="inlineStr">
        <is>
          <t>Menu</t>
        </is>
      </c>
      <c r="E54" s="90" t="inlineStr">
        <is>
          <t>current desktop pointer-down outside interaction closes Menu</t>
        </is>
      </c>
      <c r="F54" s="90" t="inlineStr">
        <is>
          <t>Menu!ID-169 — outside touch closes menu</t>
        </is>
      </c>
      <c r="G54" s="91" t="inlineStr">
        <is>
          <t>narrow unsupported claim</t>
        </is>
      </c>
      <c r="H54" s="90" t="inlineStr">
        <is>
          <t>confirmed Atom implementation gap</t>
        </is>
      </c>
      <c r="I54" s="91" t="inlineStr">
        <is>
          <t>real device — Android Chrome</t>
        </is>
      </c>
      <c r="J54" s="112" t="inlineStr">
        <is>
          <t>Android</t>
        </is>
      </c>
      <c r="K54" s="112" t="n"/>
      <c r="L54" s="112" t="inlineStr">
        <is>
          <t>Chrome</t>
        </is>
      </c>
      <c r="M54" s="112" t="n"/>
      <c r="N54" s="112" t="n"/>
      <c r="O54" s="112" t="inlineStr">
        <is>
          <t>touch</t>
        </is>
      </c>
      <c r="P54" s="112" t="inlineStr">
        <is>
          <t>none</t>
        </is>
      </c>
      <c r="Q54" s="90" t="inlineStr">
        <is>
          <t>On a named Android device, exercise current desktop pointer-down outside interaction closes Menu and record OS, browser version, device, date, and reproduction notes.</t>
        </is>
      </c>
      <c r="R54" s="90" t="inlineStr">
        <is>
          <t>Outside tap dismissal occurs at the approved event boundary and cancels correctly after movement or scrolling.</t>
        </is>
      </c>
      <c r="S54" s="90" t="n"/>
      <c r="T54" s="90" t="n"/>
      <c r="U54" s="114" t="inlineStr">
        <is>
          <t>not run</t>
        </is>
      </c>
      <c r="V54" s="112" t="n"/>
      <c r="W54" s="90" t="n"/>
      <c r="X54" s="90" t="inlineStr">
        <is>
          <t>Existing component coverage remains the verified desktop/manual baseline; this record is an additional device qualification.</t>
        </is>
      </c>
      <c r="Y54" s="114">
        <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device",OR(K54="",L54="",M54="",N54="",P54="")),"needs device details",IF(AND(OR(U54="passed",U54="failed",U54="blocked"),V54=""),"needs result date","ready"))))))</f>
        <v/>
      </c>
      <c r="AK54" s="118" t="inlineStr">
        <is>
          <t>Switch</t>
        </is>
      </c>
    </row>
    <row r="55" ht="48" customHeight="1" s="58">
      <c r="A55" s="112" t="inlineStr">
        <is>
          <t>MRE-01-DROPDOWNMENU-001</t>
        </is>
      </c>
      <c r="B55" s="112" t="inlineStr">
        <is>
          <t>MR-01</t>
        </is>
      </c>
      <c r="C55" s="112" t="inlineStr">
        <is>
          <t>MR-P5</t>
        </is>
      </c>
      <c r="D55" s="90" t="inlineStr">
        <is>
          <t>DropdownMenu</t>
        </is>
      </c>
      <c r="E55" s="90" t="inlineStr">
        <is>
          <t>placement flips or shifts near the edge of the manually tested desktop layout viewport</t>
        </is>
      </c>
      <c r="F55" s="90" t="inlineStr">
        <is>
          <t>DropdownMenu!ID-207 — placement flips or shifts near viewport edge</t>
        </is>
      </c>
      <c r="G55" s="91" t="inlineStr">
        <is>
          <t>narrow unsupported claim</t>
        </is>
      </c>
      <c r="H55" s="90" t="inlineStr">
        <is>
          <t>requires browser validation before concluding</t>
        </is>
      </c>
      <c r="I55" s="91" t="inlineStr">
        <is>
          <t>real device — iOS Safari</t>
        </is>
      </c>
      <c r="J55" s="112" t="inlineStr">
        <is>
          <t>iOS</t>
        </is>
      </c>
      <c r="K55" s="112" t="n"/>
      <c r="L55" s="112" t="inlineStr">
        <is>
          <t>Safari</t>
        </is>
      </c>
      <c r="M55" s="112" t="n"/>
      <c r="N55" s="112" t="n"/>
      <c r="O55" s="112" t="inlineStr">
        <is>
          <t>visual viewport</t>
        </is>
      </c>
      <c r="P55" s="112" t="inlineStr">
        <is>
          <t>none</t>
        </is>
      </c>
      <c r="Q55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55" s="90" t="inlineStr">
        <is>
          <t>DropdownMenu content remains reachable and correctly placed at mobile viewport edges.</t>
        </is>
      </c>
      <c r="S55" s="90" t="n"/>
      <c r="T55" s="90" t="n"/>
      <c r="U55" s="114" t="inlineStr">
        <is>
          <t>not run</t>
        </is>
      </c>
      <c r="V55" s="112" t="n"/>
      <c r="W55" s="90" t="n"/>
      <c r="X55" s="90" t="inlineStr">
        <is>
          <t>Existing component coverage remains the verified desktop/manual baseline; this record is an additional device qualification.</t>
        </is>
      </c>
      <c r="Y55" s="114">
        <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device",OR(K55="",L55="",M55="",N55="",P55="")),"needs device details",IF(AND(OR(U55="passed",U55="failed",U55="blocked"),V55=""),"needs result date","ready"))))))</f>
        <v/>
      </c>
      <c r="AK55" s="118" t="inlineStr">
        <is>
          <t>Table</t>
        </is>
      </c>
    </row>
    <row r="56" ht="48" customHeight="1" s="58">
      <c r="A56" s="112" t="inlineStr">
        <is>
          <t>MRE-01-DROPDOWNMENU-002</t>
        </is>
      </c>
      <c r="B56" s="112" t="inlineStr">
        <is>
          <t>MR-01</t>
        </is>
      </c>
      <c r="C56" s="112" t="inlineStr">
        <is>
          <t>MR-P5</t>
        </is>
      </c>
      <c r="D56" s="90" t="inlineStr">
        <is>
          <t>DropdownMenu</t>
        </is>
      </c>
      <c r="E56" s="90" t="inlineStr">
        <is>
          <t>placement flips or shifts near the edge of the manually tested desktop layout viewport</t>
        </is>
      </c>
      <c r="F56" s="90" t="inlineStr">
        <is>
          <t>DropdownMenu!ID-207 — placement flips or shifts near viewport edge</t>
        </is>
      </c>
      <c r="G56" s="91" t="inlineStr">
        <is>
          <t>narrow unsupported claim</t>
        </is>
      </c>
      <c r="H56" s="90" t="inlineStr">
        <is>
          <t>requires browser validation before concluding</t>
        </is>
      </c>
      <c r="I56" s="91" t="inlineStr">
        <is>
          <t>real device — Android Chrome</t>
        </is>
      </c>
      <c r="J56" s="112" t="inlineStr">
        <is>
          <t>Android</t>
        </is>
      </c>
      <c r="K56" s="112" t="n"/>
      <c r="L56" s="112" t="inlineStr">
        <is>
          <t>Chrome</t>
        </is>
      </c>
      <c r="M56" s="112" t="n"/>
      <c r="N56" s="112" t="n"/>
      <c r="O56" s="112" t="inlineStr">
        <is>
          <t>visual viewport</t>
        </is>
      </c>
      <c r="P56" s="112" t="inlineStr">
        <is>
          <t>none</t>
        </is>
      </c>
      <c r="Q56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56" s="90" t="inlineStr">
        <is>
          <t>DropdownMenu content remains reachable and correctly placed at mobile viewport edges.</t>
        </is>
      </c>
      <c r="S56" s="90" t="n"/>
      <c r="T56" s="90" t="n"/>
      <c r="U56" s="114" t="inlineStr">
        <is>
          <t>not run</t>
        </is>
      </c>
      <c r="V56" s="112" t="n"/>
      <c r="W56" s="90" t="n"/>
      <c r="X56" s="90" t="inlineStr">
        <is>
          <t>Existing component coverage remains the verified desktop/manual baseline; this record is an additional device qualification.</t>
        </is>
      </c>
      <c r="Y56" s="114">
        <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device",OR(K56="",L56="",M56="",N56="",P56="")),"needs device details",IF(AND(OR(U56="passed",U56="failed",U56="blocked"),V56=""),"needs result date","ready"))))))</f>
        <v/>
      </c>
      <c r="AK56" s="118" t="inlineStr">
        <is>
          <t>Tabs</t>
        </is>
      </c>
    </row>
    <row r="57" ht="48" customHeight="1" s="58">
      <c r="A57" s="112" t="inlineStr">
        <is>
          <t>MRE-07-DROPDOWNMENU-001</t>
        </is>
      </c>
      <c r="B57" s="112" t="inlineStr">
        <is>
          <t>MR-07</t>
        </is>
      </c>
      <c r="C57" s="112" t="inlineStr">
        <is>
          <t>MR-P7</t>
        </is>
      </c>
      <c r="D57" s="90" t="inlineStr">
        <is>
          <t>DropdownMenu</t>
        </is>
      </c>
      <c r="E57" s="90" t="inlineStr">
        <is>
          <t>pointer/click trigger activation opens DropdownMenu in the existing desktop manual scenario</t>
        </is>
      </c>
      <c r="F57" s="90" t="inlineStr">
        <is>
          <t>DropdownMenu!ID-220 — touch trigger opens dropdown</t>
        </is>
      </c>
      <c r="G57" s="91" t="inlineStr">
        <is>
          <t>narrow unsupported claim</t>
        </is>
      </c>
      <c r="H57" s="90" t="inlineStr">
        <is>
          <t>already adequately supported</t>
        </is>
      </c>
      <c r="I57" s="91" t="inlineStr">
        <is>
          <t>real device — iOS Safari</t>
        </is>
      </c>
      <c r="J57" s="112" t="inlineStr">
        <is>
          <t>iOS</t>
        </is>
      </c>
      <c r="K57" s="112" t="n"/>
      <c r="L57" s="112" t="inlineStr">
        <is>
          <t>Safari</t>
        </is>
      </c>
      <c r="M57" s="112" t="n"/>
      <c r="N57" s="112" t="n"/>
      <c r="O57" s="112" t="inlineStr">
        <is>
          <t>touch</t>
        </is>
      </c>
      <c r="P57" s="112" t="inlineStr">
        <is>
          <t>none</t>
        </is>
      </c>
      <c r="Q57" s="90" t="inlineStr">
        <is>
          <t>On a named iOS device, exercise pointer/click trigger activation opens DropdownMenu in the existing desktop manual scenario and record OS, browser version, device, date, and reproduction notes.</t>
        </is>
      </c>
      <c r="R57" s="90" t="inlineStr">
        <is>
          <t>A device tap opens DropdownMenu once and preserves the current activation contract.</t>
        </is>
      </c>
      <c r="S57" s="90" t="n"/>
      <c r="T57" s="90" t="n"/>
      <c r="U57" s="114" t="inlineStr">
        <is>
          <t>not run</t>
        </is>
      </c>
      <c r="V57" s="112" t="n"/>
      <c r="W57" s="90" t="n"/>
      <c r="X57" s="90" t="inlineStr">
        <is>
          <t>Existing component coverage remains the verified desktop/manual baseline; this record is an additional device qualification.</t>
        </is>
      </c>
      <c r="Y57" s="114">
        <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device",OR(K57="",L57="",M57="",N57="",P57="")),"needs device details",IF(AND(OR(U57="passed",U57="failed",U57="blocked"),V57=""),"needs result date","ready"))))))</f>
        <v/>
      </c>
      <c r="AK57" s="118" t="inlineStr">
        <is>
          <t>Textarea</t>
        </is>
      </c>
    </row>
    <row r="58" ht="48" customHeight="1" s="58">
      <c r="A58" s="112" t="inlineStr">
        <is>
          <t>MRE-07-DROPDOWNMENU-002</t>
        </is>
      </c>
      <c r="B58" s="112" t="inlineStr">
        <is>
          <t>MR-07</t>
        </is>
      </c>
      <c r="C58" s="112" t="inlineStr">
        <is>
          <t>MR-P7</t>
        </is>
      </c>
      <c r="D58" s="90" t="inlineStr">
        <is>
          <t>DropdownMenu</t>
        </is>
      </c>
      <c r="E58" s="90" t="inlineStr">
        <is>
          <t>pointer/click trigger activation opens DropdownMenu in the existing desktop manual scenario</t>
        </is>
      </c>
      <c r="F58" s="90" t="inlineStr">
        <is>
          <t>DropdownMenu!ID-220 — touch trigger opens dropdown</t>
        </is>
      </c>
      <c r="G58" s="91" t="inlineStr">
        <is>
          <t>narrow unsupported claim</t>
        </is>
      </c>
      <c r="H58" s="90" t="inlineStr">
        <is>
          <t>already adequately supported</t>
        </is>
      </c>
      <c r="I58" s="91" t="inlineStr">
        <is>
          <t>real device — Android Chrome</t>
        </is>
      </c>
      <c r="J58" s="112" t="inlineStr">
        <is>
          <t>Android</t>
        </is>
      </c>
      <c r="K58" s="112" t="n"/>
      <c r="L58" s="112" t="inlineStr">
        <is>
          <t>Chrome</t>
        </is>
      </c>
      <c r="M58" s="112" t="n"/>
      <c r="N58" s="112" t="n"/>
      <c r="O58" s="112" t="inlineStr">
        <is>
          <t>touch</t>
        </is>
      </c>
      <c r="P58" s="112" t="inlineStr">
        <is>
          <t>none</t>
        </is>
      </c>
      <c r="Q58" s="90" t="inlineStr">
        <is>
          <t>On a named Android device, exercise pointer/click trigger activation opens DropdownMenu in the existing desktop manual scenario and record OS, browser version, device, date, and reproduction notes.</t>
        </is>
      </c>
      <c r="R58" s="90" t="inlineStr">
        <is>
          <t>A device tap opens DropdownMenu once and preserves the current activation contract.</t>
        </is>
      </c>
      <c r="S58" s="90" t="n"/>
      <c r="T58" s="90" t="n"/>
      <c r="U58" s="114" t="inlineStr">
        <is>
          <t>not run</t>
        </is>
      </c>
      <c r="V58" s="112" t="n"/>
      <c r="W58" s="90" t="n"/>
      <c r="X58" s="90" t="inlineStr">
        <is>
          <t>Existing component coverage remains the verified desktop/manual baseline; this record is an additional device qualification.</t>
        </is>
      </c>
      <c r="Y58" s="114">
        <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device",OR(K58="",L58="",M58="",N58="",P58="")),"needs device details",IF(AND(OR(U58="passed",U58="failed",U58="blocked"),V58=""),"needs result date","ready"))))))</f>
        <v/>
      </c>
      <c r="AK58" s="118" t="inlineStr">
        <is>
          <t>Toast</t>
        </is>
      </c>
    </row>
    <row r="59" ht="48" customHeight="1" s="58">
      <c r="A59" s="112" t="inlineStr">
        <is>
          <t>MRE-07-DROPDOWNMENU-003</t>
        </is>
      </c>
      <c r="B59" s="112" t="inlineStr">
        <is>
          <t>MR-07</t>
        </is>
      </c>
      <c r="C59" s="112" t="inlineStr">
        <is>
          <t>MR-P7</t>
        </is>
      </c>
      <c r="D59" s="90" t="inlineStr">
        <is>
          <t>DropdownMenu</t>
        </is>
      </c>
      <c r="E59" s="90" t="inlineStr">
        <is>
          <t>pointer/click trigger activation closes an open DropdownMenu in the existing desktop manual scenario</t>
        </is>
      </c>
      <c r="F59" s="90" t="inlineStr">
        <is>
          <t>DropdownMenu!ID-221 — touch trigger closes open dropdown</t>
        </is>
      </c>
      <c r="G59" s="91" t="inlineStr">
        <is>
          <t>narrow unsupported claim</t>
        </is>
      </c>
      <c r="H59" s="90" t="inlineStr">
        <is>
          <t>already adequately supported</t>
        </is>
      </c>
      <c r="I59" s="91" t="inlineStr">
        <is>
          <t>real device — iOS Safari</t>
        </is>
      </c>
      <c r="J59" s="112" t="inlineStr">
        <is>
          <t>iOS</t>
        </is>
      </c>
      <c r="K59" s="112" t="n"/>
      <c r="L59" s="112" t="inlineStr">
        <is>
          <t>Safari</t>
        </is>
      </c>
      <c r="M59" s="112" t="n"/>
      <c r="N59" s="112" t="n"/>
      <c r="O59" s="112" t="inlineStr">
        <is>
          <t>touch</t>
        </is>
      </c>
      <c r="P59" s="112" t="inlineStr">
        <is>
          <t>none</t>
        </is>
      </c>
      <c r="Q59" s="90" t="inlineStr">
        <is>
          <t>On a named iOS device, exercise pointer/click trigger activation closes an open DropdownMenu in the existing desktop manual scenario and record OS, browser version, device, date, and reproduction notes.</t>
        </is>
      </c>
      <c r="R59" s="90" t="inlineStr">
        <is>
          <t>A device tap closes the open DropdownMenu once without reopen races.</t>
        </is>
      </c>
      <c r="S59" s="90" t="n"/>
      <c r="T59" s="90" t="n"/>
      <c r="U59" s="114" t="inlineStr">
        <is>
          <t>not run</t>
        </is>
      </c>
      <c r="V59" s="112" t="n"/>
      <c r="W59" s="90" t="n"/>
      <c r="X59" s="90" t="inlineStr">
        <is>
          <t>Existing component coverage remains the verified desktop/manual baseline; this record is an additional device qualification.</t>
        </is>
      </c>
      <c r="Y59" s="114">
        <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device",OR(K59="",L59="",M59="",N59="",P59="")),"needs device details",IF(AND(OR(U59="passed",U59="failed",U59="blocked"),V59=""),"needs result date","ready"))))))</f>
        <v/>
      </c>
      <c r="AK59" s="118" t="inlineStr">
        <is>
          <t>Toggle</t>
        </is>
      </c>
    </row>
    <row r="60" ht="48" customHeight="1" s="58">
      <c r="A60" s="112" t="inlineStr">
        <is>
          <t>MRE-07-DROPDOWNMENU-004</t>
        </is>
      </c>
      <c r="B60" s="112" t="inlineStr">
        <is>
          <t>MR-07</t>
        </is>
      </c>
      <c r="C60" s="112" t="inlineStr">
        <is>
          <t>MR-P7</t>
        </is>
      </c>
      <c r="D60" s="90" t="inlineStr">
        <is>
          <t>DropdownMenu</t>
        </is>
      </c>
      <c r="E60" s="90" t="inlineStr">
        <is>
          <t>pointer/click trigger activation closes an open DropdownMenu in the existing desktop manual scenario</t>
        </is>
      </c>
      <c r="F60" s="90" t="inlineStr">
        <is>
          <t>DropdownMenu!ID-221 — touch trigger closes open dropdown</t>
        </is>
      </c>
      <c r="G60" s="91" t="inlineStr">
        <is>
          <t>narrow unsupported claim</t>
        </is>
      </c>
      <c r="H60" s="90" t="inlineStr">
        <is>
          <t>already adequately supported</t>
        </is>
      </c>
      <c r="I60" s="91" t="inlineStr">
        <is>
          <t>real device — Android Chrome</t>
        </is>
      </c>
      <c r="J60" s="112" t="inlineStr">
        <is>
          <t>Android</t>
        </is>
      </c>
      <c r="K60" s="112" t="n"/>
      <c r="L60" s="112" t="inlineStr">
        <is>
          <t>Chrome</t>
        </is>
      </c>
      <c r="M60" s="112" t="n"/>
      <c r="N60" s="112" t="n"/>
      <c r="O60" s="112" t="inlineStr">
        <is>
          <t>touch</t>
        </is>
      </c>
      <c r="P60" s="112" t="inlineStr">
        <is>
          <t>none</t>
        </is>
      </c>
      <c r="Q60" s="90" t="inlineStr">
        <is>
          <t>On a named Android device, exercise pointer/click trigger activation closes an open DropdownMenu in the existing desktop manual scenario and record OS, browser version, device, date, and reproduction notes.</t>
        </is>
      </c>
      <c r="R60" s="90" t="inlineStr">
        <is>
          <t>A device tap closes the open DropdownMenu once without reopen races.</t>
        </is>
      </c>
      <c r="S60" s="90" t="n"/>
      <c r="T60" s="90" t="n"/>
      <c r="U60" s="114" t="inlineStr">
        <is>
          <t>not run</t>
        </is>
      </c>
      <c r="V60" s="112" t="n"/>
      <c r="W60" s="90" t="n"/>
      <c r="X60" s="90" t="inlineStr">
        <is>
          <t>Existing component coverage remains the verified desktop/manual baseline; this record is an additional device qualification.</t>
        </is>
      </c>
      <c r="Y60" s="114">
        <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device",OR(K60="",L60="",M60="",N60="",P60="")),"needs device details",IF(AND(OR(U60="passed",U60="failed",U60="blocked"),V60=""),"needs result date","ready"))))))</f>
        <v/>
      </c>
      <c r="AK60" s="118" t="inlineStr">
        <is>
          <t>ToggleGroup</t>
        </is>
      </c>
    </row>
    <row r="61" ht="48" customHeight="1" s="58">
      <c r="A61" s="112" t="inlineStr">
        <is>
          <t>MRE-07-DROPDOWNMENU-005</t>
        </is>
      </c>
      <c r="B61" s="112" t="inlineStr">
        <is>
          <t>MR-07</t>
        </is>
      </c>
      <c r="C61" s="112" t="inlineStr">
        <is>
          <t>MR-P7</t>
        </is>
      </c>
      <c r="D61" s="90" t="inlineStr">
        <is>
          <t>DropdownMenu</t>
        </is>
      </c>
      <c r="E61" s="90" t="inlineStr">
        <is>
          <t>pointer/click activation selects an action item in the existing desktop manual scenario</t>
        </is>
      </c>
      <c r="F61" s="90" t="inlineStr">
        <is>
          <t>DropdownMenu!ID-222 — touch selects action item</t>
        </is>
      </c>
      <c r="G61" s="91" t="inlineStr">
        <is>
          <t>narrow unsupported claim</t>
        </is>
      </c>
      <c r="H61" s="90" t="inlineStr">
        <is>
          <t>already adequately supported</t>
        </is>
      </c>
      <c r="I61" s="91" t="inlineStr">
        <is>
          <t>real device — iOS Safari</t>
        </is>
      </c>
      <c r="J61" s="112" t="inlineStr">
        <is>
          <t>iOS</t>
        </is>
      </c>
      <c r="K61" s="112" t="n"/>
      <c r="L61" s="112" t="inlineStr">
        <is>
          <t>Safari</t>
        </is>
      </c>
      <c r="M61" s="112" t="n"/>
      <c r="N61" s="112" t="n"/>
      <c r="O61" s="112" t="inlineStr">
        <is>
          <t>touch</t>
        </is>
      </c>
      <c r="P61" s="112" t="inlineStr">
        <is>
          <t>none</t>
        </is>
      </c>
      <c r="Q61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61" s="90" t="inlineStr">
        <is>
          <t>A device tap selects the intended action once.</t>
        </is>
      </c>
      <c r="S61" s="90" t="n"/>
      <c r="T61" s="90" t="n"/>
      <c r="U61" s="114" t="inlineStr">
        <is>
          <t>not run</t>
        </is>
      </c>
      <c r="V61" s="112" t="n"/>
      <c r="W61" s="90" t="n"/>
      <c r="X61" s="90" t="inlineStr">
        <is>
          <t>Existing component coverage remains the verified desktop/manual baseline; this record is an additional device qualification.</t>
        </is>
      </c>
      <c r="Y61" s="114">
        <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device",OR(K61="",L61="",M61="",N61="",P61="")),"needs device details",IF(AND(OR(U61="passed",U61="failed",U61="blocked"),V61=""),"needs result date","ready"))))))</f>
        <v/>
      </c>
      <c r="AK61" s="118" t="inlineStr">
        <is>
          <t>Toolbar</t>
        </is>
      </c>
    </row>
    <row r="62" ht="48" customHeight="1" s="58">
      <c r="A62" s="112" t="inlineStr">
        <is>
          <t>MRE-07-DROPDOWNMENU-006</t>
        </is>
      </c>
      <c r="B62" s="112" t="inlineStr">
        <is>
          <t>MR-07</t>
        </is>
      </c>
      <c r="C62" s="112" t="inlineStr">
        <is>
          <t>MR-P7</t>
        </is>
      </c>
      <c r="D62" s="90" t="inlineStr">
        <is>
          <t>DropdownMenu</t>
        </is>
      </c>
      <c r="E62" s="90" t="inlineStr">
        <is>
          <t>pointer/click activation selects an action item in the existing desktop manual scenario</t>
        </is>
      </c>
      <c r="F62" s="90" t="inlineStr">
        <is>
          <t>DropdownMenu!ID-222 — touch selects action item</t>
        </is>
      </c>
      <c r="G62" s="91" t="inlineStr">
        <is>
          <t>narrow unsupported claim</t>
        </is>
      </c>
      <c r="H62" s="90" t="inlineStr">
        <is>
          <t>already adequately supported</t>
        </is>
      </c>
      <c r="I62" s="91" t="inlineStr">
        <is>
          <t>real device — Android Chrome</t>
        </is>
      </c>
      <c r="J62" s="112" t="inlineStr">
        <is>
          <t>Android</t>
        </is>
      </c>
      <c r="K62" s="112" t="n"/>
      <c r="L62" s="112" t="inlineStr">
        <is>
          <t>Chrome</t>
        </is>
      </c>
      <c r="M62" s="112" t="n"/>
      <c r="N62" s="112" t="n"/>
      <c r="O62" s="112" t="inlineStr">
        <is>
          <t>touch</t>
        </is>
      </c>
      <c r="P62" s="112" t="inlineStr">
        <is>
          <t>none</t>
        </is>
      </c>
      <c r="Q62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62" s="90" t="inlineStr">
        <is>
          <t>A device tap selects the intended action once.</t>
        </is>
      </c>
      <c r="S62" s="90" t="n"/>
      <c r="T62" s="90" t="n"/>
      <c r="U62" s="114" t="inlineStr">
        <is>
          <t>not run</t>
        </is>
      </c>
      <c r="V62" s="112" t="n"/>
      <c r="W62" s="90" t="n"/>
      <c r="X62" s="90" t="inlineStr">
        <is>
          <t>Existing component coverage remains the verified desktop/manual baseline; this record is an additional device qualification.</t>
        </is>
      </c>
      <c r="Y62" s="114">
        <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device",OR(K62="",L62="",M62="",N62="",P62="")),"needs device details",IF(AND(OR(U62="passed",U62="failed",U62="blocked"),V62=""),"needs result date","ready"))))))</f>
        <v/>
      </c>
      <c r="AK62" s="118" t="inlineStr">
        <is>
          <t>Tooltip</t>
        </is>
      </c>
    </row>
    <row r="63" ht="48" customHeight="1" s="58">
      <c r="A63" s="112" t="inlineStr">
        <is>
          <t>MRE-07-DROPDOWNMENU-007</t>
        </is>
      </c>
      <c r="B63" s="112" t="inlineStr">
        <is>
          <t>MR-07</t>
        </is>
      </c>
      <c r="C63" s="112" t="inlineStr">
        <is>
          <t>MR-P7</t>
        </is>
      </c>
      <c r="D63" s="90" t="inlineStr">
        <is>
          <t>DropdownMenu</t>
        </is>
      </c>
      <c r="E63" s="90" t="inlineStr">
        <is>
          <t>pointer/click activation toggles a checkbox item in the existing desktop manual scenario</t>
        </is>
      </c>
      <c r="F63" s="90" t="inlineStr">
        <is>
          <t>DropdownMenu!ID-223 — touch toggles checkbox item</t>
        </is>
      </c>
      <c r="G63" s="91" t="inlineStr">
        <is>
          <t>narrow unsupported claim</t>
        </is>
      </c>
      <c r="H63" s="90" t="inlineStr">
        <is>
          <t>already adequately supported</t>
        </is>
      </c>
      <c r="I63" s="91" t="inlineStr">
        <is>
          <t>real device — iOS Safari</t>
        </is>
      </c>
      <c r="J63" s="112" t="inlineStr">
        <is>
          <t>iOS</t>
        </is>
      </c>
      <c r="K63" s="112" t="n"/>
      <c r="L63" s="112" t="inlineStr">
        <is>
          <t>Safari</t>
        </is>
      </c>
      <c r="M63" s="112" t="n"/>
      <c r="N63" s="112" t="n"/>
      <c r="O63" s="112" t="inlineStr">
        <is>
          <t>touch</t>
        </is>
      </c>
      <c r="P63" s="112" t="inlineStr">
        <is>
          <t>none</t>
        </is>
      </c>
      <c r="Q63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63" s="90" t="inlineStr">
        <is>
          <t>A device tap toggles the intended checkbox item once.</t>
        </is>
      </c>
      <c r="S63" s="90" t="n"/>
      <c r="T63" s="90" t="n"/>
      <c r="U63" s="114" t="inlineStr">
        <is>
          <t>not run</t>
        </is>
      </c>
      <c r="V63" s="112" t="n"/>
      <c r="W63" s="90" t="n"/>
      <c r="X63" s="90" t="inlineStr">
        <is>
          <t>Existing component coverage remains the verified desktop/manual baseline; this record is an additional device qualification.</t>
        </is>
      </c>
      <c r="Y63" s="114">
        <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device",OR(K63="",L63="",M63="",N63="",P63="")),"needs device details",IF(AND(OR(U63="passed",U63="failed",U63="blocked"),V63=""),"needs result date","ready"))))))</f>
        <v/>
      </c>
      <c r="AK63" s="118" t="inlineStr">
        <is>
          <t>Tree</t>
        </is>
      </c>
    </row>
    <row r="64" ht="48" customHeight="1" s="58">
      <c r="A64" s="112" t="inlineStr">
        <is>
          <t>MRE-07-DROPDOWNMENU-008</t>
        </is>
      </c>
      <c r="B64" s="112" t="inlineStr">
        <is>
          <t>MR-07</t>
        </is>
      </c>
      <c r="C64" s="112" t="inlineStr">
        <is>
          <t>MR-P7</t>
        </is>
      </c>
      <c r="D64" s="90" t="inlineStr">
        <is>
          <t>DropdownMenu</t>
        </is>
      </c>
      <c r="E64" s="90" t="inlineStr">
        <is>
          <t>pointer/click activation toggles a checkbox item in the existing desktop manual scenario</t>
        </is>
      </c>
      <c r="F64" s="90" t="inlineStr">
        <is>
          <t>DropdownMenu!ID-223 — touch toggles checkbox item</t>
        </is>
      </c>
      <c r="G64" s="91" t="inlineStr">
        <is>
          <t>narrow unsupported claim</t>
        </is>
      </c>
      <c r="H64" s="90" t="inlineStr">
        <is>
          <t>already adequately supported</t>
        </is>
      </c>
      <c r="I64" s="91" t="inlineStr">
        <is>
          <t>real device — Android Chrome</t>
        </is>
      </c>
      <c r="J64" s="112" t="inlineStr">
        <is>
          <t>Android</t>
        </is>
      </c>
      <c r="K64" s="112" t="n"/>
      <c r="L64" s="112" t="inlineStr">
        <is>
          <t>Chrome</t>
        </is>
      </c>
      <c r="M64" s="112" t="n"/>
      <c r="N64" s="112" t="n"/>
      <c r="O64" s="112" t="inlineStr">
        <is>
          <t>touch</t>
        </is>
      </c>
      <c r="P64" s="112" t="inlineStr">
        <is>
          <t>none</t>
        </is>
      </c>
      <c r="Q64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64" s="90" t="inlineStr">
        <is>
          <t>A device tap toggles the intended checkbox item once.</t>
        </is>
      </c>
      <c r="S64" s="90" t="n"/>
      <c r="T64" s="90" t="n"/>
      <c r="U64" s="114" t="inlineStr">
        <is>
          <t>not run</t>
        </is>
      </c>
      <c r="V64" s="112" t="n"/>
      <c r="W64" s="90" t="n"/>
      <c r="X64" s="90" t="inlineStr">
        <is>
          <t>Existing component coverage remains the verified desktop/manual baseline; this record is an additional device qualification.</t>
        </is>
      </c>
      <c r="Y64" s="114">
        <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device",OR(K64="",L64="",M64="",N64="",P64="")),"needs device details",IF(AND(OR(U64="passed",U64="failed",U64="blocked"),V64=""),"needs result date","ready"))))))</f>
        <v/>
      </c>
      <c r="AK64" s="118" t="inlineStr">
        <is>
          <t>TreeGrid</t>
        </is>
      </c>
    </row>
    <row r="65" ht="48" customHeight="1" s="58">
      <c r="A65" s="112" t="inlineStr">
        <is>
          <t>MRE-07-DROPDOWNMENU-009</t>
        </is>
      </c>
      <c r="B65" s="112" t="inlineStr">
        <is>
          <t>MR-07</t>
        </is>
      </c>
      <c r="C65" s="112" t="inlineStr">
        <is>
          <t>MR-P7</t>
        </is>
      </c>
      <c r="D65" s="90" t="inlineStr">
        <is>
          <t>DropdownMenu</t>
        </is>
      </c>
      <c r="E65" s="90" t="inlineStr">
        <is>
          <t>pointer/click activation selects a radio item in the existing desktop manual scenario</t>
        </is>
      </c>
      <c r="F65" s="90" t="inlineStr">
        <is>
          <t>DropdownMenu!ID-224 — touch selects radio item</t>
        </is>
      </c>
      <c r="G65" s="91" t="inlineStr">
        <is>
          <t>narrow unsupported claim</t>
        </is>
      </c>
      <c r="H65" s="90" t="inlineStr">
        <is>
          <t>already adequately supported</t>
        </is>
      </c>
      <c r="I65" s="91" t="inlineStr">
        <is>
          <t>real device — iOS Safari</t>
        </is>
      </c>
      <c r="J65" s="112" t="inlineStr">
        <is>
          <t>iOS</t>
        </is>
      </c>
      <c r="K65" s="112" t="n"/>
      <c r="L65" s="112" t="inlineStr">
        <is>
          <t>Safari</t>
        </is>
      </c>
      <c r="M65" s="112" t="n"/>
      <c r="N65" s="112" t="n"/>
      <c r="O65" s="112" t="inlineStr">
        <is>
          <t>touch</t>
        </is>
      </c>
      <c r="P65" s="112" t="inlineStr">
        <is>
          <t>none</t>
        </is>
      </c>
      <c r="Q65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65" s="90" t="inlineStr">
        <is>
          <t>A device tap selects the intended radio item once.</t>
        </is>
      </c>
      <c r="S65" s="90" t="n"/>
      <c r="T65" s="90" t="n"/>
      <c r="U65" s="114" t="inlineStr">
        <is>
          <t>not run</t>
        </is>
      </c>
      <c r="V65" s="112" t="n"/>
      <c r="W65" s="90" t="n"/>
      <c r="X65" s="90" t="inlineStr">
        <is>
          <t>Existing component coverage remains the verified desktop/manual baseline; this record is an additional device qualification.</t>
        </is>
      </c>
      <c r="Y65" s="114">
        <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device",OR(K65="",L65="",M65="",N65="",P65="")),"needs device details",IF(AND(OR(U65="passed",U65="failed",U65="blocked"),V65=""),"needs result date","ready"))))))</f>
        <v/>
      </c>
      <c r="AK65" s="118" t="inlineStr">
        <is>
          <t>Virtualizer</t>
        </is>
      </c>
    </row>
    <row r="66" ht="48" customHeight="1" s="58">
      <c r="A66" s="112" t="inlineStr">
        <is>
          <t>MRE-07-DROPDOWNMENU-010</t>
        </is>
      </c>
      <c r="B66" s="112" t="inlineStr">
        <is>
          <t>MR-07</t>
        </is>
      </c>
      <c r="C66" s="112" t="inlineStr">
        <is>
          <t>MR-P7</t>
        </is>
      </c>
      <c r="D66" s="90" t="inlineStr">
        <is>
          <t>DropdownMenu</t>
        </is>
      </c>
      <c r="E66" s="90" t="inlineStr">
        <is>
          <t>pointer/click activation selects a radio item in the existing desktop manual scenario</t>
        </is>
      </c>
      <c r="F66" s="90" t="inlineStr">
        <is>
          <t>DropdownMenu!ID-224 — touch selects radio item</t>
        </is>
      </c>
      <c r="G66" s="91" t="inlineStr">
        <is>
          <t>narrow unsupported claim</t>
        </is>
      </c>
      <c r="H66" s="90" t="inlineStr">
        <is>
          <t>already adequately supported</t>
        </is>
      </c>
      <c r="I66" s="91" t="inlineStr">
        <is>
          <t>real device — Android Chrome</t>
        </is>
      </c>
      <c r="J66" s="112" t="inlineStr">
        <is>
          <t>Android</t>
        </is>
      </c>
      <c r="K66" s="112" t="n"/>
      <c r="L66" s="112" t="inlineStr">
        <is>
          <t>Chrome</t>
        </is>
      </c>
      <c r="M66" s="112" t="n"/>
      <c r="N66" s="112" t="n"/>
      <c r="O66" s="112" t="inlineStr">
        <is>
          <t>touch</t>
        </is>
      </c>
      <c r="P66" s="112" t="inlineStr">
        <is>
          <t>none</t>
        </is>
      </c>
      <c r="Q66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66" s="90" t="inlineStr">
        <is>
          <t>A device tap selects the intended radio item once.</t>
        </is>
      </c>
      <c r="S66" s="90" t="n"/>
      <c r="T66" s="90" t="n"/>
      <c r="U66" s="114" t="inlineStr">
        <is>
          <t>not run</t>
        </is>
      </c>
      <c r="V66" s="112" t="n"/>
      <c r="W66" s="90" t="n"/>
      <c r="X66" s="90" t="inlineStr">
        <is>
          <t>Existing component coverage remains the verified desktop/manual baseline; this record is an additional device qualification.</t>
        </is>
      </c>
      <c r="Y66" s="114">
        <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device",OR(K66="",L66="",M66="",N66="",P66="")),"needs device details",IF(AND(OR(U66="passed",U66="failed",U66="blocked"),V66=""),"needs result date","ready"))))))</f>
        <v/>
      </c>
      <c r="AK66" s="118" t="inlineStr">
        <is>
          <t>VisuallyHidden</t>
        </is>
      </c>
    </row>
    <row r="67" ht="48" customHeight="1" s="58">
      <c r="A67" s="112" t="inlineStr">
        <is>
          <t>MRE-08-DROPDOWNMENU-001</t>
        </is>
      </c>
      <c r="B67" s="112" t="inlineStr">
        <is>
          <t>MR-08</t>
        </is>
      </c>
      <c r="C67" s="112" t="inlineStr">
        <is>
          <t>MR-P7</t>
        </is>
      </c>
      <c r="D67" s="90" t="inlineStr">
        <is>
          <t>DropdownMenu</t>
        </is>
      </c>
      <c r="E67" s="90" t="inlineStr">
        <is>
          <t>pointer/click activation opens a submenu in the existing desktop manual scenario</t>
        </is>
      </c>
      <c r="F67" s="90" t="inlineStr">
        <is>
          <t>DropdownMenu!ID-225 — touch opens submenu</t>
        </is>
      </c>
      <c r="G67" s="91" t="inlineStr">
        <is>
          <t>narrow unsupported claim</t>
        </is>
      </c>
      <c r="H67" s="90" t="inlineStr">
        <is>
          <t>Atom API/design decision required</t>
        </is>
      </c>
      <c r="I67" s="91" t="inlineStr">
        <is>
          <t>real device — iOS Safari</t>
        </is>
      </c>
      <c r="J67" s="112" t="inlineStr">
        <is>
          <t>iOS</t>
        </is>
      </c>
      <c r="K67" s="112" t="n"/>
      <c r="L67" s="112" t="inlineStr">
        <is>
          <t>Safari</t>
        </is>
      </c>
      <c r="M67" s="112" t="n"/>
      <c r="N67" s="112" t="n"/>
      <c r="O67" s="112" t="inlineStr">
        <is>
          <t>touch</t>
        </is>
      </c>
      <c r="P67" s="112" t="inlineStr">
        <is>
          <t>none</t>
        </is>
      </c>
      <c r="Q67" s="90" t="inlineStr">
        <is>
          <t>On a named iOS device, exercise pointer/click activation opens a submenu in the existing desktop manual scenario and record OS, browser version, device, date, and reproduction notes.</t>
        </is>
      </c>
      <c r="R67" s="90" t="inlineStr">
        <is>
          <t>A device tap opens the intended submenu; any drill-in presentation remains an explicit approved contract.</t>
        </is>
      </c>
      <c r="S67" s="90" t="n"/>
      <c r="T67" s="90" t="n"/>
      <c r="U67" s="114" t="inlineStr">
        <is>
          <t>not run</t>
        </is>
      </c>
      <c r="V67" s="112" t="n"/>
      <c r="W67" s="90" t="n"/>
      <c r="X67" s="90" t="inlineStr">
        <is>
          <t>Existing component coverage remains the verified desktop/manual baseline; this record is an additional device qualification.</t>
        </is>
      </c>
      <c r="Y67" s="114">
        <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device",OR(K67="",L67="",M67="",N67="",P67="")),"needs device details",IF(AND(OR(U67="passed",U67="failed",U67="blocked"),V67=""),"needs result date","ready"))))))</f>
        <v/>
      </c>
    </row>
    <row r="68" ht="48" customHeight="1" s="58">
      <c r="A68" s="112" t="inlineStr">
        <is>
          <t>MRE-08-DROPDOWNMENU-002</t>
        </is>
      </c>
      <c r="B68" s="112" t="inlineStr">
        <is>
          <t>MR-08</t>
        </is>
      </c>
      <c r="C68" s="112" t="inlineStr">
        <is>
          <t>MR-P7</t>
        </is>
      </c>
      <c r="D68" s="90" t="inlineStr">
        <is>
          <t>DropdownMenu</t>
        </is>
      </c>
      <c r="E68" s="90" t="inlineStr">
        <is>
          <t>pointer/click activation opens a submenu in the existing desktop manual scenario</t>
        </is>
      </c>
      <c r="F68" s="90" t="inlineStr">
        <is>
          <t>DropdownMenu!ID-225 — touch opens submenu</t>
        </is>
      </c>
      <c r="G68" s="91" t="inlineStr">
        <is>
          <t>narrow unsupported claim</t>
        </is>
      </c>
      <c r="H68" s="90" t="inlineStr">
        <is>
          <t>Atom API/design decision required</t>
        </is>
      </c>
      <c r="I68" s="91" t="inlineStr">
        <is>
          <t>real device — Android Chrome</t>
        </is>
      </c>
      <c r="J68" s="112" t="inlineStr">
        <is>
          <t>Android</t>
        </is>
      </c>
      <c r="K68" s="112" t="n"/>
      <c r="L68" s="112" t="inlineStr">
        <is>
          <t>Chrome</t>
        </is>
      </c>
      <c r="M68" s="112" t="n"/>
      <c r="N68" s="112" t="n"/>
      <c r="O68" s="112" t="inlineStr">
        <is>
          <t>touch</t>
        </is>
      </c>
      <c r="P68" s="112" t="inlineStr">
        <is>
          <t>none</t>
        </is>
      </c>
      <c r="Q68" s="90" t="inlineStr">
        <is>
          <t>On a named Android device, exercise pointer/click activation opens a submenu in the existing desktop manual scenario and record OS, browser version, device, date, and reproduction notes.</t>
        </is>
      </c>
      <c r="R68" s="90" t="inlineStr">
        <is>
          <t>A device tap opens the intended submenu; any drill-in presentation remains an explicit approved contract.</t>
        </is>
      </c>
      <c r="S68" s="90" t="n"/>
      <c r="T68" s="90" t="n"/>
      <c r="U68" s="114" t="inlineStr">
        <is>
          <t>not run</t>
        </is>
      </c>
      <c r="V68" s="112" t="n"/>
      <c r="W68" s="90" t="n"/>
      <c r="X68" s="90" t="inlineStr">
        <is>
          <t>Existing component coverage remains the verified desktop/manual baseline; this record is an additional device qualification.</t>
        </is>
      </c>
      <c r="Y68" s="114">
        <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device",OR(K68="",L68="",M68="",N68="",P68="")),"needs device details",IF(AND(OR(U68="passed",U68="failed",U68="blocked"),V68=""),"needs result date","ready"))))))</f>
        <v/>
      </c>
    </row>
    <row r="69" ht="48" customHeight="1" s="58">
      <c r="A69" s="112" t="inlineStr">
        <is>
          <t>MRE-06-DROPDOWNMENU-001</t>
        </is>
      </c>
      <c r="B69" s="112" t="inlineStr">
        <is>
          <t>MR-06</t>
        </is>
      </c>
      <c r="C69" s="112" t="inlineStr">
        <is>
          <t>MR-P3</t>
        </is>
      </c>
      <c r="D69" s="90" t="inlineStr">
        <is>
          <t>DropdownMenu</t>
        </is>
      </c>
      <c r="E69" s="90" t="inlineStr">
        <is>
          <t>current desktop pointer-down outside interaction closes DropdownMenu</t>
        </is>
      </c>
      <c r="F69" s="90" t="inlineStr">
        <is>
          <t>DropdownMenu!ID-226 — outside touch closes dropdown</t>
        </is>
      </c>
      <c r="G69" s="91" t="inlineStr">
        <is>
          <t>narrow unsupported claim</t>
        </is>
      </c>
      <c r="H69" s="90" t="inlineStr">
        <is>
          <t>confirmed Atom implementation gap</t>
        </is>
      </c>
      <c r="I69" s="91" t="inlineStr">
        <is>
          <t>real device — iOS Safari</t>
        </is>
      </c>
      <c r="J69" s="112" t="inlineStr">
        <is>
          <t>iOS</t>
        </is>
      </c>
      <c r="K69" s="112" t="n"/>
      <c r="L69" s="112" t="inlineStr">
        <is>
          <t>Safari</t>
        </is>
      </c>
      <c r="M69" s="112" t="n"/>
      <c r="N69" s="112" t="n"/>
      <c r="O69" s="112" t="inlineStr">
        <is>
          <t>touch</t>
        </is>
      </c>
      <c r="P69" s="112" t="inlineStr">
        <is>
          <t>none</t>
        </is>
      </c>
      <c r="Q69" s="90" t="inlineStr">
        <is>
          <t>On a named iOS device, exercise current desktop pointer-down outside interaction closes DropdownMenu and record OS, browser version, device, date, and reproduction notes.</t>
        </is>
      </c>
      <c r="R69" s="90" t="inlineStr">
        <is>
          <t>Outside tap dismissal occurs at the approved event boundary and cancels correctly after movement or scrolling.</t>
        </is>
      </c>
      <c r="S69" s="90" t="n"/>
      <c r="T69" s="90" t="n"/>
      <c r="U69" s="114" t="inlineStr">
        <is>
          <t>not run</t>
        </is>
      </c>
      <c r="V69" s="112" t="n"/>
      <c r="W69" s="90" t="n"/>
      <c r="X69" s="90" t="inlineStr">
        <is>
          <t>Existing component coverage remains the verified desktop/manual baseline; this record is an additional device qualification.</t>
        </is>
      </c>
      <c r="Y69" s="114">
        <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device",OR(K69="",L69="",M69="",N69="",P69="")),"needs device details",IF(AND(OR(U69="passed",U69="failed",U69="blocked"),V69=""),"needs result date","ready"))))))</f>
        <v/>
      </c>
    </row>
    <row r="70" ht="48" customHeight="1" s="58">
      <c r="A70" s="112" t="inlineStr">
        <is>
          <t>MRE-06-DROPDOWNMENU-002</t>
        </is>
      </c>
      <c r="B70" s="112" t="inlineStr">
        <is>
          <t>MR-06</t>
        </is>
      </c>
      <c r="C70" s="112" t="inlineStr">
        <is>
          <t>MR-P3</t>
        </is>
      </c>
      <c r="D70" s="90" t="inlineStr">
        <is>
          <t>DropdownMenu</t>
        </is>
      </c>
      <c r="E70" s="90" t="inlineStr">
        <is>
          <t>current desktop pointer-down outside interaction closes DropdownMenu</t>
        </is>
      </c>
      <c r="F70" s="90" t="inlineStr">
        <is>
          <t>DropdownMenu!ID-226 — outside touch closes dropdown</t>
        </is>
      </c>
      <c r="G70" s="91" t="inlineStr">
        <is>
          <t>narrow unsupported claim</t>
        </is>
      </c>
      <c r="H70" s="90" t="inlineStr">
        <is>
          <t>confirmed Atom implementation gap</t>
        </is>
      </c>
      <c r="I70" s="91" t="inlineStr">
        <is>
          <t>real device — Android Chrome</t>
        </is>
      </c>
      <c r="J70" s="112" t="inlineStr">
        <is>
          <t>Android</t>
        </is>
      </c>
      <c r="K70" s="112" t="n"/>
      <c r="L70" s="112" t="inlineStr">
        <is>
          <t>Chrome</t>
        </is>
      </c>
      <c r="M70" s="112" t="n"/>
      <c r="N70" s="112" t="n"/>
      <c r="O70" s="112" t="inlineStr">
        <is>
          <t>touch</t>
        </is>
      </c>
      <c r="P70" s="112" t="inlineStr">
        <is>
          <t>none</t>
        </is>
      </c>
      <c r="Q70" s="90" t="inlineStr">
        <is>
          <t>On a named Android device, exercise current desktop pointer-down outside interaction closes DropdownMenu and record OS, browser version, device, date, and reproduction notes.</t>
        </is>
      </c>
      <c r="R70" s="90" t="inlineStr">
        <is>
          <t>Outside tap dismissal occurs at the approved event boundary and cancels correctly after movement or scrolling.</t>
        </is>
      </c>
      <c r="S70" s="90" t="n"/>
      <c r="T70" s="90" t="n"/>
      <c r="U70" s="114" t="inlineStr">
        <is>
          <t>not run</t>
        </is>
      </c>
      <c r="V70" s="112" t="n"/>
      <c r="W70" s="90" t="n"/>
      <c r="X70" s="90" t="inlineStr">
        <is>
          <t>Existing component coverage remains the verified desktop/manual baseline; this record is an additional device qualification.</t>
        </is>
      </c>
      <c r="Y70" s="114">
        <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device",OR(K70="",L70="",M70="",N70="",P70="")),"needs device details",IF(AND(OR(U70="passed",U70="failed",U70="blocked"),V70=""),"needs result date","ready"))))))</f>
        <v/>
      </c>
    </row>
    <row r="71" ht="48" customHeight="1" s="58">
      <c r="A71" s="112" t="inlineStr">
        <is>
          <t>MRE-01-CONTEXTMENU-001</t>
        </is>
      </c>
      <c r="B71" s="112" t="inlineStr">
        <is>
          <t>MR-01</t>
        </is>
      </c>
      <c r="C71" s="112" t="inlineStr">
        <is>
          <t>MR-P5</t>
        </is>
      </c>
      <c r="D71" s="90" t="inlineStr">
        <is>
          <t>ContextMenu</t>
        </is>
      </c>
      <c r="E71" s="90" t="inlineStr">
        <is>
          <t>placement flips or shifts near the edge of the manually tested desktop layout viewport</t>
        </is>
      </c>
      <c r="F71" s="90" t="inlineStr">
        <is>
          <t>ContextMenu!ID-173 — placement flips or shifts near viewport edge</t>
        </is>
      </c>
      <c r="G71" s="91" t="inlineStr">
        <is>
          <t>narrow unsupported claim</t>
        </is>
      </c>
      <c r="H71" s="90" t="inlineStr">
        <is>
          <t>requires browser validation before concluding</t>
        </is>
      </c>
      <c r="I71" s="91" t="inlineStr">
        <is>
          <t>real device — iOS Safari</t>
        </is>
      </c>
      <c r="J71" s="112" t="inlineStr">
        <is>
          <t>iOS</t>
        </is>
      </c>
      <c r="K71" s="112" t="n"/>
      <c r="L71" s="112" t="inlineStr">
        <is>
          <t>Safari</t>
        </is>
      </c>
      <c r="M71" s="112" t="n"/>
      <c r="N71" s="112" t="n"/>
      <c r="O71" s="112" t="inlineStr">
        <is>
          <t>visual viewport</t>
        </is>
      </c>
      <c r="P71" s="112" t="inlineStr">
        <is>
          <t>none</t>
        </is>
      </c>
      <c r="Q7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71" s="90" t="inlineStr">
        <is>
          <t>ContextMenu content remains reachable and correctly placed at mobile viewport edges.</t>
        </is>
      </c>
      <c r="S71" s="90" t="n"/>
      <c r="T71" s="90" t="n"/>
      <c r="U71" s="114" t="inlineStr">
        <is>
          <t>not run</t>
        </is>
      </c>
      <c r="V71" s="112" t="n"/>
      <c r="W71" s="90" t="n"/>
      <c r="X71" s="90" t="inlineStr">
        <is>
          <t>Existing component coverage remains the verified desktop/manual baseline; this record is an additional device qualification.</t>
        </is>
      </c>
      <c r="Y71" s="114">
        <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device",OR(K71="",L71="",M71="",N71="",P71="")),"needs device details",IF(AND(OR(U71="passed",U71="failed",U71="blocked"),V71=""),"needs result date","ready"))))))</f>
        <v/>
      </c>
    </row>
    <row r="72" ht="48" customHeight="1" s="58">
      <c r="A72" s="112" t="inlineStr">
        <is>
          <t>MRE-01-CONTEXTMENU-002</t>
        </is>
      </c>
      <c r="B72" s="112" t="inlineStr">
        <is>
          <t>MR-01</t>
        </is>
      </c>
      <c r="C72" s="112" t="inlineStr">
        <is>
          <t>MR-P5</t>
        </is>
      </c>
      <c r="D72" s="90" t="inlineStr">
        <is>
          <t>ContextMenu</t>
        </is>
      </c>
      <c r="E72" s="90" t="inlineStr">
        <is>
          <t>placement flips or shifts near the edge of the manually tested desktop layout viewport</t>
        </is>
      </c>
      <c r="F72" s="90" t="inlineStr">
        <is>
          <t>ContextMenu!ID-173 — placement flips or shifts near viewport edge</t>
        </is>
      </c>
      <c r="G72" s="91" t="inlineStr">
        <is>
          <t>narrow unsupported claim</t>
        </is>
      </c>
      <c r="H72" s="90" t="inlineStr">
        <is>
          <t>requires browser validation before concluding</t>
        </is>
      </c>
      <c r="I72" s="91" t="inlineStr">
        <is>
          <t>real device — Android Chrome</t>
        </is>
      </c>
      <c r="J72" s="112" t="inlineStr">
        <is>
          <t>Android</t>
        </is>
      </c>
      <c r="K72" s="112" t="n"/>
      <c r="L72" s="112" t="inlineStr">
        <is>
          <t>Chrome</t>
        </is>
      </c>
      <c r="M72" s="112" t="n"/>
      <c r="N72" s="112" t="n"/>
      <c r="O72" s="112" t="inlineStr">
        <is>
          <t>visual viewport</t>
        </is>
      </c>
      <c r="P72" s="112" t="inlineStr">
        <is>
          <t>none</t>
        </is>
      </c>
      <c r="Q7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72" s="90" t="inlineStr">
        <is>
          <t>ContextMenu content remains reachable and correctly placed at mobile viewport edges.</t>
        </is>
      </c>
      <c r="S72" s="90" t="n"/>
      <c r="T72" s="90" t="n"/>
      <c r="U72" s="114" t="inlineStr">
        <is>
          <t>not run</t>
        </is>
      </c>
      <c r="V72" s="112" t="n"/>
      <c r="W72" s="90" t="n"/>
      <c r="X72" s="90" t="inlineStr">
        <is>
          <t>Existing component coverage remains the verified desktop/manual baseline; this record is an additional device qualification.</t>
        </is>
      </c>
      <c r="Y72" s="114">
        <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device",OR(K72="",L72="",M72="",N72="",P72="")),"needs device details",IF(AND(OR(U72="passed",U72="failed",U72="blocked"),V72=""),"needs result date","ready"))))))</f>
        <v/>
      </c>
    </row>
    <row r="73" ht="48" customHeight="1" s="58">
      <c r="A73" s="112" t="inlineStr">
        <is>
          <t>MRE-06-CONTEXTMENU-001</t>
        </is>
      </c>
      <c r="B73" s="112" t="inlineStr">
        <is>
          <t>MR-06</t>
        </is>
      </c>
      <c r="C73" s="112" t="inlineStr">
        <is>
          <t>MR-P3</t>
        </is>
      </c>
      <c r="D73" s="90" t="inlineStr">
        <is>
          <t>ContextMenu</t>
        </is>
      </c>
      <c r="E73" s="90" t="inlineStr">
        <is>
          <t>current desktop pointer-down outside interaction closes ContextMenu</t>
        </is>
      </c>
      <c r="F73" s="90" t="inlineStr">
        <is>
          <t>ContextMenu!ID-181 — touch outside closes context menu</t>
        </is>
      </c>
      <c r="G73" s="91" t="inlineStr">
        <is>
          <t>narrow unsupported claim</t>
        </is>
      </c>
      <c r="H73" s="90" t="inlineStr">
        <is>
          <t>confirmed Atom implementation gap</t>
        </is>
      </c>
      <c r="I73" s="91" t="inlineStr">
        <is>
          <t>real device — iOS Safari</t>
        </is>
      </c>
      <c r="J73" s="112" t="inlineStr">
        <is>
          <t>iOS</t>
        </is>
      </c>
      <c r="K73" s="112" t="n"/>
      <c r="L73" s="112" t="inlineStr">
        <is>
          <t>Safari</t>
        </is>
      </c>
      <c r="M73" s="112" t="n"/>
      <c r="N73" s="112" t="n"/>
      <c r="O73" s="112" t="inlineStr">
        <is>
          <t>touch</t>
        </is>
      </c>
      <c r="P73" s="112" t="inlineStr">
        <is>
          <t>none</t>
        </is>
      </c>
      <c r="Q73" s="90" t="inlineStr">
        <is>
          <t>On a named iOS device, exercise current desktop pointer-down outside interaction closes ContextMenu and record OS, browser version, device, date, and reproduction notes.</t>
        </is>
      </c>
      <c r="R73" s="90" t="inlineStr">
        <is>
          <t>Outside tap dismissal occurs at the approved event boundary and cancels correctly after movement or scrolling.</t>
        </is>
      </c>
      <c r="S73" s="90" t="n"/>
      <c r="T73" s="90" t="n"/>
      <c r="U73" s="114" t="inlineStr">
        <is>
          <t>not run</t>
        </is>
      </c>
      <c r="V73" s="112" t="n"/>
      <c r="W73" s="90" t="n"/>
      <c r="X73" s="90" t="inlineStr">
        <is>
          <t>Existing component coverage remains the verified desktop/manual baseline; this record is an additional device qualification.</t>
        </is>
      </c>
      <c r="Y73" s="114">
        <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device",OR(K73="",L73="",M73="",N73="",P73="")),"needs device details",IF(AND(OR(U73="passed",U73="failed",U73="blocked"),V73=""),"needs result date","ready"))))))</f>
        <v/>
      </c>
    </row>
    <row r="74" ht="48" customHeight="1" s="58">
      <c r="A74" s="112" t="inlineStr">
        <is>
          <t>MRE-06-CONTEXTMENU-002</t>
        </is>
      </c>
      <c r="B74" s="112" t="inlineStr">
        <is>
          <t>MR-06</t>
        </is>
      </c>
      <c r="C74" s="112" t="inlineStr">
        <is>
          <t>MR-P3</t>
        </is>
      </c>
      <c r="D74" s="90" t="inlineStr">
        <is>
          <t>ContextMenu</t>
        </is>
      </c>
      <c r="E74" s="90" t="inlineStr">
        <is>
          <t>current desktop pointer-down outside interaction closes ContextMenu</t>
        </is>
      </c>
      <c r="F74" s="90" t="inlineStr">
        <is>
          <t>ContextMenu!ID-181 — touch outside closes context menu</t>
        </is>
      </c>
      <c r="G74" s="91" t="inlineStr">
        <is>
          <t>narrow unsupported claim</t>
        </is>
      </c>
      <c r="H74" s="90" t="inlineStr">
        <is>
          <t>confirmed Atom implementation gap</t>
        </is>
      </c>
      <c r="I74" s="91" t="inlineStr">
        <is>
          <t>real device — Android Chrome</t>
        </is>
      </c>
      <c r="J74" s="112" t="inlineStr">
        <is>
          <t>Android</t>
        </is>
      </c>
      <c r="K74" s="112" t="n"/>
      <c r="L74" s="112" t="inlineStr">
        <is>
          <t>Chrome</t>
        </is>
      </c>
      <c r="M74" s="112" t="n"/>
      <c r="N74" s="112" t="n"/>
      <c r="O74" s="112" t="inlineStr">
        <is>
          <t>touch</t>
        </is>
      </c>
      <c r="P74" s="112" t="inlineStr">
        <is>
          <t>none</t>
        </is>
      </c>
      <c r="Q74" s="90" t="inlineStr">
        <is>
          <t>On a named Android device, exercise current desktop pointer-down outside interaction closes ContextMenu and record OS, browser version, device, date, and reproduction notes.</t>
        </is>
      </c>
      <c r="R74" s="90" t="inlineStr">
        <is>
          <t>Outside tap dismissal occurs at the approved event boundary and cancels correctly after movement or scrolling.</t>
        </is>
      </c>
      <c r="S74" s="90" t="n"/>
      <c r="T74" s="90" t="n"/>
      <c r="U74" s="114" t="inlineStr">
        <is>
          <t>not run</t>
        </is>
      </c>
      <c r="V74" s="112" t="n"/>
      <c r="W74" s="90" t="n"/>
      <c r="X74" s="90" t="inlineStr">
        <is>
          <t>Existing component coverage remains the verified desktop/manual baseline; this record is an additional device qualification.</t>
        </is>
      </c>
      <c r="Y74" s="114">
        <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device",OR(K74="",L74="",M74="",N74="",P74="")),"needs device details",IF(AND(OR(U74="passed",U74="failed",U74="blocked"),V74=""),"needs result date","ready"))))))</f>
        <v/>
      </c>
    </row>
    <row r="75" ht="48" customHeight="1" s="58">
      <c r="A75" s="112" t="inlineStr">
        <is>
          <t>MRE-07-CONTEXTMENU-001</t>
        </is>
      </c>
      <c r="B75" s="112" t="inlineStr">
        <is>
          <t>MR-07</t>
        </is>
      </c>
      <c r="C75" s="112" t="inlineStr">
        <is>
          <t>MR-P7</t>
        </is>
      </c>
      <c r="D75" s="90" t="inlineStr">
        <is>
          <t>ContextMenu</t>
        </is>
      </c>
      <c r="E75" s="90" t="inlineStr">
        <is>
          <t>pointer/click activation selects an action item in the existing desktop manual scenario</t>
        </is>
      </c>
      <c r="F75" s="90" t="inlineStr">
        <is>
          <t>ContextMenu!ID-182 — touch selects action item</t>
        </is>
      </c>
      <c r="G75" s="91" t="inlineStr">
        <is>
          <t>narrow unsupported claim</t>
        </is>
      </c>
      <c r="H75" s="90" t="inlineStr">
        <is>
          <t>already adequately supported</t>
        </is>
      </c>
      <c r="I75" s="91" t="inlineStr">
        <is>
          <t>real device — iOS Safari</t>
        </is>
      </c>
      <c r="J75" s="112" t="inlineStr">
        <is>
          <t>iOS</t>
        </is>
      </c>
      <c r="K75" s="112" t="n"/>
      <c r="L75" s="112" t="inlineStr">
        <is>
          <t>Safari</t>
        </is>
      </c>
      <c r="M75" s="112" t="n"/>
      <c r="N75" s="112" t="n"/>
      <c r="O75" s="112" t="inlineStr">
        <is>
          <t>touch</t>
        </is>
      </c>
      <c r="P75" s="112" t="inlineStr">
        <is>
          <t>none</t>
        </is>
      </c>
      <c r="Q7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75" s="90" t="inlineStr">
        <is>
          <t>A device tap selects the intended action once; no native long-press trigger is implied.</t>
        </is>
      </c>
      <c r="S75" s="90" t="n"/>
      <c r="T75" s="90" t="n"/>
      <c r="U75" s="114" t="inlineStr">
        <is>
          <t>not run</t>
        </is>
      </c>
      <c r="V75" s="112" t="n"/>
      <c r="W75" s="90" t="n"/>
      <c r="X75" s="90" t="inlineStr">
        <is>
          <t>Existing component coverage remains the verified desktop/manual baseline; this record is an additional device qualification.</t>
        </is>
      </c>
      <c r="Y75" s="114">
        <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device",OR(K75="",L75="",M75="",N75="",P75="")),"needs device details",IF(AND(OR(U75="passed",U75="failed",U75="blocked"),V75=""),"needs result date","ready"))))))</f>
        <v/>
      </c>
    </row>
    <row r="76" ht="48" customHeight="1" s="58">
      <c r="A76" s="112" t="inlineStr">
        <is>
          <t>MRE-07-CONTEXTMENU-002</t>
        </is>
      </c>
      <c r="B76" s="112" t="inlineStr">
        <is>
          <t>MR-07</t>
        </is>
      </c>
      <c r="C76" s="112" t="inlineStr">
        <is>
          <t>MR-P7</t>
        </is>
      </c>
      <c r="D76" s="90" t="inlineStr">
        <is>
          <t>ContextMenu</t>
        </is>
      </c>
      <c r="E76" s="90" t="inlineStr">
        <is>
          <t>pointer/click activation selects an action item in the existing desktop manual scenario</t>
        </is>
      </c>
      <c r="F76" s="90" t="inlineStr">
        <is>
          <t>ContextMenu!ID-182 — touch selects action item</t>
        </is>
      </c>
      <c r="G76" s="91" t="inlineStr">
        <is>
          <t>narrow unsupported claim</t>
        </is>
      </c>
      <c r="H76" s="90" t="inlineStr">
        <is>
          <t>already adequately supported</t>
        </is>
      </c>
      <c r="I76" s="91" t="inlineStr">
        <is>
          <t>real device — Android Chrome</t>
        </is>
      </c>
      <c r="J76" s="112" t="inlineStr">
        <is>
          <t>Android</t>
        </is>
      </c>
      <c r="K76" s="112" t="n"/>
      <c r="L76" s="112" t="inlineStr">
        <is>
          <t>Chrome</t>
        </is>
      </c>
      <c r="M76" s="112" t="n"/>
      <c r="N76" s="112" t="n"/>
      <c r="O76" s="112" t="inlineStr">
        <is>
          <t>touch</t>
        </is>
      </c>
      <c r="P76" s="112" t="inlineStr">
        <is>
          <t>none</t>
        </is>
      </c>
      <c r="Q7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76" s="90" t="inlineStr">
        <is>
          <t>A device tap selects the intended action once; no native long-press trigger is implied.</t>
        </is>
      </c>
      <c r="S76" s="90" t="n"/>
      <c r="T76" s="90" t="n"/>
      <c r="U76" s="114" t="inlineStr">
        <is>
          <t>not run</t>
        </is>
      </c>
      <c r="V76" s="112" t="n"/>
      <c r="W76" s="90" t="n"/>
      <c r="X76" s="90" t="inlineStr">
        <is>
          <t>Existing component coverage remains the verified desktop/manual baseline; this record is an additional device qualification.</t>
        </is>
      </c>
      <c r="Y76" s="114">
        <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device",OR(K76="",L76="",M76="",N76="",P76="")),"needs device details",IF(AND(OR(U76="passed",U76="failed",U76="blocked"),V76=""),"needs result date","ready"))))))</f>
        <v/>
      </c>
    </row>
    <row r="77" ht="48" customHeight="1" s="58">
      <c r="A77" s="112" t="inlineStr">
        <is>
          <t>MRE-07-CONTEXTMENU-003</t>
        </is>
      </c>
      <c r="B77" s="112" t="inlineStr">
        <is>
          <t>MR-07</t>
        </is>
      </c>
      <c r="C77" s="112" t="inlineStr">
        <is>
          <t>MR-P7</t>
        </is>
      </c>
      <c r="D77" s="90" t="inlineStr">
        <is>
          <t>ContextMenu</t>
        </is>
      </c>
      <c r="E77" s="90" t="inlineStr">
        <is>
          <t>pointer/click activation toggles a checkbox item in the existing desktop manual scenario</t>
        </is>
      </c>
      <c r="F77" s="90" t="inlineStr">
        <is>
          <t>ContextMenu!ID-183 — touch toggles checkbox item</t>
        </is>
      </c>
      <c r="G77" s="91" t="inlineStr">
        <is>
          <t>narrow unsupported claim</t>
        </is>
      </c>
      <c r="H77" s="90" t="inlineStr">
        <is>
          <t>already adequately supported</t>
        </is>
      </c>
      <c r="I77" s="91" t="inlineStr">
        <is>
          <t>real device — iOS Safari</t>
        </is>
      </c>
      <c r="J77" s="112" t="inlineStr">
        <is>
          <t>iOS</t>
        </is>
      </c>
      <c r="K77" s="112" t="n"/>
      <c r="L77" s="112" t="inlineStr">
        <is>
          <t>Safari</t>
        </is>
      </c>
      <c r="M77" s="112" t="n"/>
      <c r="N77" s="112" t="n"/>
      <c r="O77" s="112" t="inlineStr">
        <is>
          <t>touch</t>
        </is>
      </c>
      <c r="P77" s="112" t="inlineStr">
        <is>
          <t>none</t>
        </is>
      </c>
      <c r="Q7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77" s="90" t="inlineStr">
        <is>
          <t>A device tap toggles the intended checkbox item once; no native long-press trigger is implied.</t>
        </is>
      </c>
      <c r="S77" s="90" t="n"/>
      <c r="T77" s="90" t="n"/>
      <c r="U77" s="114" t="inlineStr">
        <is>
          <t>not run</t>
        </is>
      </c>
      <c r="V77" s="112" t="n"/>
      <c r="W77" s="90" t="n"/>
      <c r="X77" s="90" t="inlineStr">
        <is>
          <t>Existing component coverage remains the verified desktop/manual baseline; this record is an additional device qualification.</t>
        </is>
      </c>
      <c r="Y77" s="114">
        <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device",OR(K77="",L77="",M77="",N77="",P77="")),"needs device details",IF(AND(OR(U77="passed",U77="failed",U77="blocked"),V77=""),"needs result date","ready"))))))</f>
        <v/>
      </c>
    </row>
    <row r="78" ht="48" customHeight="1" s="58">
      <c r="A78" s="112" t="inlineStr">
        <is>
          <t>MRE-07-CONTEXTMENU-004</t>
        </is>
      </c>
      <c r="B78" s="112" t="inlineStr">
        <is>
          <t>MR-07</t>
        </is>
      </c>
      <c r="C78" s="112" t="inlineStr">
        <is>
          <t>MR-P7</t>
        </is>
      </c>
      <c r="D78" s="90" t="inlineStr">
        <is>
          <t>ContextMenu</t>
        </is>
      </c>
      <c r="E78" s="90" t="inlineStr">
        <is>
          <t>pointer/click activation toggles a checkbox item in the existing desktop manual scenario</t>
        </is>
      </c>
      <c r="F78" s="90" t="inlineStr">
        <is>
          <t>ContextMenu!ID-183 — touch toggles checkbox item</t>
        </is>
      </c>
      <c r="G78" s="91" t="inlineStr">
        <is>
          <t>narrow unsupported claim</t>
        </is>
      </c>
      <c r="H78" s="90" t="inlineStr">
        <is>
          <t>already adequately supported</t>
        </is>
      </c>
      <c r="I78" s="91" t="inlineStr">
        <is>
          <t>real device — Android Chrome</t>
        </is>
      </c>
      <c r="J78" s="112" t="inlineStr">
        <is>
          <t>Android</t>
        </is>
      </c>
      <c r="K78" s="112" t="n"/>
      <c r="L78" s="112" t="inlineStr">
        <is>
          <t>Chrome</t>
        </is>
      </c>
      <c r="M78" s="112" t="n"/>
      <c r="N78" s="112" t="n"/>
      <c r="O78" s="112" t="inlineStr">
        <is>
          <t>touch</t>
        </is>
      </c>
      <c r="P78" s="112" t="inlineStr">
        <is>
          <t>none</t>
        </is>
      </c>
      <c r="Q7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78" s="90" t="inlineStr">
        <is>
          <t>A device tap toggles the intended checkbox item once; no native long-press trigger is implied.</t>
        </is>
      </c>
      <c r="S78" s="90" t="n"/>
      <c r="T78" s="90" t="n"/>
      <c r="U78" s="114" t="inlineStr">
        <is>
          <t>not run</t>
        </is>
      </c>
      <c r="V78" s="112" t="n"/>
      <c r="W78" s="90" t="n"/>
      <c r="X78" s="90" t="inlineStr">
        <is>
          <t>Existing component coverage remains the verified desktop/manual baseline; this record is an additional device qualification.</t>
        </is>
      </c>
      <c r="Y78" s="114">
        <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device",OR(K78="",L78="",M78="",N78="",P78="")),"needs device details",IF(AND(OR(U78="passed",U78="failed",U78="blocked"),V78=""),"needs result date","ready"))))))</f>
        <v/>
      </c>
    </row>
    <row r="79" ht="48" customHeight="1" s="58">
      <c r="A79" s="112" t="inlineStr">
        <is>
          <t>MRE-07-CONTEXTMENU-005</t>
        </is>
      </c>
      <c r="B79" s="112" t="inlineStr">
        <is>
          <t>MR-07</t>
        </is>
      </c>
      <c r="C79" s="112" t="inlineStr">
        <is>
          <t>MR-P7</t>
        </is>
      </c>
      <c r="D79" s="90" t="inlineStr">
        <is>
          <t>ContextMenu</t>
        </is>
      </c>
      <c r="E79" s="90" t="inlineStr">
        <is>
          <t>pointer/click activation selects a radio item in the existing desktop manual scenario</t>
        </is>
      </c>
      <c r="F79" s="90" t="inlineStr">
        <is>
          <t>ContextMenu!ID-184 — touch selects radio item</t>
        </is>
      </c>
      <c r="G79" s="91" t="inlineStr">
        <is>
          <t>narrow unsupported claim</t>
        </is>
      </c>
      <c r="H79" s="90" t="inlineStr">
        <is>
          <t>already adequately supported</t>
        </is>
      </c>
      <c r="I79" s="91" t="inlineStr">
        <is>
          <t>real device — iOS Safari</t>
        </is>
      </c>
      <c r="J79" s="112" t="inlineStr">
        <is>
          <t>iOS</t>
        </is>
      </c>
      <c r="K79" s="112" t="n"/>
      <c r="L79" s="112" t="inlineStr">
        <is>
          <t>Safari</t>
        </is>
      </c>
      <c r="M79" s="112" t="n"/>
      <c r="N79" s="112" t="n"/>
      <c r="O79" s="112" t="inlineStr">
        <is>
          <t>touch</t>
        </is>
      </c>
      <c r="P79" s="112" t="inlineStr">
        <is>
          <t>none</t>
        </is>
      </c>
      <c r="Q7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79" s="90" t="inlineStr">
        <is>
          <t>A device tap selects the intended radio item once; no native long-press trigger is implied.</t>
        </is>
      </c>
      <c r="S79" s="90" t="n"/>
      <c r="T79" s="90" t="n"/>
      <c r="U79" s="114" t="inlineStr">
        <is>
          <t>not run</t>
        </is>
      </c>
      <c r="V79" s="112" t="n"/>
      <c r="W79" s="90" t="n"/>
      <c r="X79" s="90" t="inlineStr">
        <is>
          <t>Existing component coverage remains the verified desktop/manual baseline; this record is an additional device qualification.</t>
        </is>
      </c>
      <c r="Y79" s="114">
        <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device",OR(K79="",L79="",M79="",N79="",P79="")),"needs device details",IF(AND(OR(U79="passed",U79="failed",U79="blocked"),V79=""),"needs result date","ready"))))))</f>
        <v/>
      </c>
    </row>
    <row r="80" ht="48" customHeight="1" s="58">
      <c r="A80" s="112" t="inlineStr">
        <is>
          <t>MRE-07-CONTEXTMENU-006</t>
        </is>
      </c>
      <c r="B80" s="112" t="inlineStr">
        <is>
          <t>MR-07</t>
        </is>
      </c>
      <c r="C80" s="112" t="inlineStr">
        <is>
          <t>MR-P7</t>
        </is>
      </c>
      <c r="D80" s="90" t="inlineStr">
        <is>
          <t>ContextMenu</t>
        </is>
      </c>
      <c r="E80" s="90" t="inlineStr">
        <is>
          <t>pointer/click activation selects a radio item in the existing desktop manual scenario</t>
        </is>
      </c>
      <c r="F80" s="90" t="inlineStr">
        <is>
          <t>ContextMenu!ID-184 — touch selects radio item</t>
        </is>
      </c>
      <c r="G80" s="91" t="inlineStr">
        <is>
          <t>narrow unsupported claim</t>
        </is>
      </c>
      <c r="H80" s="90" t="inlineStr">
        <is>
          <t>already adequately supported</t>
        </is>
      </c>
      <c r="I80" s="91" t="inlineStr">
        <is>
          <t>real device — Android Chrome</t>
        </is>
      </c>
      <c r="J80" s="112" t="inlineStr">
        <is>
          <t>Android</t>
        </is>
      </c>
      <c r="K80" s="112" t="n"/>
      <c r="L80" s="112" t="inlineStr">
        <is>
          <t>Chrome</t>
        </is>
      </c>
      <c r="M80" s="112" t="n"/>
      <c r="N80" s="112" t="n"/>
      <c r="O80" s="112" t="inlineStr">
        <is>
          <t>touch</t>
        </is>
      </c>
      <c r="P80" s="112" t="inlineStr">
        <is>
          <t>none</t>
        </is>
      </c>
      <c r="Q8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80" s="90" t="inlineStr">
        <is>
          <t>A device tap selects the intended radio item once; no native long-press trigger is implied.</t>
        </is>
      </c>
      <c r="S80" s="90" t="n"/>
      <c r="T80" s="90" t="n"/>
      <c r="U80" s="114" t="inlineStr">
        <is>
          <t>not run</t>
        </is>
      </c>
      <c r="V80" s="112" t="n"/>
      <c r="W80" s="90" t="n"/>
      <c r="X80" s="90" t="inlineStr">
        <is>
          <t>Existing component coverage remains the verified desktop/manual baseline; this record is an additional device qualification.</t>
        </is>
      </c>
      <c r="Y80" s="114">
        <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device",OR(K80="",L80="",M80="",N80="",P80="")),"needs device details",IF(AND(OR(U80="passed",U80="failed",U80="blocked"),V80=""),"needs result date","ready"))))))</f>
        <v/>
      </c>
    </row>
    <row r="81" ht="48" customHeight="1" s="58">
      <c r="A81" s="112" t="inlineStr">
        <is>
          <t>MRE-08-CONTEXTMENU-001</t>
        </is>
      </c>
      <c r="B81" s="112" t="inlineStr">
        <is>
          <t>MR-08</t>
        </is>
      </c>
      <c r="C81" s="112" t="inlineStr">
        <is>
          <t>MR-P7</t>
        </is>
      </c>
      <c r="D81" s="90" t="inlineStr">
        <is>
          <t>ContextMenu</t>
        </is>
      </c>
      <c r="E81" s="90" t="inlineStr">
        <is>
          <t>pointer/click activation opens a submenu in the existing desktop manual scenario</t>
        </is>
      </c>
      <c r="F81" s="90" t="inlineStr">
        <is>
          <t>ContextMenu!ID-185 — touch opens submenu</t>
        </is>
      </c>
      <c r="G81" s="91" t="inlineStr">
        <is>
          <t>narrow unsupported claim</t>
        </is>
      </c>
      <c r="H81" s="90" t="inlineStr">
        <is>
          <t>Atom API/design decision required</t>
        </is>
      </c>
      <c r="I81" s="91" t="inlineStr">
        <is>
          <t>real device — iOS Safari</t>
        </is>
      </c>
      <c r="J81" s="112" t="inlineStr">
        <is>
          <t>iOS</t>
        </is>
      </c>
      <c r="K81" s="112" t="n"/>
      <c r="L81" s="112" t="inlineStr">
        <is>
          <t>Safari</t>
        </is>
      </c>
      <c r="M81" s="112" t="n"/>
      <c r="N81" s="112" t="n"/>
      <c r="O81" s="112" t="inlineStr">
        <is>
          <t>touch</t>
        </is>
      </c>
      <c r="P81" s="112" t="inlineStr">
        <is>
          <t>none</t>
        </is>
      </c>
      <c r="Q81" s="90" t="inlineStr">
        <is>
          <t>On a named iOS device, exercise pointer/click activation opens a submenu in the existing desktop manual scenario and record OS, browser version, device, date, and reproduction notes.</t>
        </is>
      </c>
      <c r="R81" s="90" t="inlineStr">
        <is>
          <t>A device tap opens the intended submenu; no native long-press trigger or implicit drill-in mode is implied.</t>
        </is>
      </c>
      <c r="S81" s="90" t="n"/>
      <c r="T81" s="90" t="n"/>
      <c r="U81" s="114" t="inlineStr">
        <is>
          <t>not run</t>
        </is>
      </c>
      <c r="V81" s="112" t="n"/>
      <c r="W81" s="90" t="n"/>
      <c r="X81" s="90" t="inlineStr">
        <is>
          <t>Existing component coverage remains the verified desktop/manual baseline; this record is an additional device qualification.</t>
        </is>
      </c>
      <c r="Y81" s="114">
        <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device",OR(K81="",L81="",M81="",N81="",P81="")),"needs device details",IF(AND(OR(U81="passed",U81="failed",U81="blocked"),V81=""),"needs result date","ready"))))))</f>
        <v/>
      </c>
    </row>
    <row r="82" ht="48" customHeight="1" s="58">
      <c r="A82" s="112" t="inlineStr">
        <is>
          <t>MRE-08-CONTEXTMENU-002</t>
        </is>
      </c>
      <c r="B82" s="112" t="inlineStr">
        <is>
          <t>MR-08</t>
        </is>
      </c>
      <c r="C82" s="112" t="inlineStr">
        <is>
          <t>MR-P7</t>
        </is>
      </c>
      <c r="D82" s="90" t="inlineStr">
        <is>
          <t>ContextMenu</t>
        </is>
      </c>
      <c r="E82" s="90" t="inlineStr">
        <is>
          <t>pointer/click activation opens a submenu in the existing desktop manual scenario</t>
        </is>
      </c>
      <c r="F82" s="90" t="inlineStr">
        <is>
          <t>ContextMenu!ID-185 — touch opens submenu</t>
        </is>
      </c>
      <c r="G82" s="91" t="inlineStr">
        <is>
          <t>narrow unsupported claim</t>
        </is>
      </c>
      <c r="H82" s="90" t="inlineStr">
        <is>
          <t>Atom API/design decision required</t>
        </is>
      </c>
      <c r="I82" s="91" t="inlineStr">
        <is>
          <t>real device — Android Chrome</t>
        </is>
      </c>
      <c r="J82" s="112" t="inlineStr">
        <is>
          <t>Android</t>
        </is>
      </c>
      <c r="K82" s="112" t="n"/>
      <c r="L82" s="112" t="inlineStr">
        <is>
          <t>Chrome</t>
        </is>
      </c>
      <c r="M82" s="112" t="n"/>
      <c r="N82" s="112" t="n"/>
      <c r="O82" s="112" t="inlineStr">
        <is>
          <t>touch</t>
        </is>
      </c>
      <c r="P82" s="112" t="inlineStr">
        <is>
          <t>none</t>
        </is>
      </c>
      <c r="Q8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82" s="90" t="inlineStr">
        <is>
          <t>A device tap opens the intended submenu; no native long-press trigger or implicit drill-in mode is implied.</t>
        </is>
      </c>
      <c r="S82" s="90" t="n"/>
      <c r="T82" s="90" t="n"/>
      <c r="U82" s="114" t="inlineStr">
        <is>
          <t>not run</t>
        </is>
      </c>
      <c r="V82" s="112" t="n"/>
      <c r="W82" s="90" t="n"/>
      <c r="X82" s="90" t="inlineStr">
        <is>
          <t>Existing component coverage remains the verified desktop/manual baseline; this record is an additional device qualification.</t>
        </is>
      </c>
      <c r="Y82" s="114">
        <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device",OR(K82="",L82="",M82="",N82="",P82="")),"needs device details",IF(AND(OR(U82="passed",U82="failed",U82="blocked"),V82=""),"needs result date","ready"))))))</f>
        <v/>
      </c>
    </row>
    <row r="83" ht="48" customHeight="1" s="58">
      <c r="A83" s="112" t="inlineStr">
        <is>
          <t>MRE-05-DIALOG-001</t>
        </is>
      </c>
      <c r="B83" s="112" t="inlineStr">
        <is>
          <t>MR-05</t>
        </is>
      </c>
      <c r="C83" s="112" t="inlineStr">
        <is>
          <t>MR-P4</t>
        </is>
      </c>
      <c r="D83" s="90" t="inlineStr">
        <is>
          <t>Dialog</t>
        </is>
      </c>
      <c r="E83" s="90" t="inlineStr">
        <is>
          <t>modal background isolation during screen-reader touch exploration</t>
        </is>
      </c>
      <c r="F83" s="90" t="inlineStr">
        <is>
          <t>Dialog!ID-95 — mobile focus expectations</t>
        </is>
      </c>
      <c r="G83" s="91" t="inlineStr">
        <is>
          <t>narrow unsupported claim</t>
        </is>
      </c>
      <c r="H83" s="90" t="inlineStr">
        <is>
          <t>confirmed Atom implementation gap</t>
        </is>
      </c>
      <c r="I83" s="91" t="inlineStr">
        <is>
          <t>real device + AT — iOS Safari + VoiceOver</t>
        </is>
      </c>
      <c r="J83" s="112" t="inlineStr">
        <is>
          <t>iOS</t>
        </is>
      </c>
      <c r="K83" s="112" t="inlineStr">
        <is>
          <t>26.5.2</t>
        </is>
      </c>
      <c r="L83" s="112" t="inlineStr">
        <is>
          <t>Safari</t>
        </is>
      </c>
      <c r="M83" s="112" t="inlineStr">
        <is>
          <t>26.5.2 system Safari</t>
        </is>
      </c>
      <c r="N83" s="112" t="inlineStr">
        <is>
          <t>iPhone 16 Pro Max</t>
        </is>
      </c>
      <c r="O83" s="112" t="inlineStr">
        <is>
          <t>screen-reader touch exploration</t>
        </is>
      </c>
      <c r="P83" s="112" t="inlineStr">
        <is>
          <t>VoiceOver</t>
        </is>
      </c>
      <c r="Q83" s="90" t="inlineStr">
        <is>
          <t>On a named iOS device with VoiceOver, open the modal and explore inside and outside it; record device, versions, date, and notes.</t>
        </is>
      </c>
      <c r="R83" s="90" t="inlineStr">
        <is>
          <t>Owned modal content remains operable and background content is unavailable to assistive-technology touch exploration.</t>
        </is>
      </c>
      <c r="S83" s="90" t="inlineStr">
        <is>
          <t>playground/.manual-tests/dialog.md — focused qualification, 2026-07-17</t>
        </is>
      </c>
      <c r="T83" s="90" t="n"/>
      <c r="U83" s="114" t="inlineStr">
        <is>
          <t>passed</t>
        </is>
      </c>
      <c r="V83" s="93" t="n">
        <v>46220</v>
      </c>
      <c r="W83" s="90" t="inlineStr">
        <is>
          <t>Modal foundation commits bbd4656 and 69be97d</t>
        </is>
      </c>
      <c r="X8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3" s="114">
        <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device",OR(K83="",L83="",M83="",N83="",P83="")),"needs device details",IF(AND(OR(U83="passed",U83="failed",U83="blocked"),V83=""),"needs result date","ready"))))))</f>
        <v/>
      </c>
    </row>
    <row r="84" ht="48" customHeight="1" s="58">
      <c r="A84" s="112" t="inlineStr">
        <is>
          <t>MRE-05-DIALOG-002</t>
        </is>
      </c>
      <c r="B84" s="112" t="inlineStr">
        <is>
          <t>MR-05</t>
        </is>
      </c>
      <c r="C84" s="112" t="inlineStr">
        <is>
          <t>MR-P4</t>
        </is>
      </c>
      <c r="D84" s="90" t="inlineStr">
        <is>
          <t>Dialog</t>
        </is>
      </c>
      <c r="E84" s="90" t="inlineStr">
        <is>
          <t>modal background isolation during screen-reader touch exploration</t>
        </is>
      </c>
      <c r="F84" s="90" t="inlineStr">
        <is>
          <t>Dialog!ID-95 — mobile focus expectations</t>
        </is>
      </c>
      <c r="G84" s="91" t="inlineStr">
        <is>
          <t>narrow unsupported claim</t>
        </is>
      </c>
      <c r="H84" s="90" t="inlineStr">
        <is>
          <t>confirmed Atom implementation gap</t>
        </is>
      </c>
      <c r="I84" s="91" t="inlineStr">
        <is>
          <t>real device + AT — Android Chrome + TalkBack</t>
        </is>
      </c>
      <c r="J84" s="112" t="inlineStr">
        <is>
          <t>Android</t>
        </is>
      </c>
      <c r="K84" s="112" t="n"/>
      <c r="L84" s="112" t="inlineStr">
        <is>
          <t>Chrome</t>
        </is>
      </c>
      <c r="M84" s="112" t="n"/>
      <c r="N84" s="112" t="n"/>
      <c r="O84" s="112" t="inlineStr">
        <is>
          <t>screen-reader touch exploration</t>
        </is>
      </c>
      <c r="P84" s="112" t="inlineStr">
        <is>
          <t>TalkBack</t>
        </is>
      </c>
      <c r="Q84" s="90" t="inlineStr">
        <is>
          <t>On a named Android device with TalkBack, open the modal and explore inside and outside it; record device, versions, date, and notes.</t>
        </is>
      </c>
      <c r="R84" s="90" t="inlineStr">
        <is>
          <t>Owned modal content remains operable and background content is unavailable to assistive-technology touch exploration.</t>
        </is>
      </c>
      <c r="S84" s="90" t="inlineStr">
        <is>
          <t>playground/.manual-tests/dialog.md — focused qualification, 2026-07-17</t>
        </is>
      </c>
      <c r="T84" s="90" t="n"/>
      <c r="U84" s="114" t="inlineStr">
        <is>
          <t>not run</t>
        </is>
      </c>
      <c r="V84" s="112" t="n"/>
      <c r="W84" s="90" t="n"/>
      <c r="X84" s="90" t="inlineStr">
        <is>
          <t>Deferred by maintainer because no Android device is available; remains not run and is not represented as a pass or failure.</t>
        </is>
      </c>
      <c r="Y84" s="114">
        <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device",OR(K84="",L84="",M84="",N84="",P84="")),"needs device details",IF(AND(OR(U84="passed",U84="failed",U84="blocked"),V84=""),"needs result date","ready"))))))</f>
        <v/>
      </c>
    </row>
    <row r="85" ht="48" customHeight="1" s="58">
      <c r="A85" s="112" t="inlineStr">
        <is>
          <t>MRE-05-MODAL-001</t>
        </is>
      </c>
      <c r="B85" s="112" t="inlineStr">
        <is>
          <t>MR-05</t>
        </is>
      </c>
      <c r="C85" s="112" t="inlineStr">
        <is>
          <t>MR-P4</t>
        </is>
      </c>
      <c r="D85" s="90" t="inlineStr">
        <is>
          <t>Modal</t>
        </is>
      </c>
      <c r="E85" s="90" t="inlineStr">
        <is>
          <t>modal background isolation during screen-reader touch exploration</t>
        </is>
      </c>
      <c r="F85" s="90" t="inlineStr">
        <is>
          <t>Modal!ID-102 — mobile viewport/touch behavior</t>
        </is>
      </c>
      <c r="G85" s="91" t="inlineStr">
        <is>
          <t>narrow unsupported claim</t>
        </is>
      </c>
      <c r="H85" s="90" t="inlineStr">
        <is>
          <t>confirmed Atom implementation gap</t>
        </is>
      </c>
      <c r="I85" s="91" t="inlineStr">
        <is>
          <t>real device + AT — iOS Safari + VoiceOver</t>
        </is>
      </c>
      <c r="J85" s="112" t="inlineStr">
        <is>
          <t>iOS</t>
        </is>
      </c>
      <c r="K85" s="112" t="inlineStr">
        <is>
          <t>26.5.2</t>
        </is>
      </c>
      <c r="L85" s="112" t="inlineStr">
        <is>
          <t>Safari</t>
        </is>
      </c>
      <c r="M85" s="112" t="inlineStr">
        <is>
          <t>26.5.2 system Safari</t>
        </is>
      </c>
      <c r="N85" s="112" t="inlineStr">
        <is>
          <t>iPhone 16 Pro Max</t>
        </is>
      </c>
      <c r="O85" s="112" t="inlineStr">
        <is>
          <t>screen-reader touch exploration</t>
        </is>
      </c>
      <c r="P85" s="112" t="inlineStr">
        <is>
          <t>VoiceOver</t>
        </is>
      </c>
      <c r="Q85" s="90" t="inlineStr">
        <is>
          <t>On a named iOS device with VoiceOver, open the modal and explore inside and outside it; record device, versions, date, and notes.</t>
        </is>
      </c>
      <c r="R85" s="90" t="inlineStr">
        <is>
          <t>Owned modal content remains operable and background content is unavailable to assistive-technology touch exploration.</t>
        </is>
      </c>
      <c r="S85" s="90" t="inlineStr">
        <is>
          <t>playground/.manual-tests/dialog.md — focused qualification, 2026-07-17</t>
        </is>
      </c>
      <c r="T85" s="90" t="n"/>
      <c r="U85" s="114" t="inlineStr">
        <is>
          <t>passed</t>
        </is>
      </c>
      <c r="V85" s="93" t="n">
        <v>46220</v>
      </c>
      <c r="W85" s="90" t="inlineStr">
        <is>
          <t>Modal foundation commits bbd4656 and 69be97d</t>
        </is>
      </c>
      <c r="X8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5" s="114">
        <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device",OR(K85="",L85="",M85="",N85="",P85="")),"needs device details",IF(AND(OR(U85="passed",U85="failed",U85="blocked"),V85=""),"needs result date","ready"))))))</f>
        <v/>
      </c>
    </row>
    <row r="86" ht="48" customHeight="1" s="58">
      <c r="A86" s="112" t="inlineStr">
        <is>
          <t>MRE-05-MODAL-002</t>
        </is>
      </c>
      <c r="B86" s="112" t="inlineStr">
        <is>
          <t>MR-05</t>
        </is>
      </c>
      <c r="C86" s="112" t="inlineStr">
        <is>
          <t>MR-P4</t>
        </is>
      </c>
      <c r="D86" s="90" t="inlineStr">
        <is>
          <t>Modal</t>
        </is>
      </c>
      <c r="E86" s="90" t="inlineStr">
        <is>
          <t>modal background isolation during screen-reader touch exploration</t>
        </is>
      </c>
      <c r="F86" s="90" t="inlineStr">
        <is>
          <t>Modal!ID-102 — mobile viewport/touch behavior</t>
        </is>
      </c>
      <c r="G86" s="91" t="inlineStr">
        <is>
          <t>narrow unsupported claim</t>
        </is>
      </c>
      <c r="H86" s="90" t="inlineStr">
        <is>
          <t>confirmed Atom implementation gap</t>
        </is>
      </c>
      <c r="I86" s="91" t="inlineStr">
        <is>
          <t>real device + AT — Android Chrome + TalkBack</t>
        </is>
      </c>
      <c r="J86" s="112" t="inlineStr">
        <is>
          <t>Android</t>
        </is>
      </c>
      <c r="K86" s="112" t="n"/>
      <c r="L86" s="112" t="inlineStr">
        <is>
          <t>Chrome</t>
        </is>
      </c>
      <c r="M86" s="112" t="n"/>
      <c r="N86" s="112" t="n"/>
      <c r="O86" s="112" t="inlineStr">
        <is>
          <t>screen-reader touch exploration</t>
        </is>
      </c>
      <c r="P86" s="112" t="inlineStr">
        <is>
          <t>TalkBack</t>
        </is>
      </c>
      <c r="Q86" s="90" t="inlineStr">
        <is>
          <t>On a named Android device with TalkBack, open the modal and explore inside and outside it; record device, versions, date, and notes.</t>
        </is>
      </c>
      <c r="R86" s="90" t="inlineStr">
        <is>
          <t>Owned modal content remains operable and background content is unavailable to assistive-technology touch exploration.</t>
        </is>
      </c>
      <c r="S86" s="90" t="inlineStr">
        <is>
          <t>playground/.manual-tests/dialog.md — focused qualification, 2026-07-17</t>
        </is>
      </c>
      <c r="T86" s="90" t="n"/>
      <c r="U86" s="114" t="inlineStr">
        <is>
          <t>not run</t>
        </is>
      </c>
      <c r="V86" s="112" t="n"/>
      <c r="W86" s="90" t="n"/>
      <c r="X86" s="90" t="inlineStr">
        <is>
          <t>Deferred by maintainer because no Android device is available; remains not run and is not represented as a pass or failure.</t>
        </is>
      </c>
      <c r="Y86" s="114">
        <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device",OR(K86="",L86="",M86="",N86="",P86="")),"needs device details",IF(AND(OR(U86="passed",U86="failed",U86="blocked"),V86=""),"needs result date","ready"))))))</f>
        <v/>
      </c>
    </row>
    <row r="87" ht="15" customHeight="1" s="58">
      <c r="Y87" s="95">
        <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device",OR(K87="",L87="",M87="",N87="",P87="")),"needs device details",IF(AND(OR(U87="passed",U87="failed",U87="blocked"),V87=""),"needs result date","ready"))))))</f>
        <v/>
      </c>
    </row>
    <row r="88" ht="15" customHeight="1" s="58">
      <c r="Y88" s="95">
        <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device",OR(K88="",L88="",M88="",N88="",P88="")),"needs device details",IF(AND(OR(U88="passed",U88="failed",U88="blocked"),V88=""),"needs result date","ready"))))))</f>
        <v/>
      </c>
    </row>
    <row r="89" ht="15" customHeight="1" s="58">
      <c r="Y89" s="95">
        <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device",OR(K89="",L89="",M89="",N89="",P89="")),"needs device details",IF(AND(OR(U89="passed",U89="failed",U89="blocked"),V89=""),"needs result date","ready"))))))</f>
        <v/>
      </c>
    </row>
    <row r="90" ht="15" customHeight="1" s="58">
      <c r="Y90" s="95">
        <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device",OR(K90="",L90="",M90="",N90="",P90="")),"needs device details",IF(AND(OR(U90="passed",U90="failed",U90="blocked"),V90=""),"needs result date","ready"))))))</f>
        <v/>
      </c>
    </row>
    <row r="91" ht="15" customHeight="1" s="58">
      <c r="Y91" s="95">
        <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device",OR(K91="",L91="",M91="",N91="",P91="")),"needs device details",IF(AND(OR(U91="passed",U91="failed",U91="blocked"),V91=""),"needs result date","ready"))))))</f>
        <v/>
      </c>
    </row>
    <row r="92" ht="15" customHeight="1" s="58">
      <c r="Y92" s="95">
        <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device",OR(K92="",L92="",M92="",N92="",P92="")),"needs device details",IF(AND(OR(U92="passed",U92="failed",U92="blocked"),V92=""),"needs result date","ready"))))))</f>
        <v/>
      </c>
    </row>
    <row r="93" ht="15" customHeight="1" s="58">
      <c r="Y93" s="95">
        <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device",OR(K93="",L93="",M93="",N93="",P93="")),"needs device details",IF(AND(OR(U93="passed",U93="failed",U93="blocked"),V93=""),"needs result date","ready"))))))</f>
        <v/>
      </c>
    </row>
    <row r="94" ht="15" customHeight="1" s="58">
      <c r="Y94" s="95">
        <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device",OR(K94="",L94="",M94="",N94="",P94="")),"needs device details",IF(AND(OR(U94="passed",U94="failed",U94="blocked"),V94=""),"needs result date","ready"))))))</f>
        <v/>
      </c>
    </row>
    <row r="95" ht="15" customHeight="1" s="58">
      <c r="Y95" s="95">
        <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device",OR(K95="",L95="",M95="",N95="",P95="")),"needs device details",IF(AND(OR(U95="passed",U95="failed",U95="blocked"),V95=""),"needs result date","ready"))))))</f>
        <v/>
      </c>
    </row>
    <row r="96" ht="15" customHeight="1" s="58">
      <c r="Y96" s="95">
        <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device",OR(K96="",L96="",M96="",N96="",P96="")),"needs device details",IF(AND(OR(U96="passed",U96="failed",U96="blocked"),V96=""),"needs result date","ready"))))))</f>
        <v/>
      </c>
    </row>
    <row r="97" ht="15" customHeight="1" s="58">
      <c r="Y97" s="95">
        <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device",OR(K97="",L97="",M97="",N97="",P97="")),"needs device details",IF(AND(OR(U97="passed",U97="failed",U97="blocked"),V97=""),"needs result date","ready"))))))</f>
        <v/>
      </c>
    </row>
    <row r="98" ht="15" customHeight="1" s="58">
      <c r="Y98" s="95">
        <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device",OR(K98="",L98="",M98="",N98="",P98="")),"needs device details",IF(AND(OR(U98="passed",U98="failed",U98="blocked"),V98=""),"needs result date","ready"))))))</f>
        <v/>
      </c>
    </row>
    <row r="99" ht="15" customHeight="1" s="58">
      <c r="Y99" s="95">
        <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device",OR(K99="",L99="",M99="",N99="",P99="")),"needs device details",IF(AND(OR(U99="passed",U99="failed",U99="blocked"),V99=""),"needs result date","ready"))))))</f>
        <v/>
      </c>
    </row>
    <row r="100" ht="15" customHeight="1" s="58">
      <c r="Y100" s="95">
        <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device",OR(K100="",L100="",M100="",N100="",P100="")),"needs device details",IF(AND(OR(U100="passed",U100="failed",U100="blocked"),V100=""),"needs result date","ready"))))))</f>
        <v/>
      </c>
    </row>
    <row r="101" ht="15" customHeight="1" s="58">
      <c r="Y101" s="95">
        <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device",OR(K101="",L101="",M101="",N101="",P101="")),"needs device details",IF(AND(OR(U101="passed",U101="failed",U101="blocked"),V101=""),"needs result date","ready"))))))</f>
        <v/>
      </c>
    </row>
    <row r="102" ht="15" customHeight="1" s="58">
      <c r="Y102" s="95">
        <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device",OR(K102="",L102="",M102="",N102="",P102="")),"needs device details",IF(AND(OR(U102="passed",U102="failed",U102="blocked"),V102=""),"needs result date","ready"))))))</f>
        <v/>
      </c>
    </row>
    <row r="103" ht="15" customHeight="1" s="58">
      <c r="Y103" s="95">
        <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device",OR(K103="",L103="",M103="",N103="",P103="")),"needs device details",IF(AND(OR(U103="passed",U103="failed",U103="blocked"),V103=""),"needs result date","ready"))))))</f>
        <v/>
      </c>
    </row>
    <row r="104" ht="15" customHeight="1" s="58">
      <c r="Y104" s="95">
        <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device",OR(K104="",L104="",M104="",N104="",P104="")),"needs device details",IF(AND(OR(U104="passed",U104="failed",U104="blocked"),V104=""),"needs result date","ready"))))))</f>
        <v/>
      </c>
    </row>
    <row r="105" ht="15" customHeight="1" s="58">
      <c r="Y105" s="95">
        <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device",OR(K105="",L105="",M105="",N105="",P105="")),"needs device details",IF(AND(OR(U105="passed",U105="failed",U105="blocked"),V105=""),"needs result date","ready"))))))</f>
        <v/>
      </c>
    </row>
    <row r="106" ht="15" customHeight="1" s="58">
      <c r="Y106" s="95">
        <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device",OR(K106="",L106="",M106="",N106="",P106="")),"needs device details",IF(AND(OR(U106="passed",U106="failed",U106="blocked"),V106=""),"needs result date","ready"))))))</f>
        <v/>
      </c>
    </row>
    <row r="107" ht="15" customHeight="1" s="58">
      <c r="Y107" s="95">
        <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device",OR(K107="",L107="",M107="",N107="",P107="")),"needs device details",IF(AND(OR(U107="passed",U107="failed",U107="blocked"),V107=""),"needs result date","ready"))))))</f>
        <v/>
      </c>
    </row>
    <row r="108" ht="15" customHeight="1" s="58">
      <c r="Y108" s="95">
        <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device",OR(K108="",L108="",M108="",N108="",P108="")),"needs device details",IF(AND(OR(U108="passed",U108="failed",U108="blocked"),V108=""),"needs result date","ready"))))))</f>
        <v/>
      </c>
    </row>
    <row r="109" ht="15" customHeight="1" s="58">
      <c r="Y109" s="95">
        <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device",OR(K109="",L109="",M109="",N109="",P109="")),"needs device details",IF(AND(OR(U109="passed",U109="failed",U109="blocked"),V109=""),"needs result date","ready"))))))</f>
        <v/>
      </c>
    </row>
    <row r="110" ht="15" customHeight="1" s="58">
      <c r="Y110" s="95">
        <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device",OR(K110="",L110="",M110="",N110="",P110="")),"needs device details",IF(AND(OR(U110="passed",U110="failed",U110="blocked"),V110=""),"needs result date","ready"))))))</f>
        <v/>
      </c>
    </row>
    <row r="111" ht="15" customHeight="1" s="58">
      <c r="Y111" s="95">
        <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device",OR(K111="",L111="",M111="",N111="",P111="")),"needs device details",IF(AND(OR(U111="passed",U111="failed",U111="blocked"),V111=""),"needs result date","ready"))))))</f>
        <v/>
      </c>
    </row>
    <row r="112" ht="15" customHeight="1" s="58">
      <c r="Y112" s="95">
        <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device",OR(K112="",L112="",M112="",N112="",P112="")),"needs device details",IF(AND(OR(U112="passed",U112="failed",U112="blocked"),V112=""),"needs result date","ready"))))))</f>
        <v/>
      </c>
    </row>
    <row r="113" ht="15" customHeight="1" s="58">
      <c r="Y113" s="95">
        <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device",OR(K113="",L113="",M113="",N113="",P113="")),"needs device details",IF(AND(OR(U113="passed",U113="failed",U113="blocked"),V113=""),"needs result date","ready"))))))</f>
        <v/>
      </c>
    </row>
    <row r="114" ht="15" customHeight="1" s="58">
      <c r="Y114" s="95">
        <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device",OR(K114="",L114="",M114="",N114="",P114="")),"needs device details",IF(AND(OR(U114="passed",U114="failed",U114="blocked"),V114=""),"needs result date","ready"))))))</f>
        <v/>
      </c>
    </row>
    <row r="115" ht="15" customHeight="1" s="58">
      <c r="Y115" s="95">
        <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device",OR(K115="",L115="",M115="",N115="",P115="")),"needs device details",IF(AND(OR(U115="passed",U115="failed",U115="blocked"),V115=""),"needs result date","ready"))))))</f>
        <v/>
      </c>
    </row>
    <row r="116" ht="15" customHeight="1" s="58">
      <c r="Y116" s="95">
        <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device",OR(K116="",L116="",M116="",N116="",P116="")),"needs device details",IF(AND(OR(U116="passed",U116="failed",U116="blocked"),V116=""),"needs result date","ready"))))))</f>
        <v/>
      </c>
    </row>
    <row r="117" ht="15" customHeight="1" s="58">
      <c r="Y117" s="95">
        <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device",OR(K117="",L117="",M117="",N117="",P117="")),"needs device details",IF(AND(OR(U117="passed",U117="failed",U117="blocked"),V117=""),"needs result date","ready"))))))</f>
        <v/>
      </c>
    </row>
    <row r="118" ht="15" customHeight="1" s="58">
      <c r="Y118" s="95">
        <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device",OR(K118="",L118="",M118="",N118="",P118="")),"needs device details",IF(AND(OR(U118="passed",U118="failed",U118="blocked"),V118=""),"needs result date","ready"))))))</f>
        <v/>
      </c>
    </row>
    <row r="119" ht="15" customHeight="1" s="58">
      <c r="Y119" s="95">
        <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device",OR(K119="",L119="",M119="",N119="",P119="")),"needs device details",IF(AND(OR(U119="passed",U119="failed",U119="blocked"),V119=""),"needs result date","ready"))))))</f>
        <v/>
      </c>
    </row>
    <row r="120" ht="15" customHeight="1" s="58">
      <c r="Y120" s="95">
        <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device",OR(K120="",L120="",M120="",N120="",P120="")),"needs device details",IF(AND(OR(U120="passed",U120="failed",U120="blocked"),V120=""),"needs result date","ready"))))))</f>
        <v/>
      </c>
    </row>
    <row r="121" ht="15" customHeight="1" s="58">
      <c r="Y121" s="95">
        <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device",OR(K121="",L121="",M121="",N121="",P121="")),"needs device details",IF(AND(OR(U121="passed",U121="failed",U121="blocked"),V121=""),"needs result date","ready"))))))</f>
        <v/>
      </c>
    </row>
    <row r="122" ht="15" customHeight="1" s="58">
      <c r="Y122" s="95">
        <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device",OR(K122="",L122="",M122="",N122="",P122="")),"needs device details",IF(AND(OR(U122="passed",U122="failed",U122="blocked"),V122=""),"needs result date","ready"))))))</f>
        <v/>
      </c>
    </row>
    <row r="123" ht="15" customHeight="1" s="58">
      <c r="Y123" s="95">
        <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device",OR(K123="",L123="",M123="",N123="",P123="")),"needs device details",IF(AND(OR(U123="passed",U123="failed",U123="blocked"),V123=""),"needs result date","ready"))))))</f>
        <v/>
      </c>
    </row>
    <row r="124" ht="15" customHeight="1" s="58">
      <c r="Y124" s="95">
        <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device",OR(K124="",L124="",M124="",N124="",P124="")),"needs device details",IF(AND(OR(U124="passed",U124="failed",U124="blocked"),V124=""),"needs result date","ready"))))))</f>
        <v/>
      </c>
    </row>
    <row r="125" ht="15" customHeight="1" s="58">
      <c r="Y125" s="95">
        <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device",OR(K125="",L125="",M125="",N125="",P125="")),"needs device details",IF(AND(OR(U125="passed",U125="failed",U125="blocked"),V125=""),"needs result date","ready"))))))</f>
        <v/>
      </c>
    </row>
    <row r="126" ht="15" customHeight="1" s="58">
      <c r="Y126" s="95">
        <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device",OR(K126="",L126="",M126="",N126="",P126="")),"needs device details",IF(AND(OR(U126="passed",U126="failed",U126="blocked"),V126=""),"needs result date","ready"))))))</f>
        <v/>
      </c>
    </row>
    <row r="127" ht="15" customHeight="1" s="58">
      <c r="Y127" s="95">
        <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device",OR(K127="",L127="",M127="",N127="",P127="")),"needs device details",IF(AND(OR(U127="passed",U127="failed",U127="blocked"),V127=""),"needs result date","ready"))))))</f>
        <v/>
      </c>
    </row>
    <row r="128" ht="15" customHeight="1" s="58">
      <c r="Y128" s="95">
        <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device",OR(K128="",L128="",M128="",N128="",P128="")),"needs device details",IF(AND(OR(U128="passed",U128="failed",U128="blocked"),V128=""),"needs result date","ready"))))))</f>
        <v/>
      </c>
    </row>
    <row r="129" ht="15" customHeight="1" s="58">
      <c r="Y129" s="95">
        <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device",OR(K129="",L129="",M129="",N129="",P129="")),"needs device details",IF(AND(OR(U129="passed",U129="failed",U129="blocked"),V129=""),"needs result date","ready"))))))</f>
        <v/>
      </c>
    </row>
    <row r="130" ht="15" customHeight="1" s="58">
      <c r="Y130" s="95">
        <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device",OR(K130="",L130="",M130="",N130="",P130="")),"needs device details",IF(AND(OR(U130="passed",U130="failed",U130="blocked"),V130=""),"needs result date","ready"))))))</f>
        <v/>
      </c>
    </row>
    <row r="131" ht="15" customHeight="1" s="58">
      <c r="Y131" s="95">
        <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device",OR(K131="",L131="",M131="",N131="",P131="")),"needs device details",IF(AND(OR(U131="passed",U131="failed",U131="blocked"),V131=""),"needs result date","ready"))))))</f>
        <v/>
      </c>
    </row>
    <row r="132" ht="15" customHeight="1" s="58">
      <c r="Y132" s="95">
        <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device",OR(K132="",L132="",M132="",N132="",P132="")),"needs device details",IF(AND(OR(U132="passed",U132="failed",U132="blocked"),V132=""),"needs result date","ready"))))))</f>
        <v/>
      </c>
    </row>
    <row r="133" ht="15" customHeight="1" s="58">
      <c r="Y133" s="95">
        <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device",OR(K133="",L133="",M133="",N133="",P133="")),"needs device details",IF(AND(OR(U133="passed",U133="failed",U133="blocked"),V133=""),"needs result date","ready"))))))</f>
        <v/>
      </c>
    </row>
    <row r="134" ht="15" customHeight="1" s="58">
      <c r="Y134" s="95">
        <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device",OR(K134="",L134="",M134="",N134="",P134="")),"needs device details",IF(AND(OR(U134="passed",U134="failed",U134="blocked"),V134=""),"needs result date","ready"))))))</f>
        <v/>
      </c>
    </row>
    <row r="135" ht="15" customHeight="1" s="58">
      <c r="Y135" s="95">
        <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device",OR(K135="",L135="",M135="",N135="",P135="")),"needs device details",IF(AND(OR(U135="passed",U135="failed",U135="blocked"),V135=""),"needs result date","ready"))))))</f>
        <v/>
      </c>
    </row>
    <row r="136" ht="15" customHeight="1" s="58">
      <c r="Y136" s="95">
        <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device",OR(K136="",L136="",M136="",N136="",P136="")),"needs device details",IF(AND(OR(U136="passed",U136="failed",U136="blocked"),V136=""),"needs result date","ready"))))))</f>
        <v/>
      </c>
    </row>
    <row r="137" ht="15" customHeight="1" s="58">
      <c r="Y137" s="95">
        <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device",OR(K137="",L137="",M137="",N137="",P137="")),"needs device details",IF(AND(OR(U137="passed",U137="failed",U137="blocked"),V137=""),"needs result date","ready"))))))</f>
        <v/>
      </c>
    </row>
    <row r="138" ht="15" customHeight="1" s="58">
      <c r="Y138" s="95">
        <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device",OR(K138="",L138="",M138="",N138="",P138="")),"needs device details",IF(AND(OR(U138="passed",U138="failed",U138="blocked"),V138=""),"needs result date","ready"))))))</f>
        <v/>
      </c>
    </row>
    <row r="139" ht="15" customHeight="1" s="58">
      <c r="Y139" s="95">
        <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device",OR(K139="",L139="",M139="",N139="",P139="")),"needs device details",IF(AND(OR(U139="passed",U139="failed",U139="blocked"),V139=""),"needs result date","ready"))))))</f>
        <v/>
      </c>
    </row>
    <row r="140" ht="15" customHeight="1" s="58">
      <c r="Y140" s="95">
        <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device",OR(K140="",L140="",M140="",N140="",P140="")),"needs device details",IF(AND(OR(U140="passed",U140="failed",U140="blocked"),V140=""),"needs result date","ready"))))))</f>
        <v/>
      </c>
    </row>
    <row r="141" ht="15" customHeight="1" s="58">
      <c r="Y141" s="95">
        <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device",OR(K141="",L141="",M141="",N141="",P141="")),"needs device details",IF(AND(OR(U141="passed",U141="failed",U141="blocked"),V141=""),"needs result date","ready"))))))</f>
        <v/>
      </c>
    </row>
    <row r="142" ht="15" customHeight="1" s="58">
      <c r="Y142" s="95">
        <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device",OR(K142="",L142="",M142="",N142="",P142="")),"needs device details",IF(AND(OR(U142="passed",U142="failed",U142="blocked"),V142=""),"needs result date","ready"))))))</f>
        <v/>
      </c>
    </row>
    <row r="143" ht="15" customHeight="1" s="58">
      <c r="Y143" s="95">
        <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device",OR(K143="",L143="",M143="",N143="",P143="")),"needs device details",IF(AND(OR(U143="passed",U143="failed",U143="blocked"),V143=""),"needs result date","ready"))))))</f>
        <v/>
      </c>
    </row>
    <row r="144" ht="15" customHeight="1" s="58">
      <c r="Y144" s="95">
        <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device",OR(K144="",L144="",M144="",N144="",P144="")),"needs device details",IF(AND(OR(U144="passed",U144="failed",U144="blocked"),V144=""),"needs result date","ready"))))))</f>
        <v/>
      </c>
    </row>
    <row r="145" ht="15" customHeight="1" s="58">
      <c r="Y145" s="95">
        <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device",OR(K145="",L145="",M145="",N145="",P145="")),"needs device details",IF(AND(OR(U145="passed",U145="failed",U145="blocked"),V145=""),"needs result date","ready"))))))</f>
        <v/>
      </c>
    </row>
    <row r="146" ht="15" customHeight="1" s="58">
      <c r="Y146" s="95">
        <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device",OR(K146="",L146="",M146="",N146="",P146="")),"needs device details",IF(AND(OR(U146="passed",U146="failed",U146="blocked"),V146=""),"needs result date","ready"))))))</f>
        <v/>
      </c>
    </row>
    <row r="147" ht="15" customHeight="1" s="58">
      <c r="Y147" s="95">
        <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device",OR(K147="",L147="",M147="",N147="",P147="")),"needs device details",IF(AND(OR(U147="passed",U147="failed",U147="blocked"),V147=""),"needs result date","ready"))))))</f>
        <v/>
      </c>
    </row>
    <row r="148" ht="15" customHeight="1" s="58">
      <c r="Y148" s="95">
        <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device",OR(K148="",L148="",M148="",N148="",P148="")),"needs device details",IF(AND(OR(U148="passed",U148="failed",U148="blocked"),V148=""),"needs result date","ready"))))))</f>
        <v/>
      </c>
    </row>
    <row r="149" ht="15" customHeight="1" s="58">
      <c r="Y149" s="95">
        <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device",OR(K149="",L149="",M149="",N149="",P149="")),"needs device details",IF(AND(OR(U149="passed",U149="failed",U149="blocked"),V149=""),"needs result date","ready"))))))</f>
        <v/>
      </c>
    </row>
    <row r="150" ht="15" customHeight="1" s="58">
      <c r="Y150" s="95">
        <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device",OR(K150="",L150="",M150="",N150="",P150="")),"needs device details",IF(AND(OR(U150="passed",U150="failed",U150="blocked"),V150=""),"needs result date","ready"))))))</f>
        <v/>
      </c>
    </row>
    <row r="151" ht="15" customHeight="1" s="58">
      <c r="Y151" s="95">
        <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device",OR(K151="",L151="",M151="",N151="",P151="")),"needs device details",IF(AND(OR(U151="passed",U151="failed",U151="blocked"),V151=""),"needs result date","ready"))))))</f>
        <v/>
      </c>
    </row>
    <row r="152" ht="15" customHeight="1" s="58">
      <c r="Y152" s="95">
        <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device",OR(K152="",L152="",M152="",N152="",P152="")),"needs device details",IF(AND(OR(U152="passed",U152="failed",U152="blocked"),V152=""),"needs result date","ready"))))))</f>
        <v/>
      </c>
    </row>
    <row r="153" ht="15" customHeight="1" s="58">
      <c r="Y153" s="95">
        <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device",OR(K153="",L153="",M153="",N153="",P153="")),"needs device details",IF(AND(OR(U153="passed",U153="failed",U153="blocked"),V153=""),"needs result date","ready"))))))</f>
        <v/>
      </c>
    </row>
    <row r="154" ht="15" customHeight="1" s="58">
      <c r="Y154" s="95">
        <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device",OR(K154="",L154="",M154="",N154="",P154="")),"needs device details",IF(AND(OR(U154="passed",U154="failed",U154="blocked"),V154=""),"needs result date","ready"))))))</f>
        <v/>
      </c>
    </row>
    <row r="155" ht="15" customHeight="1" s="58">
      <c r="Y155" s="95">
        <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device",OR(K155="",L155="",M155="",N155="",P155="")),"needs device details",IF(AND(OR(U155="passed",U155="failed",U155="blocked"),V155=""),"needs result date","ready"))))))</f>
        <v/>
      </c>
    </row>
    <row r="156" ht="15" customHeight="1" s="58">
      <c r="Y156" s="95">
        <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device",OR(K156="",L156="",M156="",N156="",P156="")),"needs device details",IF(AND(OR(U156="passed",U156="failed",U156="blocked"),V156=""),"needs result date","ready"))))))</f>
        <v/>
      </c>
    </row>
    <row r="157" ht="15" customHeight="1" s="58">
      <c r="Y157" s="95">
        <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device",OR(K157="",L157="",M157="",N157="",P157="")),"needs device details",IF(AND(OR(U157="passed",U157="failed",U157="blocked"),V157=""),"needs result date","ready"))))))</f>
        <v/>
      </c>
    </row>
    <row r="158" ht="15" customHeight="1" s="58">
      <c r="Y158" s="95">
        <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device",OR(K158="",L158="",M158="",N158="",P158="")),"needs device details",IF(AND(OR(U158="passed",U158="failed",U158="blocked"),V158=""),"needs result date","ready"))))))</f>
        <v/>
      </c>
    </row>
    <row r="159" ht="15" customHeight="1" s="58">
      <c r="Y159" s="95">
        <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device",OR(K159="",L159="",M159="",N159="",P159="")),"needs device details",IF(AND(OR(U159="passed",U159="failed",U159="blocked"),V159=""),"needs result date","ready"))))))</f>
        <v/>
      </c>
    </row>
    <row r="160" ht="15" customHeight="1" s="58">
      <c r="Y160" s="95">
        <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device",OR(K160="",L160="",M160="",N160="",P160="")),"needs device details",IF(AND(OR(U160="passed",U160="failed",U160="blocked"),V160=""),"needs result date","ready"))))))</f>
        <v/>
      </c>
    </row>
    <row r="161" ht="15" customHeight="1" s="58">
      <c r="Y161" s="95">
        <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device",OR(K161="",L161="",M161="",N161="",P161="")),"needs device details",IF(AND(OR(U161="passed",U161="failed",U161="blocked"),V161=""),"needs result date","ready"))))))</f>
        <v/>
      </c>
    </row>
    <row r="162" ht="15" customHeight="1" s="58">
      <c r="Y162" s="95">
        <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device",OR(K162="",L162="",M162="",N162="",P162="")),"needs device details",IF(AND(OR(U162="passed",U162="failed",U162="blocked"),V162=""),"needs result date","ready"))))))</f>
        <v/>
      </c>
    </row>
    <row r="163" ht="15" customHeight="1" s="58">
      <c r="Y163" s="95">
        <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device",OR(K163="",L163="",M163="",N163="",P163="")),"needs device details",IF(AND(OR(U163="passed",U163="failed",U163="blocked"),V163=""),"needs result date","ready"))))))</f>
        <v/>
      </c>
    </row>
    <row r="164" ht="15" customHeight="1" s="58">
      <c r="Y164" s="95">
        <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device",OR(K164="",L164="",M164="",N164="",P164="")),"needs device details",IF(AND(OR(U164="passed",U164="failed",U164="blocked"),V164=""),"needs result date","ready"))))))</f>
        <v/>
      </c>
    </row>
    <row r="165" ht="15" customHeight="1" s="58">
      <c r="Y165" s="95">
        <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device",OR(K165="",L165="",M165="",N165="",P165="")),"needs device details",IF(AND(OR(U165="passed",U165="failed",U165="blocked"),V165=""),"needs result date","ready"))))))</f>
        <v/>
      </c>
    </row>
    <row r="166" ht="15" customHeight="1" s="58">
      <c r="Y166" s="95">
        <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device",OR(K166="",L166="",M166="",N166="",P166="")),"needs device details",IF(AND(OR(U166="passed",U166="failed",U166="blocked"),V166=""),"needs result date","ready"))))))</f>
        <v/>
      </c>
    </row>
    <row r="167" ht="15" customHeight="1" s="58">
      <c r="Y167" s="95">
        <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device",OR(K167="",L167="",M167="",N167="",P167="")),"needs device details",IF(AND(OR(U167="passed",U167="failed",U167="blocked"),V167=""),"needs result date","ready"))))))</f>
        <v/>
      </c>
    </row>
    <row r="168" ht="15" customHeight="1" s="58">
      <c r="Y168" s="95">
        <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device",OR(K168="",L168="",M168="",N168="",P168="")),"needs device details",IF(AND(OR(U168="passed",U168="failed",U168="blocked"),V168=""),"needs result date","ready"))))))</f>
        <v/>
      </c>
    </row>
    <row r="169" ht="15" customHeight="1" s="58">
      <c r="Y169" s="95">
        <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device",OR(K169="",L169="",M169="",N169="",P169="")),"needs device details",IF(AND(OR(U169="passed",U169="failed",U169="blocked"),V169=""),"needs result date","ready"))))))</f>
        <v/>
      </c>
    </row>
    <row r="170" ht="15" customHeight="1" s="58">
      <c r="Y170" s="95">
        <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device",OR(K170="",L170="",M170="",N170="",P170="")),"needs device details",IF(AND(OR(U170="passed",U170="failed",U170="blocked"),V170=""),"needs result date","ready"))))))</f>
        <v/>
      </c>
    </row>
    <row r="171" ht="15" customHeight="1" s="58">
      <c r="Y171" s="95">
        <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device",OR(K171="",L171="",M171="",N171="",P171="")),"needs device details",IF(AND(OR(U171="passed",U171="failed",U171="blocked"),V171=""),"needs result date","ready"))))))</f>
        <v/>
      </c>
    </row>
    <row r="172" ht="15" customHeight="1" s="58">
      <c r="Y172" s="95">
        <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device",OR(K172="",L172="",M172="",N172="",P172="")),"needs device details",IF(AND(OR(U172="passed",U172="failed",U172="blocked"),V172=""),"needs result date","ready"))))))</f>
        <v/>
      </c>
    </row>
    <row r="173" ht="15" customHeight="1" s="58">
      <c r="Y173" s="95">
        <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device",OR(K173="",L173="",M173="",N173="",P173="")),"needs device details",IF(AND(OR(U173="passed",U173="failed",U173="blocked"),V173=""),"needs result date","ready"))))))</f>
        <v/>
      </c>
    </row>
    <row r="174" ht="15" customHeight="1" s="58">
      <c r="Y174" s="95">
        <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device",OR(K174="",L174="",M174="",N174="",P174="")),"needs device details",IF(AND(OR(U174="passed",U174="failed",U174="blocked"),V174=""),"needs result date","ready"))))))</f>
        <v/>
      </c>
    </row>
    <row r="175" ht="15" customHeight="1" s="58">
      <c r="Y175" s="95">
        <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device",OR(K175="",L175="",M175="",N175="",P175="")),"needs device details",IF(AND(OR(U175="passed",U175="failed",U175="blocked"),V175=""),"needs result date","ready"))))))</f>
        <v/>
      </c>
    </row>
    <row r="176" ht="15" customHeight="1" s="58">
      <c r="Y176" s="95">
        <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device",OR(K176="",L176="",M176="",N176="",P176="")),"needs device details",IF(AND(OR(U176="passed",U176="failed",U176="blocked"),V176=""),"needs result date","ready"))))))</f>
        <v/>
      </c>
    </row>
    <row r="177" ht="15" customHeight="1" s="58">
      <c r="Y177" s="95">
        <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device",OR(K177="",L177="",M177="",N177="",P177="")),"needs device details",IF(AND(OR(U177="passed",U177="failed",U177="blocked"),V177=""),"needs result date","ready"))))))</f>
        <v/>
      </c>
    </row>
    <row r="178" ht="15" customHeight="1" s="58">
      <c r="Y178" s="95">
        <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device",OR(K178="",L178="",M178="",N178="",P178="")),"needs device details",IF(AND(OR(U178="passed",U178="failed",U178="blocked"),V178=""),"needs result date","ready"))))))</f>
        <v/>
      </c>
    </row>
    <row r="179" ht="15" customHeight="1" s="58">
      <c r="Y179" s="95">
        <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device",OR(K179="",L179="",M179="",N179="",P179="")),"needs device details",IF(AND(OR(U179="passed",U179="failed",U179="blocked"),V179=""),"needs result date","ready"))))))</f>
        <v/>
      </c>
    </row>
    <row r="180" ht="15" customHeight="1" s="58">
      <c r="Y180" s="95">
        <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device",OR(K180="",L180="",M180="",N180="",P180="")),"needs device details",IF(AND(OR(U180="passed",U180="failed",U180="blocked"),V180=""),"needs result date","ready"))))))</f>
        <v/>
      </c>
    </row>
    <row r="181" ht="15" customHeight="1" s="58">
      <c r="Y181" s="95">
        <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device",OR(K181="",L181="",M181="",N181="",P181="")),"needs device details",IF(AND(OR(U181="passed",U181="failed",U181="blocked"),V181=""),"needs result date","ready"))))))</f>
        <v/>
      </c>
    </row>
    <row r="182" ht="15" customHeight="1" s="58">
      <c r="Y182" s="95">
        <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device",OR(K182="",L182="",M182="",N182="",P182="")),"needs device details",IF(AND(OR(U182="passed",U182="failed",U182="blocked"),V182=""),"needs result date","ready"))))))</f>
        <v/>
      </c>
    </row>
    <row r="183" ht="15" customHeight="1" s="58">
      <c r="Y183" s="95">
        <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device",OR(K183="",L183="",M183="",N183="",P183="")),"needs device details",IF(AND(OR(U183="passed",U183="failed",U183="blocked"),V183=""),"needs result date","ready"))))))</f>
        <v/>
      </c>
    </row>
    <row r="184" ht="15" customHeight="1" s="58">
      <c r="Y184" s="95">
        <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device",OR(K184="",L184="",M184="",N184="",P184="")),"needs device details",IF(AND(OR(U184="passed",U184="failed",U184="blocked"),V184=""),"needs result date","ready"))))))</f>
        <v/>
      </c>
    </row>
    <row r="185" ht="15" customHeight="1" s="58">
      <c r="Y185" s="95">
        <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device",OR(K185="",L185="",M185="",N185="",P185="")),"needs device details",IF(AND(OR(U185="passed",U185="failed",U185="blocked"),V185=""),"needs result date","ready"))))))</f>
        <v/>
      </c>
    </row>
    <row r="186" ht="15" customHeight="1" s="58">
      <c r="Y186" s="95">
        <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device",OR(K186="",L186="",M186="",N186="",P186="")),"needs device details",IF(AND(OR(U186="passed",U186="failed",U186="blocked"),V186=""),"needs result date","ready"))))))</f>
        <v/>
      </c>
    </row>
    <row r="187" ht="15" customHeight="1" s="58">
      <c r="Y187" s="95">
        <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device",OR(K187="",L187="",M187="",N187="",P187="")),"needs device details",IF(AND(OR(U187="passed",U187="failed",U187="blocked"),V187=""),"needs result date","ready"))))))</f>
        <v/>
      </c>
    </row>
    <row r="188" ht="15" customHeight="1" s="58">
      <c r="Y188" s="95">
        <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device",OR(K188="",L188="",M188="",N188="",P188="")),"needs device details",IF(AND(OR(U188="passed",U188="failed",U188="blocked"),V188=""),"needs result date","ready"))))))</f>
        <v/>
      </c>
    </row>
    <row r="189" ht="15" customHeight="1" s="58">
      <c r="Y189" s="95">
        <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device",OR(K189="",L189="",M189="",N189="",P189="")),"needs device details",IF(AND(OR(U189="passed",U189="failed",U189="blocked"),V189=""),"needs result date","ready"))))))</f>
        <v/>
      </c>
    </row>
    <row r="190" ht="15" customHeight="1" s="58">
      <c r="Y190" s="95">
        <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device",OR(K190="",L190="",M190="",N190="",P190="")),"needs device details",IF(AND(OR(U190="passed",U190="failed",U190="blocked"),V190=""),"needs result date","ready"))))))</f>
        <v/>
      </c>
    </row>
    <row r="191" ht="15" customHeight="1" s="58">
      <c r="Y191" s="95">
        <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device",OR(K191="",L191="",M191="",N191="",P191="")),"needs device details",IF(AND(OR(U191="passed",U191="failed",U191="blocked"),V191=""),"needs result date","ready"))))))</f>
        <v/>
      </c>
    </row>
    <row r="192" ht="15" customHeight="1" s="58">
      <c r="Y192" s="95">
        <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device",OR(K192="",L192="",M192="",N192="",P192="")),"needs device details",IF(AND(OR(U192="passed",U192="failed",U192="blocked"),V192=""),"needs result date","ready"))))))</f>
        <v/>
      </c>
    </row>
    <row r="193" ht="15" customHeight="1" s="58">
      <c r="Y193" s="95">
        <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device",OR(K193="",L193="",M193="",N193="",P193="")),"needs device details",IF(AND(OR(U193="passed",U193="failed",U193="blocked"),V193=""),"needs result date","ready"))))))</f>
        <v/>
      </c>
    </row>
    <row r="194" ht="15" customHeight="1" s="58">
      <c r="Y194" s="95">
        <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device",OR(K194="",L194="",M194="",N194="",P194="")),"needs device details",IF(AND(OR(U194="passed",U194="failed",U194="blocked"),V194=""),"needs result date","ready"))))))</f>
        <v/>
      </c>
    </row>
    <row r="195" ht="15" customHeight="1" s="58">
      <c r="Y195" s="95">
        <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device",OR(K195="",L195="",M195="",N195="",P195="")),"needs device details",IF(AND(OR(U195="passed",U195="failed",U195="blocked"),V195=""),"needs result date","ready"))))))</f>
        <v/>
      </c>
    </row>
    <row r="196" ht="15" customHeight="1" s="58">
      <c r="Y196" s="95">
        <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device",OR(K196="",L196="",M196="",N196="",P196="")),"needs device details",IF(AND(OR(U196="passed",U196="failed",U196="blocked"),V196=""),"needs result date","ready"))))))</f>
        <v/>
      </c>
    </row>
    <row r="197" ht="15" customHeight="1" s="58">
      <c r="Y197" s="95">
        <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device",OR(K197="",L197="",M197="",N197="",P197="")),"needs device details",IF(AND(OR(U197="passed",U197="failed",U197="blocked"),V197=""),"needs result date","ready"))))))</f>
        <v/>
      </c>
    </row>
    <row r="198" ht="15" customHeight="1" s="58">
      <c r="Y198" s="95">
        <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device",OR(K198="",L198="",M198="",N198="",P198="")),"needs device details",IF(AND(OR(U198="passed",U198="failed",U198="blocked"),V198=""),"needs result date","ready"))))))</f>
        <v/>
      </c>
    </row>
    <row r="199" ht="15" customHeight="1" s="58">
      <c r="Y199" s="95">
        <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device",OR(K199="",L199="",M199="",N199="",P199="")),"needs device details",IF(AND(OR(U199="passed",U199="failed",U199="blocked"),V199=""),"needs result date","ready"))))))</f>
        <v/>
      </c>
    </row>
    <row r="200" ht="15" customHeight="1" s="58">
      <c r="Y200" s="95">
        <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2:Y2"/>
    <mergeCell ref="A6:Y6"/>
    <mergeCell ref="A1:Y1"/>
  </mergeCells>
  <conditionalFormatting sqref="U9:U200">
    <cfRule type="expression" rank="0" priority="2" equalAverage="0" aboveAverage="0" dxfId="17" text="" percent="0" bottom="0">
      <formula>$U9="passed"</formula>
    </cfRule>
    <cfRule type="expression" rank="0" priority="3" equalAverage="0" aboveAverage="0" dxfId="18" text="" percent="0" bottom="0">
      <formula>$U9="failed"</formula>
    </cfRule>
    <cfRule type="expression" rank="0" priority="4" equalAverage="0" aboveAverage="0" dxfId="19" text="" percent="0" bottom="0">
      <formula>$U9="blocked"</formula>
    </cfRule>
    <cfRule type="expression" rank="0" priority="5" equalAverage="0" aboveAverage="0" dxfId="20" text="" percent="0" bottom="0">
      <formula>$U9="not run"</formula>
    </cfRule>
    <cfRule type="expression" rank="0" priority="6" equalAverage="0" aboveAverage="0" dxfId="21" text="" percent="0" bottom="0">
      <formula>$U9="not applicable"</formula>
    </cfRule>
  </conditionalFormatting>
  <conditionalFormatting sqref="Y9:Y200">
    <cfRule type="expression" rank="0" priority="7" equalAverage="0" aboveAverage="0" dxfId="17" text="" percent="0" bottom="0">
      <formula>$Y9="ready"</formula>
    </cfRule>
    <cfRule type="expression" rank="0" priority="8" equalAverage="0" aboveAverage="0" dxfId="19" text="" percent="0" bottom="0">
      <formula>AND($A9&lt;&gt;"",$Y9&lt;&gt;"ready")</formula>
    </cfRule>
  </conditionalFormatting>
  <conditionalFormatting sqref="A9:A200">
    <cfRule type="expression" rank="0" priority="9" equalAverage="0" aboveAverage="0" dxfId="18" text="" percent="0" bottom="0">
      <formula>AND($A9&lt;&gt;"",COUNTIF($A$9:$A$200,$A9)&gt;1)</formula>
    </cfRule>
  </conditionalFormatting>
  <conditionalFormatting sqref="V9:V200">
    <cfRule type="expression" rank="0" priority="10" equalAverage="0" aboveAverage="0" dxfId="18" text="" percent="0" bottom="0">
      <formula>AND(OR($U9="passed",$U9="failed",$U9="blocked"),$V9="")</formula>
    </cfRule>
  </conditionalFormatting>
  <conditionalFormatting sqref="G9:G200">
    <cfRule type="expression" rank="0" priority="11" equalAverage="0" aboveAverage="0" dxfId="17" text="" percent="0" bottom="0">
      <formula>$G9="preserve verified baseline"</formula>
    </cfRule>
    <cfRule type="expression" rank="0" priority="12" equalAverage="0" aboveAverage="0" dxfId="19" text="" percent="0" bottom="0">
      <formula>$G9="narrow unsupported claim"</formula>
    </cfRule>
    <cfRule type="expression" rank="0" priority="13" equalAverage="0" aboveAverage="0" dxfId="18" text="" percent="0" bottom="0">
      <formula>$G9="reopen only when approved"</formula>
    </cfRule>
    <cfRule type="expression" rank="0" priority="14" equalAverage="0" aboveAverage="0" dxfId="21" text="" percent="0" bottom="0">
      <formula>$G9="new mobile qualification"</formula>
    </cfRule>
  </conditionalFormatting>
  <dataValidations count="11">
    <dataValidation sqref="B9:B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$AA$2:$AA$23</formula1>
      <formula2>0</formula2>
    </dataValidation>
    <dataValidation sqref="C9:C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$AB$2:$AB$10</formula1>
      <formula2>0</formula2>
    </dataValidation>
    <dataValidation sqref="D9:D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$AK$2:$AK$66</formula1>
      <formula2>0</formula2>
    </dataValidation>
    <dataValidation sqref="G9:G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$AC$2:$AC$6</formula1>
      <formula2>0</formula2>
    </dataValidation>
    <dataValidation sqref="H9:H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$AD$2:$AD$7</formula1>
      <formula2>0</formula2>
    </dataValidation>
    <dataValidation sqref="I9:I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$AE$2:$AE$12</formula1>
      <formula2>0</formula2>
    </dataValidation>
    <dataValidation sqref="J9:J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$AF$2:$AF$7</formula1>
      <formula2>0</formula2>
    </dataValidation>
    <dataValidation sqref="L9:L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$AJ$2:$AJ$8</formula1>
      <formula2>0</formula2>
    </dataValidation>
    <dataValidation sqref="O9:O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$AG$2:$AG$8</formula1>
      <formula2>0</formula2>
    </dataValidation>
    <dataValidation sqref="P9:P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$AH$2:$AH$6</formula1>
      <formula2>0</formula2>
    </dataValidation>
    <dataValidation sqref="U9:U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$AI$2:$AI$6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Accordion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manual-tests/accordion.md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manual-tests/accordion.md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Accordion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manual-tests/accordion.md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Accordion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manual-tests/accordion.md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Accordion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manual-tests/accordion.md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Accordion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manual-tests/accordion.md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Accordion</t>
        </is>
      </c>
      <c r="D15" s="113" t="inlineStr">
        <is>
          <t>Supports single and multiple expanded items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manual-tests/accordion.md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Accordion</t>
        </is>
      </c>
      <c r="D16" s="113" t="inlineStr">
        <is>
          <t>Supports controlled and uncontrolled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manual-tests/accordion.md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Accordion</t>
        </is>
      </c>
      <c r="D17" s="113" t="inlineStr">
        <is>
          <t>Supports horizontal and vertical arrow-key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manual-tests/accordion.md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Accordion</t>
        </is>
      </c>
      <c r="D18" s="113" t="inlineStr">
        <is>
          <t>Links each trigger to its content with stable ARIA IDs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manual-tests/accordion.md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Accordion</t>
        </is>
      </c>
      <c r="D19" s="113" t="inlineStr">
        <is>
          <t>Supports mounted and unmounted closed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manual-tests/accordion.md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Accordion</t>
        </is>
      </c>
      <c r="D20" s="113" t="inlineStr">
        <is>
          <t>Supports `asChild` and `render` on every part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manual-tests/accordion.md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manual-tests/accordion.md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manual-tests/accordion.md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manual-tests/accordion.md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manual-tests/accordion.md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manual-tests/accordion.md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manual-tests/accordion.md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manual-tests/accordion.md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type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manual-tests/accordion.md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manual-tests/accordion.md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manual-tests/accordion.md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manual-tests/accordion.md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collapsible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manual-tests/accordion.md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manual-tests/accordion.md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orientation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manual-tests/accordion.md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manual-tests/accordion.md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[data-orientation]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manual-tests/accordion.md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manual-tests/accordion.md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manual-tests/accordion.md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Trigger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manual-tests/accordion.md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manual-tests/accordion.md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Trigger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manual-tests/accordion.md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Trigger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manual-tests/accordion.md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asChild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manual-tests/accordion.md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render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manual-tests/accordion.md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[data-slot]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manual-tests/accordion.md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[data-state]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manual-tests/accordion.md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</t>
        </is>
      </c>
      <c r="D47" s="113" t="inlineStr">
        <is>
          <t>[data-disabled]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manual-tests/accordion.md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manual-tests/accordion.md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Content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manual-tests/accordion.md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manual-tests/accordion.md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Content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manual-tests/accordion.md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Props</t>
        </is>
      </c>
      <c r="C52" s="113" t="inlineStr">
        <is>
          <t>Content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manual-tests/accordion.md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manual-tests/accordion.md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Content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manual-tests/accordion.md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keepMounted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manual-tests/accordion.md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manual-tests/accordion.md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manual-tests/accordion.md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Item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manual-tests/accordion.md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Item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manual-tests/accordion.md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Item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manual-tests/accordion.md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Item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manual-tests/accordion.md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Item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manual-tests/accordion.md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manual-tests/accordion.md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Item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manual-tests/accordion.md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value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manual-tests/accordion.md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Item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manual-tests/accordion.md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manual-tests/accordion.md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manual-tests/accordion.md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manual-tests/accordion.md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manual-tests/accordion.md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manual-tests/accordion.md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manual-tests/accordion.md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manual-tests/accordion.md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manual-tests/accordion.md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Header</t>
        </is>
      </c>
      <c r="D75" s="113" t="inlineStr">
        <is>
          <t>asChild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manual-tests/accordion.md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Header</t>
        </is>
      </c>
      <c r="D76" s="113" t="inlineStr">
        <is>
          <t>render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manual-tests/accordion.md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Public API</t>
        </is>
      </c>
      <c r="C77" s="113" t="inlineStr">
        <is>
          <t>Header</t>
        </is>
      </c>
      <c r="D77" s="113" t="inlineStr">
        <is>
          <t>as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manual-tests/accordion.md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Header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manual-tests/accordion.md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aria-controls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manual-tests/accordion.md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manual-tests/accordion.md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aria-expanded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manual-tests/accordion.md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aria-labelledby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manual-tests/accordion.md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manual-tests/accordion.md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data-orientation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manual-tests/accordion.md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data-slot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manual-tests/accordion.md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data-state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manual-tests/accordion.md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Accordion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manual-tests/accordion.md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Accordion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manual-tests/accordion.md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Accordion</t>
        </is>
      </c>
      <c r="D89" s="113" t="inlineStr">
        <is>
          <t>asChild lets preventDefault block Atom behavior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manual-tests/accordion.md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Accordion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manual-tests/accordion.md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Accordion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manual-tests/accordion.md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controlled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manual-tests/accordion.md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uncontrolled default state path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manual-tests/accordion.md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state change callback fires once with correct value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manual-tests/accordion.md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Interaction</t>
        </is>
      </c>
      <c r="C95" s="113" t="inlineStr">
        <is>
          <t>Trigger</t>
        </is>
      </c>
      <c r="D95" s="113" t="inlineStr">
        <is>
          <t>mouse click or pointer activation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manual-tests/accordion.md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Trigger</t>
        </is>
      </c>
      <c r="D96" s="113" t="inlineStr">
        <is>
          <t>Enter key activation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manual-tests/accordion.md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Space key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manual-tests/accordion.md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disabled trigger blocks pointer and keyboard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manual-tests/accordion.md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Focus</t>
        </is>
      </c>
      <c r="C99" s="113" t="inlineStr">
        <is>
          <t>Trigger</t>
        </is>
      </c>
      <c r="D99" s="113" t="inlineStr">
        <is>
          <t>focus ring and focus restoration are correct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manual-tests/accordion.md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Accordion</t>
        </is>
      </c>
      <c r="D100" s="113" t="inlineStr">
        <is>
          <t>End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manual-tests/accordion.md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Accordion</t>
        </is>
      </c>
      <c r="D101" s="113" t="inlineStr">
        <is>
          <t>Home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manual-tests/accordion.md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Accordion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manual-tests/accordion.md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Accordion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manual-tests/accordion.md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Accordion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manual-tests/accordion.md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Accordion</t>
        </is>
      </c>
      <c r="D105" s="113" t="inlineStr">
        <is>
          <t>roving focus or active descendant state is visible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manual-tests/accordion.md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reads Direction.Provider context for horizontal keyboard navigation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9" t="inlineStr">
        <is>
          <t>covered</t>
        </is>
      </c>
      <c r="I106" s="113" t="inlineStr">
        <is>
          <t>manual-tests/accordion.md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Direction</t>
        </is>
      </c>
      <c r="C107" s="113" t="inlineStr">
        <is>
          <t>Root</t>
        </is>
      </c>
      <c r="D107" s="113" t="inlineStr">
        <is>
          <t>RTL mirrors horizontal ArrowLeft and ArrowRight navigation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9" t="inlineStr">
        <is>
          <t>covered</t>
        </is>
      </c>
      <c r="I107" s="113" t="inlineStr">
        <is>
          <t>manual-tests/accordion.md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Playground</t>
        </is>
      </c>
      <c r="C108" s="113" t="inlineStr">
        <is>
          <t>Direction controls</t>
        </is>
      </c>
      <c r="D108" s="113" t="inlineStr">
        <is>
          <t>scenario exposes provider direction controls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9" t="inlineStr">
        <is>
          <t>covered</t>
        </is>
      </c>
      <c r="I108" s="113" t="inlineStr">
        <is>
          <t>manual-tests/accordion.md</t>
        </is>
      </c>
      <c r="J108" s="113" t="n"/>
      <c r="K108" s="117">
        <f>IF(AND(E108="yes",F108="yes",H108="covered"),1,IF(H108="partial",0.5,0))</f>
        <v/>
      </c>
    </row>
    <row r="109" ht="15" customHeight="1" s="58"/>
    <row r="110" ht="15" customHeight="1" s="58"/>
    <row r="111" ht="30" customHeight="1" s="58"/>
    <row r="112" ht="30" customHeight="1" s="58"/>
    <row r="113" ht="30" customHeight="1" s="58"/>
    <row r="114" ht="30" customHeight="1" s="58"/>
    <row r="11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AlertDialog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AlertDialog</t>
        </is>
      </c>
      <c r="D9" s="113" t="inlineStr">
        <is>
          <t>scenario is reachable from top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Tester-first AlertDialog manual checklist.</t>
        </is>
      </c>
      <c r="J9" s="113" t="n"/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AlertDialog</t>
        </is>
      </c>
      <c r="D10" s="113" t="inlineStr">
        <is>
          <t>layout renders Anatomy, Canvas toolbar, Canvas stage, footer, and Inspector in expected order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Tester-first AlertDialog manual checklist.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AlertDialog</t>
        </is>
      </c>
      <c r="D11" s="113" t="inlineStr">
        <is>
          <t>Canvas toolbar exposes State, Popup, Dismiss, ARIA, Composition, and Props groups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Tester-first AlertDialog manual checklist.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Props</t>
        </is>
      </c>
      <c r="D12" s="113" t="inlineStr">
        <is>
          <t>Props toolbar keeps Prop Check off by default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Tester-first AlertDialog manual checklist.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Props</t>
        </is>
      </c>
      <c r="D13" s="113" t="inlineStr">
        <is>
          <t>custom slot toggles are off by default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Tester-first AlertDialog manual checklist.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AlertDialog</t>
        </is>
      </c>
      <c r="D14" s="113" t="inlineStr">
        <is>
          <t>Anatomy uses live DOM Attributes, ARIA, and Data groups for rendered parts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Tester-first AlertDialog manual checklist.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AlertDialog</t>
        </is>
      </c>
      <c r="D15" s="113" t="inlineStr">
        <is>
          <t>content forces role="alertdialog"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Content raw ARIA verified role="alertdialog".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AlertDialog</t>
        </is>
      </c>
      <c r="D16" s="113" t="inlineStr">
        <is>
          <t>backdrop/overlay click does not dismiss by design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Overlay click logged while AlertDialog stayed open.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AlertDialog</t>
        </is>
      </c>
      <c r="D17" s="113" t="inlineStr">
        <is>
          <t>public anatomy parts render in documented order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Anatomy order verified: Root, Trigger, Portal, Overlay, Content, Title, Description, Cancel, Action.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AlertDialog</t>
        </is>
      </c>
      <c r="D18" s="113" t="inlineStr">
        <is>
          <t>Cancel autofocus is enabled by default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Initial focus landed on Cancel with Cancel autofocus enabled.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AlertDialog</t>
        </is>
      </c>
      <c r="D19" s="113" t="inlineStr">
        <is>
          <t>close reasons distinguish cancel and action flows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Logs verified closed by cancelClick and closed by actionClick.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AlertDialog</t>
        </is>
      </c>
      <c r="D20" s="113" t="inlineStr">
        <is>
          <t>Escape dismissal follows closeOnEscape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Escape closed when enabled and did not close when disabled.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AlertDialog</t>
        </is>
      </c>
      <c r="D21" s="113" t="inlineStr">
        <is>
          <t>focus containment and focus restore work while open/after close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Focus escape probe stayed inside; close restored focus to Trigger.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AlertDialog</t>
        </is>
      </c>
      <c r="D22" s="113" t="inlineStr">
        <is>
          <t>nested overlay Escape order closes nested layer before parent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Nested Select closed on first Escape; AlertDialog closed on second Escape.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provider has no DOM identity row to inspect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Root verified as behavior-only provider; no Root tag or data-slot expected.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uncontrolled default starts closed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Default Canvas starts closed with Trigger data-state="closed".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controlled open prop updates visible open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Controlled Open/Close controls opened and closed AlertDialog.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reports open, cancelClick, actionClick, and Escape close changes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Logs verified open and close reasons from manual interactions.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prevents trigger activation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Disabled Trigger blocked pointer, Enter, and Space activation.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keepMounted keeps Overlay and Content mounted after close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Overlay and Content remained mounted with data-state="closed".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closeOnEscape=false prevents Escape dismissal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Escape did not close while Dismiss &gt; Escape closes was off.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backdrop dismissal remains disabled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Anatomy Root Backdrop closes row stayed no; overlay click did not close.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Trigger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Tester-first AlertDialog manual checklist.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Trigger</t>
        </is>
      </c>
      <c r="D32" s="113" t="inlineStr">
        <is>
          <t>default tag is button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Trigger raw Attributes verified button tag.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Trigger</t>
        </is>
      </c>
      <c r="D33" s="113" t="inlineStr">
        <is>
          <t>consumer ref evidence records button in Anatomy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Anatomy Trigger Ref verified button.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Trigger</t>
        </is>
      </c>
      <c r="D34" s="113" t="inlineStr">
        <is>
          <t>default data-slot is alert-dialog-trigger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Trigger raw Data verified data-slot="alert-dialog-trigger".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Trigger</t>
        </is>
      </c>
      <c r="D35" s="113" t="inlineStr">
        <is>
          <t>closed state uses data-state="closed"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Trigger raw Data verified closed state.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Trigger</t>
        </is>
      </c>
      <c r="D36" s="113" t="inlineStr">
        <is>
          <t>open state uses data-state="open"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Trigger raw Data verified open state.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closed state uses aria-expanded="false"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Trigger raw ARIA verified aria-expanded="false".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Trigger</t>
        </is>
      </c>
      <c r="D38" s="113" t="inlineStr">
        <is>
          <t>open state uses aria-expanded="true"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Trigger raw ARIA verified aria-expanded="true".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Trigger</t>
        </is>
      </c>
      <c r="D39" s="113" t="inlineStr">
        <is>
          <t>aria-controls matches current Content id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Trigger aria-controls matched generated Content id.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disabled state blocks pointer and keyboard activation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Disabled Trigger probes blocked click, Enter, and Space.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Prop Check emits data-prop-check="trigger"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Trigger raw Data verified data-prop-check="trigger".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Slots</t>
        </is>
      </c>
      <c r="C42" s="113" t="inlineStr">
        <is>
          <t>Trigger</t>
        </is>
      </c>
      <c r="D42" s="113" t="inlineStr">
        <is>
          <t>custom slot emits data-slot="alert-dialog-trigger-custom"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Trigger custom slot raw Data verified.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Default mode renders button and opens on click, Enter, and Space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Tester-first AlertDialog manual checklist.</t>
        </is>
      </c>
      <c r="J43" s="113" t="n"/>
      <c r="K43" s="117">
        <f>IF(AND(E43="yes",F43="yes",H43="covered"),1,IF(H43="partial",0.5,0))</f>
        <v/>
      </c>
    </row>
    <row r="44" ht="30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 Child mode merges Trigger props into single child without duplicate control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Tester-first AlertDialog manual checklist.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mode renders button through render={(props) =&gt; &lt;button {...props} /&gt;}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Tester-first AlertDialog manual checklist.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Interaction</t>
        </is>
      </c>
      <c r="C46" s="113" t="inlineStr">
        <is>
          <t>Trigger</t>
        </is>
      </c>
      <c r="D46" s="113" t="inlineStr">
        <is>
          <t>preventDefault handler blocks Trigger open when Block trigger event is enabled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Block trigger event kept dialog closed and logged blocked trigger text.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Focus</t>
        </is>
      </c>
      <c r="C47" s="113" t="inlineStr">
        <is>
          <t>Trigger</t>
        </is>
      </c>
      <c r="D47" s="113" t="inlineStr">
        <is>
          <t>focus is restored to Trigger after close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Focus restored after Cancel, Action, and Escape closes.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after Trigger in public anatomy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Tester-first AlertDialog manual checklist.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Portal</t>
        </is>
      </c>
      <c r="C49" s="113" t="inlineStr">
        <is>
          <t>Portal</t>
        </is>
      </c>
      <c r="D49" s="113" t="inlineStr">
        <is>
          <t>provider has no DOM identity row to inspect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Portal verified as behavior-only portal; no Portal tag or data-slot expected.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Portal</t>
        </is>
      </c>
      <c r="C50" s="113" t="inlineStr">
        <is>
          <t>Portal</t>
        </is>
      </c>
      <c r="D50" s="113" t="inlineStr">
        <is>
          <t>default portal renders Content outside .canvas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Anatomy Portal Inside canvas verified no by default.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Portal</t>
        </is>
      </c>
      <c r="C51" s="113" t="inlineStr">
        <is>
          <t>Portal</t>
        </is>
      </c>
      <c r="D51" s="113" t="inlineStr">
        <is>
          <t>disabled portal renders Content inside .canvas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Popup &gt; Disable portal changed Inside canvas to yes.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Overlay</t>
        </is>
      </c>
      <c r="D52" s="113" t="inlineStr">
        <is>
          <t>appears after Portal in public anatomy order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Tester-first AlertDialog manual checklist.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Overlay</t>
        </is>
      </c>
      <c r="D53" s="113" t="inlineStr">
        <is>
          <t>default tag is div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Overlay raw Attributes verified div tag.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Overlay</t>
        </is>
      </c>
      <c r="D54" s="113" t="inlineStr">
        <is>
          <t>consumer ref evidence records div in Anatomy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Anatomy Overlay Ref verified div.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Data</t>
        </is>
      </c>
      <c r="C55" s="113" t="inlineStr">
        <is>
          <t>Overlay</t>
        </is>
      </c>
      <c r="D55" s="113" t="inlineStr">
        <is>
          <t>default data-slot is alert-dialog-overlay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Overlay raw Data verified data-slot="alert-dialog-overlay".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Overlay</t>
        </is>
      </c>
      <c r="D56" s="113" t="inlineStr">
        <is>
          <t>open state uses data-state="open" after positioning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Overlay raw Data verified open state.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Overlay</t>
        </is>
      </c>
      <c r="D57" s="113" t="inlineStr">
        <is>
          <t>closed keepMounted state uses data-state="closed"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Overlay raw Data verified closed state after close with keepMounted.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Overlay</t>
        </is>
      </c>
      <c r="D58" s="113" t="inlineStr">
        <is>
          <t>data-positioned appears after positioning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Overlay raw Data verified data-positioned present.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Overlay</t>
        </is>
      </c>
      <c r="D59" s="113" t="inlineStr">
        <is>
          <t>aria-hidden="true" is present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Overlay raw ARIA verified aria-hidden="true".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Overlay</t>
        </is>
      </c>
      <c r="D60" s="113" t="inlineStr">
        <is>
          <t>Prop Check emits data-prop-check="overlay"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Overlay raw Data verified data-prop-check="overlay".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Props</t>
        </is>
      </c>
      <c r="C61" s="113" t="inlineStr">
        <is>
          <t>Overlay</t>
        </is>
      </c>
      <c r="D61" s="113" t="inlineStr">
        <is>
          <t>disabled prop is exposed without enabling AlertDialog dismissal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Popup &gt; Disable overlay updated Anatomy/Source; overlay click still did not close.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Slots</t>
        </is>
      </c>
      <c r="C62" s="113" t="inlineStr">
        <is>
          <t>Overlay</t>
        </is>
      </c>
      <c r="D62" s="113" t="inlineStr">
        <is>
          <t>custom slot emits data-slot="alert-dialog-overlay-custom"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Overlay custom slot raw Data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Overlay</t>
        </is>
      </c>
      <c r="D63" s="113" t="inlineStr">
        <is>
          <t>click logs overlay click and does not close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Overlay click logged and AlertDialog stayed open.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Content</t>
        </is>
      </c>
      <c r="D64" s="113" t="inlineStr">
        <is>
          <t>appears after Overlay in public anatomy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Tester-first AlertDialog manual checklist.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Content</t>
        </is>
      </c>
      <c r="D65" s="113" t="inlineStr">
        <is>
          <t>default tag is div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Content raw Attributes verified div tag.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Content</t>
        </is>
      </c>
      <c r="D66" s="113" t="inlineStr">
        <is>
          <t>consumer ref evidence records div in Anatomy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Anatomy Content Ref verified div.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Content</t>
        </is>
      </c>
      <c r="D67" s="113" t="inlineStr">
        <is>
          <t>generated id remains stable while mounted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Content id stayed stable for mounted instance.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Content</t>
        </is>
      </c>
      <c r="D68" s="113" t="inlineStr">
        <is>
          <t>default data-slot is alert-dialog-content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Content raw Data verified data-slot="alert-dialog-content".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Content</t>
        </is>
      </c>
      <c r="D69" s="113" t="inlineStr">
        <is>
          <t>open state uses data-state="open" after positioning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Content raw Data verified open state.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Content</t>
        </is>
      </c>
      <c r="D70" s="113" t="inlineStr">
        <is>
          <t>closed keepMounted state uses data-state="closed"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Content raw Data verified closed state after close with keepMounted.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Content</t>
        </is>
      </c>
      <c r="D71" s="113" t="inlineStr">
        <is>
          <t>data-positioned appears after positioning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Content raw Data verified data-positioned present.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Content</t>
        </is>
      </c>
      <c r="D72" s="113" t="inlineStr">
        <is>
          <t>role is alertdialog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Content raw ARIA verified role="alertdialog".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Content</t>
        </is>
      </c>
      <c r="D73" s="113" t="inlineStr">
        <is>
          <t>aria-modal is true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Content raw ARIA verified aria-modal="true".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Content</t>
        </is>
      </c>
      <c r="D74" s="113" t="inlineStr">
        <is>
          <t>aria-labelledby matches rendered Title id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Content aria-labelledby matched generated Title id.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Content</t>
        </is>
      </c>
      <c r="D75" s="113" t="inlineStr">
        <is>
          <t>aria-describedby matches rendered Description id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Content aria-describedby matched generated Description id.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ARIA</t>
        </is>
      </c>
      <c r="C76" s="113" t="inlineStr">
        <is>
          <t>Content</t>
        </is>
      </c>
      <c r="D76" s="113" t="inlineStr">
        <is>
          <t>ariaLabel mode uses aria-label="Delete project confirmation" and omits Title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ARIA &gt; Use ariaLabel verified aria-label and Title not rendered.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Content</t>
        </is>
      </c>
      <c r="D77" s="113" t="inlineStr">
        <is>
          <t>Prop Check emits data-prop-check="content"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Content raw Data verified data-prop-check="content".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Slots</t>
        </is>
      </c>
      <c r="C78" s="113" t="inlineStr">
        <is>
          <t>Content</t>
        </is>
      </c>
      <c r="D78" s="113" t="inlineStr">
        <is>
          <t>custom slot emits data-slot="alert-dialog-content-custom"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Content custom slot raw Data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Focus</t>
        </is>
      </c>
      <c r="C79" s="113" t="inlineStr">
        <is>
          <t>Content</t>
        </is>
      </c>
      <c r="D79" s="113" t="inlineStr">
        <is>
          <t>focus escape probe remains inside AlertDialog content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Test focus escape logged focus stayed inside alert dialog: yes.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Title</t>
        </is>
      </c>
      <c r="D80" s="113" t="inlineStr">
        <is>
          <t>appears after Content in public anatomy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Tester-first AlertDialog manual checklist.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Identity</t>
        </is>
      </c>
      <c r="C81" s="113" t="inlineStr">
        <is>
          <t>Title</t>
        </is>
      </c>
      <c r="D81" s="113" t="inlineStr">
        <is>
          <t>default tag is h2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Title raw Attributes verified h2 by default.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Title</t>
        </is>
      </c>
      <c r="D82" s="113" t="inlineStr">
        <is>
          <t>as prop renders h1 through h6 when selected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ARIA &gt; Title as verified h1-h6 tags.</t>
        </is>
      </c>
      <c r="J82" s="113" t="n"/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Identity</t>
        </is>
      </c>
      <c r="C83" s="113" t="inlineStr">
        <is>
          <t>Title</t>
        </is>
      </c>
      <c r="D83" s="113" t="inlineStr">
        <is>
          <t>consumer ref evidence records selected heading tag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Anatomy Title Ref matched selected heading tag.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Title</t>
        </is>
      </c>
      <c r="D84" s="113" t="inlineStr">
        <is>
          <t>generated id remains stable while mounted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Title id stayed stable for mounted instance.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Title</t>
        </is>
      </c>
      <c r="D85" s="113" t="inlineStr">
        <is>
          <t>default data-slot is alert-dialog-title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Title raw Data verified data-slot="alert-dialog-title".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Title</t>
        </is>
      </c>
      <c r="D86" s="113" t="inlineStr">
        <is>
          <t>Content aria-labelledby matches Title id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Content aria-labelledby matched generated Title id.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Title</t>
        </is>
      </c>
      <c r="D87" s="113" t="inlineStr">
        <is>
          <t>Title is omitted when Content ariaLabel is used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ARIA &gt; Use ariaLabel removed Title from DOM/Anatomy.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Props</t>
        </is>
      </c>
      <c r="C88" s="113" t="inlineStr">
        <is>
          <t>Title</t>
        </is>
      </c>
      <c r="D88" s="113" t="inlineStr">
        <is>
          <t>Prop Check emits data-prop-check="title" when Title renders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Title raw Data verified data-prop-check="title".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Slots</t>
        </is>
      </c>
      <c r="C89" s="113" t="inlineStr">
        <is>
          <t>Title</t>
        </is>
      </c>
      <c r="D89" s="113" t="inlineStr">
        <is>
          <t>custom slot emits data-slot="alert-dialog-title-custom" when Title renders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Title custom slot raw Data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Description</t>
        </is>
      </c>
      <c r="D90" s="113" t="inlineStr">
        <is>
          <t>appears after Title in public anatomy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Tester-first AlertDialog manual checklist.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Description</t>
        </is>
      </c>
      <c r="D91" s="113" t="inlineStr">
        <is>
          <t>default tag is p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Description raw Attributes verified p tag.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Description</t>
        </is>
      </c>
      <c r="D92" s="113" t="inlineStr">
        <is>
          <t>consumer ref evidence records p in Anatomy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Anatomy Description Ref verified p.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Identity</t>
        </is>
      </c>
      <c r="C93" s="113" t="inlineStr">
        <is>
          <t>Description</t>
        </is>
      </c>
      <c r="D93" s="113" t="inlineStr">
        <is>
          <t>generated id remains stable while mounted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Description id stayed stable for mounted instance.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Description</t>
        </is>
      </c>
      <c r="D94" s="113" t="inlineStr">
        <is>
          <t>default data-slot is alert-dialog-description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Description raw Data verified data-slot="alert-dialog-description".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Description</t>
        </is>
      </c>
      <c r="D95" s="113" t="inlineStr">
        <is>
          <t>Content aria-describedby matches Description id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Content aria-describedby matched generated Description id.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Description</t>
        </is>
      </c>
      <c r="D96" s="113" t="inlineStr">
        <is>
          <t>Prop Check emits data-prop-check="description"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Description raw Data verified data-prop-check="description".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Slots</t>
        </is>
      </c>
      <c r="C97" s="113" t="inlineStr">
        <is>
          <t>Description</t>
        </is>
      </c>
      <c r="D97" s="113" t="inlineStr">
        <is>
          <t>custom slot emits data-slot="alert-dialog-description-custom"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Description custom slot raw Data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Anatomy</t>
        </is>
      </c>
      <c r="C98" s="113" t="inlineStr">
        <is>
          <t>Cancel</t>
        </is>
      </c>
      <c r="D98" s="113" t="inlineStr">
        <is>
          <t>appears after Description in public anatomy order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Tester-first AlertDialog manual checklist.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Identity</t>
        </is>
      </c>
      <c r="C99" s="113" t="inlineStr">
        <is>
          <t>Cancel</t>
        </is>
      </c>
      <c r="D99" s="113" t="inlineStr">
        <is>
          <t>default tag is button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Cancel raw Attributes verified button tag.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Identity</t>
        </is>
      </c>
      <c r="C100" s="113" t="inlineStr">
        <is>
          <t>Cancel</t>
        </is>
      </c>
      <c r="D100" s="113" t="inlineStr">
        <is>
          <t>default/render mode has type="button"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Cancel raw Attributes verified type="button" in default/render modes.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Cancel</t>
        </is>
      </c>
      <c r="D101" s="113" t="inlineStr">
        <is>
          <t>consumer ref evidence records button in Anatomy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Anatomy Cancel Ref verified button in default mode.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Cancel</t>
        </is>
      </c>
      <c r="D102" s="113" t="inlineStr">
        <is>
          <t>default data-slot is alert-dialog-cancel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Cancel raw Data verified data-slot="alert-dialog-cancel".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Cancel</t>
        </is>
      </c>
      <c r="D103" s="113" t="inlineStr">
        <is>
          <t>Prop Check emits data-prop-check="cancel"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Cancel raw Data verified data-prop-check="cancel".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Slots</t>
        </is>
      </c>
      <c r="C104" s="113" t="inlineStr">
        <is>
          <t>Cancel</t>
        </is>
      </c>
      <c r="D104" s="113" t="inlineStr">
        <is>
          <t>custom slot emits data-slot="alert-dialog-cancel-custom"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Cancel custom slot raw Data verified.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Composition</t>
        </is>
      </c>
      <c r="C105" s="113" t="inlineStr">
        <is>
          <t>Cancel</t>
        </is>
      </c>
      <c r="D105" s="113" t="inlineStr">
        <is>
          <t>Default mode renders button and closes with cancelClick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Tester-first AlertDialog manual checklist.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Composition</t>
        </is>
      </c>
      <c r="C106" s="113" t="inlineStr">
        <is>
          <t>Cancel</t>
        </is>
      </c>
      <c r="D106" s="113" t="inlineStr">
        <is>
          <t>As Child mode merges Cancel props into single child without duplicate control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Tester-first AlertDialog manual checklist.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Cancel</t>
        </is>
      </c>
      <c r="D107" s="113" t="inlineStr">
        <is>
          <t>Render mode renders button and receives type="button" through spread props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Tester-first AlertDialog manual checklist.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Cancel</t>
        </is>
      </c>
      <c r="D108" s="113" t="inlineStr">
        <is>
          <t>autoFocus defaults to true and initially focuses Cancel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Initial focus landed on Cancel with Cancel autofocus on.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Interaction</t>
        </is>
      </c>
      <c r="C109" s="113" t="inlineStr">
        <is>
          <t>Cancel</t>
        </is>
      </c>
      <c r="D109" s="113" t="inlineStr">
        <is>
          <t>click closes and logs cancelClick reason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Cancel click closed and log included closed by cancelClick.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Interaction</t>
        </is>
      </c>
      <c r="C110" s="113" t="inlineStr">
        <is>
          <t>Cancel</t>
        </is>
      </c>
      <c r="D110" s="113" t="inlineStr">
        <is>
          <t>preventDefault handler blocks close when Block cancel close is enabled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Block cancel close kept dialog open and logged blocked cancel text.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Action</t>
        </is>
      </c>
      <c r="D111" s="113" t="inlineStr">
        <is>
          <t>appears after Cancel in public anatomy order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Tester-first AlertDialog manual checklist.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Action</t>
        </is>
      </c>
      <c r="D112" s="113" t="inlineStr">
        <is>
          <t>default tag is button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Action raw Attributes verified button tag.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Identity</t>
        </is>
      </c>
      <c r="C113" s="113" t="inlineStr">
        <is>
          <t>Action</t>
        </is>
      </c>
      <c r="D113" s="113" t="inlineStr">
        <is>
          <t>default/render mode has type="button"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Action raw Attributes verified type="button" in default/render modes.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Action</t>
        </is>
      </c>
      <c r="D114" s="113" t="inlineStr">
        <is>
          <t>consumer ref evidence records button in Anatomy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Anatomy Action Ref verified button in default mode.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Action</t>
        </is>
      </c>
      <c r="D115" s="113" t="inlineStr">
        <is>
          <t>default data-slot is alert-dialog-action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Action raw Data verified data-slot="alert-dialog-action".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Props</t>
        </is>
      </c>
      <c r="C116" s="113" t="inlineStr">
        <is>
          <t>Action</t>
        </is>
      </c>
      <c r="D116" s="113" t="inlineStr">
        <is>
          <t>Prop Check emits data-prop-check="action"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Action raw Data verified data-prop-check="action".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Slots</t>
        </is>
      </c>
      <c r="C117" s="113" t="inlineStr">
        <is>
          <t>Action</t>
        </is>
      </c>
      <c r="D117" s="113" t="inlineStr">
        <is>
          <t>custom slot emits data-slot="alert-dialog-action-custom"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Action custom slot raw Data verified.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Action</t>
        </is>
      </c>
      <c r="D118" s="113" t="inlineStr">
        <is>
          <t>Default mode renders button and closes with actionClick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Tester-first AlertDialog manual checklist.</t>
        </is>
      </c>
      <c r="J118" s="113" t="n"/>
      <c r="K118" s="117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Composition</t>
        </is>
      </c>
      <c r="C119" s="113" t="inlineStr">
        <is>
          <t>Action</t>
        </is>
      </c>
      <c r="D119" s="113" t="inlineStr">
        <is>
          <t>As Child mode merges Action props into single child without duplicate control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Tester-first AlertDialog manual checklist.</t>
        </is>
      </c>
      <c r="J119" s="113" t="n"/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Composition</t>
        </is>
      </c>
      <c r="C120" s="113" t="inlineStr">
        <is>
          <t>Action</t>
        </is>
      </c>
      <c r="D120" s="113" t="inlineStr">
        <is>
          <t>Render mode renders button and receives type="button" through spread props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Tester-first AlertDialog manual checklist.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Action</t>
        </is>
      </c>
      <c r="D121" s="113" t="inlineStr">
        <is>
          <t>click closes and logs actionClick reason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Action click closed and log included closed by actionClick.</t>
        </is>
      </c>
      <c r="J121" s="113" t="n"/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Interaction</t>
        </is>
      </c>
      <c r="C122" s="113" t="inlineStr">
        <is>
          <t>Action</t>
        </is>
      </c>
      <c r="D122" s="113" t="inlineStr">
        <is>
          <t>preventDefault handler blocks close when Block action close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Block action close kept dialog open and logged blocked action text.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Source</t>
        </is>
      </c>
      <c r="C123" s="113" t="inlineStr">
        <is>
          <t>AlertDialog</t>
        </is>
      </c>
      <c r="D123" s="113" t="inlineStr">
        <is>
          <t>default Source omits false/default props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Source omitted disabled={false}, keepMounted={false}, and default false booleans.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Source</t>
        </is>
      </c>
      <c r="C124" s="113" t="inlineStr">
        <is>
          <t>Root</t>
        </is>
      </c>
      <c r="D124" s="113" t="inlineStr">
        <is>
          <t>controlled mode Source shows open={open}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Source verified controlled open prop appears only in controlled mode.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Source</t>
        </is>
      </c>
      <c r="C125" s="113" t="inlineStr">
        <is>
          <t>Root</t>
        </is>
      </c>
      <c r="D125" s="113" t="inlineStr">
        <is>
          <t>disabled, keepMounted, and closeOnEscape={false} appear only when active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Tester-first AlertDialog manual checklist.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Source</t>
        </is>
      </c>
      <c r="C126" s="113" t="inlineStr">
        <is>
          <t>Portal</t>
        </is>
      </c>
      <c r="D126" s="113" t="inlineStr">
        <is>
          <t>disabled portal Source shows &lt;AlertDialog.Portal disabled&gt;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Tester-first AlertDialog manual checklist.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Source</t>
        </is>
      </c>
      <c r="C127" s="113" t="inlineStr">
        <is>
          <t>Overlay</t>
        </is>
      </c>
      <c r="D127" s="113" t="inlineStr">
        <is>
          <t>disabled overlay Source shows disabled on AlertDialog.Overlay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Tester-first AlertDialog manual checklist.</t>
        </is>
      </c>
      <c r="J127" s="113" t="n"/>
      <c r="K127" s="117">
        <f>IF(AND(E127="yes",F127="yes",H127="covered"),1,IF(H127="partial",0.5,0))</f>
        <v/>
      </c>
    </row>
    <row r="128" ht="30" customHeight="1" s="58">
      <c r="A128" s="112" t="n">
        <v>120</v>
      </c>
      <c r="B128" s="113" t="inlineStr">
        <is>
          <t>Source</t>
        </is>
      </c>
      <c r="C128" s="113" t="inlineStr">
        <is>
          <t>Content</t>
        </is>
      </c>
      <c r="D128" s="113" t="inlineStr">
        <is>
          <t>ariaLabel Source omits Title and shows ariaLabel="Delete project confirmation"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Tester-first AlertDialog manual checklist.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Source</t>
        </is>
      </c>
      <c r="C129" s="113" t="inlineStr">
        <is>
          <t>Title</t>
        </is>
      </c>
      <c r="D129" s="113" t="inlineStr">
        <is>
          <t>heading Source shows selected as="h1" through as="h6"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Tester-first AlertDialog manual checklist.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Source</t>
        </is>
      </c>
      <c r="C130" s="113" t="inlineStr">
        <is>
          <t>Props</t>
        </is>
      </c>
      <c r="D130" s="113" t="inlineStr">
        <is>
          <t>Prop Check Source shows exact data-prop-check values for rendered parts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Tester-first AlertDialog manual checklist.</t>
        </is>
      </c>
      <c r="J130" s="113" t="n"/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Source</t>
        </is>
      </c>
      <c r="C131" s="113" t="inlineStr">
        <is>
          <t>Slots</t>
        </is>
      </c>
      <c r="D131" s="113" t="inlineStr">
        <is>
          <t>custom slot Source shows exact custom data-slot values for rendered parts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Tester-first AlertDialog manual checklist.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Source</t>
        </is>
      </c>
      <c r="C132" s="113" t="inlineStr">
        <is>
          <t>Composition</t>
        </is>
      </c>
      <c r="D132" s="113" t="inlineStr">
        <is>
          <t>render composition Source uses render={(props) =&gt; &lt;button {...props} /&gt;} for Trigger, Cancel, and Action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Tester-first AlertDialog manual checklist.</t>
        </is>
      </c>
      <c r="J132" s="113" t="n"/>
      <c r="K132" s="117">
        <f>IF(AND(E132="yes",F132="yes",H132="covered"),1,IF(H132="partial",0.5,0))</f>
        <v/>
      </c>
    </row>
    <row r="133" ht="30" customHeight="1" s="58">
      <c r="A133" s="112" t="n">
        <v>125</v>
      </c>
      <c r="B133" s="113" t="inlineStr">
        <is>
          <t>Source</t>
        </is>
      </c>
      <c r="C133" s="113" t="inlineStr">
        <is>
          <t>Dismiss</t>
        </is>
      </c>
      <c r="D133" s="113" t="inlineStr">
        <is>
          <t>blocked event Source shows preventDefault handlers for Trigger, Cancel, and Action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Tester-first AlertDialog manual checklist.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Source</t>
        </is>
      </c>
      <c r="C134" s="113" t="inlineStr">
        <is>
          <t>Nested Select</t>
        </is>
      </c>
      <c r="D134" s="113" t="inlineStr">
        <is>
          <t>nested Select Source includes Select.Root, Trigger, Content, Viewport, Item, and ItemText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Tester-first AlertDialog manual checklist.</t>
        </is>
      </c>
      <c r="J134" s="113" t="n"/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Inspector</t>
        </is>
      </c>
      <c r="C135" s="113" t="inlineStr">
        <is>
          <t>Selected</t>
        </is>
      </c>
      <c r="D135" s="113" t="inlineStr">
        <is>
          <t>clicking rendered parts updates Selected raw Attributes, ARIA, and Data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Tester-first AlertDialog manual checklist.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Inspector</t>
        </is>
      </c>
      <c r="C136" s="113" t="inlineStr">
        <is>
          <t>Focused</t>
        </is>
      </c>
      <c r="D136" s="113" t="inlineStr">
        <is>
          <t>focusing controls updates Focused raw Attributes, ARIA, and Data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Tester-first AlertDialog manual checklist.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Logs</t>
        </is>
      </c>
      <c r="C137" s="113" t="inlineStr">
        <is>
          <t>AlertDialog</t>
        </is>
      </c>
      <c r="D137" s="113" t="inlineStr">
        <is>
          <t>logs record trigger click/key, overlay, cancel, action, blocked events, and controlled open/close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Tester-first AlertDialog manual checklist.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Logs</t>
        </is>
      </c>
      <c r="C138" s="113" t="inlineStr">
        <is>
          <t>AlertDialog</t>
        </is>
      </c>
      <c r="D138" s="113" t="inlineStr">
        <is>
          <t>logs persist after AlertDialog closes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Tester-first AlertDialog manual checklist.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Logs</t>
        </is>
      </c>
      <c r="C139" s="113" t="inlineStr">
        <is>
          <t>AlertDialog</t>
        </is>
      </c>
      <c r="D139" s="113" t="inlineStr">
        <is>
          <t>logs use compact timestamp rows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Tester-first AlertDialog manual checklist.</t>
        </is>
      </c>
      <c r="J139" s="113" t="n"/>
      <c r="K139" s="117">
        <f>IF(AND(E139="yes",F139="yes",H139="covered"),1,IF(H139="partial",0.5,0))</f>
        <v/>
      </c>
    </row>
    <row r="140" ht="30" customHeight="1" s="58">
      <c r="A140" s="112" t="n">
        <v>132</v>
      </c>
      <c r="B140" s="113" t="inlineStr">
        <is>
          <t>Portal</t>
        </is>
      </c>
      <c r="C140" s="113" t="inlineStr">
        <is>
          <t>AlertDialog</t>
        </is>
      </c>
      <c r="D140" s="113" t="inlineStr">
        <is>
          <t>default portal path and disabled portal path are both manually verified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Tester-first AlertDialog manual checklist.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Nesting</t>
        </is>
      </c>
      <c r="C141" s="113" t="inlineStr">
        <is>
          <t>AlertDialog</t>
        </is>
      </c>
      <c r="D141" s="113" t="inlineStr">
        <is>
          <t>Nested Select remains within AlertDialog layer stack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Tester-first AlertDialog manual checklist.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Dismiss</t>
        </is>
      </c>
      <c r="C142" s="113" t="inlineStr">
        <is>
          <t>AlertDialog</t>
        </is>
      </c>
      <c r="D142" s="113" t="inlineStr">
        <is>
          <t>Escape closes Nested Select before parent AlertDialog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Tester-first AlertDialog manual checklist.</t>
        </is>
      </c>
      <c r="J142" s="113" t="n"/>
      <c r="K142" s="117">
        <f>IF(AND(E142="yes",F142="yes",H142="covered"),1,IF(H142="partial",0.5,0))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AppBar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manual-tests/app-bar.md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manual-tests/app-bar.md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AppBar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manual-tests/app-bar.md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AppBar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manual-tests/app-bar.md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AppBar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manual-tests/app-bar.md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AppBar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manual-tests/app-bar.md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AppBar</t>
        </is>
      </c>
      <c r="D15" s="113" t="inlineStr">
        <is>
          <t>Renders a native `header` root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manual-tests/app-bar.md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AppBar</t>
        </is>
      </c>
      <c r="D16" s="113" t="inlineStr">
        <is>
          <t>Provides toolbar, start, center, and end structural slots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manual-tests/app-bar.md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AppBar</t>
        </is>
      </c>
      <c r="D17" s="113" t="inlineStr">
        <is>
          <t>Exposes root position and toolbar density through data attributes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manual-tests/app-bar.md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AppBar</t>
        </is>
      </c>
      <c r="D18" s="113" t="inlineStr">
        <is>
          <t>Does not add ARIA toolbar behavior unless consumers compose a real `Toolbar`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manual-tests/app-bar.md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AppBar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manual-tests/app-bar.md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manual-tests/app-bar.md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manual-tests/app-bar.md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manual-tests/app-bar.md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manual-tests/app-bar.md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manual-tests/app-bar.md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manual-tests/app-bar.md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manual-tests/app-bar.md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manual-tests/app-bar.md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position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manual-tests/app-bar.md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manual-tests/app-bar.md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[data-position]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manual-tests/app-bar.md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Center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manual-tests/app-bar.md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Center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manual-tests/app-bar.md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Center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manual-tests/app-bar.md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Center</t>
        </is>
      </c>
      <c r="D34" s="113" t="inlineStr">
        <is>
          <t>data-slot is present and correct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manual-tests/app-bar.md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Center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manual-tests/app-bar.md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Center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manual-tests/app-bar.md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Center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manual-tests/app-bar.md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Center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manual-tests/app-bar.md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Center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manual-tests/app-bar.md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End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manual-tests/app-bar.md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End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manual-tests/app-bar.md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End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manual-tests/app-bar.md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End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manual-tests/app-bar.md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End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manual-tests/app-bar.md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Refs</t>
        </is>
      </c>
      <c r="C45" s="113" t="inlineStr">
        <is>
          <t>End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manual-tests/app-bar.md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End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manual-tests/app-bar.md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End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manual-tests/app-bar.md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End</t>
        </is>
      </c>
      <c r="D48" s="113" t="inlineStr">
        <is>
          <t>[data-slot]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manual-tests/app-bar.md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Start</t>
        </is>
      </c>
      <c r="D49" s="113" t="inlineStr">
        <is>
          <t>renders correct part when expected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manual-tests/app-bar.md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Start</t>
        </is>
      </c>
      <c r="D50" s="113" t="inlineStr">
        <is>
          <t>appears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manual-tests/app-bar.md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Start</t>
        </is>
      </c>
      <c r="D51" s="113" t="inlineStr">
        <is>
          <t>default tag is visible in Anatomy/Inspector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manual-tests/app-bar.md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Identity</t>
        </is>
      </c>
      <c r="C52" s="113" t="inlineStr">
        <is>
          <t>Start</t>
        </is>
      </c>
      <c r="D52" s="113" t="inlineStr">
        <is>
          <t>data-slot is present and correct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manual-tests/app-bar.md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Props</t>
        </is>
      </c>
      <c r="C53" s="113" t="inlineStr">
        <is>
          <t>Start</t>
        </is>
      </c>
      <c r="D53" s="113" t="inlineStr">
        <is>
          <t>non-Atom native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manual-tests/app-bar.md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Refs</t>
        </is>
      </c>
      <c r="C54" s="113" t="inlineStr">
        <is>
          <t>Start</t>
        </is>
      </c>
      <c r="D54" s="113" t="inlineStr">
        <is>
          <t>consumer ref receives the rendered element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manual-tests/app-bar.md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Start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manual-tests/app-bar.md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Start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manual-tests/app-bar.md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Start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manual-tests/app-bar.md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Toolbar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manual-tests/app-bar.md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Toolbar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manual-tests/app-bar.md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Toolbar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manual-tests/app-bar.md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Toolbar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manual-tests/app-bar.md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Toolbar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manual-tests/app-bar.md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Refs</t>
        </is>
      </c>
      <c r="C63" s="113" t="inlineStr">
        <is>
          <t>Toolbar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manual-tests/app-bar.md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Toolbar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manual-tests/app-bar.md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Toolbar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manual-tests/app-bar.md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Toolbar</t>
        </is>
      </c>
      <c r="D66" s="113" t="inlineStr">
        <is>
          <t>density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manual-tests/app-bar.md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Toolbar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manual-tests/app-bar.md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Toolbar</t>
        </is>
      </c>
      <c r="D68" s="113" t="inlineStr">
        <is>
          <t>[data-density]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manual-tests/app-bar.md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aria-label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manual-tests/app-bar.md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data-density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manual-tests/app-bar.md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manual-tests/app-bar.md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data-slot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manual-tests/app-bar.md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AppBar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manual-tests/app-bar.md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AppBar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manual-tests/app-bar.md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AppBar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manual-tests/app-bar.md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AppBar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manual-tests/app-bar.md</t>
        </is>
      </c>
      <c r="J76" s="113" t="n"/>
      <c r="K76" s="117">
        <f>IF(AND(E76="yes",F76="yes",H76="covered"),1,IF(H76="partial",0.5,0))</f>
        <v/>
      </c>
    </row>
    <row r="77" ht="15" customHeight="1" s="58"/>
    <row r="78" ht="30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30" customHeight="1" s="58"/>
    <row r="92" ht="15" customHeight="1" s="58"/>
    <row r="93" ht="15" customHeight="1" s="58"/>
    <row r="94" ht="15" customHeight="1" s="58"/>
    <row r="9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AspectRatio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AspectRatio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AspectRatio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AspectRatio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Aspect Ratio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AspectRatio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Aspect Ratio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AspectRatio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Aspect Ratio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AspectRatio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Aspect Ratio playground scenario.</t>
        </is>
      </c>
      <c r="J14" s="106" t="n"/>
      <c r="K14" s="107">
        <f>IF(H14="covered",1,IF(H14="partial",0.5,0))</f>
        <v/>
      </c>
    </row>
    <row r="15" ht="30" customHeight="1" s="58">
      <c r="A15" s="105" t="n">
        <v>7</v>
      </c>
      <c r="B15" s="106" t="inlineStr">
        <is>
          <t>Feature</t>
        </is>
      </c>
      <c r="C15" s="106" t="inlineStr">
        <is>
          <t>AspectRatio</t>
        </is>
      </c>
      <c r="D15" s="106" t="inlineStr">
        <is>
          <t>Applies an authoritative `aspect-ratio` inline style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Aspect Ratio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AspectRatio</t>
        </is>
      </c>
      <c r="D16" s="106" t="inlineStr">
        <is>
          <t>Normalizes invalid ratios back to `16 / 9`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Aspect Ratio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AspectRatio</t>
        </is>
      </c>
      <c r="D17" s="106" t="inlineStr">
        <is>
          <t>Preserves native DOM props and consumer styles outside the owned ratio style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Aspect Ratio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AspectRatio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Aspect Ratio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Aspect Ratio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Aspect Ratio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Aspect Ratio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Aspect Ratio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Aspect Ratio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Aspect Ratio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Aspect Ratio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Aspect Ratio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ratio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Aspect Ratio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[data-slot]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Aspect Ratio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Data</t>
        </is>
      </c>
      <c r="C29" s="106" t="inlineStr">
        <is>
          <t>Live DOM</t>
        </is>
      </c>
      <c r="D29" s="106" t="inlineStr">
        <is>
          <t>data-slot is present at the correct time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Aspect Ratio playground scenario.</t>
        </is>
      </c>
      <c r="J29" s="106" t="n"/>
      <c r="K29" s="107">
        <f>IF(H29="covered",1,IF(H29="partial",0.5,0))</f>
        <v/>
      </c>
    </row>
    <row r="30" ht="30" customHeight="1" s="58">
      <c r="A30" s="105" t="n">
        <v>22</v>
      </c>
      <c r="B30" s="106" t="inlineStr">
        <is>
          <t>Composition</t>
        </is>
      </c>
      <c r="C30" s="106" t="inlineStr">
        <is>
          <t>AspectRatio</t>
        </is>
      </c>
      <c r="D30" s="106" t="inlineStr">
        <is>
          <t>asChild preserves child content without double nesting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Aspect Ratio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AspectRatio</t>
        </is>
      </c>
      <c r="D31" s="106" t="inlineStr">
        <is>
          <t>asChild merges Atom props and consumer props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Aspect Ratio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AspectRatio</t>
        </is>
      </c>
      <c r="D32" s="106" t="inlineStr">
        <is>
          <t>asChild lets preventDefault block Atom behavior where supported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Aspect Ratio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AspectRatio</t>
        </is>
      </c>
      <c r="D33" s="106" t="inlineStr">
        <is>
          <t>render prop renders custom element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Aspect Ratio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AspectRatio</t>
        </is>
      </c>
      <c r="D34" s="106" t="inlineStr">
        <is>
          <t>render prop preserves refs and behavior props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Aspect Ratio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AspectRatio</t>
        </is>
      </c>
      <c r="D35" s="106" t="inlineStr">
        <is>
          <t>ratio style is calculated correctly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Aspect Ratio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Utility</t>
        </is>
      </c>
      <c r="C36" s="106" t="inlineStr">
        <is>
          <t>AspectRatio</t>
        </is>
      </c>
      <c r="D36" s="106" t="inlineStr">
        <is>
          <t>invalid ratios normalize safely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Aspect Ratio playground scenario.</t>
        </is>
      </c>
      <c r="J36" s="106" t="n"/>
      <c r="K36" s="107">
        <f>IF(H36="covered",1,IF(H36="partial",0.5,0))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Avatar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IFERROR(SUM(K9:K66)/COUNTA(A9:A66),0)</f>
        <v/>
      </c>
      <c r="C4" s="86" t="inlineStr">
        <is>
          <t>Covered</t>
        </is>
      </c>
      <c r="D4" s="98">
        <f>COUNTIF(H9:H66,"covered")</f>
        <v/>
      </c>
      <c r="E4" s="86" t="inlineStr">
        <is>
          <t>Partial</t>
        </is>
      </c>
      <c r="F4" s="98">
        <f>COUNTIF(H9:H66,"partial")</f>
        <v/>
      </c>
      <c r="G4" s="86" t="inlineStr">
        <is>
          <t>Missing</t>
        </is>
      </c>
      <c r="H4" s="98">
        <f>COUNTIF(H9:H66,"missing")</f>
        <v/>
      </c>
      <c r="I4" s="86" t="inlineStr">
        <is>
          <t>Untested</t>
        </is>
      </c>
      <c r="J4" s="98">
        <f>COUNTIF(F9:F66,"no")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Avatar props manual verification.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Avatar props manual verification.</t>
        </is>
      </c>
      <c r="J10" s="113" t="n"/>
      <c r="K10" s="117">
        <f>IF(AND(E10="yes",F10="yes",H10="covered"),1,IF(AND(E10="yes",H10="partial"),0.5,0))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Avatar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Avatar page is reachable from Display &gt; Avatar.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Avatar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updates for image source, alt mode, and fallback delay were manually verified.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Avatar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Avatar anatomy and inspector expose live attributes, ARIA, and data groups for image state changes.</t>
        </is>
      </c>
      <c r="J13" s="113" t="n"/>
      <c r="K13" s="117">
        <f>IF(AND(E13="yes",F13="yes",H13="covered"),1,IF(AND(E13="yes",H13="partial"),0.5,0))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Avatar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Inspector selected image updates live for src/alt changes and logs show useful image status events.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Avatar</t>
        </is>
      </c>
      <c r="D15" s="113" t="inlineStr">
        <is>
          <t>Tracks image loading status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Image loading status was manually verified for loaded, broken, and loading/idle modes.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Avatar</t>
        </is>
      </c>
      <c r="D16" s="113" t="inlineStr">
        <is>
          <t>Renders fallback content while the image is missing, loading, or errored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Fallback rendering was manually verified when the image is broken or not loaded.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Avatar</t>
        </is>
      </c>
      <c r="D17" s="113" t="inlineStr">
        <is>
          <t>Supports delayed fallback rendering to avoid loading flashes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Delayed fallback source output was manually verified with delayMs={600}.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Avatar</t>
        </is>
      </c>
      <c r="D18" s="113" t="inlineStr">
        <is>
          <t>Provides a group wrapper for stacked or clustered avatars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Avatar Group wrapper was manually verified with a primary avatar and secondary fallback avatar.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Avatar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Avatar Image asChild and render composition were manually verified.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Root renders in the Avatar scenario and remains present while image/fallback state changes.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Root anatomy order was verified during Avatar Root composition tests.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Root default tag was verified as span.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data-slot was verified as avatar-root.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Root prop passthrough marker was verified in Anatomy/Inspector.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Root ref target was verified in Anatomy.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Root asChild behavior was manually verified.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Root render behavior was manually verified after correcting the playground render pattern.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src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Root src behavior was verified through loaded, broken, and loading source modes.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onLoadingStatusChange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Root loading status callback was verified through the playground log/status state.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[data-slot]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Root data-slot behavior was verified through data-slot="avatar-root".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Anatomy</t>
        </is>
      </c>
      <c r="C31" s="113" t="inlineStr">
        <is>
          <t>Group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Group renders when State &gt; Group is enabled.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Group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Group appears in the expected Avatar anatomy order.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Group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Group default tag was verified as div in Anatomy/Inspector.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Group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Group data-slot was verified as avatar-group.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Group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Group prop passthrough marker was verified in Inspector.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Refs</t>
        </is>
      </c>
      <c r="C36" s="113" t="inlineStr">
        <is>
          <t>Group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Group ref target was verified as div in Anatomy.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Group</t>
        </is>
      </c>
      <c r="D37" s="113" t="inlineStr">
        <is>
          <t>asChild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Group asChild behavior was manually verified.</t>
        </is>
      </c>
      <c r="J37" s="113" t="n"/>
      <c r="K37" s="117">
        <f>IF(AND(E37="yes",F37="yes",H37="covered"),1,IF(AND(E37="yes",H37="partial"),0.5,0))</f>
        <v/>
      </c>
    </row>
    <row r="38" ht="30" customHeight="1" s="58">
      <c r="A38" s="112" t="n">
        <v>30</v>
      </c>
      <c r="B38" s="113" t="inlineStr">
        <is>
          <t>Composition</t>
        </is>
      </c>
      <c r="C38" s="113" t="inlineStr">
        <is>
          <t>Group</t>
        </is>
      </c>
      <c r="D38" s="113" t="inlineStr">
        <is>
          <t>render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Group render behavior was manually verified with section output.</t>
        </is>
      </c>
      <c r="J38" s="113" t="n"/>
      <c r="K38" s="117">
        <f>IF(AND(E38="yes",F38="yes",H38="covered"),1,IF(AND(E38="yes",H38="partial"),0.5,0))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Group</t>
        </is>
      </c>
      <c r="D39" s="113" t="inlineStr">
        <is>
          <t>[data-slot]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Group data-slot behavior was verified through data-slot="avatar-group".</t>
        </is>
      </c>
      <c r="J39" s="113" t="n"/>
      <c r="K39" s="117">
        <f>IF(AND(E39="yes",F39="yes",H39="covered"),1,IF(AND(E39="yes",H39="partial"),0.5,0))</f>
        <v/>
      </c>
    </row>
    <row r="40" ht="30" customHeight="1" s="58">
      <c r="A40" s="112" t="n">
        <v>32</v>
      </c>
      <c r="B40" s="113" t="inlineStr">
        <is>
          <t>Anatomy</t>
        </is>
      </c>
      <c r="C40" s="113" t="inlineStr">
        <is>
          <t>Fallback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Fallback renders when the image is broken or loading/idle and is absent when the image is loaded.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Anatomy</t>
        </is>
      </c>
      <c r="C41" s="113" t="inlineStr">
        <is>
          <t>Fallback</t>
        </is>
      </c>
      <c r="D41" s="113" t="inlineStr">
        <is>
          <t>appears in documented order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Fallback appears in the expected Avatar anatomy order after Image.</t>
        </is>
      </c>
      <c r="J41" s="113" t="n"/>
      <c r="K41" s="117">
        <f>IF(AND(E41="yes",F41="yes",H41="covered"),1,IF(AND(E41="yes",H41="partial"),0.5,0))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Fallback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Fallback default tag was verified when fallback is rendered.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Fallback</t>
        </is>
      </c>
      <c r="D43" s="113" t="inlineStr">
        <is>
          <t>data-slot is present and correct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Fallback data-slot was verified when fallback is rendered.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Fallback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Fallback native/data prop passthrough marker was verified in Inspector.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Fallback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Fallback ref target was verified as span in Anatomy.</t>
        </is>
      </c>
      <c r="J45" s="113" t="n"/>
      <c r="K45" s="117">
        <f>IF(AND(E45="yes",F45="yes",H45="covered"),1,IF(AND(E45="yes",H45="partial"),0.5,0))</f>
        <v/>
      </c>
    </row>
    <row r="46" ht="30" customHeight="1" s="58">
      <c r="A46" s="112" t="n">
        <v>38</v>
      </c>
      <c r="B46" s="113" t="inlineStr">
        <is>
          <t>Composition</t>
        </is>
      </c>
      <c r="C46" s="113" t="inlineStr">
        <is>
          <t>Fallback</t>
        </is>
      </c>
      <c r="D46" s="113" t="inlineStr">
        <is>
          <t>asChild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Fallback asChild behavior was manually verified.</t>
        </is>
      </c>
      <c r="J46" s="113" t="n"/>
      <c r="K46" s="117">
        <f>IF(AND(E46="yes",F46="yes",H46="covered"),1,IF(AND(E46="yes",H46="partial"),0.5,0))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Fallback</t>
        </is>
      </c>
      <c r="D47" s="113" t="inlineStr">
        <is>
          <t>render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Fallback render behavior was manually verified.</t>
        </is>
      </c>
      <c r="J47" s="113" t="n"/>
      <c r="K47" s="117">
        <f>IF(AND(E47="yes",F47="yes",H47="covered"),1,IF(AND(E47="yes",H47="partial"),0.5,0))</f>
        <v/>
      </c>
    </row>
    <row r="48" ht="30" customHeight="1" s="58">
      <c r="A48" s="112" t="n">
        <v>40</v>
      </c>
      <c r="B48" s="113" t="inlineStr">
        <is>
          <t>Public API</t>
        </is>
      </c>
      <c r="C48" s="113" t="inlineStr">
        <is>
          <t>Fallback</t>
        </is>
      </c>
      <c r="D48" s="113" t="inlineStr">
        <is>
          <t>delayMs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Fallback delayMs behavior is represented in Source and verified with Delay fallback on.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Fallback</t>
        </is>
      </c>
      <c r="D49" s="113" t="inlineStr">
        <is>
          <t>[data-slot]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Fallback data-slot behavior was verified through data-slot="avatar-fallback".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Image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Image renders when loaded and is absent when broken/loading.</t>
        </is>
      </c>
      <c r="J50" s="113" t="n"/>
      <c r="K50" s="117">
        <f>IF(AND(E50="yes",F50="yes",H50="covered"),1,IF(AND(E50="yes",H50="partial"),0.5,0))</f>
        <v/>
      </c>
    </row>
    <row r="51" ht="30" customHeight="1" s="58">
      <c r="A51" s="112" t="n">
        <v>43</v>
      </c>
      <c r="B51" s="113" t="inlineStr">
        <is>
          <t>Anatomy</t>
        </is>
      </c>
      <c r="C51" s="113" t="inlineStr">
        <is>
          <t>Image</t>
        </is>
      </c>
      <c r="D51" s="113" t="inlineStr">
        <is>
          <t>appears in documented order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Image appears in the expected Avatar anatomy order.</t>
        </is>
      </c>
      <c r="J51" s="113" t="n"/>
      <c r="K51" s="117">
        <f>IF(AND(E51="yes",F51="yes",H51="covered"),1,IF(AND(E51="yes",H51="partial"),0.5,0))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Image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Image default tag was verified as img when loaded.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Image</t>
        </is>
      </c>
      <c r="D53" s="113" t="inlineStr">
        <is>
          <t>data-slot is present and correct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Image data-slot was verified as avatar-image when loaded.</t>
        </is>
      </c>
      <c r="J53" s="113" t="n"/>
      <c r="K53" s="117">
        <f>IF(AND(E53="yes",F53="yes",H53="covered"),1,IF(AND(E53="yes",H53="partial"),0.5,0))</f>
        <v/>
      </c>
    </row>
    <row r="54" ht="30" customHeight="1" s="58">
      <c r="A54" s="112" t="n">
        <v>46</v>
      </c>
      <c r="B54" s="113" t="inlineStr">
        <is>
          <t>Props</t>
        </is>
      </c>
      <c r="C54" s="113" t="inlineStr">
        <is>
          <t>Image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Image native/data prop passthrough marker was verified in Inspector.</t>
        </is>
      </c>
      <c r="J54" s="113" t="n"/>
      <c r="K54" s="117">
        <f>IF(AND(E54="yes",F54="yes",H54="covered"),1,IF(AND(E54="yes",H54="partial"),0.5,0))</f>
        <v/>
      </c>
    </row>
    <row r="55" ht="30" customHeight="1" s="58">
      <c r="A55" s="112" t="n">
        <v>47</v>
      </c>
      <c r="B55" s="113" t="inlineStr">
        <is>
          <t>Refs</t>
        </is>
      </c>
      <c r="C55" s="113" t="inlineStr">
        <is>
          <t>Image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Image ref target was verified as img in Anatomy.</t>
        </is>
      </c>
      <c r="J55" s="113" t="n"/>
      <c r="K55" s="117">
        <f>IF(AND(E55="yes",F55="yes",H55="covered"),1,IF(AND(E55="yes",H55="partial"),0.5,0))</f>
        <v/>
      </c>
    </row>
    <row r="56" ht="30" customHeight="1" s="58">
      <c r="A56" s="112" t="n">
        <v>48</v>
      </c>
      <c r="B56" s="113" t="inlineStr">
        <is>
          <t>Composition</t>
        </is>
      </c>
      <c r="C56" s="113" t="inlineStr">
        <is>
          <t>Image</t>
        </is>
      </c>
      <c r="D56" s="113" t="inlineStr">
        <is>
          <t>asChild prop behavior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Image asChild behavior was manually verified with live alt/data updates.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Composition</t>
        </is>
      </c>
      <c r="C57" s="113" t="inlineStr">
        <is>
          <t>Image</t>
        </is>
      </c>
      <c r="D57" s="113" t="inlineStr">
        <is>
          <t>render prop behavior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Image render behavior was manually verified with live alt/data updates.</t>
        </is>
      </c>
      <c r="J57" s="113" t="n"/>
      <c r="K57" s="117">
        <f>IF(AND(E57="yes",F57="yes",H57="covered"),1,IF(AND(E57="yes",H57="partial"),0.5,0))</f>
        <v/>
      </c>
    </row>
    <row r="58" ht="30" customHeight="1" s="58">
      <c r="A58" s="112" t="n">
        <v>50</v>
      </c>
      <c r="B58" s="113" t="inlineStr">
        <is>
          <t>Public API</t>
        </is>
      </c>
      <c r="C58" s="113" t="inlineStr">
        <is>
          <t>Image</t>
        </is>
      </c>
      <c r="D58" s="113" t="inlineStr">
        <is>
          <t>src prop behavior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Image src behavior was verified through loaded, broken, and loading source modes.</t>
        </is>
      </c>
      <c r="J58" s="113" t="n"/>
      <c r="K58" s="117">
        <f>IF(AND(E58="yes",F58="yes",H58="covered"),1,IF(AND(E58="yes",H58="partial"),0.5,0))</f>
        <v/>
      </c>
    </row>
    <row r="59" ht="30" customHeight="1" s="58">
      <c r="A59" s="112" t="n">
        <v>51</v>
      </c>
      <c r="B59" s="113" t="inlineStr">
        <is>
          <t>Public API</t>
        </is>
      </c>
      <c r="C59" s="113" t="inlineStr">
        <is>
          <t>Image</t>
        </is>
      </c>
      <c r="D59" s="113" t="inlineStr">
        <is>
          <t>alt prop behavior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Image alt behavior was verified for meaningful alt text and decorative alt="".</t>
        </is>
      </c>
      <c r="J59" s="113" t="n"/>
      <c r="K59" s="117">
        <f>IF(AND(E59="yes",F59="yes",H59="covered"),1,IF(AND(E59="yes",H59="partial"),0.5,0))</f>
        <v/>
      </c>
    </row>
    <row r="60" ht="30" customHeight="1" s="58">
      <c r="A60" s="112" t="n">
        <v>52</v>
      </c>
      <c r="B60" s="113" t="inlineStr">
        <is>
          <t>Public API</t>
        </is>
      </c>
      <c r="C60" s="113" t="inlineStr">
        <is>
          <t>Image</t>
        </is>
      </c>
      <c r="D60" s="113" t="inlineStr">
        <is>
          <t>[data-slot] prop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Image data-slot override/default behavior was verified through data-slot="avatar-image".</t>
        </is>
      </c>
      <c r="J60" s="113" t="n"/>
      <c r="K60" s="117">
        <f>IF(AND(E60="yes",F60="yes",H60="covered"),1,IF(AND(E60="yes",H60="partial"),0.5,0))</f>
        <v/>
      </c>
    </row>
    <row r="61" ht="30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Live data-slot and data attributes were verified in Anatomy/Inspector for the rendered Avatar parts.</t>
        </is>
      </c>
      <c r="J61" s="113" t="n"/>
      <c r="K61" s="117">
        <f>IF(AND(E61="yes",F61="yes",H61="covered"),1,IF(AND(E61="yes",H61="partial"),0.5,0))</f>
        <v/>
      </c>
    </row>
    <row r="62" ht="30" customHeight="1" s="58">
      <c r="A62" s="112" t="n">
        <v>54</v>
      </c>
      <c r="B62" s="113" t="inlineStr">
        <is>
          <t>Composition</t>
        </is>
      </c>
      <c r="C62" s="113" t="inlineStr">
        <is>
          <t>Avatar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Avatar asChild composition preserved child image rendering without duplicate nesting.</t>
        </is>
      </c>
      <c r="J62" s="113" t="n"/>
      <c r="K62" s="117">
        <f>IF(AND(E62="yes",F62="yes",H62="covered"),1,IF(AND(E62="yes",H62="partial"),0.5,0))</f>
        <v/>
      </c>
    </row>
    <row r="63" ht="30" customHeight="1" s="58">
      <c r="A63" s="112" t="n">
        <v>55</v>
      </c>
      <c r="B63" s="113" t="inlineStr">
        <is>
          <t>Composition</t>
        </is>
      </c>
      <c r="C63" s="113" t="inlineStr">
        <is>
          <t>Avatar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Avatar asChild composition merged Atom image props and consumer data props.</t>
        </is>
      </c>
      <c r="J63" s="113" t="n"/>
      <c r="K63" s="117">
        <f>IF(AND(E63="yes",F63="yes",H63="covered"),1,IF(AND(E63="yes",H63="partial"),0.5,0))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Avatar</t>
        </is>
      </c>
      <c r="D64" s="113" t="inlineStr">
        <is>
          <t>render prop renders custom element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Avatar render composition rendered the custom image element.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Avatar</t>
        </is>
      </c>
      <c r="D65" s="113" t="inlineStr">
        <is>
          <t>render prop preserves refs and behavior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Avatar render composition preserved refs and behavior props on the image.</t>
        </is>
      </c>
      <c r="J65" s="113" t="n"/>
      <c r="K65" s="117">
        <f>IF(AND(E65="yes",F65="yes",H65="covered"),1,IF(AND(E65="yes",H65="partial"),0.5,0))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Status change logging was verified without duplicate consecutive loading events.</t>
        </is>
      </c>
      <c r="J66" s="113" t="n"/>
      <c r="K66" s="117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Badge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Badge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Badge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Badge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Badge playground manual verification.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Badge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Badge playground manual verification.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Badge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Badge playground manual verification.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Badge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Badge playground manual verification.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Badge</t>
        </is>
      </c>
      <c r="D15" s="113" t="inlineStr">
        <is>
          <t>Renders a native `span`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Badge playground manual verification.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Badge</t>
        </is>
      </c>
      <c r="D16" s="113" t="inlineStr">
        <is>
          <t>Keeps text content in the accessibility tree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Badge playground manual verification.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Badge</t>
        </is>
      </c>
      <c r="D17" s="113" t="inlineStr">
        <is>
          <t>Supports native span props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Badge playground manual verification.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Badge</t>
        </is>
      </c>
      <c r="D18" s="113" t="inlineStr">
        <is>
          <t>Supports `asChild` and `render`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Badge playground manual verification.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Badge playground manual verification.</t>
        </is>
      </c>
      <c r="J19" s="113" t="n"/>
      <c r="K19" s="117">
        <f>IF(AND(E19="yes",F19="yes",H19="covered"),1,IF(AND(E19="yes",H19="partial"),0.5,0))</f>
        <v/>
      </c>
    </row>
    <row r="20" ht="30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Badge playground manual verification.</t>
        </is>
      </c>
      <c r="J20" s="113" t="n"/>
      <c r="K20" s="117">
        <f>IF(AND(E20="yes",F20="yes",H20="covered"),1,IF(AND(E20="yes",H20="partial"),0.5,0))</f>
        <v/>
      </c>
    </row>
    <row r="21" ht="30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Badge playground manual verification.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Badge playground manual verification; data-slot is badge and empty data markers render bare.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Badge playground manual verification.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Badge playground manual verification.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Badge playground manual verification; asChild/render use strong custom element.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Badge playground manual verification; asChild/render use strong custom element.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Badge playground manual verification; data-slot is badge and empty data markers render bare.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Data</t>
        </is>
      </c>
      <c r="C28" s="113" t="inlineStr">
        <is>
          <t>Live DOM</t>
        </is>
      </c>
      <c r="D28" s="113" t="inlineStr">
        <is>
          <t>data-slot is present at the correct time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Badge playground manual verification; data-slot is badge and empty data markers render bare.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Composition</t>
        </is>
      </c>
      <c r="C29" s="113" t="inlineStr">
        <is>
          <t>Badge</t>
        </is>
      </c>
      <c r="D29" s="113" t="inlineStr">
        <is>
          <t>asChild preserves child content without double nesting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Badge playground manual verification; asChild/render use strong custom element.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Composition</t>
        </is>
      </c>
      <c r="C30" s="113" t="inlineStr">
        <is>
          <t>Badge</t>
        </is>
      </c>
      <c r="D30" s="113" t="inlineStr">
        <is>
          <t>asChild merges Atom props and consumer props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Badge playground manual verification; asChild/render use strong custom element.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Composition</t>
        </is>
      </c>
      <c r="C31" s="113" t="inlineStr">
        <is>
          <t>Badge</t>
        </is>
      </c>
      <c r="D31" s="113" t="inlineStr">
        <is>
          <t>asChild lets preventDefault block Atom behavior where supported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Badge playground manual verification.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Composition</t>
        </is>
      </c>
      <c r="C32" s="113" t="inlineStr">
        <is>
          <t>Badge</t>
        </is>
      </c>
      <c r="D32" s="113" t="inlineStr">
        <is>
          <t>render prop renders custom element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Badge playground manual verification; asChild/render use strong custom element.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Badge</t>
        </is>
      </c>
      <c r="D33" s="113" t="inlineStr">
        <is>
          <t>render prop preserves refs and behavior props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Badge playground manual verification; asChild/render use strong custom element.</t>
        </is>
      </c>
      <c r="J33" s="113" t="n"/>
      <c r="K33" s="117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BottomNavigation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manual-tests/bottom-navigation.md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manual-tests/bottom-navigation.md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BottomNavigation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manual-tests/bottom-navigation.md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BottomNavigation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manual-tests/bottom-navigation.md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BottomNavigation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manual-tests/bottom-navigation.md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BottomNavigation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manual-tests/bottom-navigation.md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BottomNavigation</t>
        </is>
      </c>
      <c r="D15" s="113" t="inlineStr">
        <is>
          <t>Renders a named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manual-tests/bottom-navigation.md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BottomNavigation</t>
        </is>
      </c>
      <c r="D16" s="113" t="inlineStr">
        <is>
          <t>Supports link destinations and button destinations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manual-tests/bottom-navigation.md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BottomNavigation</t>
        </is>
      </c>
      <c r="D17" s="113" t="inlineStr">
        <is>
          <t>Supports controlled and uncontrolled active value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manual-tests/bottom-navigation.md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BottomNavigation</t>
        </is>
      </c>
      <c r="D18" s="113" t="inlineStr">
        <is>
          <t>Exposes active, disabled, and label-visibility state through data attributes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manual-tests/bottom-navigation.md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BottomNavigation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manual-tests/bottom-navigation.md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manual-tests/bottom-navigation.md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manual-tests/bottom-navigation.md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manual-tests/bottom-navigation.md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manual-tests/bottom-navigation.md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manual-tests/bottom-navigation.md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manual-tests/bottom-navigation.md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manual-tests/bottom-navigation.md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manual-tests/bottom-navigation.md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manual-tests/bottom-navigation.md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manual-tests/bottom-navigation.md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manual-tests/bottom-navigation.md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showLabels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manual-tests/bottom-navigation.md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Accessibility</t>
        </is>
      </c>
      <c r="C32" s="113" t="inlineStr">
        <is>
          <t>Root</t>
        </is>
      </c>
      <c r="D32" s="113" t="inlineStr">
        <is>
          <t>aria-label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manual-tests/bottom-navigation.md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manual-tests/bottom-navigation.md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manual-tests/bottom-navigation.md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Item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manual-tests/bottom-navigation.md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manual-tests/bottom-navigation.md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Item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manual-tests/bottom-navigation.md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Item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manual-tests/bottom-navigation.md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Item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manual-tests/bottom-navigation.md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Item</t>
        </is>
      </c>
      <c r="D40" s="113" t="inlineStr">
        <is>
          <t>asChild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manual-tests/bottom-navigation.md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Item</t>
        </is>
      </c>
      <c r="D41" s="113" t="inlineStr">
        <is>
          <t>render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manual-tests/bottom-navigation.md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Item</t>
        </is>
      </c>
      <c r="D42" s="113" t="inlineStr">
        <is>
          <t>value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manual-tests/bottom-navigation.md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Item</t>
        </is>
      </c>
      <c r="D43" s="113" t="inlineStr">
        <is>
          <t>href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manual-tests/bottom-navigation.md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target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manual-tests/bottom-navigation.md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rel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manual-tests/bottom-navigation.md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Item</t>
        </is>
      </c>
      <c r="D46" s="113" t="inlineStr">
        <is>
          <t>disabled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manual-tests/bottom-navigation.md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manual-tests/bottom-navigation.md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Item</t>
        </is>
      </c>
      <c r="D48" s="113" t="inlineStr">
        <is>
          <t>[data-state]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manual-tests/bottom-navigation.md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[data-value]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manual-tests/bottom-navigation.md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Item</t>
        </is>
      </c>
      <c r="D50" s="113" t="inlineStr">
        <is>
          <t>[data-active]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manual-tests/bottom-navigation.md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manual-tests/bottom-navigation.md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Item</t>
        </is>
      </c>
      <c r="D52" s="113" t="inlineStr">
        <is>
          <t>[data-label-visible]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manual-tests/bottom-navigation.md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aria-current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manual-tests/bottom-navigation.md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aria-disabled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manual-tests/bottom-navigation.md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aria-label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manual-tests/bottom-navigation.md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Live DOM</t>
        </is>
      </c>
      <c r="D56" s="113" t="inlineStr">
        <is>
          <t>data-active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manual-tests/bottom-navigation.md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Live DOM</t>
        </is>
      </c>
      <c r="D57" s="113" t="inlineStr">
        <is>
          <t>data-disabled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manual-tests/bottom-navigation.md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data-label-visible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manual-tests/bottom-navigation.md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data-slot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manual-tests/bottom-navigation.md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data-state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manual-tests/bottom-navigation.md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data-value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manual-tests/bottom-navigation.md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BottomNavigation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manual-tests/bottom-navigation.md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BottomNavigation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manual-tests/bottom-navigation.md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BottomNavigation</t>
        </is>
      </c>
      <c r="D64" s="113" t="inlineStr">
        <is>
          <t>asChild lets preventDefault block Atom behavior where supported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manual-tests/bottom-navigation.md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BottomNavigation</t>
        </is>
      </c>
      <c r="D65" s="113" t="inlineStr">
        <is>
          <t>render prop renders custom element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manual-tests/bottom-navigation.md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BottomNavigation</t>
        </is>
      </c>
      <c r="D66" s="113" t="inlineStr">
        <is>
          <t>render prop preserves refs and behavior props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manual-tests/bottom-navigation.md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Root</t>
        </is>
      </c>
      <c r="D67" s="113" t="inlineStr">
        <is>
          <t>controlled state path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manual-tests/bottom-navigation.md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uncontrolled default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manual-tests/bottom-navigation.md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state change callback fires once with correct value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manual-tests/bottom-navigation.md</t>
        </is>
      </c>
      <c r="J69" s="113" t="n"/>
      <c r="K69" s="117">
        <f>IF(AND(E69="yes",F69="yes",H69="covered"),1,IF(H69="partial",0.5,0))</f>
        <v/>
      </c>
    </row>
    <row r="70" ht="15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Breadcrumb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Breadcrumb playground scenario and draft Manual Test Protocol.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Breadcrumb playground scenario and draft Manual Test Protocol.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Breadcrumb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Breadcrumb playground scenario and draft Manual Test Protocol.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Breadcrumb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Breadcrumb playground scenario and draft Manual Test Protocol.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Breadcrumb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Breadcrumb playground scenario and draft Manual Test Protocol.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Breadcrumb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Breadcrumb playground scenario and draft Manual Test Protocol.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Breadcrumb</t>
        </is>
      </c>
      <c r="D15" s="113" t="inlineStr">
        <is>
          <t>Renders a named breadcrumb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Breadcrumb playground scenario and draft Manual Test Protocol.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Breadcrumb</t>
        </is>
      </c>
      <c r="D16" s="113" t="inlineStr">
        <is>
          <t>Uses an ordered list for page hierarchy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Breadcrumb playground scenario and draft Manual Test Protocol.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Breadcrumb</t>
        </is>
      </c>
      <c r="D17" s="113" t="inlineStr">
        <is>
          <t>Marks the current page with `aria-current="page"`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Breadcrumb playground scenario and draft Manual Test Protocol.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Breadcrumb</t>
        </is>
      </c>
      <c r="D18" s="113" t="inlineStr">
        <is>
          <t>Provides separator and ellipsis parts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Breadcrumb playground scenario and draft Manual Test Protocol.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Breadcrumb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Breadcrumb playground scenario and draft Manual Test Protocol.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Breadcrumb playground scenario and draft Manual Test Protocol.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Breadcrumb playground scenario and draft Manual Test Protocol.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Breadcrumb playground scenario and draft Manual Test Protocol.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Breadcrumb playground scenario and draft Manual Test Protocol.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Breadcrumb playground scenario and draft Manual Test Protocol.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Breadcrumb playground scenario and draft Manual Test Protocol.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Breadcrumb playground scenario and draft Manual Test Protocol.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Breadcrumb playground scenario and draft Manual Test Protocol.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Accessibility</t>
        </is>
      </c>
      <c r="C28" s="113" t="inlineStr">
        <is>
          <t>Root</t>
        </is>
      </c>
      <c r="D28" s="113" t="inlineStr">
        <is>
          <t>ariaLabel prop behavior renders native aria-label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Breadcrumb playground scenario and draft Manual Test Protocol.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Breadcrumb playground scenario and draft Manual Test Protocol.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List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Breadcrumb playground scenario and draft Manual Test Protocol.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List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Breadcrumb playground scenario and draft Manual Test Protocol.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List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Breadcrumb playground scenario and draft Manual Test Protocol.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List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Breadcrumb playground scenario and draft Manual Test Protocol.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List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Breadcrumb playground scenario and draft Manual Test Protocol.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List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Breadcrumb playground scenario and draft Manual Test Protocol.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Composition</t>
        </is>
      </c>
      <c r="C36" s="113" t="inlineStr">
        <is>
          <t>List</t>
        </is>
      </c>
      <c r="D36" s="113" t="inlineStr">
        <is>
          <t>asChild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Breadcrumb playground scenario and draft Manual Test Protocol.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List</t>
        </is>
      </c>
      <c r="D37" s="113" t="inlineStr">
        <is>
          <t>render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Breadcrumb playground scenario and draft Manual Test Protocol.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List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Breadcrumb playground scenario and draft Manual Test Protocol.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Item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Breadcrumb playground scenario and draft Manual Test Protocol.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Item</t>
        </is>
      </c>
      <c r="D40" s="113" t="inlineStr">
        <is>
          <t>appears in documented order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Breadcrumb playground scenario and draft Manual Test Protocol.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Item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Breadcrumb playground scenario and draft Manual Test Protocol.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Item</t>
        </is>
      </c>
      <c r="D42" s="113" t="inlineStr">
        <is>
          <t>data-slot is present and correct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Breadcrumb playground scenario and draft Manual Test Protocol.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Item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Breadcrumb playground scenario and draft Manual Test Protocol.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Item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Breadcrumb playground scenario and draft Manual Test Protocol.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Item</t>
        </is>
      </c>
      <c r="D45" s="113" t="inlineStr">
        <is>
          <t>asChild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Breadcrumb playground scenario and draft Manual Test Protocol.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Item</t>
        </is>
      </c>
      <c r="D46" s="113" t="inlineStr">
        <is>
          <t>render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Breadcrumb playground scenario and draft Manual Test Protocol.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Breadcrumb playground scenario and draft Manual Test Protocol.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Ellipsis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Breadcrumb playground scenario and draft Manual Test Protocol.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Ellipsis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Breadcrumb playground scenario and draft Manual Test Protocol.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Ellipsis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Breadcrumb playground scenario and draft Manual Test Protocol.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Ellipsis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Breadcrumb playground scenario and draft Manual Test Protocol.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Ellipsis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Breadcrumb playground scenario and draft Manual Test Protocol.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Ellipsis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Breadcrumb playground scenario and draft Manual Test Protocol.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Ellipsis</t>
        </is>
      </c>
      <c r="D54" s="113" t="inlineStr">
        <is>
          <t>asChild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Breadcrumb playground scenario and draft Manual Test Protocol.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Ellipsis</t>
        </is>
      </c>
      <c r="D55" s="113" t="inlineStr">
        <is>
          <t>render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Breadcrumb playground scenario and draft Manual Test Protocol.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Ellipsis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Breadcrumb playground scenario and draft Manual Test Protocol.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Link</t>
        </is>
      </c>
      <c r="D57" s="113" t="inlineStr">
        <is>
          <t>renders correct part when expected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Breadcrumb playground scenario and draft Manual Test Protocol.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Link</t>
        </is>
      </c>
      <c r="D58" s="113" t="inlineStr">
        <is>
          <t>appears in documented order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Breadcrumb playground scenario and draft Manual Test Protocol.</t>
        </is>
      </c>
      <c r="J58" s="113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Identity</t>
        </is>
      </c>
      <c r="C59" s="113" t="inlineStr">
        <is>
          <t>Link</t>
        </is>
      </c>
      <c r="D59" s="113" t="inlineStr">
        <is>
          <t>default tag is visible in Anatomy/Inspector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Breadcrumb playground scenario and draft Manual Test Protocol.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Link</t>
        </is>
      </c>
      <c r="D60" s="113" t="inlineStr">
        <is>
          <t>data-slot is present and correct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Breadcrumb playground scenario and draft Manual Test Protocol.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Props</t>
        </is>
      </c>
      <c r="C61" s="113" t="inlineStr">
        <is>
          <t>Link</t>
        </is>
      </c>
      <c r="D61" s="113" t="inlineStr">
        <is>
          <t>non-Atom native props pass through with data-prop-check marker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Breadcrumb playground scenario and draft Manual Test Protocol.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Refs</t>
        </is>
      </c>
      <c r="C62" s="113" t="inlineStr">
        <is>
          <t>Link</t>
        </is>
      </c>
      <c r="D62" s="113" t="inlineStr">
        <is>
          <t>consumer ref receives the rendered element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Breadcrumb playground scenario and draft Manual Test Protocol.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Link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Breadcrumb playground scenario and draft Manual Test Protocol.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Breadcrumb playground scenario and draft Manual Test Protocol.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Link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Breadcrumb playground scenario and draft Manual Test Protocol.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Page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Breadcrumb playground scenario and draft Manual Test Protocol.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Page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Breadcrumb playground scenario and draft Manual Test Protocol.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Page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Breadcrumb playground scenario and draft Manual Test Protocol.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Page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Breadcrumb playground scenario and draft Manual Test Protocol.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Page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Breadcrumb playground scenario and draft Manual Test Protocol.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Page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Breadcrumb playground scenario and draft Manual Test Protocol.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Page</t>
        </is>
      </c>
      <c r="D72" s="113" t="inlineStr">
        <is>
          <t>asChild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Breadcrumb playground scenario and draft Manual Test Protocol.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Page</t>
        </is>
      </c>
      <c r="D73" s="113" t="inlineStr">
        <is>
          <t>render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Breadcrumb playground scenario and draft Manual Test Protocol.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Page</t>
        </is>
      </c>
      <c r="D74" s="113" t="inlineStr">
        <is>
          <t>[data-slot]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Breadcrumb playground scenario and draft Manual Test Protocol.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Separator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Breadcrumb playground scenario and draft Manual Test Protocol.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Separator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Breadcrumb playground scenario and draft Manual Test Protocol.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Identity</t>
        </is>
      </c>
      <c r="C77" s="113" t="inlineStr">
        <is>
          <t>Separator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Breadcrumb playground scenario and draft Manual Test Protocol.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Separator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Breadcrumb playground scenario and draft Manual Test Protocol.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Separator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Breadcrumb playground scenario and draft Manual Test Protocol.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Refs</t>
        </is>
      </c>
      <c r="C80" s="113" t="inlineStr">
        <is>
          <t>Separator</t>
        </is>
      </c>
      <c r="D80" s="113" t="inlineStr">
        <is>
          <t>consumer ref receives the rendered element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Breadcrumb playground scenario and draft Manual Test Protocol.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Separator</t>
        </is>
      </c>
      <c r="D81" s="113" t="inlineStr">
        <is>
          <t>asChild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Breadcrumb playground scenario and draft Manual Test Protocol.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Composition</t>
        </is>
      </c>
      <c r="C82" s="113" t="inlineStr">
        <is>
          <t>Separator</t>
        </is>
      </c>
      <c r="D82" s="113" t="inlineStr">
        <is>
          <t>render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Breadcrumb playground scenario and draft Manual Test Protocol.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Separator</t>
        </is>
      </c>
      <c r="D83" s="113" t="inlineStr">
        <is>
          <t>[data-slot]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Breadcrumb playground scenario and draft Manual Test Protocol.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aria-current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Breadcrumb playground scenario and draft Manual Test Protocol.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aria-hidden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Breadcrumb playground scenario and draft Manual Test Protocol.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Breadcrumb playground scenario and draft Manual Test Protocol.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Breadcrumb playground scenario and draft Manual Test Protocol.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Composition</t>
        </is>
      </c>
      <c r="C88" s="113" t="inlineStr">
        <is>
          <t>Breadcrumb</t>
        </is>
      </c>
      <c r="D88" s="113" t="inlineStr">
        <is>
          <t>asChild preserves child content without double nesting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Breadcrumb playground scenario and draft Manual Test Protocol.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Breadcrumb</t>
        </is>
      </c>
      <c r="D89" s="113" t="inlineStr">
        <is>
          <t>asChild merges Atom props and consumer props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Breadcrumb playground scenario and draft Manual Test Protocol.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Breadcrumb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Breadcrumb playground scenario and draft Manual Test Protocol.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Breadcrumb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Breadcrumb playground scenario and draft Manual Test Protocol.</t>
        </is>
      </c>
      <c r="J91" s="113" t="n"/>
      <c r="K91" s="117">
        <f>IF(AND(E91="yes",F91="yes",H91="covered"),1,IF(H91="partial",0.5,0))</f>
        <v/>
      </c>
    </row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Button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Button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Button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Button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Button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Button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Button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Button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Button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Playground</t>
        </is>
      </c>
      <c r="C14" s="121" t="inlineStr">
        <is>
          <t>Button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Button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Feature</t>
        </is>
      </c>
      <c r="C15" s="121" t="inlineStr">
        <is>
          <t>Root</t>
        </is>
      </c>
      <c r="D15" s="121" t="inlineStr">
        <is>
          <t>renders a native button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Button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Root</t>
        </is>
      </c>
      <c r="D16" s="121" t="inlineStr">
        <is>
          <t>renders an anchor when href is present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Button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Feature</t>
        </is>
      </c>
      <c r="C17" s="121" t="inlineStr">
        <is>
          <t>Root</t>
        </is>
      </c>
      <c r="D17" s="121" t="inlineStr">
        <is>
          <t>adds safe rel for target blank links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Button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Feature</t>
        </is>
      </c>
      <c r="C18" s="121" t="inlineStr">
        <is>
          <t>Root</t>
        </is>
      </c>
      <c r="D18" s="121" t="inlineStr">
        <is>
          <t>supports disabled state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Button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Root</t>
        </is>
      </c>
      <c r="D19" s="121" t="inlineStr">
        <is>
          <t>supports loading state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Button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Root</t>
        </is>
      </c>
      <c r="D20" s="121" t="inlineStr">
        <is>
          <t>calls onClick before onPress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Button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Feature</t>
        </is>
      </c>
      <c r="C21" s="121" t="inlineStr">
        <is>
          <t>Root</t>
        </is>
      </c>
      <c r="D21" s="121" t="inlineStr">
        <is>
          <t>consumer preventDefault blocks onPress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Button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Feature</t>
        </is>
      </c>
      <c r="C22" s="121" t="inlineStr">
        <is>
          <t>Root</t>
        </is>
      </c>
      <c r="D22" s="121" t="inlineStr">
        <is>
          <t>custom non-native render receives button semantics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Button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Anatomy</t>
        </is>
      </c>
      <c r="C23" s="121" t="inlineStr">
        <is>
          <t>Root</t>
        </is>
      </c>
      <c r="D23" s="121" t="inlineStr">
        <is>
          <t>renders correct part when expected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Button playground manual verification.</t>
        </is>
      </c>
      <c r="J23" s="121" t="n"/>
      <c r="K23" s="122">
        <f>IF(AND(E23="yes",F23="yes",H23="covered"),1,IF(H23="partial",0.5,0))</f>
        <v/>
      </c>
    </row>
    <row r="24" ht="45" customHeight="1" s="58">
      <c r="A24" s="120" t="n">
        <v>16</v>
      </c>
      <c r="B24" s="121" t="inlineStr">
        <is>
          <t>Anatomy</t>
        </is>
      </c>
      <c r="C24" s="121" t="inlineStr">
        <is>
          <t>Root</t>
        </is>
      </c>
      <c r="D24" s="121" t="inlineStr">
        <is>
          <t>is the only Button anatomy part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Button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Identity</t>
        </is>
      </c>
      <c r="C25" s="121" t="inlineStr">
        <is>
          <t>Root</t>
        </is>
      </c>
      <c r="D25" s="121" t="inlineStr">
        <is>
          <t>default tag is button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Button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Identity</t>
        </is>
      </c>
      <c r="C26" s="121" t="inlineStr">
        <is>
          <t>Root</t>
        </is>
      </c>
      <c r="D26" s="121" t="inlineStr">
        <is>
          <t>anchor tag appears when href is enabled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Button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Identity</t>
        </is>
      </c>
      <c r="C27" s="121" t="inlineStr">
        <is>
          <t>Root</t>
        </is>
      </c>
      <c r="D27" s="121" t="inlineStr">
        <is>
          <t>custom tag appears for asChild/render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Button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Identity</t>
        </is>
      </c>
      <c r="C28" s="121" t="inlineStr">
        <is>
          <t>Root</t>
        </is>
      </c>
      <c r="D28" s="121" t="inlineStr">
        <is>
          <t>ref target matches rendered tag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Button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Identity</t>
        </is>
      </c>
      <c r="C29" s="121" t="inlineStr">
        <is>
          <t>Root</t>
        </is>
      </c>
      <c r="D29" s="121" t="inlineStr">
        <is>
          <t>data-slot is button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Button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Props</t>
        </is>
      </c>
      <c r="C30" s="121" t="inlineStr">
        <is>
          <t>Root</t>
        </is>
      </c>
      <c r="D30" s="121" t="inlineStr">
        <is>
          <t>non-Atom native props pass through with data-prop-check marker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Button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Root</t>
        </is>
      </c>
      <c r="D31" s="121" t="inlineStr">
        <is>
          <t>href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Button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Root</t>
        </is>
      </c>
      <c r="D32" s="121" t="inlineStr">
        <is>
          <t>target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Button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Root</t>
        </is>
      </c>
      <c r="D33" s="121" t="inlineStr">
        <is>
          <t>rel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Button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Root</t>
        </is>
      </c>
      <c r="D34" s="121" t="inlineStr">
        <is>
          <t>type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Button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Root</t>
        </is>
      </c>
      <c r="D35" s="121" t="inlineStr">
        <is>
          <t>disabled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Button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Root</t>
        </is>
      </c>
      <c r="D36" s="121" t="inlineStr">
        <is>
          <t>loading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Button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Root</t>
        </is>
      </c>
      <c r="D37" s="121" t="inlineStr">
        <is>
          <t>onPress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Button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onClick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Button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Button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Button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Root</t>
        </is>
      </c>
      <c r="D41" s="121" t="inlineStr">
        <is>
          <t>asChild preserves child content without double nesting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Button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Composition</t>
        </is>
      </c>
      <c r="C42" s="121" t="inlineStr">
        <is>
          <t>Root</t>
        </is>
      </c>
      <c r="D42" s="121" t="inlineStr">
        <is>
          <t>asChild merges Atom props and consumer props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Button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Composition</t>
        </is>
      </c>
      <c r="C43" s="121" t="inlineStr">
        <is>
          <t>Root</t>
        </is>
      </c>
      <c r="D43" s="121" t="inlineStr">
        <is>
          <t>render prop preserves refs and behavior props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Button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Keyboard</t>
        </is>
      </c>
      <c r="C44" s="121" t="inlineStr">
        <is>
          <t>Root</t>
        </is>
      </c>
      <c r="D44" s="121" t="inlineStr">
        <is>
          <t>Enter activates custom non-native render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Button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Keyboard</t>
        </is>
      </c>
      <c r="C45" s="121" t="inlineStr">
        <is>
          <t>Root</t>
        </is>
      </c>
      <c r="D45" s="121" t="inlineStr">
        <is>
          <t>Space activates custom non-native render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Button playground manual verification.</t>
        </is>
      </c>
      <c r="J45" s="121" t="n"/>
      <c r="K45" s="122">
        <f>IF(AND(E45="yes",F45="yes",H45="covered"),1,IF(H45="partial",0.5,0))</f>
        <v/>
      </c>
    </row>
    <row r="46" ht="45" customHeight="1" s="58">
      <c r="A46" s="120" t="n">
        <v>38</v>
      </c>
      <c r="B46" s="121" t="inlineStr">
        <is>
          <t>Keyboard</t>
        </is>
      </c>
      <c r="C46" s="121" t="inlineStr">
        <is>
          <t>Root</t>
        </is>
      </c>
      <c r="D46" s="121" t="inlineStr">
        <is>
          <t>disabled/loading blocks keyboard activation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Button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ARIA</t>
        </is>
      </c>
      <c r="C47" s="121" t="inlineStr">
        <is>
          <t>Live DOM</t>
        </is>
      </c>
      <c r="D47" s="121" t="inlineStr">
        <is>
          <t>aria-disabled is present for inactive non-native renders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Button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ARIA</t>
        </is>
      </c>
      <c r="C48" s="121" t="inlineStr">
        <is>
          <t>Live DOM</t>
        </is>
      </c>
      <c r="D48" s="121" t="inlineStr">
        <is>
          <t>aria-busy is present while loading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Button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Data</t>
        </is>
      </c>
      <c r="C49" s="121" t="inlineStr">
        <is>
          <t>Live DOM</t>
        </is>
      </c>
      <c r="D49" s="121" t="inlineStr">
        <is>
          <t>data-slot is present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Button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Data</t>
        </is>
      </c>
      <c r="C50" s="121" t="inlineStr">
        <is>
          <t>Live DOM</t>
        </is>
      </c>
      <c r="D50" s="121" t="inlineStr">
        <is>
          <t>data-disabled is present when disabled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Button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Data</t>
        </is>
      </c>
      <c r="C51" s="121" t="inlineStr">
        <is>
          <t>Live DOM</t>
        </is>
      </c>
      <c r="D51" s="121" t="inlineStr">
        <is>
          <t>data-loading is present when loading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Button playground manual verification.</t>
        </is>
      </c>
      <c r="J51" s="121" t="n"/>
      <c r="K51" s="122">
        <f>IF(AND(E51="yes",F51="yes",H51="covered"),1,IF(H51="partial",0.5,0))</f>
        <v/>
      </c>
    </row>
    <row r="52" ht="30" customHeight="1" s="58">
      <c r="A52" s="120" t="n">
        <v>44</v>
      </c>
      <c r="B52" s="121" t="inlineStr">
        <is>
          <t>Forms</t>
        </is>
      </c>
      <c r="C52" s="121" t="inlineStr">
        <is>
          <t>Root</t>
        </is>
      </c>
      <c r="D52" s="121" t="inlineStr">
        <is>
          <t>native type button is default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Button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Forms</t>
        </is>
      </c>
      <c r="C53" s="121" t="inlineStr">
        <is>
          <t>Root</t>
        </is>
      </c>
      <c r="D53" s="121" t="inlineStr">
        <is>
          <t>submit and reset type pass through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Button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Log</t>
        </is>
      </c>
      <c r="C54" s="121" t="inlineStr">
        <is>
          <t>Root</t>
        </is>
      </c>
      <c r="D54" s="121" t="inlineStr">
        <is>
          <t>logs click/press/default prevention clearly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Button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12" t="n"/>
      <c r="B55" s="113" t="n"/>
      <c r="C55" s="113" t="n"/>
      <c r="D55" s="113" t="n"/>
      <c r="E55" s="114" t="n"/>
      <c r="F55" s="115" t="n"/>
      <c r="G55" s="112" t="n"/>
      <c r="H55" s="116" t="n"/>
      <c r="I55" s="113" t="n"/>
      <c r="J55" s="113" t="n"/>
      <c r="K55" s="117" t="n"/>
    </row>
    <row r="56" ht="13.5" customHeight="1" s="58">
      <c r="A56" s="112" t="n"/>
      <c r="B56" s="113" t="n"/>
      <c r="C56" s="113" t="n"/>
      <c r="D56" s="113" t="n"/>
      <c r="E56" s="114" t="n"/>
      <c r="F56" s="115" t="n"/>
      <c r="G56" s="112" t="n"/>
      <c r="H56" s="116" t="n"/>
      <c r="I56" s="113" t="n"/>
      <c r="J56" s="113" t="n"/>
      <c r="K56" s="117" t="n"/>
    </row>
    <row r="57" ht="13.5" customHeight="1" s="58">
      <c r="A57" s="112" t="n"/>
      <c r="B57" s="113" t="n"/>
      <c r="C57" s="113" t="n"/>
      <c r="D57" s="113" t="n"/>
      <c r="E57" s="114" t="n"/>
      <c r="F57" s="115" t="n"/>
      <c r="G57" s="112" t="n"/>
      <c r="H57" s="116" t="n"/>
      <c r="I57" s="113" t="n"/>
      <c r="J57" s="113" t="n"/>
      <c r="K57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Checkbox</t>
        </is>
      </c>
      <c r="D15" s="113" t="inlineStr">
        <is>
          <t>Supports checked, unchecked, and indeterminate states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</t>
        </is>
      </c>
      <c r="D17" s="113" t="inlineStr">
        <is>
          <t>Supports read-only and disabled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</t>
        </is>
      </c>
      <c r="D19" s="113" t="inlineStr">
        <is>
          <t>Exposes state through ARIA and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 playground scenario.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Package tests/source review verify consumer ref plumbing for Checkbox; playground manual pass can inspect rendered DOM behavior.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checked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onCheckedChange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name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form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Indicator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Indicator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Indicator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Indicator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Indicator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Indicator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Package tests/source review verify consumer ref plumbing for Checkbox;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forceMount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Indicator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Indicator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Indicator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Indicator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Indicator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aria-checked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aria-hidden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passes manual test</t>
        </is>
      </c>
      <c r="H57" s="116" t="inlineStr">
        <is>
          <t>covered</t>
        </is>
      </c>
      <c r="I57" s="113" t="inlineStr">
        <is>
          <t>Checkbox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aria-label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data-slot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data-state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 playground scenario.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Composition</t>
        </is>
      </c>
      <c r="C67" s="113" t="inlineStr">
        <is>
          <t>Checkbox</t>
        </is>
      </c>
      <c r="D67" s="113" t="inlineStr">
        <is>
          <t>asChild preserves child content without double nesting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Checkbox</t>
        </is>
      </c>
      <c r="D68" s="113" t="inlineStr">
        <is>
          <t>asChild merges Atom props and consumer props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 playground scenario.</t>
        </is>
      </c>
      <c r="J68" s="113" t="n"/>
      <c r="K68" s="117">
        <f>IF(AND(E68="yes",F68="yes",H68="covered"),1,IF(H68="partial",0.5,0))</f>
        <v/>
      </c>
    </row>
    <row r="69" ht="45" customHeight="1" s="58">
      <c r="A69" s="112" t="n">
        <v>61</v>
      </c>
      <c r="B69" s="113" t="inlineStr">
        <is>
          <t>Composition</t>
        </is>
      </c>
      <c r="C69" s="113" t="inlineStr">
        <is>
          <t>Checkbox</t>
        </is>
      </c>
      <c r="D69" s="113" t="inlineStr">
        <is>
          <t>asChild lets preventDefault block Atom behavior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Composition</t>
        </is>
      </c>
      <c r="C70" s="113" t="inlineStr">
        <is>
          <t>Checkbox</t>
        </is>
      </c>
      <c r="D70" s="113" t="inlineStr">
        <is>
          <t>render prop renders custom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Checkbox</t>
        </is>
      </c>
      <c r="D71" s="113" t="inlineStr">
        <is>
          <t>render prop preserves refs and behavior props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Composition controls/package tests cover render/asChild behavior for Checkbox; ready for manual verification where exposed.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State</t>
        </is>
      </c>
      <c r="C75" s="113" t="inlineStr">
        <is>
          <t>Checkbox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State</t>
        </is>
      </c>
      <c r="C76" s="113" t="inlineStr">
        <is>
          <t>Checkbox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Checkbox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Checkbox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Checkbox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Checkbox</t>
        </is>
      </c>
      <c r="D80" s="113" t="inlineStr">
        <is>
          <t>hidden input mirrors value/checked/disabled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Keyboard</t>
        </is>
      </c>
      <c r="C81" s="113" t="inlineStr">
        <is>
          <t>Checkbox</t>
        </is>
      </c>
      <c r="D81" s="113" t="inlineStr">
        <is>
          <t xml:space="preserve"> 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Keyboard</t>
        </is>
      </c>
      <c r="C82" s="113" t="inlineStr">
        <is>
          <t>Checkbox</t>
        </is>
      </c>
      <c r="D82" s="113" t="inlineStr">
        <is>
          <t>Enter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Forms</t>
        </is>
      </c>
      <c r="C83" s="113" t="inlineStr">
        <is>
          <t>Root</t>
        </is>
      </c>
      <c r="D83" s="113" t="inlineStr">
        <is>
          <t>Field inheritance, checked-only FormData, required validity, and uncontrolled native reset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Validation</t>
        </is>
      </c>
      <c r="C84" s="113" t="inlineStr">
        <is>
          <t>Root</t>
        </is>
      </c>
      <c r="D84" s="113" t="inlineStr">
        <is>
          <t>aligned-proxy invalidity mirrors to the visible Checkbox, Field, Error, and Form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CheckboxGroup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CheckboxGroup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CheckboxGroup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CheckboxGroup</t>
        </is>
      </c>
      <c r="D15" s="113" t="inlineStr">
        <is>
          <t>Manages an array of selected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CheckboxGroup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CheckboxGroup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CheckboxGroup</t>
        </is>
      </c>
      <c r="D17" s="113" t="inlineStr">
        <is>
          <t>Shares disabled, read-only, required, invalid, name, and form state with items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CheckboxGroup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CheckboxGroup</t>
        </is>
      </c>
      <c r="D18" s="113" t="inlineStr">
        <is>
          <t>Each item can render a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CheckboxGroup</t>
        </is>
      </c>
      <c r="D19" s="113" t="inlineStr">
        <is>
          <t>Exposes orientation and item state through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CheckboxGroup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CheckboxGroup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CheckboxGroup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CheckboxGroup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CheckboxGroup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name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form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readOnly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CheckboxGroup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[data-orientation]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CheckboxGroup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CheckboxGroup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Item</t>
        </is>
      </c>
      <c r="D52" s="113" t="inlineStr">
        <is>
          <t>readOnly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CheckboxGroup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invalid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Item</t>
        </is>
      </c>
      <c r="D54" s="113" t="inlineStr">
        <is>
          <t>required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name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form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Item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the form-foundation manual protocol.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asChild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Composition</t>
        </is>
      </c>
      <c r="C59" s="113" t="inlineStr">
        <is>
          <t>Item</t>
        </is>
      </c>
      <c r="D59" s="113" t="inlineStr">
        <is>
          <t>render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[data-slot]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[data-value]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Item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GroupItem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GroupItem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CheckboxGroup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GroupItem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GroupItem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GroupItem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GroupItem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CheckboxGroup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aria-checked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CheckboxGroup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CheckboxGroup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aria-readonly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CheckboxGroup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aria-required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CheckboxGroup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data-disabled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CheckboxGroup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data-invalid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CheckboxGroup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CheckboxGroup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data-readonly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data-slot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passes manual test</t>
        </is>
      </c>
      <c r="H83" s="116" t="inlineStr">
        <is>
          <t>covered</t>
        </is>
      </c>
      <c r="I83" s="113" t="inlineStr">
        <is>
          <t>CheckboxGroup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data-state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passes manual test</t>
        </is>
      </c>
      <c r="H84" s="116" t="inlineStr">
        <is>
          <t>covered</t>
        </is>
      </c>
      <c r="I84" s="113" t="inlineStr">
        <is>
          <t>CheckboxGroup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data-value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passes manual test</t>
        </is>
      </c>
      <c r="H85" s="116" t="inlineStr">
        <is>
          <t>covered</t>
        </is>
      </c>
      <c r="I85" s="113" t="inlineStr">
        <is>
          <t>CheckboxGroup playground scenario.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CheckboxGroup</t>
        </is>
      </c>
      <c r="D86" s="113" t="inlineStr">
        <is>
          <t>asChild preserves child content without double nesting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passes manual test</t>
        </is>
      </c>
      <c r="H86" s="116" t="inlineStr">
        <is>
          <t>covered</t>
        </is>
      </c>
      <c r="I86" s="113" t="inlineStr">
        <is>
          <t>CheckboxGroup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CheckboxGroup</t>
        </is>
      </c>
      <c r="D87" s="113" t="inlineStr">
        <is>
          <t>asChild merges Atom props and consumer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passes manual test</t>
        </is>
      </c>
      <c r="H87" s="116" t="inlineStr">
        <is>
          <t>covered</t>
        </is>
      </c>
      <c r="I87" s="113" t="inlineStr">
        <is>
          <t>CheckboxGroup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CheckboxGroup</t>
        </is>
      </c>
      <c r="D88" s="113" t="inlineStr">
        <is>
          <t>asChild lets preventDefault block Atom behavior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passes manual test</t>
        </is>
      </c>
      <c r="H88" s="116" t="inlineStr">
        <is>
          <t>covered</t>
        </is>
      </c>
      <c r="I88" s="113" t="inlineStr">
        <is>
          <t>CheckboxGroup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CheckboxGroup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passes manual test</t>
        </is>
      </c>
      <c r="H89" s="116" t="inlineStr">
        <is>
          <t>covered</t>
        </is>
      </c>
      <c r="I89" s="113" t="inlineStr">
        <is>
          <t>CheckboxGroup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CheckboxGroup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passes manual test</t>
        </is>
      </c>
      <c r="H90" s="116" t="inlineStr">
        <is>
          <t>covered</t>
        </is>
      </c>
      <c r="I90" s="113" t="inlineStr">
        <is>
          <t>CheckboxGroup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passes manual test</t>
        </is>
      </c>
      <c r="H91" s="116" t="inlineStr">
        <is>
          <t>covered</t>
        </is>
      </c>
      <c r="I91" s="113" t="inlineStr">
        <is>
          <t>CheckboxGroup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passes manual test</t>
        </is>
      </c>
      <c r="H92" s="116" t="inlineStr">
        <is>
          <t>covered</t>
        </is>
      </c>
      <c r="I92" s="113" t="inlineStr">
        <is>
          <t>CheckboxGroup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passes manual test</t>
        </is>
      </c>
      <c r="H93" s="116" t="inlineStr">
        <is>
          <t>covered</t>
        </is>
      </c>
      <c r="I93" s="113" t="inlineStr">
        <is>
          <t>CheckboxGroup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State</t>
        </is>
      </c>
      <c r="C94" s="113" t="inlineStr">
        <is>
          <t>CheckboxGroup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passes manual test</t>
        </is>
      </c>
      <c r="H94" s="116" t="inlineStr">
        <is>
          <t>covered</t>
        </is>
      </c>
      <c r="I94" s="113" t="inlineStr">
        <is>
          <t>CheckboxGroup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State</t>
        </is>
      </c>
      <c r="C95" s="113" t="inlineStr">
        <is>
          <t>CheckboxGroup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passes manual test</t>
        </is>
      </c>
      <c r="H95" s="116" t="inlineStr">
        <is>
          <t>covered</t>
        </is>
      </c>
      <c r="I95" s="113" t="inlineStr">
        <is>
          <t>CheckboxGroup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CheckboxGroup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passes manual test</t>
        </is>
      </c>
      <c r="H96" s="116" t="inlineStr">
        <is>
          <t>covered</t>
        </is>
      </c>
      <c r="I96" s="113" t="inlineStr">
        <is>
          <t>CheckboxGroup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CheckboxGroup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passes manual test</t>
        </is>
      </c>
      <c r="H97" s="116" t="inlineStr">
        <is>
          <t>covered</t>
        </is>
      </c>
      <c r="I97" s="113" t="inlineStr">
        <is>
          <t>CheckboxGroup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CheckboxGroup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passes manual test</t>
        </is>
      </c>
      <c r="H98" s="116" t="inlineStr">
        <is>
          <t>covered</t>
        </is>
      </c>
      <c r="I98" s="113" t="inlineStr">
        <is>
          <t>CheckboxGroup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Forms</t>
        </is>
      </c>
      <c r="C99" s="113" t="inlineStr">
        <is>
          <t>CheckboxGroup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passes manual test</t>
        </is>
      </c>
      <c r="H99" s="116" t="inlineStr">
        <is>
          <t>covered</t>
        </is>
      </c>
      <c r="I99" s="113" t="inlineStr">
        <is>
          <t>CheckboxGroup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CheckboxGroup</t>
        </is>
      </c>
      <c r="D100" s="113" t="inlineStr">
        <is>
          <t xml:space="preserve"> 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passes manual test</t>
        </is>
      </c>
      <c r="H100" s="116" t="inlineStr">
        <is>
          <t>covered</t>
        </is>
      </c>
      <c r="I100" s="113" t="inlineStr">
        <is>
          <t>CheckboxGroup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CheckboxGroup</t>
        </is>
      </c>
      <c r="D101" s="113" t="inlineStr">
        <is>
          <t>Enter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passes manual test</t>
        </is>
      </c>
      <c r="H101" s="116" t="inlineStr">
        <is>
          <t>covered</t>
        </is>
      </c>
      <c r="I101" s="113" t="inlineStr">
        <is>
          <t>CheckboxGroup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CheckboxGroup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passes manual test</t>
        </is>
      </c>
      <c r="H102" s="116" t="inlineStr">
        <is>
          <t>covered</t>
        </is>
      </c>
      <c r="I102" s="113" t="inlineStr">
        <is>
          <t>CheckboxGroup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CheckboxGroup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passes manual test</t>
        </is>
      </c>
      <c r="H103" s="116" t="inlineStr">
        <is>
          <t>covered</t>
        </is>
      </c>
      <c r="I103" s="113" t="inlineStr">
        <is>
          <t>CheckboxGroup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CheckboxGroup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passes manual test</t>
        </is>
      </c>
      <c r="H104" s="116" t="inlineStr">
        <is>
          <t>covered</t>
        </is>
      </c>
      <c r="I104" s="113" t="inlineStr">
        <is>
          <t>CheckboxGroup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CheckboxGroup</t>
        </is>
      </c>
      <c r="D105" s="113" t="inlineStr">
        <is>
          <t>typeahead/search behavior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passes manual test</t>
        </is>
      </c>
      <c r="H105" s="116" t="inlineStr">
        <is>
          <t>covered</t>
        </is>
      </c>
      <c r="I105" s="113" t="inlineStr">
        <is>
          <t>CheckboxGroup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CheckboxGroup</t>
        </is>
      </c>
      <c r="D106" s="113" t="inlineStr">
        <is>
          <t>roving focus or active descendant state is visible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passes manual test</t>
        </is>
      </c>
      <c r="H106" s="116" t="inlineStr">
        <is>
          <t>covered</t>
        </is>
      </c>
      <c r="I106" s="113" t="inlineStr">
        <is>
          <t>CheckboxGroup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Forms</t>
        </is>
      </c>
      <c r="C107" s="113" t="inlineStr">
        <is>
          <t>Root</t>
        </is>
      </c>
      <c r="D107" s="113" t="inlineStr">
        <is>
          <t>Fieldset inheritance, repeated-name FormData, one-or-more required validity, and reset</t>
        </is>
      </c>
      <c r="E107" s="114" t="inlineStr">
        <is>
          <t>yes</t>
        </is>
      </c>
      <c r="F107" s="115" t="inlineStr">
        <is>
          <t>no</t>
        </is>
      </c>
      <c r="G107" s="112" t="inlineStr">
        <is>
          <t>automated tests pass; manual pending</t>
        </is>
      </c>
      <c r="H107" s="116" t="inlineStr">
        <is>
          <t>untested</t>
        </is>
      </c>
      <c r="I107" s="113" t="inlineStr">
        <is>
          <t>Form &gt; Control: Foundation plus the component scenario and automated package tests.</t>
        </is>
      </c>
      <c r="J107" s="113" t="inlineStr">
        <is>
          <t>Run and review the form-foundation manual protocol.</t>
        </is>
      </c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Validation</t>
        </is>
      </c>
      <c r="C108" s="113" t="inlineStr">
        <is>
          <t>Root/Items</t>
        </is>
      </c>
      <c r="D108" s="113" t="inlineStr">
        <is>
          <t>one-or-more required failure produces one group error and first-enabled-item focus</t>
        </is>
      </c>
      <c r="E108" s="114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6" t="inlineStr">
        <is>
          <t>untested</t>
        </is>
      </c>
      <c r="I108" s="113" t="inlineStr">
        <is>
          <t>Form &gt; Control: Foundation and automated Atom validation tests.</t>
        </is>
      </c>
      <c r="J108" s="113" t="inlineStr">
        <is>
          <t>Run and review the updated form-foundation validation steps.</t>
        </is>
      </c>
      <c r="K108" s="117">
        <f>IF(AND(E108="yes",F108="yes",H108="covered"),1,IF(H108="partial",0.5,0))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Collapsible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Props toolbar exposes Prop Check; raw Data verifies data-prop-check is absent by default and present when enabled.</t>
        </is>
      </c>
      <c r="J9" s="106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Props toolbar exposes Root, Trigger, and Content custom slot toggles; raw Data verifies custom data-slot values.</t>
        </is>
      </c>
      <c r="J10" s="106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Collapsible</t>
        </is>
      </c>
      <c r="D11" s="113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Step 0 smoke check verified top menu reachability.</t>
        </is>
      </c>
      <c r="J11" s="106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Collapsible</t>
        </is>
      </c>
      <c r="D12" s="113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Step 5 verified Source updates for state, composition, props, slots, and blocked trigger behavior.</t>
        </is>
      </c>
      <c r="J12" s="106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Collapsible</t>
        </is>
      </c>
      <c r="D13" s="113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Anatomy exposes live Attributes, ARIA, and Data groups for Root, Trigger, and Content.</t>
        </is>
      </c>
      <c r="J13" s="106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Collapsible</t>
        </is>
      </c>
      <c r="D14" s="113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Inspector Selected, Focused, and Logs verified for Collapsible.</t>
        </is>
      </c>
      <c r="J14" s="106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Collapsible</t>
        </is>
      </c>
      <c r="D15" s="113" t="inlineStr">
        <is>
          <t>Supports controlled and uncontrolled open state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Collapsible manual protocol in manual-tests/collapsible.md.</t>
        </is>
      </c>
      <c r="J15" s="106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Collapsible</t>
        </is>
      </c>
      <c r="D16" s="113" t="inlineStr">
        <is>
          <t>Links trigger and content with stable ARIA IDs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Trigger aria-controls matches rendered Content id; Content aria-labelledby matches Trigger id.</t>
        </is>
      </c>
      <c r="J16" s="106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Collapsible</t>
        </is>
      </c>
      <c r="D17" s="113" t="inlineStr">
        <is>
          <t>Supports mounted and unmounted closed content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Collapsible manual protocol in manual-tests/collapsible.md.</t>
        </is>
      </c>
      <c r="J17" s="106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Collapsible</t>
        </is>
      </c>
      <c r="D18" s="113" t="inlineStr">
        <is>
          <t>Exposes measured content height for CSS animation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Content exposes --content-height as a measured pixel value related to rendered content height.</t>
        </is>
      </c>
      <c r="J18" s="106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Collapsible</t>
        </is>
      </c>
      <c r="D19" s="113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Collapsible manual protocol in manual-tests/collapsible.md.</t>
        </is>
      </c>
      <c r="J19" s="106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Collapsible manual protocol in manual-tests/collapsible.md.</t>
        </is>
      </c>
      <c r="J20" s="106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Collapsible manual protocol in manual-tests/collapsible.md.</t>
        </is>
      </c>
      <c r="J21" s="106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Collapsible manual protocol in manual-tests/collapsible.md.</t>
        </is>
      </c>
      <c r="J22" s="106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Collapsible manual protocol in manual-tests/collapsible.md.</t>
        </is>
      </c>
      <c r="J23" s="106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Root data-prop-check verified in raw Data only when Prop Check is enabled.</t>
        </is>
      </c>
      <c r="J24" s="106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Root ref verified through Anatomy Ref target row.</t>
        </is>
      </c>
      <c r="J25" s="106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Collapsible manual protocol in manual-tests/collapsible.md.</t>
        </is>
      </c>
      <c r="J26" s="106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Collapsible manual protocol in manual-tests/collapsible.md.</t>
        </is>
      </c>
      <c r="J27" s="106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Collapsible manual protocol in manual-tests/collapsible.md.</t>
        </is>
      </c>
      <c r="J28" s="106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Collapsible manual protocol in manual-tests/collapsible.md.</t>
        </is>
      </c>
      <c r="J29" s="106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Collapsible manual protocol in manual-tests/collapsible.md.</t>
        </is>
      </c>
      <c r="J30" s="106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Collapsible manual protocol in manual-tests/collapsible.md.</t>
        </is>
      </c>
      <c r="J31" s="106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Collapsible manual protocol in manual-tests/collapsible.md.</t>
        </is>
      </c>
      <c r="J32" s="106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[data-state] prop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Collapsible manual protocol in manual-tests/collapsible.md.</t>
        </is>
      </c>
      <c r="J33" s="106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[data-disabled] prop behavior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Collapsible manual protocol in manual-tests/collapsible.md.</t>
        </is>
      </c>
      <c r="J34" s="106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renders correct part when expected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Collapsible manual protocol in manual-tests/collapsible.md.</t>
        </is>
      </c>
      <c r="J35" s="106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appears in documented order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Collapsible manual protocol in manual-tests/collapsible.md.</t>
        </is>
      </c>
      <c r="J36" s="106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default tag is visible in Anatomy/Inspector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Collapsible manual protocol in manual-tests/collapsible.md.</t>
        </is>
      </c>
      <c r="J37" s="106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data-slot is present and correct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Collapsible manual protocol in manual-tests/collapsible.md.</t>
        </is>
      </c>
      <c r="J38" s="106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non-Atom native props pass through with data-prop-check marker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Trigger data-prop-check verified in raw Data only when Prop Check is enabled.</t>
        </is>
      </c>
      <c r="J39" s="106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Trigger</t>
        </is>
      </c>
      <c r="D40" s="113" t="inlineStr">
        <is>
          <t>consumer ref receives the rendered element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Trigger ref verified through Anatomy Ref target row.</t>
        </is>
      </c>
      <c r="J40" s="106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Collapsible manual protocol in manual-tests/collapsible.md.</t>
        </is>
      </c>
      <c r="J41" s="106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Collapsible manual protocol in manual-tests/collapsible.md.</t>
        </is>
      </c>
      <c r="J42" s="106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Collapsible manual protocol in manual-tests/collapsible.md.</t>
        </is>
      </c>
      <c r="J43" s="106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[data-state]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Collapsible manual protocol in manual-tests/collapsible.md.</t>
        </is>
      </c>
      <c r="J44" s="106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Trigger</t>
        </is>
      </c>
      <c r="D45" s="113" t="inlineStr">
        <is>
          <t>[data-disabled] prop behavior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Collapsible manual protocol in manual-tests/collapsible.md.</t>
        </is>
      </c>
      <c r="J45" s="106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renders correct part when expected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Collapsible manual protocol in manual-tests/collapsible.md.</t>
        </is>
      </c>
      <c r="J46" s="106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appears in documented order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Collapsible manual protocol in manual-tests/collapsible.md.</t>
        </is>
      </c>
      <c r="J47" s="106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default tag is visible in Anatomy/Inspector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Collapsible manual protocol in manual-tests/collapsible.md.</t>
        </is>
      </c>
      <c r="J48" s="106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data-slot is present and correct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Collapsible manual protocol in manual-tests/collapsible.md.</t>
        </is>
      </c>
      <c r="J49" s="106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Content</t>
        </is>
      </c>
      <c r="D50" s="113" t="inlineStr">
        <is>
          <t>non-Atom native props pass through with data-prop-check marker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Content data-prop-check verified in raw Data only when Prop Check is enabled.</t>
        </is>
      </c>
      <c r="J50" s="106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Content</t>
        </is>
      </c>
      <c r="D51" s="113" t="inlineStr">
        <is>
          <t>consumer ref receives the rendered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Content ref verified through Anatomy Ref target row.</t>
        </is>
      </c>
      <c r="J51" s="106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Content</t>
        </is>
      </c>
      <c r="D52" s="113" t="inlineStr">
        <is>
          <t>asChild prop behavior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Collapsible manual protocol in manual-tests/collapsible.md.</t>
        </is>
      </c>
      <c r="J52" s="106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render prop behavior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Collapsible manual protocol in manual-tests/collapsible.md.</t>
        </is>
      </c>
      <c r="J53" s="106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Collapsible manual protocol in manual-tests/collapsible.md.</t>
        </is>
      </c>
      <c r="J54" s="106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05" t="inlineStr">
        <is>
          <t>yes</t>
        </is>
      </c>
      <c r="F55" s="105" t="inlineStr">
        <is>
          <t>yes</t>
        </is>
      </c>
      <c r="G55" s="105" t="inlineStr">
        <is>
          <t>passed</t>
        </is>
      </c>
      <c r="H55" s="105" t="inlineStr">
        <is>
          <t>covered</t>
        </is>
      </c>
      <c r="I55" s="106" t="inlineStr">
        <is>
          <t>Collapsible manual protocol in manual-tests/collapsible.md.</t>
        </is>
      </c>
      <c r="J55" s="106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05" t="inlineStr">
        <is>
          <t>yes</t>
        </is>
      </c>
      <c r="F56" s="105" t="inlineStr">
        <is>
          <t>yes</t>
        </is>
      </c>
      <c r="G56" s="105" t="inlineStr">
        <is>
          <t>passed</t>
        </is>
      </c>
      <c r="H56" s="105" t="inlineStr">
        <is>
          <t>covered</t>
        </is>
      </c>
      <c r="I56" s="106" t="inlineStr">
        <is>
          <t>Collapsible manual protocol in manual-tests/collapsible.md.</t>
        </is>
      </c>
      <c r="J56" s="106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--content-height prop behavior</t>
        </is>
      </c>
      <c r="E57" s="105" t="inlineStr">
        <is>
          <t>yes</t>
        </is>
      </c>
      <c r="F57" s="105" t="inlineStr">
        <is>
          <t>yes</t>
        </is>
      </c>
      <c r="G57" s="105" t="inlineStr">
        <is>
          <t>passed</t>
        </is>
      </c>
      <c r="H57" s="105" t="inlineStr">
        <is>
          <t>covered</t>
        </is>
      </c>
      <c r="I57" s="106" t="inlineStr">
        <is>
          <t>Content --content-height verified as a dynamic measured pixel value.</t>
        </is>
      </c>
      <c r="J57" s="106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aria-controls is present at the correct time</t>
        </is>
      </c>
      <c r="E58" s="105" t="inlineStr">
        <is>
          <t>yes</t>
        </is>
      </c>
      <c r="F58" s="105" t="inlineStr">
        <is>
          <t>yes</t>
        </is>
      </c>
      <c r="G58" s="105" t="inlineStr">
        <is>
          <t>passed</t>
        </is>
      </c>
      <c r="H58" s="105" t="inlineStr">
        <is>
          <t>covered</t>
        </is>
      </c>
      <c r="I58" s="106" t="inlineStr">
        <is>
          <t>aria-controls verified as a generated relationship matching Content id when Content is rendered.</t>
        </is>
      </c>
      <c r="J58" s="106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aria-disabled is present at the correct time</t>
        </is>
      </c>
      <c r="E59" s="105" t="inlineStr">
        <is>
          <t>yes</t>
        </is>
      </c>
      <c r="F59" s="105" t="inlineStr">
        <is>
          <t>yes</t>
        </is>
      </c>
      <c r="G59" s="105" t="inlineStr">
        <is>
          <t>passed</t>
        </is>
      </c>
      <c r="H59" s="105" t="inlineStr">
        <is>
          <t>covered</t>
        </is>
      </c>
      <c r="I59" s="106" t="inlineStr">
        <is>
          <t>Collapsible manual protocol in manual-tests/collapsible.md.</t>
        </is>
      </c>
      <c r="J59" s="106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aria-expanded is present at the correct time</t>
        </is>
      </c>
      <c r="E60" s="105" t="inlineStr">
        <is>
          <t>yes</t>
        </is>
      </c>
      <c r="F60" s="105" t="inlineStr">
        <is>
          <t>yes</t>
        </is>
      </c>
      <c r="G60" s="105" t="inlineStr">
        <is>
          <t>passed</t>
        </is>
      </c>
      <c r="H60" s="105" t="inlineStr">
        <is>
          <t>covered</t>
        </is>
      </c>
      <c r="I60" s="106" t="inlineStr">
        <is>
          <t>Collapsible manual protocol in manual-tests/collapsible.md.</t>
        </is>
      </c>
      <c r="J60" s="106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aria-labelledby is present at the correct time</t>
        </is>
      </c>
      <c r="E61" s="105" t="inlineStr">
        <is>
          <t>yes</t>
        </is>
      </c>
      <c r="F61" s="105" t="inlineStr">
        <is>
          <t>yes</t>
        </is>
      </c>
      <c r="G61" s="105" t="inlineStr">
        <is>
          <t>passed</t>
        </is>
      </c>
      <c r="H61" s="105" t="inlineStr">
        <is>
          <t>covered</t>
        </is>
      </c>
      <c r="I61" s="106" t="inlineStr">
        <is>
          <t>aria-labelledby verified as a generated relationship matching Trigger id.</t>
        </is>
      </c>
      <c r="J61" s="106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05" t="inlineStr">
        <is>
          <t>yes</t>
        </is>
      </c>
      <c r="F62" s="105" t="inlineStr">
        <is>
          <t>yes</t>
        </is>
      </c>
      <c r="G62" s="105" t="inlineStr">
        <is>
          <t>passed</t>
        </is>
      </c>
      <c r="H62" s="105" t="inlineStr">
        <is>
          <t>covered</t>
        </is>
      </c>
      <c r="I62" s="106" t="inlineStr">
        <is>
          <t>Collapsible manual protocol in manual-tests/collapsible.md.</t>
        </is>
      </c>
      <c r="J62" s="106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05" t="inlineStr">
        <is>
          <t>yes</t>
        </is>
      </c>
      <c r="F63" s="105" t="inlineStr">
        <is>
          <t>yes</t>
        </is>
      </c>
      <c r="G63" s="105" t="inlineStr">
        <is>
          <t>passed</t>
        </is>
      </c>
      <c r="H63" s="105" t="inlineStr">
        <is>
          <t>covered</t>
        </is>
      </c>
      <c r="I63" s="106" t="inlineStr">
        <is>
          <t>Collapsible manual protocol in manual-tests/collapsible.md.</t>
        </is>
      </c>
      <c r="J63" s="106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data-state is present at the correct time</t>
        </is>
      </c>
      <c r="E64" s="105" t="inlineStr">
        <is>
          <t>yes</t>
        </is>
      </c>
      <c r="F64" s="105" t="inlineStr">
        <is>
          <t>yes</t>
        </is>
      </c>
      <c r="G64" s="105" t="inlineStr">
        <is>
          <t>passed</t>
        </is>
      </c>
      <c r="H64" s="105" t="inlineStr">
        <is>
          <t>covered</t>
        </is>
      </c>
      <c r="I64" s="106" t="inlineStr">
        <is>
          <t>Collapsible manual protocol in manual-tests/collapsible.md.</t>
        </is>
      </c>
      <c r="J64" s="106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Collapsible</t>
        </is>
      </c>
      <c r="D65" s="113" t="inlineStr">
        <is>
          <t>asChild preserves child content without double nesting</t>
        </is>
      </c>
      <c r="E65" s="105" t="inlineStr">
        <is>
          <t>yes</t>
        </is>
      </c>
      <c r="F65" s="105" t="inlineStr">
        <is>
          <t>yes</t>
        </is>
      </c>
      <c r="G65" s="105" t="inlineStr">
        <is>
          <t>passed</t>
        </is>
      </c>
      <c r="H65" s="105" t="inlineStr">
        <is>
          <t>covered</t>
        </is>
      </c>
      <c r="I65" s="106" t="inlineStr">
        <is>
          <t>Root, Trigger, and Content asChild modes verified without extra wrappers.</t>
        </is>
      </c>
      <c r="J65" s="106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Collapsible</t>
        </is>
      </c>
      <c r="D66" s="113" t="inlineStr">
        <is>
          <t>asChild merges Atom props and consumer props</t>
        </is>
      </c>
      <c r="E66" s="105" t="inlineStr">
        <is>
          <t>yes</t>
        </is>
      </c>
      <c r="F66" s="105" t="inlineStr">
        <is>
          <t>yes</t>
        </is>
      </c>
      <c r="G66" s="105" t="inlineStr">
        <is>
          <t>passed</t>
        </is>
      </c>
      <c r="H66" s="105" t="inlineStr">
        <is>
          <t>covered</t>
        </is>
      </c>
      <c r="I66" s="106" t="inlineStr">
        <is>
          <t>asChild modes verified with Atom data/ARIA behavior and consumer props merged.</t>
        </is>
      </c>
      <c r="J66" s="106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Collapsible</t>
        </is>
      </c>
      <c r="D67" s="113" t="inlineStr">
        <is>
          <t>asChild lets preventDefault block Atom behavior where supported</t>
        </is>
      </c>
      <c r="E67" s="105" t="inlineStr">
        <is>
          <t>yes</t>
        </is>
      </c>
      <c r="F67" s="105" t="inlineStr">
        <is>
          <t>yes</t>
        </is>
      </c>
      <c r="G67" s="105" t="inlineStr">
        <is>
          <t>passed</t>
        </is>
      </c>
      <c r="H67" s="105" t="inlineStr">
        <is>
          <t>covered</t>
        </is>
      </c>
      <c r="I67" s="106" t="inlineStr">
        <is>
          <t>Block trigger control verifies consumer preventDefault blocks Atom trigger behavior.</t>
        </is>
      </c>
      <c r="J67" s="106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Collapsible</t>
        </is>
      </c>
      <c r="D68" s="113" t="inlineStr">
        <is>
          <t>render prop renders custom element</t>
        </is>
      </c>
      <c r="E68" s="105" t="inlineStr">
        <is>
          <t>yes</t>
        </is>
      </c>
      <c r="F68" s="105" t="inlineStr">
        <is>
          <t>yes</t>
        </is>
      </c>
      <c r="G68" s="105" t="inlineStr">
        <is>
          <t>passed</t>
        </is>
      </c>
      <c r="H68" s="105" t="inlineStr">
        <is>
          <t>covered</t>
        </is>
      </c>
      <c r="I68" s="106" t="inlineStr">
        <is>
          <t>Root, Trigger, and Content render modes verified with custom elements.</t>
        </is>
      </c>
      <c r="J68" s="106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Collapsible</t>
        </is>
      </c>
      <c r="D69" s="113" t="inlineStr">
        <is>
          <t>render prop preserves refs and behavior props</t>
        </is>
      </c>
      <c r="E69" s="105" t="inlineStr">
        <is>
          <t>yes</t>
        </is>
      </c>
      <c r="F69" s="105" t="inlineStr">
        <is>
          <t>yes</t>
        </is>
      </c>
      <c r="G69" s="105" t="inlineStr">
        <is>
          <t>passed</t>
        </is>
      </c>
      <c r="H69" s="105" t="inlineStr">
        <is>
          <t>covered</t>
        </is>
      </c>
      <c r="I69" s="106" t="inlineStr">
        <is>
          <t>Render modes verified with behavior props and Ref target evidence.</t>
        </is>
      </c>
      <c r="J69" s="106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controlled state path</t>
        </is>
      </c>
      <c r="E70" s="105" t="inlineStr">
        <is>
          <t>yes</t>
        </is>
      </c>
      <c r="F70" s="105" t="inlineStr">
        <is>
          <t>yes</t>
        </is>
      </c>
      <c r="G70" s="105" t="inlineStr">
        <is>
          <t>passed</t>
        </is>
      </c>
      <c r="H70" s="105" t="inlineStr">
        <is>
          <t>covered</t>
        </is>
      </c>
      <c r="I70" s="106" t="inlineStr">
        <is>
          <t>Collapsible manual protocol in manual-tests/collapsible.md.</t>
        </is>
      </c>
      <c r="J70" s="106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Root</t>
        </is>
      </c>
      <c r="D71" s="113" t="inlineStr">
        <is>
          <t>uncontrolled default state path</t>
        </is>
      </c>
      <c r="E71" s="105" t="inlineStr">
        <is>
          <t>yes</t>
        </is>
      </c>
      <c r="F71" s="105" t="inlineStr">
        <is>
          <t>yes</t>
        </is>
      </c>
      <c r="G71" s="105" t="inlineStr">
        <is>
          <t>passed</t>
        </is>
      </c>
      <c r="H71" s="105" t="inlineStr">
        <is>
          <t>covered</t>
        </is>
      </c>
      <c r="I71" s="106" t="inlineStr">
        <is>
          <t>Collapsible manual protocol in manual-tests/collapsible.md.</t>
        </is>
      </c>
      <c r="J71" s="106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state change callback fires once with correct value</t>
        </is>
      </c>
      <c r="E72" s="105" t="inlineStr">
        <is>
          <t>yes</t>
        </is>
      </c>
      <c r="F72" s="105" t="inlineStr">
        <is>
          <t>yes</t>
        </is>
      </c>
      <c r="G72" s="105" t="inlineStr">
        <is>
          <t>passed</t>
        </is>
      </c>
      <c r="H72" s="105" t="inlineStr">
        <is>
          <t>covered</t>
        </is>
      </c>
      <c r="I72" s="106" t="inlineStr">
        <is>
          <t>Collapsible manual protocol in manual-tests/collapsible.md.</t>
        </is>
      </c>
      <c r="J72" s="106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Interaction</t>
        </is>
      </c>
      <c r="C73" s="113" t="inlineStr">
        <is>
          <t>Trigger</t>
        </is>
      </c>
      <c r="D73" s="113" t="inlineStr">
        <is>
          <t>mouse click or pointer activation</t>
        </is>
      </c>
      <c r="E73" s="105" t="inlineStr">
        <is>
          <t>yes</t>
        </is>
      </c>
      <c r="F73" s="105" t="inlineStr">
        <is>
          <t>yes</t>
        </is>
      </c>
      <c r="G73" s="105" t="inlineStr">
        <is>
          <t>passed</t>
        </is>
      </c>
      <c r="H73" s="105" t="inlineStr">
        <is>
          <t>covered</t>
        </is>
      </c>
      <c r="I73" s="106" t="inlineStr">
        <is>
          <t>Collapsible manual protocol in manual-tests/collapsible.md.</t>
        </is>
      </c>
      <c r="J73" s="106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Interaction</t>
        </is>
      </c>
      <c r="C74" s="113" t="inlineStr">
        <is>
          <t>Trigger</t>
        </is>
      </c>
      <c r="D74" s="113" t="inlineStr">
        <is>
          <t>Enter key activation</t>
        </is>
      </c>
      <c r="E74" s="105" t="inlineStr">
        <is>
          <t>yes</t>
        </is>
      </c>
      <c r="F74" s="105" t="inlineStr">
        <is>
          <t>yes</t>
        </is>
      </c>
      <c r="G74" s="105" t="inlineStr">
        <is>
          <t>passed</t>
        </is>
      </c>
      <c r="H74" s="105" t="inlineStr">
        <is>
          <t>covered</t>
        </is>
      </c>
      <c r="I74" s="106" t="inlineStr">
        <is>
          <t>Collapsible manual protocol in manual-tests/collapsible.md.</t>
        </is>
      </c>
      <c r="J74" s="106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Interaction</t>
        </is>
      </c>
      <c r="C75" s="113" t="inlineStr">
        <is>
          <t>Trigger</t>
        </is>
      </c>
      <c r="D75" s="113" t="inlineStr">
        <is>
          <t>Space key activation</t>
        </is>
      </c>
      <c r="E75" s="105" t="inlineStr">
        <is>
          <t>yes</t>
        </is>
      </c>
      <c r="F75" s="105" t="inlineStr">
        <is>
          <t>yes</t>
        </is>
      </c>
      <c r="G75" s="105" t="inlineStr">
        <is>
          <t>passed</t>
        </is>
      </c>
      <c r="H75" s="105" t="inlineStr">
        <is>
          <t>covered</t>
        </is>
      </c>
      <c r="I75" s="106" t="inlineStr">
        <is>
          <t>Collapsible manual protocol in manual-tests/collapsible.md.</t>
        </is>
      </c>
      <c r="J75" s="106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Interaction</t>
        </is>
      </c>
      <c r="C76" s="113" t="inlineStr">
        <is>
          <t>Trigger</t>
        </is>
      </c>
      <c r="D76" s="113" t="inlineStr">
        <is>
          <t>disabled trigger blocks pointer and keyboard</t>
        </is>
      </c>
      <c r="E76" s="105" t="inlineStr">
        <is>
          <t>yes</t>
        </is>
      </c>
      <c r="F76" s="105" t="inlineStr">
        <is>
          <t>yes</t>
        </is>
      </c>
      <c r="G76" s="105" t="inlineStr">
        <is>
          <t>passed</t>
        </is>
      </c>
      <c r="H76" s="105" t="inlineStr">
        <is>
          <t>covered</t>
        </is>
      </c>
      <c r="I76" s="106" t="inlineStr">
        <is>
          <t>Disabled trigger verified to block pointer and keyboard activation.</t>
        </is>
      </c>
      <c r="J76" s="106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Focus</t>
        </is>
      </c>
      <c r="C77" s="113" t="inlineStr">
        <is>
          <t>Trigger</t>
        </is>
      </c>
      <c r="D77" s="113" t="inlineStr">
        <is>
          <t>focus ring and focus restoration are correct</t>
        </is>
      </c>
      <c r="E77" s="105" t="inlineStr">
        <is>
          <t>yes</t>
        </is>
      </c>
      <c r="F77" s="105" t="inlineStr">
        <is>
          <t>yes</t>
        </is>
      </c>
      <c r="G77" s="105" t="inlineStr">
        <is>
          <t>passed</t>
        </is>
      </c>
      <c r="H77" s="105" t="inlineStr">
        <is>
          <t>covered</t>
        </is>
      </c>
      <c r="I77" s="106" t="inlineStr">
        <is>
          <t>Collapsible manual protocol in manual-tests/collapsible.md.</t>
        </is>
      </c>
      <c r="J77" s="106" t="n"/>
      <c r="K77" s="117">
        <f>IF(AND(E77="yes",F77="yes",H77="covered"),1,IF(H77="partial",0.5,0))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05" t="n">
        <v>1</v>
      </c>
      <c r="B9" s="106" t="inlineStr">
        <is>
          <t>Playground</t>
        </is>
      </c>
      <c r="C9" s="106" t="inlineStr">
        <is>
          <t>Collection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Collection manual batch 1: initial values, disabled skip, next/previous focus movement, footer, Anatomy, and Log verified.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Collection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Collection playground manual verification.</t>
        </is>
      </c>
      <c r="J10" s="106" t="n"/>
      <c r="K10" s="107">
        <f>IF(H10="covered",1,IF(H10="partial",0.5,0))</f>
        <v/>
      </c>
    </row>
    <row r="11" ht="45" customHeight="1" s="58">
      <c r="A11" s="105" t="n">
        <v>3</v>
      </c>
      <c r="B11" s="106" t="inlineStr">
        <is>
          <t>Playground</t>
        </is>
      </c>
      <c r="C11" s="106" t="inlineStr">
        <is>
          <t>Collection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Collection manual batch 1: initial values, disabled skip, next/previous focus movement, footer, Anatomy, and Log verified.</t>
        </is>
      </c>
      <c r="J11" s="106" t="n"/>
      <c r="K11" s="107">
        <f>IF(H11="covered",1,IF(H11="partial",0.5,0))</f>
        <v/>
      </c>
    </row>
    <row r="12" ht="45" customHeight="1" s="58">
      <c r="A12" s="105" t="n">
        <v>4</v>
      </c>
      <c r="B12" s="106" t="inlineStr">
        <is>
          <t>Playground</t>
        </is>
      </c>
      <c r="C12" s="106" t="inlineStr">
        <is>
          <t>Collection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Collection manual batch 1: initial values, disabled skip, next/previous focus movement, footer, Anatomy, and Log verified.</t>
        </is>
      </c>
      <c r="J12" s="106" t="n"/>
      <c r="K12" s="107">
        <f>IF(H12="covered",1,IF(H12="partial",0.5,0))</f>
        <v/>
      </c>
    </row>
    <row r="13" ht="45" customHeight="1" s="58">
      <c r="A13" s="105" t="n">
        <v>5</v>
      </c>
      <c r="B13" s="106" t="inlineStr">
        <is>
          <t>Feature</t>
        </is>
      </c>
      <c r="C13" s="106" t="inlineStr">
        <is>
          <t>Collection</t>
        </is>
      </c>
      <c r="D13" s="106" t="inlineStr">
        <is>
          <t>Registers items by stable value and DOM element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Collection manual batch 1: initial values, disabled skip, next/previous focus movement, footer, Anatomy, and Log verified.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Collection</t>
        </is>
      </c>
      <c r="D14" s="106" t="inlineStr">
        <is>
          <t>Sorts items by live document order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Collection playground manual verification.</t>
        </is>
      </c>
      <c r="J14" s="106" t="n"/>
      <c r="K14" s="107">
        <f>IF(H14="covered",1,IF(H14="partial",0.5,0))</f>
        <v/>
      </c>
    </row>
    <row r="15" ht="45" customHeight="1" s="58">
      <c r="A15" s="105" t="n">
        <v>7</v>
      </c>
      <c r="B15" s="106" t="inlineStr">
        <is>
          <t>Feature</t>
        </is>
      </c>
      <c r="C15" s="106" t="inlineStr">
        <is>
          <t>Collection</t>
        </is>
      </c>
      <c r="D15" s="106" t="inlineStr">
        <is>
          <t>Tracks disabled state and custom item metadata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Collection manual batch 1: initial values, disabled skip, next/previous focus movement, footer, Anatomy, and Log verified.</t>
        </is>
      </c>
      <c r="J15" s="106" t="n"/>
      <c r="K15" s="107">
        <f>IF(H15="covered",1,IF(H15="partial",0.5,0))</f>
        <v/>
      </c>
    </row>
    <row r="16" ht="45" customHeight="1" s="58">
      <c r="A16" s="105" t="n">
        <v>8</v>
      </c>
      <c r="B16" s="106" t="inlineStr">
        <is>
          <t>Feature</t>
        </is>
      </c>
      <c r="C16" s="106" t="inlineStr">
        <is>
          <t>Collection</t>
        </is>
      </c>
      <c r="D16" s="106" t="inlineStr">
        <is>
          <t>Provides first, last, next, previous, enabled, and raw item lookup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Collection manual batch 1: initial values, disabled skip, next/previous focus movement, footer, Anatomy, and Log verified.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Collection</t>
        </is>
      </c>
      <c r="D17" s="106" t="inlineStr">
        <is>
          <t>Warns in development when duplicate values are registered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Collection playground manual verification.</t>
        </is>
      </c>
      <c r="J17" s="106" t="n"/>
      <c r="K17" s="107">
        <f>IF(H17="covered",1,IF(H17="partial",0.5,0))</f>
        <v/>
      </c>
    </row>
    <row r="18" ht="30" customHeight="1" s="58">
      <c r="A18" s="105" t="n">
        <v>10</v>
      </c>
      <c r="B18" s="106" t="inlineStr">
        <is>
          <t>Feature</t>
        </is>
      </c>
      <c r="C18" s="106" t="inlineStr">
        <is>
          <t>Collection</t>
        </is>
      </c>
      <c r="D18" s="106" t="inlineStr">
        <is>
          <t>Keeps roles, keyboard behavior, and rendered structure in the component that uses the collection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Collection playground manual verification.</t>
        </is>
      </c>
      <c r="J18" s="106" t="n"/>
      <c r="K18" s="107">
        <f>IF(H18="covered",1,IF(H18="partial",0.5,0))</f>
        <v/>
      </c>
    </row>
    <row r="19" ht="4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state appears in Anatomy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Collection manual batch 1: initial values, disabled skip, next/previous focus movement, footer, Anatomy, and Log verified.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Hook API</t>
        </is>
      </c>
      <c r="D20" s="106" t="inlineStr">
        <is>
          <t>hook API appears before consumer DOM evidence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Collection playground manual verification.</t>
        </is>
      </c>
      <c r="J20" s="106" t="n"/>
      <c r="K20" s="107">
        <f>IF(H20="covered",1,IF(H20="partial",0.5,0))</f>
        <v/>
      </c>
    </row>
    <row r="21" ht="45" customHeight="1" s="58">
      <c r="A21" s="105" t="n">
        <v>13</v>
      </c>
      <c r="B21" s="106" t="inlineStr">
        <is>
          <t>Identity</t>
        </is>
      </c>
      <c r="C21" s="106" t="inlineStr">
        <is>
          <t>Consumer DOM</t>
        </is>
      </c>
      <c r="D21" s="106" t="inlineStr">
        <is>
          <t>demo item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Collection manual batch 1: initial values, disabled skip, next/previous focus movement, footer, Anatomy, and Log verified.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Hook API</t>
        </is>
      </c>
      <c r="D22" s="106" t="inlineStr">
        <is>
          <t>Collection emits no data-slot because it renders no DOM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Collection playground manual verification.</t>
        </is>
      </c>
      <c r="J22" s="106" t="n"/>
      <c r="K22" s="107">
        <f>IF(H22="covered",1,IF(H22="partial",0.5,0))</f>
        <v/>
      </c>
    </row>
    <row r="23" ht="45" customHeight="1" s="58">
      <c r="A23" s="105" t="n">
        <v>15</v>
      </c>
      <c r="B23" s="106" t="inlineStr">
        <is>
          <t>Props</t>
        </is>
      </c>
      <c r="C23" s="106" t="inlineStr">
        <is>
          <t>Consumer DOM</t>
        </is>
      </c>
      <c r="D23" s="106" t="inlineStr">
        <is>
          <t>non-Atom marker data-prop-check appears on demo item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Collection manual batch 1: initial values, disabled skip, next/previous focus movement, footer, Anatomy, and Log verified.</t>
        </is>
      </c>
      <c r="J23" s="106" t="n"/>
      <c r="K23" s="107">
        <f>IF(H23="covered",1,IF(H23="partial",0.5,0))</f>
        <v/>
      </c>
    </row>
    <row r="24" ht="4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registered items render in DOM evidence group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Collection manual batch 1: initial values, disabled skip, next/previous focus movement, footer, Anatomy, and Log verified.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Consumer DOM</t>
        </is>
      </c>
      <c r="D25" s="106" t="inlineStr">
        <is>
          <t>item groups follow live DOM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Collection playground manual verification.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Identity</t>
        </is>
      </c>
      <c r="C26" s="106" t="inlineStr">
        <is>
          <t>Consumer DOM</t>
        </is>
      </c>
      <c r="D26" s="106" t="inlineStr">
        <is>
          <t>item values are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Collection playground manual verification.</t>
        </is>
      </c>
      <c r="J26" s="106" t="n"/>
      <c r="K26" s="107">
        <f>IF(H26="covered",1,IF(H26="partial",0.5,0))</f>
        <v/>
      </c>
    </row>
    <row r="27" ht="30" customHeight="1" s="58">
      <c r="A27" s="105" t="n">
        <v>19</v>
      </c>
      <c r="B27" s="106" t="inlineStr">
        <is>
          <t>Identity</t>
        </is>
      </c>
      <c r="C27" s="106" t="inlineStr">
        <is>
          <t>Hook API</t>
        </is>
      </c>
      <c r="D27" s="106" t="inlineStr">
        <is>
          <t>Collection emits no Atom data attributes because it renders no DOM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Collection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Consumer DOM</t>
        </is>
      </c>
      <c r="D28" s="106" t="inlineStr">
        <is>
          <t>metadata and disabled state are visible in lookup/items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Collection playground manual verification.</t>
        </is>
      </c>
      <c r="J28" s="106" t="n"/>
      <c r="K28" s="107">
        <f>IF(H28="covered",1,IF(H28="partial",0.5,0))</f>
        <v/>
      </c>
    </row>
    <row r="29" ht="45" customHeight="1" s="58">
      <c r="A29" s="105" t="n">
        <v>21</v>
      </c>
      <c r="B29" s="106" t="inlineStr">
        <is>
          <t>Utility</t>
        </is>
      </c>
      <c r="C29" s="106" t="inlineStr">
        <is>
          <t>Collection</t>
        </is>
      </c>
      <c r="D29" s="106" t="inlineStr">
        <is>
          <t>registers enabled and disabled items in DOM order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Collection manual batch 1: initial values, disabled skip, next/previous focus movement, footer, Anatomy, and Log verified.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Collection</t>
        </is>
      </c>
      <c r="D30" s="106" t="inlineStr">
        <is>
          <t>sorts disconnected items after connected items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Collection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Collection</t>
        </is>
      </c>
      <c r="D31" s="106" t="inlineStr">
        <is>
          <t>next/previous navigation respects loop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Collection playground manual verification.</t>
        </is>
      </c>
      <c r="J31" s="106" t="n"/>
      <c r="K31" s="107">
        <f>IF(H31="covered",1,IF(H31="partial",0.5,0))</f>
        <v/>
      </c>
    </row>
    <row r="32" ht="13.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13.5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K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Combobox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IFERROR(SUM(K9:K186)/COUNTA(A9:A186),0)</f>
        <v/>
      </c>
      <c r="C4" s="86" t="inlineStr">
        <is>
          <t>Covered</t>
        </is>
      </c>
      <c r="D4" s="98">
        <f>COUNTIF(H9:H186,"covered")</f>
        <v/>
      </c>
      <c r="E4" s="86" t="inlineStr">
        <is>
          <t>Partial</t>
        </is>
      </c>
      <c r="F4" s="98">
        <f>COUNTIF(H9:H186,"partial")</f>
        <v/>
      </c>
      <c r="G4" s="86" t="inlineStr">
        <is>
          <t>Missing</t>
        </is>
      </c>
      <c r="H4" s="98">
        <f>COUNTIF(H9:H186,"missing")</f>
        <v/>
      </c>
      <c r="I4" s="86" t="inlineStr">
        <is>
          <t>Untested</t>
        </is>
      </c>
      <c r="J4" s="98">
        <f>COUNTIF(F9:F186,"no")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Combobox playground scenario.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Combobox playground scenario.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Combobox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Combobox playground scenario.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Combobox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Combobox playground scenario.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Combobox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Combobox playground scenario.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Combobox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Combobox playground scenario.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Combobox</t>
        </is>
      </c>
      <c r="D15" s="113" t="inlineStr">
        <is>
          <t>Controlled and uncontrolled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Combobox playground scenario.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Combobox</t>
        </is>
      </c>
      <c r="D16" s="113" t="inlineStr">
        <is>
          <t>Controlled and uncontrolled input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Combobox playground scenario.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Combobox</t>
        </is>
      </c>
      <c r="D17" s="113" t="inlineStr">
        <is>
          <t>Controlled and uncontrolled open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Combobox playground scenario.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Combobox</t>
        </is>
      </c>
      <c r="D18" s="113" t="inlineStr">
        <is>
          <t>Keyboard navigation with `aria-activedescendant`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Combobox playground scenario.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Combobox</t>
        </is>
      </c>
      <c r="D19" s="113" t="inlineStr">
        <is>
          <t>Escape closes first, then clears when closed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Combobox playground scenario.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Combobox</t>
        </is>
      </c>
      <c r="D20" s="113" t="inlineStr">
        <is>
          <t>Stack-aware Escape dismissal when nested inside parent overlays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Combobox playground scenario.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Combobox</t>
        </is>
      </c>
      <c r="D21" s="113" t="inlineStr">
        <is>
          <t>Option groups, labels, empty/loading states, portal, and clear control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Combobox playground scenario.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Combobox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Combobox playground scenario.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Combobox playground scenario.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Combobox playground scenario.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Combobox playground scenario.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Combobox playground scenario.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Combobox playground scenario.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Combobox playground scenario.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options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Combobox playground scenario.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Combobox playground scenario.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Combobox playground scenario.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Combobox playground scenario.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inputValue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Combobox playground scenario.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defaultInputValue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Combobox playground scenario.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onInputValueChange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Combobox playground scenario.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open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Combobox playground scenario.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defaultOpen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Combobox playground scenario.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onOpenChange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Combobox playground scenario.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openOnFocus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Combobox playground scenario.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clearOnSelect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Combobox playground scenario.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Combobox playground scenario.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readOnly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Combobox playground scenario.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Combobox playground scenario.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invalid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Combobox playground scenario.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name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Combobox playground scenario.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form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Combobox playground scenario.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Portal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Combobox playground scenario.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Combobox playground scenario.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Portal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Combobox playground scenario.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Portal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Combobox playground scenario.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Portal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Combobox playground scenario.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Portal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Combobox playground scenario.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Positioning</t>
        </is>
      </c>
      <c r="C53" s="113" t="inlineStr">
        <is>
          <t>Portal</t>
        </is>
      </c>
      <c r="D53" s="113" t="inlineStr">
        <is>
          <t>container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Combobox playground scenario.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Portal</t>
        </is>
      </c>
      <c r="D54" s="113" t="inlineStr">
        <is>
          <t>disabled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Combobox playground scenario.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Content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Combobox playground scenario.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Combobox playground scenario.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Content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Combobox playground scenario.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Combobox playground scenario.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Content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Combobox playground scenario.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Content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Combobox playground scenario.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[data-slot]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Combobox playground scenario.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Content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Combobox playground scenario.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Listbox</t>
        </is>
      </c>
      <c r="D63" s="113" t="inlineStr">
        <is>
          <t>renders correct part when expected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Combobox playground scenario.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Listbox</t>
        </is>
      </c>
      <c r="D64" s="113" t="inlineStr">
        <is>
          <t>appears in documented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Combobox playground scenario.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Identity</t>
        </is>
      </c>
      <c r="C65" s="113" t="inlineStr">
        <is>
          <t>Listbox</t>
        </is>
      </c>
      <c r="D65" s="113" t="inlineStr">
        <is>
          <t>default tag is visible in Anatomy/Inspector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Combobox playground scenario.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Listbox</t>
        </is>
      </c>
      <c r="D66" s="113" t="inlineStr">
        <is>
          <t>data-slot is present and correct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Combobox playground scenario.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Props</t>
        </is>
      </c>
      <c r="C67" s="113" t="inlineStr">
        <is>
          <t>Listbox</t>
        </is>
      </c>
      <c r="D67" s="113" t="inlineStr">
        <is>
          <t>non-Atom native props pass through with data-prop-check marker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Combobox playground scenario.</t>
        </is>
      </c>
      <c r="J67" s="113" t="n"/>
      <c r="K67" s="117">
        <f>IF(AND(E67="yes",F67="yes",H67="covered"),1,IF(AND(E67="yes",H67="partial"),0.5,0))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Listbox</t>
        </is>
      </c>
      <c r="D68" s="113" t="inlineStr">
        <is>
          <t>consumer ref receives the rendered element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Combobox playground scenario.</t>
        </is>
      </c>
      <c r="J68" s="113" t="n"/>
      <c r="K68" s="117">
        <f>IF(AND(E68="yes",F68="yes",H68="covered"),1,IF(AND(E68="yes",H68="partial"),0.5,0))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Listbox</t>
        </is>
      </c>
      <c r="D69" s="113" t="inlineStr">
        <is>
          <t>[data-slot]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Combobox playground scenario.</t>
        </is>
      </c>
      <c r="J69" s="113" t="n"/>
      <c r="K69" s="117">
        <f>IF(AND(E69="yes",F69="yes",H69="covered"),1,IF(AND(E69="yes",H69="partial"),0.5,0))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Group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Combobox playground scenario.</t>
        </is>
      </c>
      <c r="J70" s="113" t="n"/>
      <c r="K70" s="117">
        <f>IF(AND(E70="yes",F70="yes",H70="covered"),1,IF(AND(E70="yes",H70="partial"),0.5,0))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Group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Combobox playground scenario.</t>
        </is>
      </c>
      <c r="J71" s="113" t="n"/>
      <c r="K71" s="117">
        <f>IF(AND(E71="yes",F71="yes",H71="covered"),1,IF(AND(E71="yes",H71="partial"),0.5,0))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Group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Combobox playground scenario.</t>
        </is>
      </c>
      <c r="J72" s="113" t="n"/>
      <c r="K72" s="117">
        <f>IF(AND(E72="yes",F72="yes",H72="covered"),1,IF(AND(E72="yes",H72="partial"),0.5,0))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Group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Combobox playground scenario.</t>
        </is>
      </c>
      <c r="J73" s="113" t="n"/>
      <c r="K73" s="117">
        <f>IF(AND(E73="yes",F73="yes",H73="covered"),1,IF(AND(E73="yes",H73="partial"),0.5,0))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Group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Combobox playground scenario.</t>
        </is>
      </c>
      <c r="J74" s="113" t="n"/>
      <c r="K74" s="117">
        <f>IF(AND(E74="yes",F74="yes",H74="covered"),1,IF(AND(E74="yes",H74="partial"),0.5,0))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Group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Combobox playground scenario.</t>
        </is>
      </c>
      <c r="J75" s="113" t="n"/>
      <c r="K75" s="117">
        <f>IF(AND(E75="yes",F75="yes",H75="covered"),1,IF(AND(E75="yes",H75="partial"),0.5,0))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Group</t>
        </is>
      </c>
      <c r="D76" s="113" t="inlineStr">
        <is>
          <t>aria-label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Combobox playground scenario.</t>
        </is>
      </c>
      <c r="J76" s="113" t="n"/>
      <c r="K76" s="117">
        <f>IF(AND(E76="yes",F76="yes",H76="covered"),1,IF(AND(E76="yes",H76="partial"),0.5,0))</f>
        <v/>
      </c>
    </row>
    <row r="77" ht="15" customHeight="1" s="58">
      <c r="A77" s="112" t="n">
        <v>69</v>
      </c>
      <c r="B77" s="113" t="inlineStr">
        <is>
          <t>Accessibility</t>
        </is>
      </c>
      <c r="C77" s="113" t="inlineStr">
        <is>
          <t>Group</t>
        </is>
      </c>
      <c r="D77" s="113" t="inlineStr">
        <is>
          <t>aria-labelledby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Combobox playground scenario.</t>
        </is>
      </c>
      <c r="J77" s="113" t="n"/>
      <c r="K77" s="117">
        <f>IF(AND(E77="yes",F77="yes",H77="covered"),1,IF(AND(E77="yes",H77="partial"),0.5,0))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Group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Combobox playground scenario.</t>
        </is>
      </c>
      <c r="J78" s="113" t="n"/>
      <c r="K78" s="117">
        <f>IF(AND(E78="yes",F78="yes",H78="covered"),1,IF(AND(E78="yes",H78="partial"),0.5,0))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Label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Combobox playground scenario.</t>
        </is>
      </c>
      <c r="J79" s="113" t="n"/>
      <c r="K79" s="117">
        <f>IF(AND(E79="yes",F79="yes",H79="covered"),1,IF(AND(E79="yes",H79="partial"),0.5,0))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Label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Combobox playground scenario.</t>
        </is>
      </c>
      <c r="J80" s="113" t="n"/>
      <c r="K80" s="117">
        <f>IF(AND(E80="yes",F80="yes",H80="covered"),1,IF(AND(E80="yes",H80="partial"),0.5,0))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Label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Combobox playground scenario.</t>
        </is>
      </c>
      <c r="J81" s="113" t="n"/>
      <c r="K81" s="117">
        <f>IF(AND(E81="yes",F81="yes",H81="covered"),1,IF(AND(E81="yes",H81="partial"),0.5,0))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Label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Combobox playground scenario.</t>
        </is>
      </c>
      <c r="J82" s="113" t="n"/>
      <c r="K82" s="117">
        <f>IF(AND(E82="yes",F82="yes",H82="covered"),1,IF(AND(E82="yes",H82="partial"),0.5,0))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Label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Combobox playground scenario.</t>
        </is>
      </c>
      <c r="J83" s="113" t="n"/>
      <c r="K83" s="117">
        <f>IF(AND(E83="yes",F83="yes",H83="covered"),1,IF(AND(E83="yes",H83="partial"),0.5,0))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Label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Combobox playground scenario.</t>
        </is>
      </c>
      <c r="J84" s="113" t="n"/>
      <c r="K84" s="117">
        <f>IF(AND(E84="yes",F84="yes",H84="covered"),1,IF(AND(E84="yes",H84="partial"),0.5,0))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Label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Combobox playground scenario.</t>
        </is>
      </c>
      <c r="J85" s="113" t="n"/>
      <c r="K85" s="117">
        <f>IF(AND(E85="yes",F85="yes",H85="covered"),1,IF(AND(E85="yes",H85="partial"),0.5,0))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Item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Combobox playground scenario.</t>
        </is>
      </c>
      <c r="J86" s="113" t="n"/>
      <c r="K86" s="117">
        <f>IF(AND(E86="yes",F86="yes",H86="covered"),1,IF(AND(E86="yes",H86="partial"),0.5,0))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Item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Combobox playground scenario.</t>
        </is>
      </c>
      <c r="J87" s="113" t="n"/>
      <c r="K87" s="117">
        <f>IF(AND(E87="yes",F87="yes",H87="covered"),1,IF(AND(E87="yes",H87="partial"),0.5,0))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Item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Combobox playground scenario.</t>
        </is>
      </c>
      <c r="J88" s="113" t="n"/>
      <c r="K88" s="117">
        <f>IF(AND(E88="yes",F88="yes",H88="covered"),1,IF(AND(E88="yes",H88="partial"),0.5,0))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Item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Combobox playground scenario.</t>
        </is>
      </c>
      <c r="J89" s="113" t="n"/>
      <c r="K89" s="117">
        <f>IF(AND(E89="yes",F89="yes",H89="covered"),1,IF(AND(E89="yes",H89="partial"),0.5,0))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Item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Combobox playground scenario.</t>
        </is>
      </c>
      <c r="J90" s="113" t="n"/>
      <c r="K90" s="117">
        <f>IF(AND(E90="yes",F90="yes",H90="covered"),1,IF(AND(E90="yes",H90="partial"),0.5,0))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Item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Combobox playground scenario.</t>
        </is>
      </c>
      <c r="J91" s="113" t="n"/>
      <c r="K91" s="117">
        <f>IF(AND(E91="yes",F91="yes",H91="covered"),1,IF(AND(E91="yes",H91="partial"),0.5,0))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Item</t>
        </is>
      </c>
      <c r="D92" s="113" t="inlineStr">
        <is>
          <t>value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Combobox playground scenario.</t>
        </is>
      </c>
      <c r="J92" s="113" t="n"/>
      <c r="K92" s="117">
        <f>IF(AND(E92="yes",F92="yes",H92="covered"),1,IF(AND(E92="yes",H92="partial"),0.5,0))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Item</t>
        </is>
      </c>
      <c r="D93" s="113" t="inlineStr">
        <is>
          <t>label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Combobox playground scenario.</t>
        </is>
      </c>
      <c r="J93" s="113" t="n"/>
      <c r="K93" s="117">
        <f>IF(AND(E93="yes",F93="yes",H93="covered"),1,IF(AND(E93="yes",H93="partial"),0.5,0))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Item</t>
        </is>
      </c>
      <c r="D94" s="113" t="inlineStr">
        <is>
          <t>disabled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Combobox playground scenario.</t>
        </is>
      </c>
      <c r="J94" s="113" t="n"/>
      <c r="K94" s="117">
        <f>IF(AND(E94="yes",F94="yes",H94="covered"),1,IF(AND(E94="yes",H94="partial"),0.5,0))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Item</t>
        </is>
      </c>
      <c r="D95" s="113" t="inlineStr">
        <is>
          <t>[data-slot]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Combobox playground scenario.</t>
        </is>
      </c>
      <c r="J95" s="113" t="n"/>
      <c r="K95" s="117">
        <f>IF(AND(E95="yes",F95="yes",H95="covered"),1,IF(AND(E95="yes",H95="partial"),0.5,0))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Item</t>
        </is>
      </c>
      <c r="D96" s="113" t="inlineStr">
        <is>
          <t>[data-state]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Combobox playground scenario.</t>
        </is>
      </c>
      <c r="J96" s="113" t="n"/>
      <c r="K96" s="117">
        <f>IF(AND(E96="yes",F96="yes",H96="covered"),1,IF(AND(E96="yes",H96="partial"),0.5,0))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Item</t>
        </is>
      </c>
      <c r="D97" s="113" t="inlineStr">
        <is>
          <t>[data-highlighted]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Combobox playground scenario.</t>
        </is>
      </c>
      <c r="J97" s="113" t="n"/>
      <c r="K97" s="117">
        <f>IF(AND(E97="yes",F97="yes",H97="covered"),1,IF(AND(E97="yes",H97="partial"),0.5,0))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Item</t>
        </is>
      </c>
      <c r="D98" s="113" t="inlineStr">
        <is>
          <t>[data-disabled]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Combobox playground scenario.</t>
        </is>
      </c>
      <c r="J98" s="113" t="n"/>
      <c r="K98" s="117">
        <f>IF(AND(E98="yes",F98="yes",H98="covered"),1,IF(AND(E98="yes",H98="partial"),0.5,0))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Item</t>
        </is>
      </c>
      <c r="D99" s="113" t="inlineStr">
        <is>
          <t>[data-value]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Combobox playground scenario.</t>
        </is>
      </c>
      <c r="J99" s="113" t="n"/>
      <c r="K99" s="117">
        <f>IF(AND(E99="yes",F99="yes",H99="covered"),1,IF(AND(E99="yes",H99="partial"),0.5,0))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Clear</t>
        </is>
      </c>
      <c r="D100" s="113" t="inlineStr">
        <is>
          <t>renders correct part when expected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Combobox playground scenario.</t>
        </is>
      </c>
      <c r="J100" s="113" t="n"/>
      <c r="K100" s="117">
        <f>IF(AND(E100="yes",F100="yes",H100="covered"),1,IF(AND(E100="yes",H100="partial"),0.5,0))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Clear</t>
        </is>
      </c>
      <c r="D101" s="113" t="inlineStr">
        <is>
          <t>appears in documented order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Combobox playground scenario.</t>
        </is>
      </c>
      <c r="J101" s="113" t="n"/>
      <c r="K101" s="117">
        <f>IF(AND(E101="yes",F101="yes",H101="covered"),1,IF(AND(E101="yes",H101="partial"),0.5,0))</f>
        <v/>
      </c>
    </row>
    <row r="102" ht="30" customHeight="1" s="58">
      <c r="A102" s="112" t="n">
        <v>94</v>
      </c>
      <c r="B102" s="113" t="inlineStr">
        <is>
          <t>Identity</t>
        </is>
      </c>
      <c r="C102" s="113" t="inlineStr">
        <is>
          <t>Clear</t>
        </is>
      </c>
      <c r="D102" s="113" t="inlineStr">
        <is>
          <t>default tag is visible in Anatomy/Inspector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Combobox playground scenario.</t>
        </is>
      </c>
      <c r="J102" s="113" t="n"/>
      <c r="K102" s="117">
        <f>IF(AND(E102="yes",F102="yes",H102="covered"),1,IF(AND(E102="yes",H102="partial"),0.5,0))</f>
        <v/>
      </c>
    </row>
    <row r="103" ht="15" customHeight="1" s="58">
      <c r="A103" s="112" t="n">
        <v>95</v>
      </c>
      <c r="B103" s="113" t="inlineStr">
        <is>
          <t>Identity</t>
        </is>
      </c>
      <c r="C103" s="113" t="inlineStr">
        <is>
          <t>Clear</t>
        </is>
      </c>
      <c r="D103" s="113" t="inlineStr">
        <is>
          <t>data-slot is present and correct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Combobox playground scenario.</t>
        </is>
      </c>
      <c r="J103" s="113" t="n"/>
      <c r="K103" s="117">
        <f>IF(AND(E103="yes",F103="yes",H103="covered"),1,IF(AND(E103="yes",H103="partial"),0.5,0))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Clear</t>
        </is>
      </c>
      <c r="D104" s="113" t="inlineStr">
        <is>
          <t>non-Atom native props pass through with data-prop-check marker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Combobox playground scenario.</t>
        </is>
      </c>
      <c r="J104" s="113" t="n"/>
      <c r="K104" s="117">
        <f>IF(AND(E104="yes",F104="yes",H104="covered"),1,IF(AND(E104="yes",H104="partial"),0.5,0))</f>
        <v/>
      </c>
    </row>
    <row r="105" ht="15" customHeight="1" s="58">
      <c r="A105" s="112" t="n">
        <v>97</v>
      </c>
      <c r="B105" s="113" t="inlineStr">
        <is>
          <t>Refs</t>
        </is>
      </c>
      <c r="C105" s="113" t="inlineStr">
        <is>
          <t>Clear</t>
        </is>
      </c>
      <c r="D105" s="113" t="inlineStr">
        <is>
          <t>consumer ref receives the rendered element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Combobox playground scenario.</t>
        </is>
      </c>
      <c r="J105" s="113" t="n"/>
      <c r="K105" s="117">
        <f>IF(AND(E105="yes",F105="yes",H105="covered"),1,IF(AND(E105="yes",H105="partial"),0.5,0))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Clear</t>
        </is>
      </c>
      <c r="D106" s="113" t="inlineStr">
        <is>
          <t>asChild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Combobox playground scenario.</t>
        </is>
      </c>
      <c r="J106" s="113" t="n"/>
      <c r="K106" s="117">
        <f>IF(AND(E106="yes",F106="yes",H106="covered"),1,IF(AND(E106="yes",H106="partial"),0.5,0))</f>
        <v/>
      </c>
    </row>
    <row r="107" ht="15" customHeight="1" s="58">
      <c r="A107" s="112" t="n">
        <v>99</v>
      </c>
      <c r="B107" s="113" t="inlineStr">
        <is>
          <t>Composition</t>
        </is>
      </c>
      <c r="C107" s="113" t="inlineStr">
        <is>
          <t>Clear</t>
        </is>
      </c>
      <c r="D107" s="113" t="inlineStr">
        <is>
          <t>render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Combobox playground scenario.</t>
        </is>
      </c>
      <c r="J107" s="113" t="n"/>
      <c r="K107" s="117">
        <f>IF(AND(E107="yes",F107="yes",H107="covered"),1,IF(AND(E107="yes",H107="partial"),0.5,0))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Clear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Combobox playground scenario.</t>
        </is>
      </c>
      <c r="J108" s="113" t="n"/>
      <c r="K108" s="117">
        <f>IF(AND(E108="yes",F108="yes",H108="covered"),1,IF(AND(E108="yes",H108="partial"),0.5,0))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Clear</t>
        </is>
      </c>
      <c r="D109" s="113" t="inlineStr">
        <is>
          <t>[data-slot] prop behavior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Combobox playground scenario.</t>
        </is>
      </c>
      <c r="J109" s="113" t="n"/>
      <c r="K109" s="117">
        <f>IF(AND(E109="yes",F109="yes",H109="covered"),1,IF(AND(E109="yes",H109="partial"),0.5,0))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Clear</t>
        </is>
      </c>
      <c r="D110" s="113" t="inlineStr">
        <is>
          <t>[data-hidden] prop behavior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Combobox playground scenario.</t>
        </is>
      </c>
      <c r="J110" s="113" t="n"/>
      <c r="K110" s="117">
        <f>IF(AND(E110="yes",F110="yes",H110="covered"),1,IF(AND(E110="yes",H110="partial"),0.5,0))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Empty</t>
        </is>
      </c>
      <c r="D111" s="113" t="inlineStr">
        <is>
          <t>renders correct part when expected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Combobox playground scenario.</t>
        </is>
      </c>
      <c r="J111" s="113" t="n"/>
      <c r="K111" s="117">
        <f>IF(AND(E111="yes",F111="yes",H111="covered"),1,IF(AND(E111="yes",H111="partial"),0.5,0))</f>
        <v/>
      </c>
    </row>
    <row r="112" ht="15" customHeight="1" s="58">
      <c r="A112" s="112" t="n">
        <v>104</v>
      </c>
      <c r="B112" s="113" t="inlineStr">
        <is>
          <t>Anatomy</t>
        </is>
      </c>
      <c r="C112" s="113" t="inlineStr">
        <is>
          <t>Empty</t>
        </is>
      </c>
      <c r="D112" s="113" t="inlineStr">
        <is>
          <t>appears in documented order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Combobox playground scenario.</t>
        </is>
      </c>
      <c r="J112" s="113" t="n"/>
      <c r="K112" s="117">
        <f>IF(AND(E112="yes",F112="yes",H112="covered"),1,IF(AND(E112="yes",H112="partial"),0.5,0))</f>
        <v/>
      </c>
    </row>
    <row r="113" ht="30" customHeight="1" s="58">
      <c r="A113" s="112" t="n">
        <v>105</v>
      </c>
      <c r="B113" s="113" t="inlineStr">
        <is>
          <t>Identity</t>
        </is>
      </c>
      <c r="C113" s="113" t="inlineStr">
        <is>
          <t>Empty</t>
        </is>
      </c>
      <c r="D113" s="113" t="inlineStr">
        <is>
          <t>default tag is visible in Anatomy/Inspector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Combobox playground scenario.</t>
        </is>
      </c>
      <c r="J113" s="113" t="n"/>
      <c r="K113" s="117">
        <f>IF(AND(E113="yes",F113="yes",H113="covered"),1,IF(AND(E113="yes",H113="partial"),0.5,0))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Empty</t>
        </is>
      </c>
      <c r="D114" s="113" t="inlineStr">
        <is>
          <t>data-slot is present and correct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Combobox playground scenario.</t>
        </is>
      </c>
      <c r="J114" s="113" t="n"/>
      <c r="K114" s="117">
        <f>IF(AND(E114="yes",F114="yes",H114="covered"),1,IF(AND(E114="yes",H114="partial"),0.5,0))</f>
        <v/>
      </c>
    </row>
    <row r="115" ht="15" customHeight="1" s="58">
      <c r="A115" s="112" t="n">
        <v>107</v>
      </c>
      <c r="B115" s="113" t="inlineStr">
        <is>
          <t>Props</t>
        </is>
      </c>
      <c r="C115" s="113" t="inlineStr">
        <is>
          <t>Empty</t>
        </is>
      </c>
      <c r="D115" s="113" t="inlineStr">
        <is>
          <t>non-Atom native props pass through with data-prop-check marker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Combobox playground scenario.</t>
        </is>
      </c>
      <c r="J115" s="113" t="n"/>
      <c r="K115" s="117">
        <f>IF(AND(E115="yes",F115="yes",H115="covered"),1,IF(AND(E115="yes",H115="partial"),0.5,0))</f>
        <v/>
      </c>
    </row>
    <row r="116" ht="15" customHeight="1" s="58">
      <c r="A116" s="112" t="n">
        <v>108</v>
      </c>
      <c r="B116" s="113" t="inlineStr">
        <is>
          <t>Refs</t>
        </is>
      </c>
      <c r="C116" s="113" t="inlineStr">
        <is>
          <t>Empty</t>
        </is>
      </c>
      <c r="D116" s="113" t="inlineStr">
        <is>
          <t>consumer ref receives the rendered element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Combobox playground scenario.</t>
        </is>
      </c>
      <c r="J116" s="113" t="n"/>
      <c r="K116" s="117">
        <f>IF(AND(E116="yes",F116="yes",H116="covered"),1,IF(AND(E116="yes",H116="partial"),0.5,0))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Empty</t>
        </is>
      </c>
      <c r="D117" s="113" t="inlineStr">
        <is>
          <t>[data-slot]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Combobox playground scenario.</t>
        </is>
      </c>
      <c r="J117" s="113" t="n"/>
      <c r="K117" s="117">
        <f>IF(AND(E117="yes",F117="yes",H117="covered"),1,IF(AND(E117="yes",H117="partial"),0.5,0))</f>
        <v/>
      </c>
    </row>
    <row r="118" ht="15" customHeight="1" s="58">
      <c r="A118" s="112" t="n">
        <v>110</v>
      </c>
      <c r="B118" s="113" t="inlineStr">
        <is>
          <t>Anatomy</t>
        </is>
      </c>
      <c r="C118" s="113" t="inlineStr">
        <is>
          <t>Input</t>
        </is>
      </c>
      <c r="D118" s="113" t="inlineStr">
        <is>
          <t>renders correct part when expected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Combobox playground scenario.</t>
        </is>
      </c>
      <c r="J118" s="113" t="n"/>
      <c r="K118" s="117">
        <f>IF(AND(E118="yes",F118="yes",H118="covered"),1,IF(AND(E118="yes",H118="partial"),0.5,0))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Input</t>
        </is>
      </c>
      <c r="D119" s="113" t="inlineStr">
        <is>
          <t>appears in documented order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Combobox playground scenario.</t>
        </is>
      </c>
      <c r="J119" s="113" t="n"/>
      <c r="K119" s="117">
        <f>IF(AND(E119="yes",F119="yes",H119="covered"),1,IF(AND(E119="yes",H119="partial"),0.5,0))</f>
        <v/>
      </c>
    </row>
    <row r="120" ht="30" customHeight="1" s="58">
      <c r="A120" s="112" t="n">
        <v>112</v>
      </c>
      <c r="B120" s="113" t="inlineStr">
        <is>
          <t>Identity</t>
        </is>
      </c>
      <c r="C120" s="113" t="inlineStr">
        <is>
          <t>Input</t>
        </is>
      </c>
      <c r="D120" s="113" t="inlineStr">
        <is>
          <t>default tag is visible in Anatomy/Inspector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Combobox playground scenario.</t>
        </is>
      </c>
      <c r="J120" s="113" t="n"/>
      <c r="K120" s="117">
        <f>IF(AND(E120="yes",F120="yes",H120="covered"),1,IF(AND(E120="yes",H120="partial"),0.5,0))</f>
        <v/>
      </c>
    </row>
    <row r="121" ht="15" customHeight="1" s="58">
      <c r="A121" s="112" t="n">
        <v>113</v>
      </c>
      <c r="B121" s="113" t="inlineStr">
        <is>
          <t>Identity</t>
        </is>
      </c>
      <c r="C121" s="113" t="inlineStr">
        <is>
          <t>Input</t>
        </is>
      </c>
      <c r="D121" s="113" t="inlineStr">
        <is>
          <t>data-slot is present and correct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Combobox playground scenario.</t>
        </is>
      </c>
      <c r="J121" s="113" t="n"/>
      <c r="K121" s="117">
        <f>IF(AND(E121="yes",F121="yes",H121="covered"),1,IF(AND(E121="yes",H121="partial"),0.5,0))</f>
        <v/>
      </c>
    </row>
    <row r="122" ht="15" customHeight="1" s="58">
      <c r="A122" s="112" t="n">
        <v>114</v>
      </c>
      <c r="B122" s="113" t="inlineStr">
        <is>
          <t>Props</t>
        </is>
      </c>
      <c r="C122" s="113" t="inlineStr">
        <is>
          <t>Input</t>
        </is>
      </c>
      <c r="D122" s="113" t="inlineStr">
        <is>
          <t>non-Atom native props pass through with data-prop-check marker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Combobox playground scenario.</t>
        </is>
      </c>
      <c r="J122" s="113" t="n"/>
      <c r="K122" s="117">
        <f>IF(AND(E122="yes",F122="yes",H122="covered"),1,IF(AND(E122="yes",H122="partial"),0.5,0))</f>
        <v/>
      </c>
    </row>
    <row r="123" ht="15" customHeight="1" s="58">
      <c r="A123" s="112" t="n">
        <v>115</v>
      </c>
      <c r="B123" s="113" t="inlineStr">
        <is>
          <t>Refs</t>
        </is>
      </c>
      <c r="C123" s="113" t="inlineStr">
        <is>
          <t>Input</t>
        </is>
      </c>
      <c r="D123" s="113" t="inlineStr">
        <is>
          <t>consumer ref receives the rendered element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Combobox playground scenario.</t>
        </is>
      </c>
      <c r="J123" s="113" t="n"/>
      <c r="K123" s="117">
        <f>IF(AND(E123="yes",F123="yes",H123="covered"),1,IF(AND(E123="yes",H123="partial"),0.5,0))</f>
        <v/>
      </c>
    </row>
    <row r="124" ht="15" customHeight="1" s="58">
      <c r="A124" s="112" t="n">
        <v>116</v>
      </c>
      <c r="B124" s="113" t="inlineStr">
        <is>
          <t>Public API</t>
        </is>
      </c>
      <c r="C124" s="113" t="inlineStr">
        <is>
          <t>Input</t>
        </is>
      </c>
      <c r="D124" s="113" t="inlineStr">
        <is>
          <t>data-slot prop behavior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Combobox playground scenario.</t>
        </is>
      </c>
      <c r="J124" s="113" t="n"/>
      <c r="K124" s="117">
        <f>IF(AND(E124="yes",F124="yes",H124="covered"),1,IF(AND(E124="yes",H124="partial"),0.5,0))</f>
        <v/>
      </c>
    </row>
    <row r="125" ht="15" customHeight="1" s="58">
      <c r="A125" s="112" t="n">
        <v>117</v>
      </c>
      <c r="B125" s="113" t="inlineStr">
        <is>
          <t>Public API</t>
        </is>
      </c>
      <c r="C125" s="113" t="inlineStr">
        <is>
          <t>Input</t>
        </is>
      </c>
      <c r="D125" s="113" t="inlineStr">
        <is>
          <t>[data-slot] prop behavior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Combobox playground scenario.</t>
        </is>
      </c>
      <c r="J125" s="113" t="n"/>
      <c r="K125" s="117">
        <f>IF(AND(E125="yes",F125="yes",H125="covered"),1,IF(AND(E125="yes",H125="partial"),0.5,0))</f>
        <v/>
      </c>
    </row>
    <row r="126" ht="15" customHeight="1" s="58">
      <c r="A126" s="112" t="n">
        <v>118</v>
      </c>
      <c r="B126" s="113" t="inlineStr">
        <is>
          <t>Public API</t>
        </is>
      </c>
      <c r="C126" s="113" t="inlineStr">
        <is>
          <t>Input</t>
        </is>
      </c>
      <c r="D126" s="113" t="inlineStr">
        <is>
          <t>[data-state] prop behavior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Combobox playground scenario.</t>
        </is>
      </c>
      <c r="J126" s="113" t="n"/>
      <c r="K126" s="117">
        <f>IF(AND(E126="yes",F126="yes",H126="covered"),1,IF(AND(E126="yes",H126="partial"),0.5,0))</f>
        <v/>
      </c>
    </row>
    <row r="127" ht="15" customHeight="1" s="58">
      <c r="A127" s="112" t="n">
        <v>119</v>
      </c>
      <c r="B127" s="113" t="inlineStr">
        <is>
          <t>Public API</t>
        </is>
      </c>
      <c r="C127" s="113" t="inlineStr">
        <is>
          <t>Input</t>
        </is>
      </c>
      <c r="D127" s="113" t="inlineStr">
        <is>
          <t>[data-filled] prop behavior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Combobox playground scenario.</t>
        </is>
      </c>
      <c r="J127" s="113" t="n"/>
      <c r="K127" s="117">
        <f>IF(AND(E127="yes",F127="yes",H127="covered"),1,IF(AND(E127="yes",H127="partial"),0.5,0))</f>
        <v/>
      </c>
    </row>
    <row r="128" ht="15" customHeight="1" s="58">
      <c r="A128" s="112" t="n">
        <v>120</v>
      </c>
      <c r="B128" s="113" t="inlineStr">
        <is>
          <t>State</t>
        </is>
      </c>
      <c r="C128" s="113" t="inlineStr">
        <is>
          <t>Input</t>
        </is>
      </c>
      <c r="D128" s="113" t="inlineStr">
        <is>
          <t>[data-disabled] prop behavior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Combobox playground scenario.</t>
        </is>
      </c>
      <c r="J128" s="113" t="n"/>
      <c r="K128" s="117">
        <f>IF(AND(E128="yes",F128="yes",H128="covered"),1,IF(AND(E128="yes",H128="partial"),0.5,0))</f>
        <v/>
      </c>
    </row>
    <row r="129" ht="15" customHeight="1" s="58">
      <c r="A129" s="112" t="n">
        <v>121</v>
      </c>
      <c r="B129" s="113" t="inlineStr">
        <is>
          <t>State</t>
        </is>
      </c>
      <c r="C129" s="113" t="inlineStr">
        <is>
          <t>Input</t>
        </is>
      </c>
      <c r="D129" s="113" t="inlineStr">
        <is>
          <t>[data-readonly]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Combobox playground scenario.</t>
        </is>
      </c>
      <c r="J129" s="113" t="n"/>
      <c r="K129" s="117">
        <f>IF(AND(E129="yes",F129="yes",H129="covered"),1,IF(AND(E129="yes",H129="partial"),0.5,0))</f>
        <v/>
      </c>
    </row>
    <row r="130" ht="15" customHeight="1" s="58">
      <c r="A130" s="112" t="n">
        <v>122</v>
      </c>
      <c r="B130" s="113" t="inlineStr">
        <is>
          <t>State</t>
        </is>
      </c>
      <c r="C130" s="113" t="inlineStr">
        <is>
          <t>Input</t>
        </is>
      </c>
      <c r="D130" s="113" t="inlineStr">
        <is>
          <t>[data-invalid]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Combobox playground scenario.</t>
        </is>
      </c>
      <c r="J130" s="113" t="n"/>
      <c r="K130" s="117">
        <f>IF(AND(E130="yes",F130="yes",H130="covered"),1,IF(AND(E130="yes",H130="partial"),0.5,0))</f>
        <v/>
      </c>
    </row>
    <row r="131" ht="15" customHeight="1" s="58">
      <c r="A131" s="112" t="n">
        <v>123</v>
      </c>
      <c r="B131" s="113" t="inlineStr">
        <is>
          <t>Anatomy</t>
        </is>
      </c>
      <c r="C131" s="113" t="inlineStr">
        <is>
          <t>Loading</t>
        </is>
      </c>
      <c r="D131" s="113" t="inlineStr">
        <is>
          <t>renders correct part when expected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Combobox playground scenario.</t>
        </is>
      </c>
      <c r="J131" s="113" t="n"/>
      <c r="K131" s="117">
        <f>IF(AND(E131="yes",F131="yes",H131="covered"),1,IF(AND(E131="yes",H131="partial"),0.5,0))</f>
        <v/>
      </c>
    </row>
    <row r="132" ht="15" customHeight="1" s="58">
      <c r="A132" s="112" t="n">
        <v>124</v>
      </c>
      <c r="B132" s="113" t="inlineStr">
        <is>
          <t>Anatomy</t>
        </is>
      </c>
      <c r="C132" s="113" t="inlineStr">
        <is>
          <t>Loading</t>
        </is>
      </c>
      <c r="D132" s="113" t="inlineStr">
        <is>
          <t>appears in documented order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Combobox playground scenario.</t>
        </is>
      </c>
      <c r="J132" s="113" t="n"/>
      <c r="K132" s="117">
        <f>IF(AND(E132="yes",F132="yes",H132="covered"),1,IF(AND(E132="yes",H132="partial"),0.5,0))</f>
        <v/>
      </c>
    </row>
    <row r="133" ht="30" customHeight="1" s="58">
      <c r="A133" s="112" t="n">
        <v>125</v>
      </c>
      <c r="B133" s="113" t="inlineStr">
        <is>
          <t>Identity</t>
        </is>
      </c>
      <c r="C133" s="113" t="inlineStr">
        <is>
          <t>Loading</t>
        </is>
      </c>
      <c r="D133" s="113" t="inlineStr">
        <is>
          <t>default tag is visible in Anatomy/Inspector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Combobox playground scenario.</t>
        </is>
      </c>
      <c r="J133" s="113" t="n"/>
      <c r="K133" s="117">
        <f>IF(AND(E133="yes",F133="yes",H133="covered"),1,IF(AND(E133="yes",H133="partial"),0.5,0))</f>
        <v/>
      </c>
    </row>
    <row r="134" ht="15" customHeight="1" s="58">
      <c r="A134" s="112" t="n">
        <v>126</v>
      </c>
      <c r="B134" s="113" t="inlineStr">
        <is>
          <t>Identity</t>
        </is>
      </c>
      <c r="C134" s="113" t="inlineStr">
        <is>
          <t>Loading</t>
        </is>
      </c>
      <c r="D134" s="113" t="inlineStr">
        <is>
          <t>data-slot is present and correct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Combobox playground scenario.</t>
        </is>
      </c>
      <c r="J134" s="113" t="n"/>
      <c r="K134" s="117">
        <f>IF(AND(E134="yes",F134="yes",H134="covered"),1,IF(AND(E134="yes",H134="partial"),0.5,0))</f>
        <v/>
      </c>
    </row>
    <row r="135" ht="15" customHeight="1" s="58">
      <c r="A135" s="112" t="n">
        <v>127</v>
      </c>
      <c r="B135" s="113" t="inlineStr">
        <is>
          <t>Props</t>
        </is>
      </c>
      <c r="C135" s="113" t="inlineStr">
        <is>
          <t>Loading</t>
        </is>
      </c>
      <c r="D135" s="113" t="inlineStr">
        <is>
          <t>non-Atom native props pass through with data-prop-check marker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Combobox playground scenario.</t>
        </is>
      </c>
      <c r="J135" s="113" t="n"/>
      <c r="K135" s="117">
        <f>IF(AND(E135="yes",F135="yes",H135="covered"),1,IF(AND(E135="yes",H135="partial"),0.5,0))</f>
        <v/>
      </c>
    </row>
    <row r="136" ht="15" customHeight="1" s="58">
      <c r="A136" s="112" t="n">
        <v>128</v>
      </c>
      <c r="B136" s="113" t="inlineStr">
        <is>
          <t>Refs</t>
        </is>
      </c>
      <c r="C136" s="113" t="inlineStr">
        <is>
          <t>Loading</t>
        </is>
      </c>
      <c r="D136" s="113" t="inlineStr">
        <is>
          <t>consumer ref receives the rendered element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Combobox playground scenario.</t>
        </is>
      </c>
      <c r="J136" s="113" t="n"/>
      <c r="K136" s="117">
        <f>IF(AND(E136="yes",F136="yes",H136="covered"),1,IF(AND(E136="yes",H136="partial"),0.5,0))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Loading</t>
        </is>
      </c>
      <c r="D137" s="113" t="inlineStr">
        <is>
          <t>[data-slot]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Combobox playground scenario.</t>
        </is>
      </c>
      <c r="J137" s="113" t="n"/>
      <c r="K137" s="117">
        <f>IF(AND(E137="yes",F137="yes",H137="covered"),1,IF(AND(E137="yes",H137="partial"),0.5,0))</f>
        <v/>
      </c>
    </row>
    <row r="138" ht="15" customHeight="1" s="58">
      <c r="A138" s="112" t="n">
        <v>130</v>
      </c>
      <c r="B138" s="113" t="inlineStr">
        <is>
          <t>ARIA</t>
        </is>
      </c>
      <c r="C138" s="113" t="inlineStr">
        <is>
          <t>Live DOM</t>
        </is>
      </c>
      <c r="D138" s="113" t="inlineStr">
        <is>
          <t>aria-activedescendant is present at the correct time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Combobox playground scenario.</t>
        </is>
      </c>
      <c r="J138" s="113" t="n"/>
      <c r="K138" s="117">
        <f>IF(AND(E138="yes",F138="yes",H138="covered"),1,IF(AND(E138="yes",H138="partial"),0.5,0))</f>
        <v/>
      </c>
    </row>
    <row r="139" ht="15" customHeight="1" s="58">
      <c r="A139" s="112" t="n">
        <v>131</v>
      </c>
      <c r="B139" s="113" t="inlineStr">
        <is>
          <t>ARIA</t>
        </is>
      </c>
      <c r="C139" s="113" t="inlineStr">
        <is>
          <t>Live DOM</t>
        </is>
      </c>
      <c r="D139" s="113" t="inlineStr">
        <is>
          <t>aria-autocomplete is present at the correct time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Combobox playground scenario.</t>
        </is>
      </c>
      <c r="J139" s="113" t="n"/>
      <c r="K139" s="117">
        <f>IF(AND(E139="yes",F139="yes",H139="covered"),1,IF(AND(E139="yes",H139="partial"),0.5,0))</f>
        <v/>
      </c>
    </row>
    <row r="140" ht="15" customHeight="1" s="58">
      <c r="A140" s="112" t="n">
        <v>132</v>
      </c>
      <c r="B140" s="113" t="inlineStr">
        <is>
          <t>ARIA</t>
        </is>
      </c>
      <c r="C140" s="113" t="inlineStr">
        <is>
          <t>Live DOM</t>
        </is>
      </c>
      <c r="D140" s="113" t="inlineStr">
        <is>
          <t>aria-controls is present at the correct time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Combobox playground scenario.</t>
        </is>
      </c>
      <c r="J140" s="113" t="n"/>
      <c r="K140" s="117">
        <f>IF(AND(E140="yes",F140="yes",H140="covered"),1,IF(AND(E140="yes",H140="partial"),0.5,0))</f>
        <v/>
      </c>
    </row>
    <row r="141" ht="15" customHeight="1" s="58">
      <c r="A141" s="112" t="n">
        <v>133</v>
      </c>
      <c r="B141" s="113" t="inlineStr">
        <is>
          <t>ARIA</t>
        </is>
      </c>
      <c r="C141" s="113" t="inlineStr">
        <is>
          <t>Live DOM</t>
        </is>
      </c>
      <c r="D141" s="113" t="inlineStr">
        <is>
          <t>aria-disabled is present at the correct time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Combobox playground scenario.</t>
        </is>
      </c>
      <c r="J141" s="113" t="n"/>
      <c r="K141" s="117">
        <f>IF(AND(E141="yes",F141="yes",H141="covered"),1,IF(AND(E141="yes",H141="partial"),0.5,0))</f>
        <v/>
      </c>
    </row>
    <row r="142" ht="15" customHeight="1" s="58">
      <c r="A142" s="112" t="n">
        <v>134</v>
      </c>
      <c r="B142" s="113" t="inlineStr">
        <is>
          <t>ARIA</t>
        </is>
      </c>
      <c r="C142" s="113" t="inlineStr">
        <is>
          <t>Live DOM</t>
        </is>
      </c>
      <c r="D142" s="113" t="inlineStr">
        <is>
          <t>aria-expanded is present at the correct time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Combobox playground scenario.</t>
        </is>
      </c>
      <c r="J142" s="113" t="n"/>
      <c r="K142" s="117">
        <f>IF(AND(E142="yes",F142="yes",H142="covered"),1,IF(AND(E142="yes",H142="partial"),0.5,0))</f>
        <v/>
      </c>
    </row>
    <row r="143" ht="15" customHeight="1" s="58">
      <c r="A143" s="112" t="n">
        <v>135</v>
      </c>
      <c r="B143" s="113" t="inlineStr">
        <is>
          <t>ARIA</t>
        </is>
      </c>
      <c r="C143" s="113" t="inlineStr">
        <is>
          <t>Live DOM</t>
        </is>
      </c>
      <c r="D143" s="113" t="inlineStr">
        <is>
          <t>aria-haspopup is present at the correct time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Combobox playground scenario.</t>
        </is>
      </c>
      <c r="J143" s="113" t="n"/>
      <c r="K143" s="117">
        <f>IF(AND(E143="yes",F143="yes",H143="covered"),1,IF(AND(E143="yes",H143="partial"),0.5,0))</f>
        <v/>
      </c>
    </row>
    <row r="144" ht="15" customHeight="1" s="58">
      <c r="A144" s="112" t="n">
        <v>136</v>
      </c>
      <c r="B144" s="113" t="inlineStr">
        <is>
          <t>ARIA</t>
        </is>
      </c>
      <c r="C144" s="113" t="inlineStr">
        <is>
          <t>Live DOM</t>
        </is>
      </c>
      <c r="D144" s="113" t="inlineStr">
        <is>
          <t>aria-hidden is present at the correct time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Combobox playground scenario.</t>
        </is>
      </c>
      <c r="J144" s="113" t="n"/>
      <c r="K144" s="117">
        <f>IF(AND(E144="yes",F144="yes",H144="covered"),1,IF(AND(E144="yes",H144="partial"),0.5,0))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aria-invalid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Combobox playground scenario.</t>
        </is>
      </c>
      <c r="J145" s="113" t="n"/>
      <c r="K145" s="117">
        <f>IF(AND(E145="yes",F145="yes",H145="covered"),1,IF(AND(E145="yes",H145="partial"),0.5,0))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aria-label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Combobox playground scenario.</t>
        </is>
      </c>
      <c r="J146" s="113" t="n"/>
      <c r="K146" s="117">
        <f>IF(AND(E146="yes",F146="yes",H146="covered"),1,IF(AND(E146="yes",H146="partial"),0.5,0))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aria-labelledby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Combobox playground scenario.</t>
        </is>
      </c>
      <c r="J147" s="113" t="n"/>
      <c r="K147" s="117">
        <f>IF(AND(E147="yes",F147="yes",H147="covered"),1,IF(AND(E147="yes",H147="partial"),0.5,0))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aria-required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Combobox playground scenario.</t>
        </is>
      </c>
      <c r="J148" s="113" t="n"/>
      <c r="K148" s="117">
        <f>IF(AND(E148="yes",F148="yes",H148="covered"),1,IF(AND(E148="yes",H148="partial"),0.5,0))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aria-selected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Combobox playground scenario.</t>
        </is>
      </c>
      <c r="J149" s="113" t="n"/>
      <c r="K149" s="117">
        <f>IF(AND(E149="yes",F149="yes",H149="covered"),1,IF(AND(E149="yes",H149="partial"),0.5,0))</f>
        <v/>
      </c>
    </row>
    <row r="150" ht="15" customHeight="1" s="58">
      <c r="A150" s="112" t="n">
        <v>142</v>
      </c>
      <c r="B150" s="113" t="inlineStr">
        <is>
          <t>Data</t>
        </is>
      </c>
      <c r="C150" s="113" t="inlineStr">
        <is>
          <t>Live DOM</t>
        </is>
      </c>
      <c r="D150" s="113" t="inlineStr">
        <is>
          <t>data-disabled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Combobox playground scenario.</t>
        </is>
      </c>
      <c r="J150" s="113" t="n"/>
      <c r="K150" s="117">
        <f>IF(AND(E150="yes",F150="yes",H150="covered"),1,IF(AND(E150="yes",H150="partial"),0.5,0))</f>
        <v/>
      </c>
    </row>
    <row r="151" ht="15" customHeight="1" s="58">
      <c r="A151" s="112" t="n">
        <v>143</v>
      </c>
      <c r="B151" s="113" t="inlineStr">
        <is>
          <t>Data</t>
        </is>
      </c>
      <c r="C151" s="113" t="inlineStr">
        <is>
          <t>Live DOM</t>
        </is>
      </c>
      <c r="D151" s="113" t="inlineStr">
        <is>
          <t>data-hidden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Combobox playground scenario.</t>
        </is>
      </c>
      <c r="J151" s="113" t="n"/>
      <c r="K151" s="117">
        <f>IF(AND(E151="yes",F151="yes",H151="covered"),1,IF(AND(E151="yes",H151="partial"),0.5,0))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data-highlighted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Combobox playground scenario.</t>
        </is>
      </c>
      <c r="J152" s="113" t="n"/>
      <c r="K152" s="117">
        <f>IF(AND(E152="yes",F152="yes",H152="covered"),1,IF(AND(E152="yes",H152="partial"),0.5,0))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data-invalid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Combobox playground scenario.</t>
        </is>
      </c>
      <c r="J153" s="113" t="n"/>
      <c r="K153" s="117">
        <f>IF(AND(E153="yes",F153="yes",H153="covered"),1,IF(AND(E153="yes",H153="partial"),0.5,0))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data-positioned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Combobox playground scenario.</t>
        </is>
      </c>
      <c r="J154" s="113" t="n"/>
      <c r="K154" s="117">
        <f>IF(AND(E154="yes",F154="yes",H154="covered"),1,IF(AND(E154="yes",H154="partial"),0.5,0))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data-readonly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Combobox playground scenario.</t>
        </is>
      </c>
      <c r="J155" s="113" t="n"/>
      <c r="K155" s="117">
        <f>IF(AND(E155="yes",F155="yes",H155="covered"),1,IF(AND(E155="yes",H155="partial"),0.5,0))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data-slot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Combobox playground scenario.</t>
        </is>
      </c>
      <c r="J156" s="113" t="n"/>
      <c r="K156" s="117">
        <f>IF(AND(E156="yes",F156="yes",H156="covered"),1,IF(AND(E156="yes",H156="partial"),0.5,0))</f>
        <v/>
      </c>
    </row>
    <row r="157" ht="15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data-state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Combobox playground scenario.</t>
        </is>
      </c>
      <c r="J157" s="113" t="n"/>
      <c r="K157" s="117">
        <f>IF(AND(E157="yes",F157="yes",H157="covered"),1,IF(AND(E157="yes",H157="partial"),0.5,0))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data-value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Combobox playground scenario.</t>
        </is>
      </c>
      <c r="J158" s="113" t="n"/>
      <c r="K158" s="117">
        <f>IF(AND(E158="yes",F158="yes",H158="covered"),1,IF(AND(E158="yes",H158="partial"),0.5,0))</f>
        <v/>
      </c>
    </row>
    <row r="159" ht="30" customHeight="1" s="58">
      <c r="A159" s="112" t="n">
        <v>151</v>
      </c>
      <c r="B159" s="113" t="inlineStr">
        <is>
          <t>Composition</t>
        </is>
      </c>
      <c r="C159" s="113" t="inlineStr">
        <is>
          <t>Combobox</t>
        </is>
      </c>
      <c r="D159" s="113" t="inlineStr">
        <is>
          <t>asChild preserves child content without double nesting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Combobox playground scenario.</t>
        </is>
      </c>
      <c r="J159" s="113" t="n"/>
      <c r="K159" s="117">
        <f>IF(AND(E159="yes",F159="yes",H159="covered"),1,IF(AND(E159="yes",H159="partial"),0.5,0))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Combobox</t>
        </is>
      </c>
      <c r="D160" s="113" t="inlineStr">
        <is>
          <t>asChild merges Atom props and consumer props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Combobox playground scenario.</t>
        </is>
      </c>
      <c r="J160" s="113" t="n"/>
      <c r="K160" s="117">
        <f>IF(AND(E160="yes",F160="yes",H160="covered"),1,IF(AND(E160="yes",H160="partial"),0.5,0))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Combobox</t>
        </is>
      </c>
      <c r="D161" s="113" t="inlineStr">
        <is>
          <t>asChild lets preventDefault block Atom behavior where supported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Combobox playground scenario.</t>
        </is>
      </c>
      <c r="J161" s="113" t="n"/>
      <c r="K161" s="117">
        <f>IF(AND(E161="yes",F161="yes",H161="covered"),1,IF(AND(E161="yes",H161="partial"),0.5,0))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Combobox</t>
        </is>
      </c>
      <c r="D162" s="113" t="inlineStr">
        <is>
          <t>render prop renders custom element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Combobox playground scenario.</t>
        </is>
      </c>
      <c r="J162" s="113" t="n"/>
      <c r="K162" s="117">
        <f>IF(AND(E162="yes",F162="yes",H162="covered"),1,IF(AND(E162="yes",H162="partial"),0.5,0))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Combobox</t>
        </is>
      </c>
      <c r="D163" s="113" t="inlineStr">
        <is>
          <t>render prop preserves refs and behavior props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Combobox playground scenario.</t>
        </is>
      </c>
      <c r="J163" s="113" t="n"/>
      <c r="K163" s="117">
        <f>IF(AND(E163="yes",F163="yes",H163="covered"),1,IF(AND(E163="yes",H163="partial"),0.5,0))</f>
        <v/>
      </c>
    </row>
    <row r="164" ht="15" customHeight="1" s="58">
      <c r="A164" s="112" t="n">
        <v>156</v>
      </c>
      <c r="B164" s="113" t="inlineStr">
        <is>
          <t>State</t>
        </is>
      </c>
      <c r="C164" s="113" t="inlineStr">
        <is>
          <t>Root</t>
        </is>
      </c>
      <c r="D164" s="113" t="inlineStr">
        <is>
          <t>controlled state path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Combobox playground scenario.</t>
        </is>
      </c>
      <c r="J164" s="113" t="n"/>
      <c r="K164" s="117">
        <f>IF(AND(E164="yes",F164="yes",H164="covered"),1,IF(AND(E164="yes",H164="partial"),0.5,0))</f>
        <v/>
      </c>
    </row>
    <row r="165" ht="30" customHeight="1" s="58">
      <c r="A165" s="112" t="n">
        <v>157</v>
      </c>
      <c r="B165" s="113" t="inlineStr">
        <is>
          <t>State</t>
        </is>
      </c>
      <c r="C165" s="113" t="inlineStr">
        <is>
          <t>Root</t>
        </is>
      </c>
      <c r="D165" s="113" t="inlineStr">
        <is>
          <t>uncontrolled default state path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Combobox playground scenario.</t>
        </is>
      </c>
      <c r="J165" s="113" t="n"/>
      <c r="K165" s="117">
        <f>IF(AND(E165="yes",F165="yes",H165="covered"),1,IF(AND(E165="yes",H165="partial"),0.5,0))</f>
        <v/>
      </c>
    </row>
    <row r="166" ht="30" customHeight="1" s="58">
      <c r="A166" s="112" t="n">
        <v>158</v>
      </c>
      <c r="B166" s="113" t="inlineStr">
        <is>
          <t>State</t>
        </is>
      </c>
      <c r="C166" s="113" t="inlineStr">
        <is>
          <t>Root</t>
        </is>
      </c>
      <c r="D166" s="113" t="inlineStr">
        <is>
          <t>state change callback fires once with correct value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Combobox playground scenario.</t>
        </is>
      </c>
      <c r="J166" s="113" t="n"/>
      <c r="K166" s="117">
        <f>IF(AND(E166="yes",F166="yes",H166="covered"),1,IF(AND(E166="yes",H166="partial"),0.5,0))</f>
        <v/>
      </c>
    </row>
    <row r="167" ht="30" customHeight="1" s="58">
      <c r="A167" s="112" t="n">
        <v>159</v>
      </c>
      <c r="B167" s="113" t="inlineStr">
        <is>
          <t>State</t>
        </is>
      </c>
      <c r="C167" s="113" t="inlineStr">
        <is>
          <t>Combobox</t>
        </is>
      </c>
      <c r="D167" s="113" t="inlineStr">
        <is>
          <t>disabled state blocks or exposes behavior correctly where supported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Combobox playground scenario.</t>
        </is>
      </c>
      <c r="J167" s="113" t="n"/>
      <c r="K167" s="117">
        <f>IF(AND(E167="yes",F167="yes",H167="covered"),1,IF(AND(E167="yes",H167="partial"),0.5,0))</f>
        <v/>
      </c>
    </row>
    <row r="168" ht="30" customHeight="1" s="58">
      <c r="A168" s="112" t="n">
        <v>160</v>
      </c>
      <c r="B168" s="113" t="inlineStr">
        <is>
          <t>State</t>
        </is>
      </c>
      <c r="C168" s="113" t="inlineStr">
        <is>
          <t>Combobox</t>
        </is>
      </c>
      <c r="D168" s="113" t="inlineStr">
        <is>
          <t>readonly/readOnly state blocks or exposes behavior correctly where supported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Combobox playground scenario.</t>
        </is>
      </c>
      <c r="J168" s="113" t="n"/>
      <c r="K168" s="117">
        <f>IF(AND(E168="yes",F168="yes",H168="covered"),1,IF(AND(E168="yes",H168="partial"),0.5,0))</f>
        <v/>
      </c>
    </row>
    <row r="169" ht="15" customHeight="1" s="58">
      <c r="A169" s="112" t="n">
        <v>161</v>
      </c>
      <c r="B169" s="113" t="inlineStr">
        <is>
          <t>State</t>
        </is>
      </c>
      <c r="C169" s="113" t="inlineStr">
        <is>
          <t>Combobox</t>
        </is>
      </c>
      <c r="D169" s="113" t="inlineStr">
        <is>
          <t>required state blocks or exposes behavior correctly where supported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Combobox playground scenario.</t>
        </is>
      </c>
      <c r="J169" s="113" t="n"/>
      <c r="K169" s="117">
        <f>IF(AND(E169="yes",F169="yes",H169="covered"),1,IF(AND(E169="yes",H169="partial"),0.5,0))</f>
        <v/>
      </c>
    </row>
    <row r="170" ht="30" customHeight="1" s="58">
      <c r="A170" s="112" t="n">
        <v>162</v>
      </c>
      <c r="B170" s="113" t="inlineStr">
        <is>
          <t>State</t>
        </is>
      </c>
      <c r="C170" s="113" t="inlineStr">
        <is>
          <t>Combobox</t>
        </is>
      </c>
      <c r="D170" s="113" t="inlineStr">
        <is>
          <t>invalid state blocks or exposes behavior correctly where supported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Combobox playground scenario.</t>
        </is>
      </c>
      <c r="J170" s="113" t="n"/>
      <c r="K170" s="117">
        <f>IF(AND(E170="yes",F170="yes",H170="covered"),1,IF(AND(E170="yes",H170="partial"),0.5,0))</f>
        <v/>
      </c>
    </row>
    <row r="171" ht="15" customHeight="1" s="58">
      <c r="A171" s="112" t="n">
        <v>163</v>
      </c>
      <c r="B171" s="113" t="inlineStr">
        <is>
          <t>Forms</t>
        </is>
      </c>
      <c r="C171" s="113" t="inlineStr">
        <is>
          <t>Combobox</t>
        </is>
      </c>
      <c r="D171" s="113" t="inlineStr">
        <is>
          <t>form value participates correctly where supported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Combobox playground scenario.</t>
        </is>
      </c>
      <c r="J171" s="113" t="n"/>
      <c r="K171" s="117">
        <f>IF(AND(E171="yes",F171="yes",H171="covered"),1,IF(AND(E171="yes",H171="partial"),0.5,0))</f>
        <v/>
      </c>
    </row>
    <row r="172" ht="15" customHeight="1" s="58">
      <c r="A172" s="112" t="n">
        <v>164</v>
      </c>
      <c r="B172" s="113" t="inlineStr">
        <is>
          <t>Forms</t>
        </is>
      </c>
      <c r="C172" s="113" t="inlineStr">
        <is>
          <t>Combobox</t>
        </is>
      </c>
      <c r="D172" s="113" t="inlineStr">
        <is>
          <t>hidden input mirrors value/checked/disabled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Combobox playground scenario.</t>
        </is>
      </c>
      <c r="J172" s="113" t="n"/>
      <c r="K172" s="117">
        <f>IF(AND(E172="yes",F172="yes",H172="covered"),1,IF(AND(E172="yes",H172="partial"),0.5,0))</f>
        <v/>
      </c>
    </row>
    <row r="173" ht="15" customHeight="1" s="58">
      <c r="A173" s="112" t="n">
        <v>165</v>
      </c>
      <c r="B173" s="113" t="inlineStr">
        <is>
          <t>Keyboard</t>
        </is>
      </c>
      <c r="C173" s="113" t="inlineStr">
        <is>
          <t>Combobox</t>
        </is>
      </c>
      <c r="D173" s="113" t="inlineStr">
        <is>
          <t>Arrow key navigation follows documented orientation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Combobox playground scenario.</t>
        </is>
      </c>
      <c r="J173" s="113" t="n"/>
      <c r="K173" s="117">
        <f>IF(AND(E173="yes",F173="yes",H173="covered"),1,IF(AND(E173="yes",H173="partial"),0.5,0))</f>
        <v/>
      </c>
    </row>
    <row r="174" ht="15" customHeight="1" s="58">
      <c r="A174" s="112" t="n">
        <v>166</v>
      </c>
      <c r="B174" s="113" t="inlineStr">
        <is>
          <t>Keyboard</t>
        </is>
      </c>
      <c r="C174" s="113" t="inlineStr">
        <is>
          <t>Combobox</t>
        </is>
      </c>
      <c r="D174" s="113" t="inlineStr">
        <is>
          <t>Home and End navigation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Combobox playground scenario.</t>
        </is>
      </c>
      <c r="J174" s="113" t="n"/>
      <c r="K174" s="117">
        <f>IF(AND(E174="yes",F174="yes",H174="covered"),1,IF(AND(E174="yes",H174="partial"),0.5,0))</f>
        <v/>
      </c>
    </row>
    <row r="175" ht="15" customHeight="1" s="58">
      <c r="A175" s="112" t="n">
        <v>167</v>
      </c>
      <c r="B175" s="113" t="inlineStr">
        <is>
          <t>Keyboard</t>
        </is>
      </c>
      <c r="C175" s="113" t="inlineStr">
        <is>
          <t>Combobox</t>
        </is>
      </c>
      <c r="D175" s="113" t="inlineStr">
        <is>
          <t>disabled items are skipped or exposed according to pattern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Combobox playground scenario.</t>
        </is>
      </c>
      <c r="J175" s="113" t="n"/>
      <c r="K175" s="117">
        <f>IF(AND(E175="yes",F175="yes",H175="covered"),1,IF(AND(E175="yes",H175="partial"),0.5,0))</f>
        <v/>
      </c>
    </row>
    <row r="176" ht="15" customHeight="1" s="58">
      <c r="A176" s="112" t="n">
        <v>168</v>
      </c>
      <c r="B176" s="113" t="inlineStr">
        <is>
          <t>Keyboard</t>
        </is>
      </c>
      <c r="C176" s="113" t="inlineStr">
        <is>
          <t>Combobox</t>
        </is>
      </c>
      <c r="D176" s="113" t="inlineStr">
        <is>
          <t>typeahead/search behavior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Combobox playground scenario.</t>
        </is>
      </c>
      <c r="J176" s="113" t="n"/>
      <c r="K176" s="117">
        <f>IF(AND(E176="yes",F176="yes",H176="covered"),1,IF(AND(E176="yes",H176="partial"),0.5,0))</f>
        <v/>
      </c>
    </row>
    <row r="177" ht="15" customHeight="1" s="58">
      <c r="A177" s="112" t="n">
        <v>169</v>
      </c>
      <c r="B177" s="113" t="inlineStr">
        <is>
          <t>Focus</t>
        </is>
      </c>
      <c r="C177" s="113" t="inlineStr">
        <is>
          <t>Combobox</t>
        </is>
      </c>
      <c r="D177" s="113" t="inlineStr">
        <is>
          <t>roving focus or active descendant state is visible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Combobox playground scenario.</t>
        </is>
      </c>
      <c r="J177" s="113" t="n"/>
      <c r="K177" s="117">
        <f>IF(AND(E177="yes",F177="yes",H177="covered"),1,IF(AND(E177="yes",H177="partial"),0.5,0))</f>
        <v/>
      </c>
    </row>
    <row r="178" ht="15" customHeight="1" s="58">
      <c r="A178" s="112" t="n">
        <v>170</v>
      </c>
      <c r="B178" s="113" t="inlineStr">
        <is>
          <t>Portal</t>
        </is>
      </c>
      <c r="C178" s="113" t="inlineStr">
        <is>
          <t>Combobox</t>
        </is>
      </c>
      <c r="D178" s="113" t="inlineStr">
        <is>
          <t>portal renders in body by default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Combobox playground scenario.</t>
        </is>
      </c>
      <c r="J178" s="113" t="n"/>
      <c r="K178" s="117">
        <f>IF(AND(E178="yes",F178="yes",H178="covered"),1,IF(AND(E178="yes",H178="partial"),0.5,0))</f>
        <v/>
      </c>
    </row>
    <row r="179" ht="15" customHeight="1" s="58">
      <c r="A179" s="112" t="n">
        <v>171</v>
      </c>
      <c r="B179" s="113" t="inlineStr">
        <is>
          <t>Portal</t>
        </is>
      </c>
      <c r="C179" s="113" t="inlineStr">
        <is>
          <t>Combobox</t>
        </is>
      </c>
      <c r="D179" s="113" t="inlineStr">
        <is>
          <t>custom/disabled portal path works where supported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Combobox playground scenario.</t>
        </is>
      </c>
      <c r="J179" s="113" t="n"/>
      <c r="K179" s="117">
        <f>IF(AND(E179="yes",F179="yes",H179="covered"),1,IF(AND(E179="yes",H179="partial"),0.5,0))</f>
        <v/>
      </c>
    </row>
    <row r="180" ht="15" customHeight="1" s="58">
      <c r="A180" s="112" t="n">
        <v>172</v>
      </c>
      <c r="B180" s="113" t="inlineStr">
        <is>
          <t>Positioning</t>
        </is>
      </c>
      <c r="C180" s="113" t="inlineStr">
        <is>
          <t>Combobox</t>
        </is>
      </c>
      <c r="D180" s="113" t="inlineStr">
        <is>
          <t>side options position content correctly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Combobox playground scenario.</t>
        </is>
      </c>
      <c r="J180" s="113" t="n"/>
      <c r="K180" s="117">
        <f>IF(AND(E180="yes",F180="yes",H180="covered"),1,IF(AND(E180="yes",H180="partial"),0.5,0))</f>
        <v/>
      </c>
    </row>
    <row r="181" ht="30" customHeight="1" s="58">
      <c r="A181" s="112" t="n">
        <v>173</v>
      </c>
      <c r="B181" s="113" t="inlineStr">
        <is>
          <t>Positioning</t>
        </is>
      </c>
      <c r="C181" s="113" t="inlineStr">
        <is>
          <t>Combobox</t>
        </is>
      </c>
      <c r="D181" s="113" t="inlineStr">
        <is>
          <t>align options position content correctly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Combobox playground scenario.</t>
        </is>
      </c>
      <c r="J181" s="113" t="n"/>
      <c r="K181" s="117">
        <f>IF(AND(E181="yes",F181="yes",H181="covered"),1,IF(AND(E181="yes",H181="partial"),0.5,0))</f>
        <v/>
      </c>
    </row>
    <row r="182" ht="15" customHeight="1" s="58">
      <c r="A182" s="112" t="n">
        <v>174</v>
      </c>
      <c r="B182" s="113" t="inlineStr">
        <is>
          <t>Positioning</t>
        </is>
      </c>
      <c r="C182" s="113" t="inlineStr">
        <is>
          <t>Combobox</t>
        </is>
      </c>
      <c r="D182" s="113" t="inlineStr">
        <is>
          <t>collision, flip, and shift stay within the manually tested desktop layout viewport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existing desktop browser/manual baseline; mobile device qualification not run</t>
        </is>
      </c>
      <c r="H182" s="116" t="inlineStr">
        <is>
          <t>covered</t>
        </is>
      </c>
      <c r="I182" s="113" t="inlineStr">
        <is>
          <t>Existing desktop browser/manual baseline; not real iOS Safari or Android Chrome evidence.</t>
        </is>
      </c>
      <c r="J182" s="113" t="n"/>
      <c r="K182" s="117">
        <f>IF(AND(E182="yes",F182="yes",H182="covered"),1,IF(AND(E182="yes",H182="partial"),0.5,0))</f>
        <v/>
      </c>
    </row>
    <row r="183" ht="15" customHeight="1" s="58">
      <c r="A183" s="112" t="n">
        <v>175</v>
      </c>
      <c r="B183" s="113" t="inlineStr">
        <is>
          <t>Positioning</t>
        </is>
      </c>
      <c r="C183" s="113" t="inlineStr">
        <is>
          <t>Combobox</t>
        </is>
      </c>
      <c r="D183" s="113" t="inlineStr">
        <is>
          <t>arrow or anchor geometry matches content where supported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Combobox playground scenario.</t>
        </is>
      </c>
      <c r="J183" s="113" t="n"/>
      <c r="K183" s="117">
        <f>IF(AND(E183="yes",F183="yes",H183="covered"),1,IF(AND(E183="yes",H183="partial"),0.5,0))</f>
        <v/>
      </c>
    </row>
    <row r="184" ht="13.5" customHeight="1" s="58">
      <c r="A184" s="118" t="n">
        <v>176</v>
      </c>
      <c r="B184" s="118" t="inlineStr">
        <is>
          <t>Interaction</t>
        </is>
      </c>
      <c r="C184" s="118" t="inlineStr">
        <is>
          <t>Item</t>
        </is>
      </c>
      <c r="D184" s="118" t="inlineStr">
        <is>
          <t>pointer selecting an already-selected option closes the listbox</t>
        </is>
      </c>
      <c r="E184" s="118" t="inlineStr">
        <is>
          <t>yes</t>
        </is>
      </c>
      <c r="F184" s="118" t="inlineStr">
        <is>
          <t>yes</t>
        </is>
      </c>
      <c r="G184" s="118" t="inlineStr">
        <is>
          <t>passed</t>
        </is>
      </c>
      <c r="H184" s="118" t="inlineStr">
        <is>
          <t>covered</t>
        </is>
      </c>
      <c r="I184" s="118" t="inlineStr">
        <is>
          <t>Combobox playground scenario.</t>
        </is>
      </c>
      <c r="K184" s="118">
        <f>IF(AND(E184="yes",F184="yes",H184="covered"),1,IF(AND(E184="yes",H184="partial"),0.5,0))</f>
        <v/>
      </c>
    </row>
    <row r="185" ht="13.5" customHeight="1" s="58">
      <c r="A185" s="118" t="n">
        <v>177</v>
      </c>
      <c r="B185" s="118" t="inlineStr">
        <is>
          <t>Interaction</t>
        </is>
      </c>
      <c r="C185" s="118" t="inlineStr">
        <is>
          <t>Item</t>
        </is>
      </c>
      <c r="D185" s="118" t="inlineStr">
        <is>
          <t>clearOnSelect clears input after keyboard and pointer selection</t>
        </is>
      </c>
      <c r="E185" s="118" t="inlineStr">
        <is>
          <t>yes</t>
        </is>
      </c>
      <c r="F185" s="118" t="inlineStr">
        <is>
          <t>yes</t>
        </is>
      </c>
      <c r="G185" s="118" t="inlineStr">
        <is>
          <t>passed</t>
        </is>
      </c>
      <c r="H185" s="118" t="inlineStr">
        <is>
          <t>covered</t>
        </is>
      </c>
      <c r="I185" s="118" t="inlineStr">
        <is>
          <t>Combobox playground scenario.</t>
        </is>
      </c>
      <c r="K185" s="118">
        <f>IF(AND(E185="yes",F185="yes",H185="covered"),1,IF(AND(E185="yes",H185="partial"),0.5,0))</f>
        <v/>
      </c>
    </row>
    <row r="186" ht="13.5" customHeight="1" s="58">
      <c r="A186" s="118" t="n">
        <v>178</v>
      </c>
      <c r="B186" s="118" t="inlineStr">
        <is>
          <t>Interaction</t>
        </is>
      </c>
      <c r="C186" s="118" t="inlineStr">
        <is>
          <t>Empty</t>
        </is>
      </c>
      <c r="D186" s="118" t="inlineStr">
        <is>
          <t>openOnFocus opens the empty state when Combobox.Empty is mounted</t>
        </is>
      </c>
      <c r="E186" s="118" t="inlineStr">
        <is>
          <t>yes</t>
        </is>
      </c>
      <c r="F186" s="118" t="inlineStr">
        <is>
          <t>yes</t>
        </is>
      </c>
      <c r="G186" s="118" t="inlineStr">
        <is>
          <t>passed</t>
        </is>
      </c>
      <c r="H186" s="118" t="inlineStr">
        <is>
          <t>covered</t>
        </is>
      </c>
      <c r="I186" s="118" t="inlineStr">
        <is>
          <t>Combobox playground scenario.</t>
        </is>
      </c>
      <c r="K186" s="118">
        <f>IF(AND(E186="yes",F186="yes",H186="covered"),1,IF(AND(E186="yes",H186="partial"),0.5,0))</f>
        <v/>
      </c>
    </row>
    <row r="187" ht="13.5" customHeight="1" s="58">
      <c r="A187" s="118" t="n">
        <v>179</v>
      </c>
      <c r="B187" s="118" t="inlineStr">
        <is>
          <t>Forms</t>
        </is>
      </c>
      <c r="C187" s="118" t="inlineStr">
        <is>
          <t>Root/Input</t>
        </is>
      </c>
      <c r="D187" s="118" t="inlineStr">
        <is>
          <t>Field naming/descriptions, submission, required validity, and uncontrolled reset</t>
        </is>
      </c>
      <c r="E187" s="118" t="inlineStr">
        <is>
          <t>yes</t>
        </is>
      </c>
      <c r="F187" s="118" t="inlineStr">
        <is>
          <t>no</t>
        </is>
      </c>
      <c r="G187" s="118" t="inlineStr">
        <is>
          <t>automated tests pass; manual pending</t>
        </is>
      </c>
      <c r="H187" s="118" t="inlineStr">
        <is>
          <t>untested</t>
        </is>
      </c>
      <c r="I187" s="118" t="inlineStr">
        <is>
          <t>Form &gt; Control: Foundation plus the component scenario and automated package tests.</t>
        </is>
      </c>
      <c r="J187" s="118" t="inlineStr">
        <is>
          <t>Run and review the form-foundation manual protocol.</t>
        </is>
      </c>
      <c r="K187" s="118">
        <f>IF(AND(E187="yes",F187="yes",H187="covered"),1,IF(H187="partial",0.5,0))</f>
        <v/>
      </c>
    </row>
    <row r="188" ht="13.5" customHeight="1" s="58">
      <c r="A188" s="118" t="n">
        <v>180</v>
      </c>
      <c r="B188" s="118" t="inlineStr">
        <is>
          <t>Validation</t>
        </is>
      </c>
      <c r="C188" s="118" t="inlineStr">
        <is>
          <t>Root/Input</t>
        </is>
      </c>
      <c r="D188" s="118" t="inlineStr">
        <is>
          <t>committed-value proxy invalidity mirrors to Combobox, Field, Error, and Form</t>
        </is>
      </c>
      <c r="E188" s="118" t="inlineStr">
        <is>
          <t>yes</t>
        </is>
      </c>
      <c r="F188" s="118" t="inlineStr">
        <is>
          <t>no</t>
        </is>
      </c>
      <c r="G188" s="118" t="inlineStr">
        <is>
          <t>automated tests pass; manual pending</t>
        </is>
      </c>
      <c r="H188" s="118" t="inlineStr">
        <is>
          <t>untested</t>
        </is>
      </c>
      <c r="I188" s="118" t="inlineStr">
        <is>
          <t>Form &gt; Control: Foundation and automated Atom validation tests.</t>
        </is>
      </c>
      <c r="J188" s="118" t="inlineStr">
        <is>
          <t>Run and review the updated form-foundation validation steps.</t>
        </is>
      </c>
      <c r="K188" s="118">
        <f>IF(AND(E188="yes",F188="yes",H188="covered"),1,IF(H188="partial",0.5,0))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2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ContextMenu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 manual test</t>
        </is>
      </c>
      <c r="H9" s="108" t="inlineStr">
        <is>
          <t>covered</t>
        </is>
      </c>
      <c r="I9" s="113" t="inlineStr">
        <is>
          <t>ContextMenu playground Props toolbar; Anatomy/Inspector raw Data; Source view.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 manual test</t>
        </is>
      </c>
      <c r="H10" s="108" t="inlineStr">
        <is>
          <t>covered</t>
        </is>
      </c>
      <c r="I10" s="113" t="inlineStr">
        <is>
          <t>ContextMenu playground Props custom slot toggles; Anatomy/Inspector raw Data; Source view.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open prop controls context menu visibility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 manual test</t>
        </is>
      </c>
      <c r="H11" s="108" t="inlineStr">
        <is>
          <t>covered</t>
        </is>
      </c>
      <c r="I11" s="113" t="inlineStr">
        <is>
          <t>ContextMenu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initializes uncontrolled open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 manual test</t>
        </is>
      </c>
      <c r="H12" s="108" t="inlineStr">
        <is>
          <t>covered</t>
        </is>
      </c>
      <c r="I12" s="113" t="inlineStr">
        <is>
          <t>ContextMenu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fires on open and close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 manual test</t>
        </is>
      </c>
      <c r="H13" s="108" t="inlineStr">
        <is>
          <t>covered</t>
        </is>
      </c>
      <c r="I13" s="113" t="inlineStr">
        <is>
          <t>ContextMenu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modal true locks scroll while open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 manual test</t>
        </is>
      </c>
      <c r="H14" s="108" t="inlineStr">
        <is>
          <t>covered</t>
        </is>
      </c>
      <c r="I14" s="113" t="inlineStr">
        <is>
          <t>ContextMenu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modal false leaves page scroll unlocked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 manual test</t>
        </is>
      </c>
      <c r="H15" s="108" t="inlineStr">
        <is>
          <t>covered</t>
        </is>
      </c>
      <c r="I15" s="113" t="inlineStr">
        <is>
          <t>ContextMenu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closeOnSelect true closes action items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 manual test</t>
        </is>
      </c>
      <c r="H16" s="108" t="inlineStr">
        <is>
          <t>covered</t>
        </is>
      </c>
      <c r="I16" s="113" t="inlineStr">
        <is>
          <t>ContextMenu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closeOnSelect false keeps menu open after item select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 manual test</t>
        </is>
      </c>
      <c r="H17" s="108" t="inlineStr">
        <is>
          <t>covered</t>
        </is>
      </c>
      <c r="I17" s="113" t="inlineStr">
        <is>
          <t>ContextMenu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loop true wraps keyboard highlight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 manual test</t>
        </is>
      </c>
      <c r="H18" s="108" t="inlineStr">
        <is>
          <t>covered</t>
        </is>
      </c>
      <c r="I18" s="113" t="inlineStr">
        <is>
          <t>ContextMenu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Root</t>
        </is>
      </c>
      <c r="D19" s="113" t="inlineStr">
        <is>
          <t>loop false stops at first and last item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 manual test</t>
        </is>
      </c>
      <c r="H19" s="108" t="inlineStr">
        <is>
          <t>covered</t>
        </is>
      </c>
      <c r="I19" s="113" t="inlineStr">
        <is>
          <t>ContextMenu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Root</t>
        </is>
      </c>
      <c r="D20" s="113" t="inlineStr">
        <is>
          <t>closeOnEscape true closes on Escape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 manual test</t>
        </is>
      </c>
      <c r="H20" s="108" t="inlineStr">
        <is>
          <t>covered</t>
        </is>
      </c>
      <c r="I20" s="113" t="inlineStr">
        <is>
          <t>ContextMenu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Root</t>
        </is>
      </c>
      <c r="D21" s="113" t="inlineStr">
        <is>
          <t>closeOnEscape false ignores Escape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 manual test</t>
        </is>
      </c>
      <c r="H21" s="108" t="inlineStr">
        <is>
          <t>covered</t>
        </is>
      </c>
      <c r="I21" s="113" t="inlineStr">
        <is>
          <t>ContextMenu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Root</t>
        </is>
      </c>
      <c r="D22" s="113" t="inlineStr">
        <is>
          <t>right-click anchor point controls content position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 manual test</t>
        </is>
      </c>
      <c r="H22" s="108" t="inlineStr">
        <is>
          <t>covered</t>
        </is>
      </c>
      <c r="I22" s="113" t="inlineStr">
        <is>
          <t>ContextMenu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keyboard anchor point uses trigger bounds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 manual test</t>
        </is>
      </c>
      <c r="H23" s="108" t="inlineStr">
        <is>
          <t>covered</t>
        </is>
      </c>
      <c r="I23" s="113" t="inlineStr">
        <is>
          <t>ContextMenu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renders span by default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 manual test</t>
        </is>
      </c>
      <c r="H24" s="108" t="inlineStr">
        <is>
          <t>covered</t>
        </is>
      </c>
      <c r="I24" s="113" t="inlineStr">
        <is>
          <t>ContextMenu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default trigger uses display contents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 manual test</t>
        </is>
      </c>
      <c r="H25" s="108" t="inlineStr">
        <is>
          <t>covered</t>
        </is>
      </c>
      <c r="I25" s="113" t="inlineStr">
        <is>
          <t>ContextMenu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trigger id is stable and present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 manual test</t>
        </is>
      </c>
      <c r="H26" s="108" t="inlineStr">
        <is>
          <t>covered</t>
        </is>
      </c>
      <c r="I26" s="113" t="inlineStr">
        <is>
          <t>ContextMenu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Trigger</t>
        </is>
      </c>
      <c r="D27" s="113" t="inlineStr">
        <is>
          <t>data-slot is context-menu-trigger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 manual test</t>
        </is>
      </c>
      <c r="H27" s="108" t="inlineStr">
        <is>
          <t>covered</t>
        </is>
      </c>
      <c r="I27" s="113" t="inlineStr">
        <is>
          <t>ContextMenu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Trigger</t>
        </is>
      </c>
      <c r="D28" s="113" t="inlineStr">
        <is>
          <t>data-state reflects open and closed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 manual test</t>
        </is>
      </c>
      <c r="H28" s="108" t="inlineStr">
        <is>
          <t>covered</t>
        </is>
      </c>
      <c r="I28" s="113" t="inlineStr">
        <is>
          <t>ContextMenu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Trigger</t>
        </is>
      </c>
      <c r="D29" s="113" t="inlineStr">
        <is>
          <t>disabled trigger exposes data-disabled flag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 manual test</t>
        </is>
      </c>
      <c r="H29" s="108" t="inlineStr">
        <is>
          <t>covered</t>
        </is>
      </c>
      <c r="I29" s="113" t="inlineStr">
        <is>
          <t>ContextMenu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Trigger</t>
        </is>
      </c>
      <c r="D30" s="113" t="inlineStr">
        <is>
          <t>right click prevents native browser menu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 manual test</t>
        </is>
      </c>
      <c r="H30" s="108" t="inlineStr">
        <is>
          <t>covered</t>
        </is>
      </c>
      <c r="I30" s="113" t="inlineStr">
        <is>
          <t>ContextMenu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Trigger</t>
        </is>
      </c>
      <c r="D31" s="113" t="inlineStr">
        <is>
          <t>right click opens context menu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 manual test</t>
        </is>
      </c>
      <c r="H31" s="108" t="inlineStr">
        <is>
          <t>covered</t>
        </is>
      </c>
      <c r="I31" s="113" t="inlineStr">
        <is>
          <t>ContextMenu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Trigger</t>
        </is>
      </c>
      <c r="D32" s="113" t="inlineStr">
        <is>
          <t>disabled right click does not open menu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 manual test</t>
        </is>
      </c>
      <c r="H32" s="108" t="inlineStr">
        <is>
          <t>covered</t>
        </is>
      </c>
      <c r="I32" s="113" t="inlineStr">
        <is>
          <t>ContextMenu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Trigger</t>
        </is>
      </c>
      <c r="D33" s="113" t="inlineStr">
        <is>
          <t>Shift+F10 opens context menu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 manual test</t>
        </is>
      </c>
      <c r="H33" s="108" t="inlineStr">
        <is>
          <t>covered</t>
        </is>
      </c>
      <c r="I33" s="113" t="inlineStr">
        <is>
          <t>ContextMenu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Trigger</t>
        </is>
      </c>
      <c r="D34" s="113" t="inlineStr">
        <is>
          <t>ContextMenu key opens context menu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 manual test</t>
        </is>
      </c>
      <c r="H34" s="108" t="inlineStr">
        <is>
          <t>covered</t>
        </is>
      </c>
      <c r="I34" s="113" t="inlineStr">
        <is>
          <t>ContextMenu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Trigger</t>
        </is>
      </c>
      <c r="D35" s="113" t="inlineStr">
        <is>
          <t>consumer onContextMenu runs before Atom open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 manual test</t>
        </is>
      </c>
      <c r="H35" s="108" t="inlineStr">
        <is>
          <t>covered</t>
        </is>
      </c>
      <c r="I35" s="113" t="inlineStr">
        <is>
          <t>ContextMenu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Trigger</t>
        </is>
      </c>
      <c r="D36" s="113" t="inlineStr">
        <is>
          <t>consumer onContextMenu can prevent Atom open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 manual test</t>
        </is>
      </c>
      <c r="H36" s="108" t="inlineStr">
        <is>
          <t>covered</t>
        </is>
      </c>
      <c r="I36" s="113" t="inlineStr">
        <is>
          <t>ContextMenu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Trigger</t>
        </is>
      </c>
      <c r="D37" s="113" t="inlineStr">
        <is>
          <t>consumer onKeyDown can prevent keyboard open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 manual test</t>
        </is>
      </c>
      <c r="H37" s="108" t="inlineStr">
        <is>
          <t>covered</t>
        </is>
      </c>
      <c r="I37" s="113" t="inlineStr">
        <is>
          <t>ContextMenu playground scenario.</t>
        </is>
      </c>
      <c r="J37" s="113" t="n"/>
      <c r="K37" s="117">
        <f>IF(AND(E37="yes",F37="yes",H37="covered"),1,IF(H37="partial",0.5,0))</f>
        <v/>
      </c>
    </row>
    <row r="38" ht="30" customHeight="1" s="58">
      <c r="A38" s="112" t="n">
        <v>30</v>
      </c>
      <c r="B38" s="113" t="inlineStr">
        <is>
          <t>Public API</t>
        </is>
      </c>
      <c r="C38" s="113" t="inlineStr">
        <is>
          <t>Trigger</t>
        </is>
      </c>
      <c r="D38" s="113" t="inlineStr">
        <is>
          <t>native className and data props pass through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 manual test</t>
        </is>
      </c>
      <c r="H38" s="108" t="inlineStr">
        <is>
          <t>covered</t>
        </is>
      </c>
      <c r="I38" s="113" t="inlineStr">
        <is>
          <t>ContextMenu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Trigger</t>
        </is>
      </c>
      <c r="D39" s="113" t="inlineStr">
        <is>
          <t>asChild trigger preserves child content without nesting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 manual test</t>
        </is>
      </c>
      <c r="H39" s="108" t="inlineStr">
        <is>
          <t>covered</t>
        </is>
      </c>
      <c r="I39" s="113" t="inlineStr">
        <is>
          <t>ContextMenu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Trigger</t>
        </is>
      </c>
      <c r="D40" s="113" t="inlineStr">
        <is>
          <t>asChild trigger receives ContextMenu trigger data attributes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 manual test</t>
        </is>
      </c>
      <c r="H40" s="108" t="inlineStr">
        <is>
          <t>covered</t>
        </is>
      </c>
      <c r="I40" s="113" t="inlineStr">
        <is>
          <t>ContextMenu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Trigger</t>
        </is>
      </c>
      <c r="D41" s="113" t="inlineStr">
        <is>
          <t>render trigger preserves custom element content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 manual test</t>
        </is>
      </c>
      <c r="H41" s="108" t="inlineStr">
        <is>
          <t>covered</t>
        </is>
      </c>
      <c r="I41" s="113" t="inlineStr">
        <is>
          <t>ContextMenu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Trigger</t>
        </is>
      </c>
      <c r="D42" s="113" t="inlineStr">
        <is>
          <t>render trigger receives ContextMenu trigger data attributes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 manual test</t>
        </is>
      </c>
      <c r="H42" s="108" t="inlineStr">
        <is>
          <t>covered</t>
        </is>
      </c>
      <c r="I42" s="113" t="inlineStr">
        <is>
          <t>ContextMenu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Content</t>
        </is>
      </c>
      <c r="D43" s="113" t="inlineStr">
        <is>
          <t>renders only while open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 manual test</t>
        </is>
      </c>
      <c r="H43" s="108" t="inlineStr">
        <is>
          <t>covered</t>
        </is>
      </c>
      <c r="I43" s="113" t="inlineStr">
        <is>
          <t>ContextMenu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Content</t>
        </is>
      </c>
      <c r="D44" s="113" t="inlineStr">
        <is>
          <t>role is menu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 manual test</t>
        </is>
      </c>
      <c r="H44" s="108" t="inlineStr">
        <is>
          <t>covered</t>
        </is>
      </c>
      <c r="I44" s="113" t="inlineStr">
        <is>
          <t>ContextMenu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Content</t>
        </is>
      </c>
      <c r="D45" s="113" t="inlineStr">
        <is>
          <t>aria-orientation is vertical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 manual test</t>
        </is>
      </c>
      <c r="H45" s="108" t="inlineStr">
        <is>
          <t>covered</t>
        </is>
      </c>
      <c r="I45" s="113" t="inlineStr">
        <is>
          <t>ContextMenu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Content</t>
        </is>
      </c>
      <c r="D46" s="113" t="inlineStr">
        <is>
          <t>aria-label prop names menu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 manual test</t>
        </is>
      </c>
      <c r="H46" s="108" t="inlineStr">
        <is>
          <t>covered</t>
        </is>
      </c>
      <c r="I46" s="113" t="inlineStr">
        <is>
          <t>ContextMenu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Content</t>
        </is>
      </c>
      <c r="D47" s="113" t="inlineStr">
        <is>
          <t>aria-labelledby references trigger when ariaLabel is absent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 manual test</t>
        </is>
      </c>
      <c r="H47" s="108" t="inlineStr">
        <is>
          <t>covered</t>
        </is>
      </c>
      <c r="I47" s="113" t="inlineStr">
        <is>
          <t>ContextMenu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tabindex attr is -1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 manual test</t>
        </is>
      </c>
      <c r="H48" s="108" t="inlineStr">
        <is>
          <t>covered</t>
        </is>
      </c>
      <c r="I48" s="113" t="inlineStr">
        <is>
          <t>ContextMenu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id matches trigger aria-controls when available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 manual test</t>
        </is>
      </c>
      <c r="H49" s="108" t="inlineStr">
        <is>
          <t>covered</t>
        </is>
      </c>
      <c r="I49" s="113" t="inlineStr">
        <is>
          <t>ContextMenu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data-slot is menu-content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 manual test</t>
        </is>
      </c>
      <c r="H50" s="108" t="inlineStr">
        <is>
          <t>covered</t>
        </is>
      </c>
      <c r="I50" s="113" t="inlineStr">
        <is>
          <t>ContextMenu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data-state is open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 manual test</t>
        </is>
      </c>
      <c r="H51" s="108" t="inlineStr">
        <is>
          <t>covered</t>
        </is>
      </c>
      <c r="I51" s="113" t="inlineStr">
        <is>
          <t>ContextMenu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data-side reflects final placement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 manual test</t>
        </is>
      </c>
      <c r="H52" s="108" t="inlineStr">
        <is>
          <t>covered</t>
        </is>
      </c>
      <c r="I52" s="113" t="inlineStr">
        <is>
          <t>ContextMenu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data-align reflects final placement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 manual test</t>
        </is>
      </c>
      <c r="H53" s="108" t="inlineStr">
        <is>
          <t>covered</t>
        </is>
      </c>
      <c r="I53" s="113" t="inlineStr">
        <is>
          <t>ContextMenu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data-positioned appears after positioning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 manual test</t>
        </is>
      </c>
      <c r="H54" s="108" t="inlineStr">
        <is>
          <t>covered</t>
        </is>
      </c>
      <c r="I54" s="113" t="inlineStr">
        <is>
          <t>ContextMenu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side prop changes placement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 manual test</t>
        </is>
      </c>
      <c r="H55" s="108" t="inlineStr">
        <is>
          <t>covered</t>
        </is>
      </c>
      <c r="I55" s="113" t="inlineStr">
        <is>
          <t>ContextMenu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align prop changes placement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 manual test</t>
        </is>
      </c>
      <c r="H56" s="108" t="inlineStr">
        <is>
          <t>covered</t>
        </is>
      </c>
      <c r="I56" s="113" t="inlineStr">
        <is>
          <t>ContextMenu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sideOffset changes menu distance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 manual test</t>
        </is>
      </c>
      <c r="H57" s="108" t="inlineStr">
        <is>
          <t>covered</t>
        </is>
      </c>
      <c r="I57" s="113" t="inlineStr">
        <is>
          <t>ContextMenu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loop prop overrides root loop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 manual test</t>
        </is>
      </c>
      <c r="H58" s="108" t="inlineStr">
        <is>
          <t>covered</t>
        </is>
      </c>
      <c r="I58" s="113" t="inlineStr">
        <is>
          <t>ContextMenu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Content</t>
        </is>
      </c>
      <c r="D59" s="113" t="inlineStr">
        <is>
          <t>native className and data props pass through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manual test</t>
        </is>
      </c>
      <c r="H59" s="108" t="inlineStr">
        <is>
          <t>covered</t>
        </is>
      </c>
      <c r="I59" s="113" t="inlineStr">
        <is>
          <t>ContextMenu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Content</t>
        </is>
      </c>
      <c r="D60" s="113" t="inlineStr">
        <is>
          <t>onKeyDownCapture can block Atom key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 manual test</t>
        </is>
      </c>
      <c r="H60" s="108" t="inlineStr">
        <is>
          <t>covered</t>
        </is>
      </c>
      <c r="I60" s="113" t="inlineStr">
        <is>
          <t>ContextMenu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Item</t>
        </is>
      </c>
      <c r="D61" s="113" t="inlineStr">
        <is>
          <t>renders role menuitem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 manual test</t>
        </is>
      </c>
      <c r="H61" s="108" t="inlineStr">
        <is>
          <t>covered</t>
        </is>
      </c>
      <c r="I61" s="113" t="inlineStr">
        <is>
          <t>ContextMenu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value appears as data-value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 manual test</t>
        </is>
      </c>
      <c r="H62" s="108" t="inlineStr">
        <is>
          <t>covered</t>
        </is>
      </c>
      <c r="I62" s="113" t="inlineStr">
        <is>
          <t>ContextMenu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Item</t>
        </is>
      </c>
      <c r="D63" s="113" t="inlineStr">
        <is>
          <t>data-slot is menu-item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 manual test</t>
        </is>
      </c>
      <c r="H63" s="108" t="inlineStr">
        <is>
          <t>covered</t>
        </is>
      </c>
      <c r="I63" s="113" t="inlineStr">
        <is>
          <t>ContextMenu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onSelect fires on click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 manual test</t>
        </is>
      </c>
      <c r="H64" s="108" t="inlineStr">
        <is>
          <t>covered</t>
        </is>
      </c>
      <c r="I64" s="113" t="inlineStr">
        <is>
          <t>ContextMenu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Item</t>
        </is>
      </c>
      <c r="D65" s="113" t="inlineStr">
        <is>
          <t>onSelect fires on Enter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 manual test</t>
        </is>
      </c>
      <c r="H65" s="108" t="inlineStr">
        <is>
          <t>covered</t>
        </is>
      </c>
      <c r="I65" s="113" t="inlineStr">
        <is>
          <t>ContextMenu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onSelect fires on Space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 manual test</t>
        </is>
      </c>
      <c r="H66" s="108" t="inlineStr">
        <is>
          <t>covered</t>
        </is>
      </c>
      <c r="I66" s="113" t="inlineStr">
        <is>
          <t>ContextMenu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disabled item exposes aria-disabled true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 manual test</t>
        </is>
      </c>
      <c r="H67" s="108" t="inlineStr">
        <is>
          <t>covered</t>
        </is>
      </c>
      <c r="I67" s="113" t="inlineStr">
        <is>
          <t>ContextMenu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disabled item exposes data-disabled flag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passed manual test</t>
        </is>
      </c>
      <c r="H68" s="108" t="inlineStr">
        <is>
          <t>covered</t>
        </is>
      </c>
      <c r="I68" s="113" t="inlineStr">
        <is>
          <t>ContextMenu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Public API</t>
        </is>
      </c>
      <c r="C69" s="113" t="inlineStr">
        <is>
          <t>Item</t>
        </is>
      </c>
      <c r="D69" s="113" t="inlineStr">
        <is>
          <t>disabled item receives real keyboard focus but Enter, Space, click, and selection callbacks cannot activate it</t>
        </is>
      </c>
      <c r="E69" s="114" t="inlineStr">
        <is>
          <t>yes</t>
        </is>
      </c>
      <c r="F69" s="115" t="inlineStr">
        <is>
          <t>no</t>
        </is>
      </c>
      <c r="G69" s="112" t="inlineStr">
        <is>
          <t>automated tests pass; manual pending</t>
        </is>
      </c>
      <c r="H69" s="116" t="inlineStr">
        <is>
          <t>untested</t>
        </is>
      </c>
      <c r="I69" s="113" t="inlineStr">
        <is>
          <t>playground/manual-tests/context-menu.md</t>
        </is>
      </c>
      <c r="J69" s="113" t="inlineStr">
        <is>
          <t>Run the updated component Manual Test Protocol and named browser/device matrix.</t>
        </is>
      </c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Item</t>
        </is>
      </c>
      <c r="D70" s="113" t="inlineStr">
        <is>
          <t>consumer onClick can prevent Atom behavior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passed manual test</t>
        </is>
      </c>
      <c r="H70" s="108" t="inlineStr">
        <is>
          <t>covered</t>
        </is>
      </c>
      <c r="I70" s="113" t="inlineStr">
        <is>
          <t>ContextMenu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Item</t>
        </is>
      </c>
      <c r="D71" s="113" t="inlineStr">
        <is>
          <t>native className and data props pass through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passed manual test</t>
        </is>
      </c>
      <c r="H71" s="108" t="inlineStr">
        <is>
          <t>covered</t>
        </is>
      </c>
      <c r="I71" s="113" t="inlineStr">
        <is>
          <t>ContextMenu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Checkbox Item</t>
        </is>
      </c>
      <c r="D72" s="113" t="inlineStr">
        <is>
          <t>renders role menuitemcheckbox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passed manual test</t>
        </is>
      </c>
      <c r="H72" s="108" t="inlineStr">
        <is>
          <t>covered</t>
        </is>
      </c>
      <c r="I72" s="113" t="inlineStr">
        <is>
          <t>ContextMenu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Checkbox Item</t>
        </is>
      </c>
      <c r="D73" s="113" t="inlineStr">
        <is>
          <t>aria-checked reflects checked false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passed manual test</t>
        </is>
      </c>
      <c r="H73" s="108" t="inlineStr">
        <is>
          <t>covered</t>
        </is>
      </c>
      <c r="I73" s="113" t="inlineStr">
        <is>
          <t>ContextMenu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Checkbox Item</t>
        </is>
      </c>
      <c r="D74" s="113" t="inlineStr">
        <is>
          <t>aria-checked reflects checked true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passed manual test</t>
        </is>
      </c>
      <c r="H74" s="108" t="inlineStr">
        <is>
          <t>covered</t>
        </is>
      </c>
      <c r="I74" s="113" t="inlineStr">
        <is>
          <t>ContextMenu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Checkbox Item</t>
        </is>
      </c>
      <c r="D75" s="113" t="inlineStr">
        <is>
          <t>data-checked appears when checked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passed manual test</t>
        </is>
      </c>
      <c r="H75" s="108" t="inlineStr">
        <is>
          <t>covered</t>
        </is>
      </c>
      <c r="I75" s="113" t="inlineStr">
        <is>
          <t>ContextMenu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Checkbox Item</t>
        </is>
      </c>
      <c r="D76" s="113" t="inlineStr">
        <is>
          <t>onCheckedChange fires on click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passed manual test</t>
        </is>
      </c>
      <c r="H76" s="108" t="inlineStr">
        <is>
          <t>covered</t>
        </is>
      </c>
      <c r="I76" s="113" t="inlineStr">
        <is>
          <t>ContextMenu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Checkbox Item</t>
        </is>
      </c>
      <c r="D77" s="113" t="inlineStr">
        <is>
          <t>closeOnSelect false keeps menu open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passed manual test</t>
        </is>
      </c>
      <c r="H77" s="108" t="inlineStr">
        <is>
          <t>covered</t>
        </is>
      </c>
      <c r="I77" s="113" t="inlineStr">
        <is>
          <t>ContextMenu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Checkbox Item</t>
        </is>
      </c>
      <c r="D78" s="113" t="inlineStr">
        <is>
          <t>closeOnSelect true closes menu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passed manual test</t>
        </is>
      </c>
      <c r="H78" s="108" t="inlineStr">
        <is>
          <t>covered</t>
        </is>
      </c>
      <c r="I78" s="113" t="inlineStr">
        <is>
          <t>ContextMenu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Public API</t>
        </is>
      </c>
      <c r="C79" s="113" t="inlineStr">
        <is>
          <t>Checkbox Item</t>
        </is>
      </c>
      <c r="D79" s="113" t="inlineStr">
        <is>
          <t>disabled checkbox receives real keyboard focus but cannot toggle or close the menu</t>
        </is>
      </c>
      <c r="E79" s="114" t="inlineStr">
        <is>
          <t>yes</t>
        </is>
      </c>
      <c r="F79" s="115" t="inlineStr">
        <is>
          <t>no</t>
        </is>
      </c>
      <c r="G79" s="112" t="inlineStr">
        <is>
          <t>automated tests pass; manual pending</t>
        </is>
      </c>
      <c r="H79" s="116" t="inlineStr">
        <is>
          <t>untested</t>
        </is>
      </c>
      <c r="I79" s="113" t="inlineStr">
        <is>
          <t>playground/manual-tests/context-menu.md</t>
        </is>
      </c>
      <c r="J79" s="113" t="inlineStr">
        <is>
          <t>Run the updated component Manual Test Protocol and named browser/device matrix.</t>
        </is>
      </c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Radio Group</t>
        </is>
      </c>
      <c r="D80" s="113" t="inlineStr">
        <is>
          <t>renders role group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passed manual test</t>
        </is>
      </c>
      <c r="H80" s="108" t="inlineStr">
        <is>
          <t>covered</t>
        </is>
      </c>
      <c r="I80" s="113" t="inlineStr">
        <is>
          <t>ContextMenu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Radio Group</t>
        </is>
      </c>
      <c r="D81" s="113" t="inlineStr">
        <is>
          <t>data-slot is menu-radio-group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passed manual test</t>
        </is>
      </c>
      <c r="H81" s="108" t="inlineStr">
        <is>
          <t>covered</t>
        </is>
      </c>
      <c r="I81" s="113" t="inlineStr">
        <is>
          <t>ContextMenu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Radio Group</t>
        </is>
      </c>
      <c r="D82" s="113" t="inlineStr">
        <is>
          <t>value controls checked radio item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passed manual test</t>
        </is>
      </c>
      <c r="H82" s="108" t="inlineStr">
        <is>
          <t>covered</t>
        </is>
      </c>
      <c r="I82" s="113" t="inlineStr">
        <is>
          <t>ContextMenu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Radio Group</t>
        </is>
      </c>
      <c r="D83" s="113" t="inlineStr">
        <is>
          <t>onValueChange fires when radio changes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passed manual test</t>
        </is>
      </c>
      <c r="H83" s="108" t="inlineStr">
        <is>
          <t>covered</t>
        </is>
      </c>
      <c r="I83" s="113" t="inlineStr">
        <is>
          <t>ContextMenu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Public API</t>
        </is>
      </c>
      <c r="C84" s="113" t="inlineStr">
        <is>
          <t>Radio Group</t>
        </is>
      </c>
      <c r="D84" s="113" t="inlineStr">
        <is>
          <t>native className and data props pass 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passed manual test</t>
        </is>
      </c>
      <c r="H84" s="108" t="inlineStr">
        <is>
          <t>covered</t>
        </is>
      </c>
      <c r="I84" s="113" t="inlineStr">
        <is>
          <t>ContextMenu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Radio Item</t>
        </is>
      </c>
      <c r="D85" s="113" t="inlineStr">
        <is>
          <t>renders role menuitemradio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passed manual test</t>
        </is>
      </c>
      <c r="H85" s="108" t="inlineStr">
        <is>
          <t>covered</t>
        </is>
      </c>
      <c r="I85" s="113" t="inlineStr">
        <is>
          <t>ContextMenu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Radio Item</t>
        </is>
      </c>
      <c r="D86" s="113" t="inlineStr">
        <is>
          <t>aria-checked reflects selected item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passed manual test</t>
        </is>
      </c>
      <c r="H86" s="108" t="inlineStr">
        <is>
          <t>covered</t>
        </is>
      </c>
      <c r="I86" s="113" t="inlineStr">
        <is>
          <t>ContextMenu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Radio Item</t>
        </is>
      </c>
      <c r="D87" s="113" t="inlineStr">
        <is>
          <t>data-checked appears on selected item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passed manual test</t>
        </is>
      </c>
      <c r="H87" s="108" t="inlineStr">
        <is>
          <t>covered</t>
        </is>
      </c>
      <c r="I87" s="113" t="inlineStr">
        <is>
          <t>ContextMenu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Radio Item</t>
        </is>
      </c>
      <c r="D88" s="113" t="inlineStr">
        <is>
          <t>value appears as data-value without internal group id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passed manual test</t>
        </is>
      </c>
      <c r="H88" s="108" t="inlineStr">
        <is>
          <t>covered</t>
        </is>
      </c>
      <c r="I88" s="113" t="inlineStr">
        <is>
          <t>ContextMenu playground scenario.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Public API</t>
        </is>
      </c>
      <c r="C89" s="113" t="inlineStr">
        <is>
          <t>Radio Item</t>
        </is>
      </c>
      <c r="D89" s="113" t="inlineStr">
        <is>
          <t>disabled radio item receives real keyboard focus but cannot change selection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playground/manual-tests/context-menu.md</t>
        </is>
      </c>
      <c r="J89" s="113" t="inlineStr">
        <is>
          <t>Run the updated component Manual Test Protocol and named browser/device matrix.</t>
        </is>
      </c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Radio Item</t>
        </is>
      </c>
      <c r="D90" s="113" t="inlineStr">
        <is>
          <t>closeOnSelect false keeps menu open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passed manual test</t>
        </is>
      </c>
      <c r="H90" s="108" t="inlineStr">
        <is>
          <t>covered</t>
        </is>
      </c>
      <c r="I90" s="113" t="inlineStr">
        <is>
          <t>ContextMenu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Radio Item</t>
        </is>
      </c>
      <c r="D91" s="113" t="inlineStr">
        <is>
          <t>closeOnSelect true closes menu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passed manual test</t>
        </is>
      </c>
      <c r="H91" s="108" t="inlineStr">
        <is>
          <t>covered</t>
        </is>
      </c>
      <c r="I91" s="113" t="inlineStr">
        <is>
          <t>ContextMenu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Group</t>
        </is>
      </c>
      <c r="D92" s="113" t="inlineStr">
        <is>
          <t>renders role group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passed manual test</t>
        </is>
      </c>
      <c r="H92" s="108" t="inlineStr">
        <is>
          <t>covered</t>
        </is>
      </c>
      <c r="I92" s="113" t="inlineStr">
        <is>
          <t>ContextMenu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Group</t>
        </is>
      </c>
      <c r="D93" s="113" t="inlineStr">
        <is>
          <t>data-slot is menu-group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passed manual test</t>
        </is>
      </c>
      <c r="H93" s="108" t="inlineStr">
        <is>
          <t>covered</t>
        </is>
      </c>
      <c r="I93" s="113" t="inlineStr">
        <is>
          <t>ContextMenu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Public API</t>
        </is>
      </c>
      <c r="C94" s="113" t="inlineStr">
        <is>
          <t>Group</t>
        </is>
      </c>
      <c r="D94" s="113" t="inlineStr">
        <is>
          <t>native className and data props pass 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passed manual test</t>
        </is>
      </c>
      <c r="H94" s="108" t="inlineStr">
        <is>
          <t>covered</t>
        </is>
      </c>
      <c r="I94" s="113" t="inlineStr">
        <is>
          <t>ContextMenu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Separator</t>
        </is>
      </c>
      <c r="D95" s="113" t="inlineStr">
        <is>
          <t>renders role separator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passed manual test</t>
        </is>
      </c>
      <c r="H95" s="108" t="inlineStr">
        <is>
          <t>covered</t>
        </is>
      </c>
      <c r="I95" s="113" t="inlineStr">
        <is>
          <t>ContextMenu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Separator</t>
        </is>
      </c>
      <c r="D96" s="113" t="inlineStr">
        <is>
          <t>aria-orientation is horizontal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passed manual test</t>
        </is>
      </c>
      <c r="H96" s="108" t="inlineStr">
        <is>
          <t>covered</t>
        </is>
      </c>
      <c r="I96" s="113" t="inlineStr">
        <is>
          <t>ContextMenu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Separator</t>
        </is>
      </c>
      <c r="D97" s="113" t="inlineStr">
        <is>
          <t>data-slot is menu-separator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passed manual test</t>
        </is>
      </c>
      <c r="H97" s="108" t="inlineStr">
        <is>
          <t>covered</t>
        </is>
      </c>
      <c r="I97" s="113" t="inlineStr">
        <is>
          <t>ContextMenu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Sub</t>
        </is>
      </c>
      <c r="D98" s="113" t="inlineStr">
        <is>
          <t>defaultOpen initializes uncontrolled submenu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passed manual test</t>
        </is>
      </c>
      <c r="H98" s="108" t="inlineStr">
        <is>
          <t>covered</t>
        </is>
      </c>
      <c r="I98" s="113" t="inlineStr">
        <is>
          <t>ContextMenu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Sub</t>
        </is>
      </c>
      <c r="D99" s="113" t="inlineStr">
        <is>
          <t>open prop controls submenu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passed manual test</t>
        </is>
      </c>
      <c r="H99" s="108" t="inlineStr">
        <is>
          <t>covered</t>
        </is>
      </c>
      <c r="I99" s="113" t="inlineStr">
        <is>
          <t>ContextMenu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Public API</t>
        </is>
      </c>
      <c r="C100" s="113" t="inlineStr">
        <is>
          <t>Sub</t>
        </is>
      </c>
      <c r="D100" s="113" t="inlineStr">
        <is>
          <t>onOpenChange fires for controlled submenu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manual test</t>
        </is>
      </c>
      <c r="H100" s="108" t="inlineStr">
        <is>
          <t>covered</t>
        </is>
      </c>
      <c r="I100" s="113" t="inlineStr">
        <is>
          <t>ContextMenu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Sub</t>
        </is>
      </c>
      <c r="D101" s="113" t="inlineStr">
        <is>
          <t>only one uncontrolled submenu is open at a time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manual test</t>
        </is>
      </c>
      <c r="H101" s="108" t="inlineStr">
        <is>
          <t>covered</t>
        </is>
      </c>
      <c r="I101" s="113" t="inlineStr">
        <is>
          <t>ContextMenu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Sub Trigger</t>
        </is>
      </c>
      <c r="D102" s="113" t="inlineStr">
        <is>
          <t>renders role menuitem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manual test</t>
        </is>
      </c>
      <c r="H102" s="108" t="inlineStr">
        <is>
          <t>covered</t>
        </is>
      </c>
      <c r="I102" s="113" t="inlineStr">
        <is>
          <t>ContextMenu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Public API</t>
        </is>
      </c>
      <c r="C103" s="113" t="inlineStr">
        <is>
          <t>Sub Trigger</t>
        </is>
      </c>
      <c r="D103" s="113" t="inlineStr">
        <is>
          <t>aria-haspopup is menu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manual test</t>
        </is>
      </c>
      <c r="H103" s="108" t="inlineStr">
        <is>
          <t>covered</t>
        </is>
      </c>
      <c r="I103" s="113" t="inlineStr">
        <is>
          <t>ContextMenu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Public API</t>
        </is>
      </c>
      <c r="C104" s="113" t="inlineStr">
        <is>
          <t>Sub Trigger</t>
        </is>
      </c>
      <c r="D104" s="113" t="inlineStr">
        <is>
          <t>aria-expanded reflects submenu open state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manual test</t>
        </is>
      </c>
      <c r="H104" s="108" t="inlineStr">
        <is>
          <t>covered</t>
        </is>
      </c>
      <c r="I104" s="113" t="inlineStr">
        <is>
          <t>ContextMenu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Public API</t>
        </is>
      </c>
      <c r="C105" s="113" t="inlineStr">
        <is>
          <t>Sub Trigger</t>
        </is>
      </c>
      <c r="D105" s="113" t="inlineStr">
        <is>
          <t>data-state reflects submenu state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manual test</t>
        </is>
      </c>
      <c r="H105" s="108" t="inlineStr">
        <is>
          <t>covered</t>
        </is>
      </c>
      <c r="I105" s="113" t="inlineStr">
        <is>
          <t>ContextMenu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Public API</t>
        </is>
      </c>
      <c r="C106" s="113" t="inlineStr">
        <is>
          <t>Sub Trigger</t>
        </is>
      </c>
      <c r="D106" s="113" t="inlineStr">
        <is>
          <t>data-slot is menu-sub-trigger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manual test</t>
        </is>
      </c>
      <c r="H106" s="108" t="inlineStr">
        <is>
          <t>covered</t>
        </is>
      </c>
      <c r="I106" s="113" t="inlineStr">
        <is>
          <t>ContextMenu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Sub Trigger</t>
        </is>
      </c>
      <c r="D107" s="113" t="inlineStr">
        <is>
          <t>hover opens submenu after delay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manual test</t>
        </is>
      </c>
      <c r="H107" s="108" t="inlineStr">
        <is>
          <t>covered</t>
        </is>
      </c>
      <c r="I107" s="113" t="inlineStr">
        <is>
          <t>ContextMenu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Sub Trigger</t>
        </is>
      </c>
      <c r="D108" s="113" t="inlineStr">
        <is>
          <t>click toggles submenu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manual test</t>
        </is>
      </c>
      <c r="H108" s="108" t="inlineStr">
        <is>
          <t>covered</t>
        </is>
      </c>
      <c r="I108" s="113" t="inlineStr">
        <is>
          <t>ContextMenu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Sub Trigger</t>
        </is>
      </c>
      <c r="D109" s="113" t="inlineStr">
        <is>
          <t>ArrowRight opens submenu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manual test</t>
        </is>
      </c>
      <c r="H109" s="108" t="inlineStr">
        <is>
          <t>covered</t>
        </is>
      </c>
      <c r="I109" s="113" t="inlineStr">
        <is>
          <t>ContextMenu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Public API</t>
        </is>
      </c>
      <c r="C110" s="113" t="inlineStr">
        <is>
          <t>Sub Trigger</t>
        </is>
      </c>
      <c r="D110" s="113" t="inlineStr">
        <is>
          <t>disabled sub trigger receives real keyboard focus but cannot open its submenu</t>
        </is>
      </c>
      <c r="E110" s="114" t="inlineStr">
        <is>
          <t>yes</t>
        </is>
      </c>
      <c r="F110" s="115" t="inlineStr">
        <is>
          <t>no</t>
        </is>
      </c>
      <c r="G110" s="112" t="inlineStr">
        <is>
          <t>automated tests pass; manual pending</t>
        </is>
      </c>
      <c r="H110" s="116" t="inlineStr">
        <is>
          <t>untested</t>
        </is>
      </c>
      <c r="I110" s="113" t="inlineStr">
        <is>
          <t>playground/manual-tests/context-menu.md</t>
        </is>
      </c>
      <c r="J110" s="113" t="inlineStr">
        <is>
          <t>Run the updated component Manual Test Protocol and named browser/device matrix.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Public API</t>
        </is>
      </c>
      <c r="C111" s="113" t="inlineStr">
        <is>
          <t>Sub Trigger</t>
        </is>
      </c>
      <c r="D111" s="113" t="inlineStr">
        <is>
          <t>textValue is used for typeahead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manual test</t>
        </is>
      </c>
      <c r="H111" s="108" t="inlineStr">
        <is>
          <t>covered</t>
        </is>
      </c>
      <c r="I111" s="113" t="inlineStr">
        <is>
          <t>ContextMenu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Public API</t>
        </is>
      </c>
      <c r="C112" s="113" t="inlineStr">
        <is>
          <t>Sub Content</t>
        </is>
      </c>
      <c r="D112" s="113" t="inlineStr">
        <is>
          <t>renders role menu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manual test</t>
        </is>
      </c>
      <c r="H112" s="108" t="inlineStr">
        <is>
          <t>covered</t>
        </is>
      </c>
      <c r="I112" s="113" t="inlineStr">
        <is>
          <t>ContextMenu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Public API</t>
        </is>
      </c>
      <c r="C113" s="113" t="inlineStr">
        <is>
          <t>Sub Content</t>
        </is>
      </c>
      <c r="D113" s="113" t="inlineStr">
        <is>
          <t>aria-label prop names submenu</t>
        </is>
      </c>
      <c r="E113" s="114" t="inlineStr">
        <is>
          <t>yes</t>
        </is>
      </c>
      <c r="F113" s="114" t="inlineStr">
        <is>
          <t>yes</t>
        </is>
      </c>
      <c r="G113" s="112" t="inlineStr">
        <is>
          <t>passed manual test</t>
        </is>
      </c>
      <c r="H113" s="108" t="inlineStr">
        <is>
          <t>covered</t>
        </is>
      </c>
      <c r="I113" s="113" t="inlineStr">
        <is>
          <t>ContextMenu playground scenario.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Public API</t>
        </is>
      </c>
      <c r="C114" s="113" t="inlineStr">
        <is>
          <t>Sub Content</t>
        </is>
      </c>
      <c r="D114" s="113" t="inlineStr">
        <is>
          <t>aria-labelledby references sub trigger when ariaLabel is absent</t>
        </is>
      </c>
      <c r="E114" s="114" t="inlineStr">
        <is>
          <t>yes</t>
        </is>
      </c>
      <c r="F114" s="114" t="inlineStr">
        <is>
          <t>yes</t>
        </is>
      </c>
      <c r="G114" s="112" t="inlineStr">
        <is>
          <t>passed manual test</t>
        </is>
      </c>
      <c r="H114" s="108" t="inlineStr">
        <is>
          <t>covered</t>
        </is>
      </c>
      <c r="I114" s="113" t="inlineStr">
        <is>
          <t>ContextMenu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Public API</t>
        </is>
      </c>
      <c r="C115" s="113" t="inlineStr">
        <is>
          <t>Sub Content</t>
        </is>
      </c>
      <c r="D115" s="113" t="inlineStr">
        <is>
          <t>data-slot is menu-sub-content</t>
        </is>
      </c>
      <c r="E115" s="114" t="inlineStr">
        <is>
          <t>yes</t>
        </is>
      </c>
      <c r="F115" s="114" t="inlineStr">
        <is>
          <t>yes</t>
        </is>
      </c>
      <c r="G115" s="112" t="inlineStr">
        <is>
          <t>passed manual test</t>
        </is>
      </c>
      <c r="H115" s="108" t="inlineStr">
        <is>
          <t>covered</t>
        </is>
      </c>
      <c r="I115" s="113" t="inlineStr">
        <is>
          <t>ContextMenu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Public API</t>
        </is>
      </c>
      <c r="C116" s="113" t="inlineStr">
        <is>
          <t>Sub Content</t>
        </is>
      </c>
      <c r="D116" s="113" t="inlineStr">
        <is>
          <t>data-state is open</t>
        </is>
      </c>
      <c r="E116" s="114" t="inlineStr">
        <is>
          <t>yes</t>
        </is>
      </c>
      <c r="F116" s="114" t="inlineStr">
        <is>
          <t>yes</t>
        </is>
      </c>
      <c r="G116" s="112" t="inlineStr">
        <is>
          <t>passed manual test</t>
        </is>
      </c>
      <c r="H116" s="108" t="inlineStr">
        <is>
          <t>covered</t>
        </is>
      </c>
      <c r="I116" s="113" t="inlineStr">
        <is>
          <t>ContextMenu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Sub Content</t>
        </is>
      </c>
      <c r="D117" s="113" t="inlineStr">
        <is>
          <t>data-side reflects final placement</t>
        </is>
      </c>
      <c r="E117" s="114" t="inlineStr">
        <is>
          <t>yes</t>
        </is>
      </c>
      <c r="F117" s="114" t="inlineStr">
        <is>
          <t>yes</t>
        </is>
      </c>
      <c r="G117" s="112" t="inlineStr">
        <is>
          <t>passed manual test</t>
        </is>
      </c>
      <c r="H117" s="108" t="inlineStr">
        <is>
          <t>covered</t>
        </is>
      </c>
      <c r="I117" s="113" t="inlineStr">
        <is>
          <t>ContextMenu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Sub Content</t>
        </is>
      </c>
      <c r="D118" s="113" t="inlineStr">
        <is>
          <t>data-positioned appears after positioning</t>
        </is>
      </c>
      <c r="E118" s="114" t="inlineStr">
        <is>
          <t>yes</t>
        </is>
      </c>
      <c r="F118" s="114" t="inlineStr">
        <is>
          <t>yes</t>
        </is>
      </c>
      <c r="G118" s="112" t="inlineStr">
        <is>
          <t>passed manual test</t>
        </is>
      </c>
      <c r="H118" s="108" t="inlineStr">
        <is>
          <t>covered</t>
        </is>
      </c>
      <c r="I118" s="113" t="inlineStr">
        <is>
          <t>ContextMenu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Sub Content</t>
        </is>
      </c>
      <c r="D119" s="113" t="inlineStr">
        <is>
          <t>sideOffset changes submenu distance</t>
        </is>
      </c>
      <c r="E119" s="114" t="inlineStr">
        <is>
          <t>yes</t>
        </is>
      </c>
      <c r="F119" s="114" t="inlineStr">
        <is>
          <t>yes</t>
        </is>
      </c>
      <c r="G119" s="112" t="inlineStr">
        <is>
          <t>passed manual test</t>
        </is>
      </c>
      <c r="H119" s="108" t="inlineStr">
        <is>
          <t>covered</t>
        </is>
      </c>
      <c r="I119" s="113" t="inlineStr">
        <is>
          <t>ContextMenu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Public API</t>
        </is>
      </c>
      <c r="C120" s="113" t="inlineStr">
        <is>
          <t>Sub Content</t>
        </is>
      </c>
      <c r="D120" s="113" t="inlineStr">
        <is>
          <t>loop prop controls submenu wrapping</t>
        </is>
      </c>
      <c r="E120" s="114" t="inlineStr">
        <is>
          <t>yes</t>
        </is>
      </c>
      <c r="F120" s="114" t="inlineStr">
        <is>
          <t>yes</t>
        </is>
      </c>
      <c r="G120" s="112" t="inlineStr">
        <is>
          <t>passed manual test</t>
        </is>
      </c>
      <c r="H120" s="108" t="inlineStr">
        <is>
          <t>covered</t>
        </is>
      </c>
      <c r="I120" s="113" t="inlineStr">
        <is>
          <t>ContextMenu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Open And Close</t>
        </is>
      </c>
      <c r="D121" s="113" t="inlineStr">
        <is>
          <t>right click opens at pointer location</t>
        </is>
      </c>
      <c r="E121" s="114" t="inlineStr">
        <is>
          <t>yes</t>
        </is>
      </c>
      <c r="F121" s="114" t="inlineStr">
        <is>
          <t>yes</t>
        </is>
      </c>
      <c r="G121" s="112" t="inlineStr">
        <is>
          <t>passed manual test</t>
        </is>
      </c>
      <c r="H121" s="108" t="inlineStr">
        <is>
          <t>covered</t>
        </is>
      </c>
      <c r="I121" s="113" t="inlineStr">
        <is>
          <t>ContextMenu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Interaction</t>
        </is>
      </c>
      <c r="C122" s="113" t="inlineStr">
        <is>
          <t>Open And Close</t>
        </is>
      </c>
      <c r="D122" s="113" t="inlineStr">
        <is>
          <t>keyboard opens at trigger center</t>
        </is>
      </c>
      <c r="E122" s="114" t="inlineStr">
        <is>
          <t>yes</t>
        </is>
      </c>
      <c r="F122" s="114" t="inlineStr">
        <is>
          <t>yes</t>
        </is>
      </c>
      <c r="G122" s="112" t="inlineStr">
        <is>
          <t>passed manual test</t>
        </is>
      </c>
      <c r="H122" s="108" t="inlineStr">
        <is>
          <t>covered</t>
        </is>
      </c>
      <c r="I122" s="113" t="inlineStr">
        <is>
          <t>ContextMenu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Open And Close</t>
        </is>
      </c>
      <c r="D123" s="113" t="inlineStr">
        <is>
          <t>outside click closes menu</t>
        </is>
      </c>
      <c r="E123" s="114" t="inlineStr">
        <is>
          <t>yes</t>
        </is>
      </c>
      <c r="F123" s="114" t="inlineStr">
        <is>
          <t>yes</t>
        </is>
      </c>
      <c r="G123" s="112" t="inlineStr">
        <is>
          <t>passed manual test</t>
        </is>
      </c>
      <c r="H123" s="108" t="inlineStr">
        <is>
          <t>covered</t>
        </is>
      </c>
      <c r="I123" s="113" t="inlineStr">
        <is>
          <t>ContextMenu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Interaction</t>
        </is>
      </c>
      <c r="C124" s="113" t="inlineStr">
        <is>
          <t>Open And Close</t>
        </is>
      </c>
      <c r="D124" s="113" t="inlineStr">
        <is>
          <t>Tab closes every menu level and moves focus after the complete ContextMenu owner boundary</t>
        </is>
      </c>
      <c r="E124" s="114" t="inlineStr">
        <is>
          <t>yes</t>
        </is>
      </c>
      <c r="F124" s="115" t="inlineStr">
        <is>
          <t>no</t>
        </is>
      </c>
      <c r="G124" s="112" t="inlineStr">
        <is>
          <t>automated tests pass; manual pending</t>
        </is>
      </c>
      <c r="H124" s="116" t="inlineStr">
        <is>
          <t>untested</t>
        </is>
      </c>
      <c r="I124" s="113" t="inlineStr">
        <is>
          <t>playground/manual-tests/context-menu.md</t>
        </is>
      </c>
      <c r="J124" s="113" t="inlineStr">
        <is>
          <t>Run the updated component Manual Test Protocol and named browser/device matrix.</t>
        </is>
      </c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Open And Close</t>
        </is>
      </c>
      <c r="D125" s="113" t="inlineStr">
        <is>
          <t>Escape closes menu when no submenu is open</t>
        </is>
      </c>
      <c r="E125" s="114" t="inlineStr">
        <is>
          <t>yes</t>
        </is>
      </c>
      <c r="F125" s="114" t="inlineStr">
        <is>
          <t>yes</t>
        </is>
      </c>
      <c r="G125" s="112" t="inlineStr">
        <is>
          <t>passed manual test</t>
        </is>
      </c>
      <c r="H125" s="108" t="inlineStr">
        <is>
          <t>covered</t>
        </is>
      </c>
      <c r="I125" s="113" t="inlineStr">
        <is>
          <t>ContextMenu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Interaction</t>
        </is>
      </c>
      <c r="C126" s="113" t="inlineStr">
        <is>
          <t>Open And Close</t>
        </is>
      </c>
      <c r="D126" s="113" t="inlineStr">
        <is>
          <t>Escape closes the innermost submenu first and restores real focus to its SubTrigger</t>
        </is>
      </c>
      <c r="E126" s="114" t="inlineStr">
        <is>
          <t>yes</t>
        </is>
      </c>
      <c r="F126" s="115" t="inlineStr">
        <is>
          <t>no</t>
        </is>
      </c>
      <c r="G126" s="112" t="inlineStr">
        <is>
          <t>automated tests pass; manual pending</t>
        </is>
      </c>
      <c r="H126" s="116" t="inlineStr">
        <is>
          <t>untested</t>
        </is>
      </c>
      <c r="I126" s="113" t="inlineStr">
        <is>
          <t>playground/manual-tests/context-menu.md</t>
        </is>
      </c>
      <c r="J126" s="113" t="inlineStr">
        <is>
          <t>Run the updated component Manual Test Protocol and named browser/device matrix.</t>
        </is>
      </c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Interaction</t>
        </is>
      </c>
      <c r="C127" s="113" t="inlineStr">
        <is>
          <t>Open And Close</t>
        </is>
      </c>
      <c r="D127" s="113" t="inlineStr">
        <is>
          <t>selecting action item closes menu when enabled</t>
        </is>
      </c>
      <c r="E127" s="114" t="inlineStr">
        <is>
          <t>yes</t>
        </is>
      </c>
      <c r="F127" s="114" t="inlineStr">
        <is>
          <t>yes</t>
        </is>
      </c>
      <c r="G127" s="112" t="inlineStr">
        <is>
          <t>passed manual test</t>
        </is>
      </c>
      <c r="H127" s="108" t="inlineStr">
        <is>
          <t>covered</t>
        </is>
      </c>
      <c r="I127" s="113" t="inlineStr">
        <is>
          <t>ContextMenu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Interaction</t>
        </is>
      </c>
      <c r="C128" s="113" t="inlineStr">
        <is>
          <t>Open And Close</t>
        </is>
      </c>
      <c r="D128" s="113" t="inlineStr">
        <is>
          <t>selecting checkbox/radio can keep menu open</t>
        </is>
      </c>
      <c r="E128" s="114" t="inlineStr">
        <is>
          <t>yes</t>
        </is>
      </c>
      <c r="F128" s="114" t="inlineStr">
        <is>
          <t>yes</t>
        </is>
      </c>
      <c r="G128" s="112" t="inlineStr">
        <is>
          <t>passed manual test</t>
        </is>
      </c>
      <c r="H128" s="108" t="inlineStr">
        <is>
          <t>covered</t>
        </is>
      </c>
      <c r="I128" s="113" t="inlineStr">
        <is>
          <t>ContextMenu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Interaction</t>
        </is>
      </c>
      <c r="C129" s="113" t="inlineStr">
        <is>
          <t>Open And Close</t>
        </is>
      </c>
      <c r="D129" s="113" t="inlineStr">
        <is>
          <t>selecting submenu item closes submenu and parent menu</t>
        </is>
      </c>
      <c r="E129" s="114" t="inlineStr">
        <is>
          <t>yes</t>
        </is>
      </c>
      <c r="F129" s="114" t="inlineStr">
        <is>
          <t>yes</t>
        </is>
      </c>
      <c r="G129" s="112" t="inlineStr">
        <is>
          <t>passed manual test</t>
        </is>
      </c>
      <c r="H129" s="108" t="inlineStr">
        <is>
          <t>covered</t>
        </is>
      </c>
      <c r="I129" s="113" t="inlineStr">
        <is>
          <t>ContextMenu playground scenario.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Keyboard</t>
        </is>
      </c>
      <c r="C130" s="113" t="inlineStr">
        <is>
          <t>Navigation</t>
        </is>
      </c>
      <c r="D130" s="113" t="inlineStr">
        <is>
          <t>ArrowDown moves real focus forward, including onto disabled items</t>
        </is>
      </c>
      <c r="E130" s="114" t="inlineStr">
        <is>
          <t>yes</t>
        </is>
      </c>
      <c r="F130" s="115" t="inlineStr">
        <is>
          <t>no</t>
        </is>
      </c>
      <c r="G130" s="112" t="inlineStr">
        <is>
          <t>automated tests pass; manual pending</t>
        </is>
      </c>
      <c r="H130" s="116" t="inlineStr">
        <is>
          <t>untested</t>
        </is>
      </c>
      <c r="I130" s="113" t="inlineStr">
        <is>
          <t>playground/manual-tests/context-menu.md</t>
        </is>
      </c>
      <c r="J130" s="113" t="inlineStr">
        <is>
          <t>Run the updated component Manual Test Protocol and named browser/device matrix.</t>
        </is>
      </c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Keyboard</t>
        </is>
      </c>
      <c r="C131" s="113" t="inlineStr">
        <is>
          <t>Navigation</t>
        </is>
      </c>
      <c r="D131" s="113" t="inlineStr">
        <is>
          <t>ArrowUp moves real focus backward, including onto disabled items</t>
        </is>
      </c>
      <c r="E131" s="114" t="inlineStr">
        <is>
          <t>yes</t>
        </is>
      </c>
      <c r="F131" s="115" t="inlineStr">
        <is>
          <t>no</t>
        </is>
      </c>
      <c r="G131" s="112" t="inlineStr">
        <is>
          <t>automated tests pass; manual pending</t>
        </is>
      </c>
      <c r="H131" s="116" t="inlineStr">
        <is>
          <t>untested</t>
        </is>
      </c>
      <c r="I131" s="113" t="inlineStr">
        <is>
          <t>playground/manual-tests/context-menu.md</t>
        </is>
      </c>
      <c r="J131" s="113" t="inlineStr">
        <is>
          <t>Run the updated component Manual Test Protocol and named browser/device matrix.</t>
        </is>
      </c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Navigation</t>
        </is>
      </c>
      <c r="D132" s="113" t="inlineStr">
        <is>
          <t>Home moves highlight to first item</t>
        </is>
      </c>
      <c r="E132" s="114" t="inlineStr">
        <is>
          <t>yes</t>
        </is>
      </c>
      <c r="F132" s="114" t="inlineStr">
        <is>
          <t>yes</t>
        </is>
      </c>
      <c r="G132" s="112" t="inlineStr">
        <is>
          <t>passed manual test</t>
        </is>
      </c>
      <c r="H132" s="108" t="inlineStr">
        <is>
          <t>covered</t>
        </is>
      </c>
      <c r="I132" s="113" t="inlineStr">
        <is>
          <t>ContextMenu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Navigation</t>
        </is>
      </c>
      <c r="D133" s="113" t="inlineStr">
        <is>
          <t>End moves highlight to last item</t>
        </is>
      </c>
      <c r="E133" s="114" t="inlineStr">
        <is>
          <t>yes</t>
        </is>
      </c>
      <c r="F133" s="114" t="inlineStr">
        <is>
          <t>yes</t>
        </is>
      </c>
      <c r="G133" s="112" t="inlineStr">
        <is>
          <t>passed manual test</t>
        </is>
      </c>
      <c r="H133" s="108" t="inlineStr">
        <is>
          <t>covered</t>
        </is>
      </c>
      <c r="I133" s="113" t="inlineStr">
        <is>
          <t>ContextMenu playground scenario.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Keyboard</t>
        </is>
      </c>
      <c r="C134" s="113" t="inlineStr">
        <is>
          <t>Navigation</t>
        </is>
      </c>
      <c r="D134" s="113" t="inlineStr">
        <is>
          <t>disabled items participate in Arrow and typeahead focus movement but never activate</t>
        </is>
      </c>
      <c r="E134" s="114" t="inlineStr">
        <is>
          <t>yes</t>
        </is>
      </c>
      <c r="F134" s="115" t="inlineStr">
        <is>
          <t>no</t>
        </is>
      </c>
      <c r="G134" s="112" t="inlineStr">
        <is>
          <t>automated tests pass; manual pending</t>
        </is>
      </c>
      <c r="H134" s="116" t="inlineStr">
        <is>
          <t>untested</t>
        </is>
      </c>
      <c r="I134" s="113" t="inlineStr">
        <is>
          <t>playground/manual-tests/context-menu.md</t>
        </is>
      </c>
      <c r="J134" s="113" t="inlineStr">
        <is>
          <t>Run the updated component Manual Test Protocol and named browser/device matrix.</t>
        </is>
      </c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Navigation</t>
        </is>
      </c>
      <c r="D135" s="113" t="inlineStr">
        <is>
          <t>loop forward wraps to first</t>
        </is>
      </c>
      <c r="E135" s="114" t="inlineStr">
        <is>
          <t>yes</t>
        </is>
      </c>
      <c r="F135" s="114" t="inlineStr">
        <is>
          <t>yes</t>
        </is>
      </c>
      <c r="G135" s="112" t="inlineStr">
        <is>
          <t>passed manual test</t>
        </is>
      </c>
      <c r="H135" s="108" t="inlineStr">
        <is>
          <t>covered</t>
        </is>
      </c>
      <c r="I135" s="113" t="inlineStr">
        <is>
          <t>ContextMenu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Keyboard</t>
        </is>
      </c>
      <c r="C136" s="113" t="inlineStr">
        <is>
          <t>Navigation</t>
        </is>
      </c>
      <c r="D136" s="113" t="inlineStr">
        <is>
          <t>loop backward wraps to last</t>
        </is>
      </c>
      <c r="E136" s="114" t="inlineStr">
        <is>
          <t>yes</t>
        </is>
      </c>
      <c r="F136" s="114" t="inlineStr">
        <is>
          <t>yes</t>
        </is>
      </c>
      <c r="G136" s="112" t="inlineStr">
        <is>
          <t>passed manual test</t>
        </is>
      </c>
      <c r="H136" s="108" t="inlineStr">
        <is>
          <t>covered</t>
        </is>
      </c>
      <c r="I136" s="113" t="inlineStr">
        <is>
          <t>ContextMenu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Navigation</t>
        </is>
      </c>
      <c r="D137" s="113" t="inlineStr">
        <is>
          <t>loop off does not wrap forward</t>
        </is>
      </c>
      <c r="E137" s="114" t="inlineStr">
        <is>
          <t>yes</t>
        </is>
      </c>
      <c r="F137" s="114" t="inlineStr">
        <is>
          <t>yes</t>
        </is>
      </c>
      <c r="G137" s="112" t="inlineStr">
        <is>
          <t>passed manual test</t>
        </is>
      </c>
      <c r="H137" s="108" t="inlineStr">
        <is>
          <t>covered</t>
        </is>
      </c>
      <c r="I137" s="113" t="inlineStr">
        <is>
          <t>ContextMenu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Keyboard</t>
        </is>
      </c>
      <c r="C138" s="113" t="inlineStr">
        <is>
          <t>Navigation</t>
        </is>
      </c>
      <c r="D138" s="113" t="inlineStr">
        <is>
          <t>loop off does not wrap backward</t>
        </is>
      </c>
      <c r="E138" s="114" t="inlineStr">
        <is>
          <t>yes</t>
        </is>
      </c>
      <c r="F138" s="114" t="inlineStr">
        <is>
          <t>yes</t>
        </is>
      </c>
      <c r="G138" s="112" t="inlineStr">
        <is>
          <t>passed manual test</t>
        </is>
      </c>
      <c r="H138" s="108" t="inlineStr">
        <is>
          <t>covered</t>
        </is>
      </c>
      <c r="I138" s="113" t="inlineStr">
        <is>
          <t>ContextMenu playground scenario.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Keyboard</t>
        </is>
      </c>
      <c r="C139" s="113" t="inlineStr">
        <is>
          <t>Navigation</t>
        </is>
      </c>
      <c r="D139" s="113" t="inlineStr">
        <is>
          <t>Enter activates highlighted item</t>
        </is>
      </c>
      <c r="E139" s="114" t="inlineStr">
        <is>
          <t>yes</t>
        </is>
      </c>
      <c r="F139" s="114" t="inlineStr">
        <is>
          <t>yes</t>
        </is>
      </c>
      <c r="G139" s="112" t="inlineStr">
        <is>
          <t>passed manual test</t>
        </is>
      </c>
      <c r="H139" s="108" t="inlineStr">
        <is>
          <t>covered</t>
        </is>
      </c>
      <c r="I139" s="113" t="inlineStr">
        <is>
          <t>ContextMenu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Keyboard</t>
        </is>
      </c>
      <c r="C140" s="113" t="inlineStr">
        <is>
          <t>Navigation</t>
        </is>
      </c>
      <c r="D140" s="113" t="inlineStr">
        <is>
          <t>Space activates highlighted item</t>
        </is>
      </c>
      <c r="E140" s="114" t="inlineStr">
        <is>
          <t>yes</t>
        </is>
      </c>
      <c r="F140" s="114" t="inlineStr">
        <is>
          <t>yes</t>
        </is>
      </c>
      <c r="G140" s="112" t="inlineStr">
        <is>
          <t>passed manual test</t>
        </is>
      </c>
      <c r="H140" s="108" t="inlineStr">
        <is>
          <t>covered</t>
        </is>
      </c>
      <c r="I140" s="113" t="inlineStr">
        <is>
          <t>ContextMenu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Keyboard</t>
        </is>
      </c>
      <c r="C141" s="113" t="inlineStr">
        <is>
          <t>Navigation</t>
        </is>
      </c>
      <c r="D141" s="113" t="inlineStr">
        <is>
          <t>typeahead highlights matching item</t>
        </is>
      </c>
      <c r="E141" s="114" t="inlineStr">
        <is>
          <t>yes</t>
        </is>
      </c>
      <c r="F141" s="114" t="inlineStr">
        <is>
          <t>yes</t>
        </is>
      </c>
      <c r="G141" s="112" t="inlineStr">
        <is>
          <t>passed manual test</t>
        </is>
      </c>
      <c r="H141" s="108" t="inlineStr">
        <is>
          <t>covered</t>
        </is>
      </c>
      <c r="I141" s="113" t="inlineStr">
        <is>
          <t>ContextMenu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Keyboard</t>
        </is>
      </c>
      <c r="C142" s="113" t="inlineStr">
        <is>
          <t>Navigation</t>
        </is>
      </c>
      <c r="D142" s="113" t="inlineStr">
        <is>
          <t>single-character typeahead cycles same-letter matches</t>
        </is>
      </c>
      <c r="E142" s="114" t="inlineStr">
        <is>
          <t>yes</t>
        </is>
      </c>
      <c r="F142" s="114" t="inlineStr">
        <is>
          <t>yes</t>
        </is>
      </c>
      <c r="G142" s="112" t="inlineStr">
        <is>
          <t>passed manual test</t>
        </is>
      </c>
      <c r="H142" s="108" t="inlineStr">
        <is>
          <t>covered</t>
        </is>
      </c>
      <c r="I142" s="113" t="inlineStr">
        <is>
          <t>ContextMenu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Keyboard</t>
        </is>
      </c>
      <c r="C143" s="113" t="inlineStr">
        <is>
          <t>Navigation</t>
        </is>
      </c>
      <c r="D143" s="113" t="inlineStr">
        <is>
          <t>multi-character typeahead matches exact prefix</t>
        </is>
      </c>
      <c r="E143" s="114" t="inlineStr">
        <is>
          <t>yes</t>
        </is>
      </c>
      <c r="F143" s="114" t="inlineStr">
        <is>
          <t>yes</t>
        </is>
      </c>
      <c r="G143" s="112" t="inlineStr">
        <is>
          <t>passed manual test</t>
        </is>
      </c>
      <c r="H143" s="108" t="inlineStr">
        <is>
          <t>covered</t>
        </is>
      </c>
      <c r="I143" s="113" t="inlineStr">
        <is>
          <t>ContextMenu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Keyboard</t>
        </is>
      </c>
      <c r="C144" s="113" t="inlineStr">
        <is>
          <t>Navigation</t>
        </is>
      </c>
      <c r="D144" s="113" t="inlineStr">
        <is>
          <t>submenu has independent highlight state</t>
        </is>
      </c>
      <c r="E144" s="114" t="inlineStr">
        <is>
          <t>yes</t>
        </is>
      </c>
      <c r="F144" s="114" t="inlineStr">
        <is>
          <t>yes</t>
        </is>
      </c>
      <c r="G144" s="112" t="inlineStr">
        <is>
          <t>passed manual test</t>
        </is>
      </c>
      <c r="H144" s="108" t="inlineStr">
        <is>
          <t>covered</t>
        </is>
      </c>
      <c r="I144" s="113" t="inlineStr">
        <is>
          <t>ContextMenu playground scenario.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Keyboard</t>
        </is>
      </c>
      <c r="C145" s="113" t="inlineStr">
        <is>
          <t>Navigation</t>
        </is>
      </c>
      <c r="D145" s="113" t="inlineStr">
        <is>
          <t>ArrowLeft closes submenu</t>
        </is>
      </c>
      <c r="E145" s="114" t="inlineStr">
        <is>
          <t>yes</t>
        </is>
      </c>
      <c r="F145" s="114" t="inlineStr">
        <is>
          <t>yes</t>
        </is>
      </c>
      <c r="G145" s="112" t="inlineStr">
        <is>
          <t>passed manual test</t>
        </is>
      </c>
      <c r="H145" s="108" t="inlineStr">
        <is>
          <t>covered</t>
        </is>
      </c>
      <c r="I145" s="113" t="inlineStr">
        <is>
          <t>ContextMenu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Keyboard</t>
        </is>
      </c>
      <c r="C146" s="113" t="inlineStr">
        <is>
          <t>Navigation</t>
        </is>
      </c>
      <c r="D146" s="113" t="inlineStr">
        <is>
          <t>ArrowRight opens nested submenu from submenu</t>
        </is>
      </c>
      <c r="E146" s="114" t="inlineStr">
        <is>
          <t>yes</t>
        </is>
      </c>
      <c r="F146" s="114" t="inlineStr">
        <is>
          <t>yes</t>
        </is>
      </c>
      <c r="G146" s="112" t="inlineStr">
        <is>
          <t>passed manual test</t>
        </is>
      </c>
      <c r="H146" s="108" t="inlineStr">
        <is>
          <t>covered</t>
        </is>
      </c>
      <c r="I146" s="113" t="inlineStr">
        <is>
          <t>ContextMenu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Pointer</t>
        </is>
      </c>
      <c r="C147" s="113" t="inlineStr">
        <is>
          <t>Highlight</t>
        </is>
      </c>
      <c r="D147" s="113" t="inlineStr">
        <is>
          <t>pointer open starts with no highlighted item</t>
        </is>
      </c>
      <c r="E147" s="114" t="inlineStr">
        <is>
          <t>yes</t>
        </is>
      </c>
      <c r="F147" s="114" t="inlineStr">
        <is>
          <t>yes</t>
        </is>
      </c>
      <c r="G147" s="112" t="inlineStr">
        <is>
          <t>passed manual test</t>
        </is>
      </c>
      <c r="H147" s="108" t="inlineStr">
        <is>
          <t>covered</t>
        </is>
      </c>
      <c r="I147" s="113" t="inlineStr">
        <is>
          <t>ContextMenu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Pointer</t>
        </is>
      </c>
      <c r="C148" s="113" t="inlineStr">
        <is>
          <t>Highlight</t>
        </is>
      </c>
      <c r="D148" s="113" t="inlineStr">
        <is>
          <t>hovering item highlights it</t>
        </is>
      </c>
      <c r="E148" s="114" t="inlineStr">
        <is>
          <t>yes</t>
        </is>
      </c>
      <c r="F148" s="114" t="inlineStr">
        <is>
          <t>yes</t>
        </is>
      </c>
      <c r="G148" s="112" t="inlineStr">
        <is>
          <t>passed manual test</t>
        </is>
      </c>
      <c r="H148" s="108" t="inlineStr">
        <is>
          <t>covered</t>
        </is>
      </c>
      <c r="I148" s="113" t="inlineStr">
        <is>
          <t>ContextMenu playground scenario.</t>
        </is>
      </c>
      <c r="J148" s="113" t="n"/>
      <c r="K148" s="117">
        <f>IF(AND(E148="yes",F148="yes",H148="covered"),1,IF(H148="partial",0.5,0))</f>
        <v/>
      </c>
    </row>
    <row r="149" ht="30" customHeight="1" s="58">
      <c r="A149" s="112" t="n">
        <v>141</v>
      </c>
      <c r="B149" s="113" t="inlineStr">
        <is>
          <t>Pointer</t>
        </is>
      </c>
      <c r="C149" s="113" t="inlineStr">
        <is>
          <t>Highlight</t>
        </is>
      </c>
      <c r="D149" s="113" t="inlineStr">
        <is>
          <t>mouse hover may focus and highlight a disabled item without activating it</t>
        </is>
      </c>
      <c r="E149" s="114" t="inlineStr">
        <is>
          <t>yes</t>
        </is>
      </c>
      <c r="F149" s="115" t="inlineStr">
        <is>
          <t>no</t>
        </is>
      </c>
      <c r="G149" s="112" t="inlineStr">
        <is>
          <t>automated tests pass; manual pending</t>
        </is>
      </c>
      <c r="H149" s="116" t="inlineStr">
        <is>
          <t>untested</t>
        </is>
      </c>
      <c r="I149" s="113" t="inlineStr">
        <is>
          <t>playground/manual-tests/context-menu.md</t>
        </is>
      </c>
      <c r="J149" s="113" t="inlineStr">
        <is>
          <t>Run the updated component Manual Test Protocol and named browser/device matrix.</t>
        </is>
      </c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Pointer</t>
        </is>
      </c>
      <c r="C150" s="113" t="inlineStr">
        <is>
          <t>Highlight</t>
        </is>
      </c>
      <c r="D150" s="113" t="inlineStr">
        <is>
          <t>hovering item closes previously open submenu</t>
        </is>
      </c>
      <c r="E150" s="114" t="inlineStr">
        <is>
          <t>yes</t>
        </is>
      </c>
      <c r="F150" s="114" t="inlineStr">
        <is>
          <t>yes</t>
        </is>
      </c>
      <c r="G150" s="112" t="inlineStr">
        <is>
          <t>passed manual test</t>
        </is>
      </c>
      <c r="H150" s="108" t="inlineStr">
        <is>
          <t>covered</t>
        </is>
      </c>
      <c r="I150" s="113" t="inlineStr">
        <is>
          <t>ContextMenu playground scenario.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Pointer</t>
        </is>
      </c>
      <c r="C151" s="113" t="inlineStr">
        <is>
          <t>Highlight</t>
        </is>
      </c>
      <c r="D151" s="113" t="inlineStr">
        <is>
          <t>reopening from pointer does not alternate stale first highlight</t>
        </is>
      </c>
      <c r="E151" s="114" t="inlineStr">
        <is>
          <t>yes</t>
        </is>
      </c>
      <c r="F151" s="114" t="inlineStr">
        <is>
          <t>yes</t>
        </is>
      </c>
      <c r="G151" s="112" t="inlineStr">
        <is>
          <t>passed manual test</t>
        </is>
      </c>
      <c r="H151" s="108" t="inlineStr">
        <is>
          <t>covered</t>
        </is>
      </c>
      <c r="I151" s="113" t="inlineStr">
        <is>
          <t>ContextMenu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Accessibility</t>
        </is>
      </c>
      <c r="C152" s="113" t="inlineStr">
        <is>
          <t>Relationships</t>
        </is>
      </c>
      <c r="D152" s="113" t="inlineStr">
        <is>
          <t>trigger has accessible text</t>
        </is>
      </c>
      <c r="E152" s="114" t="inlineStr">
        <is>
          <t>yes</t>
        </is>
      </c>
      <c r="F152" s="114" t="inlineStr">
        <is>
          <t>yes</t>
        </is>
      </c>
      <c r="G152" s="112" t="inlineStr">
        <is>
          <t>passed manual test</t>
        </is>
      </c>
      <c r="H152" s="108" t="inlineStr">
        <is>
          <t>covered</t>
        </is>
      </c>
      <c r="I152" s="113" t="inlineStr">
        <is>
          <t>ContextMenu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Accessibility</t>
        </is>
      </c>
      <c r="C153" s="113" t="inlineStr">
        <is>
          <t>Relationships</t>
        </is>
      </c>
      <c r="D153" s="113" t="inlineStr">
        <is>
          <t>content has accessible name</t>
        </is>
      </c>
      <c r="E153" s="114" t="inlineStr">
        <is>
          <t>yes</t>
        </is>
      </c>
      <c r="F153" s="114" t="inlineStr">
        <is>
          <t>yes</t>
        </is>
      </c>
      <c r="G153" s="112" t="inlineStr">
        <is>
          <t>passed manual test</t>
        </is>
      </c>
      <c r="H153" s="108" t="inlineStr">
        <is>
          <t>covered</t>
        </is>
      </c>
      <c r="I153" s="113" t="inlineStr">
        <is>
          <t>ContextMenu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Accessibility</t>
        </is>
      </c>
      <c r="C154" s="113" t="inlineStr">
        <is>
          <t>Relationships</t>
        </is>
      </c>
      <c r="D154" s="113" t="inlineStr">
        <is>
          <t>content references trigger when unnamed</t>
        </is>
      </c>
      <c r="E154" s="114" t="inlineStr">
        <is>
          <t>yes</t>
        </is>
      </c>
      <c r="F154" s="114" t="inlineStr">
        <is>
          <t>yes</t>
        </is>
      </c>
      <c r="G154" s="112" t="inlineStr">
        <is>
          <t>passed manual test</t>
        </is>
      </c>
      <c r="H154" s="108" t="inlineStr">
        <is>
          <t>covered</t>
        </is>
      </c>
      <c r="I154" s="113" t="inlineStr">
        <is>
          <t>ContextMenu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Accessibility</t>
        </is>
      </c>
      <c r="C155" s="113" t="inlineStr">
        <is>
          <t>Relationships</t>
        </is>
      </c>
      <c r="D155" s="113" t="inlineStr">
        <is>
          <t>sub content references sub trigger when unnamed</t>
        </is>
      </c>
      <c r="E155" s="114" t="inlineStr">
        <is>
          <t>yes</t>
        </is>
      </c>
      <c r="F155" s="114" t="inlineStr">
        <is>
          <t>yes</t>
        </is>
      </c>
      <c r="G155" s="112" t="inlineStr">
        <is>
          <t>passed manual test</t>
        </is>
      </c>
      <c r="H155" s="108" t="inlineStr">
        <is>
          <t>covered</t>
        </is>
      </c>
      <c r="I155" s="113" t="inlineStr">
        <is>
          <t>ContextMenu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Accessibility</t>
        </is>
      </c>
      <c r="C156" s="113" t="inlineStr">
        <is>
          <t>Relationships</t>
        </is>
      </c>
      <c r="D156" s="113" t="inlineStr">
        <is>
          <t>checked states are exposed through aria-checked</t>
        </is>
      </c>
      <c r="E156" s="114" t="inlineStr">
        <is>
          <t>yes</t>
        </is>
      </c>
      <c r="F156" s="114" t="inlineStr">
        <is>
          <t>yes</t>
        </is>
      </c>
      <c r="G156" s="112" t="inlineStr">
        <is>
          <t>passed manual test</t>
        </is>
      </c>
      <c r="H156" s="108" t="inlineStr">
        <is>
          <t>covered</t>
        </is>
      </c>
      <c r="I156" s="113" t="inlineStr">
        <is>
          <t>ContextMenu playground scenario.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Accessibility</t>
        </is>
      </c>
      <c r="C157" s="113" t="inlineStr">
        <is>
          <t>Relationships</t>
        </is>
      </c>
      <c r="D157" s="113" t="inlineStr">
        <is>
          <t>disabled states are exposed through aria-disabled</t>
        </is>
      </c>
      <c r="E157" s="114" t="inlineStr">
        <is>
          <t>yes</t>
        </is>
      </c>
      <c r="F157" s="114" t="inlineStr">
        <is>
          <t>yes</t>
        </is>
      </c>
      <c r="G157" s="112" t="inlineStr">
        <is>
          <t>passed manual test</t>
        </is>
      </c>
      <c r="H157" s="108" t="inlineStr">
        <is>
          <t>covered</t>
        </is>
      </c>
      <c r="I157" s="113" t="inlineStr">
        <is>
          <t>ContextMenu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Accessibility</t>
        </is>
      </c>
      <c r="C158" s="113" t="inlineStr">
        <is>
          <t>Relationships</t>
        </is>
      </c>
      <c r="D158" s="113" t="inlineStr">
        <is>
          <t>nested ContextMenu Escape does not close parent overlay</t>
        </is>
      </c>
      <c r="E158" s="114" t="inlineStr">
        <is>
          <t>yes</t>
        </is>
      </c>
      <c r="F158" s="114" t="inlineStr">
        <is>
          <t>yes</t>
        </is>
      </c>
      <c r="G158" s="112" t="inlineStr">
        <is>
          <t>passed manual test</t>
        </is>
      </c>
      <c r="H158" s="108" t="inlineStr">
        <is>
          <t>covered</t>
        </is>
      </c>
      <c r="I158" s="113" t="inlineStr">
        <is>
          <t>ContextMenu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Composition</t>
        </is>
      </c>
      <c r="C159" s="113" t="inlineStr">
        <is>
          <t>Trigger Composition</t>
        </is>
      </c>
      <c r="D159" s="113" t="inlineStr">
        <is>
          <t>trigger asChild preserves child content</t>
        </is>
      </c>
      <c r="E159" s="114" t="inlineStr">
        <is>
          <t>yes</t>
        </is>
      </c>
      <c r="F159" s="114" t="inlineStr">
        <is>
          <t>yes</t>
        </is>
      </c>
      <c r="G159" s="112" t="inlineStr">
        <is>
          <t>passed manual test</t>
        </is>
      </c>
      <c r="H159" s="108" t="inlineStr">
        <is>
          <t>covered</t>
        </is>
      </c>
      <c r="I159" s="113" t="inlineStr">
        <is>
          <t>ContextMenu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Trigger Composition</t>
        </is>
      </c>
      <c r="D160" s="113" t="inlineStr">
        <is>
          <t>trigger render preserves child content</t>
        </is>
      </c>
      <c r="E160" s="114" t="inlineStr">
        <is>
          <t>yes</t>
        </is>
      </c>
      <c r="F160" s="114" t="inlineStr">
        <is>
          <t>yes</t>
        </is>
      </c>
      <c r="G160" s="112" t="inlineStr">
        <is>
          <t>passed manual test</t>
        </is>
      </c>
      <c r="H160" s="108" t="inlineStr">
        <is>
          <t>covered</t>
        </is>
      </c>
      <c r="I160" s="113" t="inlineStr">
        <is>
          <t>ContextMenu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Item Composition</t>
        </is>
      </c>
      <c r="D161" s="113" t="inlineStr">
        <is>
          <t>Item asChild preserves child content</t>
        </is>
      </c>
      <c r="E161" s="114" t="inlineStr">
        <is>
          <t>yes</t>
        </is>
      </c>
      <c r="F161" s="114" t="inlineStr">
        <is>
          <t>yes</t>
        </is>
      </c>
      <c r="G161" s="112" t="inlineStr">
        <is>
          <t>passed manual test</t>
        </is>
      </c>
      <c r="H161" s="108" t="inlineStr">
        <is>
          <t>covered</t>
        </is>
      </c>
      <c r="I161" s="113" t="inlineStr">
        <is>
          <t>ContextMenu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Item Composition</t>
        </is>
      </c>
      <c r="D162" s="113" t="inlineStr">
        <is>
          <t>Item render preserves child content</t>
        </is>
      </c>
      <c r="E162" s="114" t="inlineStr">
        <is>
          <t>yes</t>
        </is>
      </c>
      <c r="F162" s="114" t="inlineStr">
        <is>
          <t>yes</t>
        </is>
      </c>
      <c r="G162" s="112" t="inlineStr">
        <is>
          <t>passed manual test</t>
        </is>
      </c>
      <c r="H162" s="108" t="inlineStr">
        <is>
          <t>covered</t>
        </is>
      </c>
      <c r="I162" s="113" t="inlineStr">
        <is>
          <t>ContextMenu playground scenario.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Native Props</t>
        </is>
      </c>
      <c r="D163" s="113" t="inlineStr">
        <is>
          <t>Trigger native props pass through</t>
        </is>
      </c>
      <c r="E163" s="114" t="inlineStr">
        <is>
          <t>yes</t>
        </is>
      </c>
      <c r="F163" s="114" t="inlineStr">
        <is>
          <t>yes</t>
        </is>
      </c>
      <c r="G163" s="112" t="inlineStr">
        <is>
          <t>passed manual test</t>
        </is>
      </c>
      <c r="H163" s="108" t="inlineStr">
        <is>
          <t>covered</t>
        </is>
      </c>
      <c r="I163" s="113" t="inlineStr">
        <is>
          <t>ContextMenu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Native Props</t>
        </is>
      </c>
      <c r="D164" s="113" t="inlineStr">
        <is>
          <t>Content native props pass through</t>
        </is>
      </c>
      <c r="E164" s="114" t="inlineStr">
        <is>
          <t>yes</t>
        </is>
      </c>
      <c r="F164" s="114" t="inlineStr">
        <is>
          <t>yes</t>
        </is>
      </c>
      <c r="G164" s="112" t="inlineStr">
        <is>
          <t>passed manual test</t>
        </is>
      </c>
      <c r="H164" s="108" t="inlineStr">
        <is>
          <t>covered</t>
        </is>
      </c>
      <c r="I164" s="113" t="inlineStr">
        <is>
          <t>ContextMenu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Native Props</t>
        </is>
      </c>
      <c r="D165" s="113" t="inlineStr">
        <is>
          <t>Item native props pass through</t>
        </is>
      </c>
      <c r="E165" s="114" t="inlineStr">
        <is>
          <t>yes</t>
        </is>
      </c>
      <c r="F165" s="114" t="inlineStr">
        <is>
          <t>yes</t>
        </is>
      </c>
      <c r="G165" s="112" t="inlineStr">
        <is>
          <t>passed manual test</t>
        </is>
      </c>
      <c r="H165" s="108" t="inlineStr">
        <is>
          <t>covered</t>
        </is>
      </c>
      <c r="I165" s="113" t="inlineStr">
        <is>
          <t>ContextMenu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Native Props</t>
        </is>
      </c>
      <c r="D166" s="113" t="inlineStr">
        <is>
          <t>CheckboxItem native props pass through</t>
        </is>
      </c>
      <c r="E166" s="114" t="inlineStr">
        <is>
          <t>yes</t>
        </is>
      </c>
      <c r="F166" s="114" t="inlineStr">
        <is>
          <t>yes</t>
        </is>
      </c>
      <c r="G166" s="112" t="inlineStr">
        <is>
          <t>passed manual test</t>
        </is>
      </c>
      <c r="H166" s="108" t="inlineStr">
        <is>
          <t>covered</t>
        </is>
      </c>
      <c r="I166" s="113" t="inlineStr">
        <is>
          <t>ContextMenu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Native Props</t>
        </is>
      </c>
      <c r="D167" s="113" t="inlineStr">
        <is>
          <t>RadioGroup native props pass through</t>
        </is>
      </c>
      <c r="E167" s="114" t="inlineStr">
        <is>
          <t>yes</t>
        </is>
      </c>
      <c r="F167" s="114" t="inlineStr">
        <is>
          <t>yes</t>
        </is>
      </c>
      <c r="G167" s="112" t="inlineStr">
        <is>
          <t>passed manual test</t>
        </is>
      </c>
      <c r="H167" s="108" t="inlineStr">
        <is>
          <t>covered</t>
        </is>
      </c>
      <c r="I167" s="113" t="inlineStr">
        <is>
          <t>ContextMenu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Native Props</t>
        </is>
      </c>
      <c r="D168" s="113" t="inlineStr">
        <is>
          <t>RadioItem native props pass through</t>
        </is>
      </c>
      <c r="E168" s="114" t="inlineStr">
        <is>
          <t>yes</t>
        </is>
      </c>
      <c r="F168" s="114" t="inlineStr">
        <is>
          <t>yes</t>
        </is>
      </c>
      <c r="G168" s="112" t="inlineStr">
        <is>
          <t>passed manual test</t>
        </is>
      </c>
      <c r="H168" s="108" t="inlineStr">
        <is>
          <t>covered</t>
        </is>
      </c>
      <c r="I168" s="113" t="inlineStr">
        <is>
          <t>ContextMenu playground scenario.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Composition</t>
        </is>
      </c>
      <c r="C169" s="113" t="inlineStr">
        <is>
          <t>Native Props</t>
        </is>
      </c>
      <c r="D169" s="113" t="inlineStr">
        <is>
          <t>Group native props pass through</t>
        </is>
      </c>
      <c r="E169" s="114" t="inlineStr">
        <is>
          <t>yes</t>
        </is>
      </c>
      <c r="F169" s="114" t="inlineStr">
        <is>
          <t>yes</t>
        </is>
      </c>
      <c r="G169" s="112" t="inlineStr">
        <is>
          <t>passed manual test</t>
        </is>
      </c>
      <c r="H169" s="108" t="inlineStr">
        <is>
          <t>covered</t>
        </is>
      </c>
      <c r="I169" s="113" t="inlineStr">
        <is>
          <t>ContextMenu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Composition</t>
        </is>
      </c>
      <c r="C170" s="113" t="inlineStr">
        <is>
          <t>Native Props</t>
        </is>
      </c>
      <c r="D170" s="113" t="inlineStr">
        <is>
          <t>SubContent native props pass through</t>
        </is>
      </c>
      <c r="E170" s="114" t="inlineStr">
        <is>
          <t>yes</t>
        </is>
      </c>
      <c r="F170" s="114" t="inlineStr">
        <is>
          <t>yes</t>
        </is>
      </c>
      <c r="G170" s="112" t="inlineStr">
        <is>
          <t>passed manual test</t>
        </is>
      </c>
      <c r="H170" s="108" t="inlineStr">
        <is>
          <t>covered</t>
        </is>
      </c>
      <c r="I170" s="113" t="inlineStr">
        <is>
          <t>ContextMenu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Styling Hooks</t>
        </is>
      </c>
      <c r="C171" s="113" t="inlineStr">
        <is>
          <t>Data Attributes</t>
        </is>
      </c>
      <c r="D171" s="113" t="inlineStr">
        <is>
          <t>trigger open state visible through data-state</t>
        </is>
      </c>
      <c r="E171" s="114" t="inlineStr">
        <is>
          <t>yes</t>
        </is>
      </c>
      <c r="F171" s="114" t="inlineStr">
        <is>
          <t>yes</t>
        </is>
      </c>
      <c r="G171" s="112" t="inlineStr">
        <is>
          <t>passed manual test</t>
        </is>
      </c>
      <c r="H171" s="108" t="inlineStr">
        <is>
          <t>covered</t>
        </is>
      </c>
      <c r="I171" s="113" t="inlineStr">
        <is>
          <t>ContextMenu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Styling Hooks</t>
        </is>
      </c>
      <c r="C172" s="113" t="inlineStr">
        <is>
          <t>Data Attributes</t>
        </is>
      </c>
      <c r="D172" s="113" t="inlineStr">
        <is>
          <t>content open state visible through data-state</t>
        </is>
      </c>
      <c r="E172" s="114" t="inlineStr">
        <is>
          <t>yes</t>
        </is>
      </c>
      <c r="F172" s="114" t="inlineStr">
        <is>
          <t>yes</t>
        </is>
      </c>
      <c r="G172" s="112" t="inlineStr">
        <is>
          <t>passed manual test</t>
        </is>
      </c>
      <c r="H172" s="108" t="inlineStr">
        <is>
          <t>covered</t>
        </is>
      </c>
      <c r="I172" s="113" t="inlineStr">
        <is>
          <t>ContextMenu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Styling Hooks</t>
        </is>
      </c>
      <c r="C173" s="113" t="inlineStr">
        <is>
          <t>Data Attributes</t>
        </is>
      </c>
      <c r="D173" s="113" t="inlineStr">
        <is>
          <t>disabled trigger visible through data-disabled</t>
        </is>
      </c>
      <c r="E173" s="114" t="inlineStr">
        <is>
          <t>yes</t>
        </is>
      </c>
      <c r="F173" s="114" t="inlineStr">
        <is>
          <t>yes</t>
        </is>
      </c>
      <c r="G173" s="112" t="inlineStr">
        <is>
          <t>passed manual test</t>
        </is>
      </c>
      <c r="H173" s="108" t="inlineStr">
        <is>
          <t>covered</t>
        </is>
      </c>
      <c r="I173" s="113" t="inlineStr">
        <is>
          <t>ContextMenu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Styling Hooks</t>
        </is>
      </c>
      <c r="C174" s="113" t="inlineStr">
        <is>
          <t>Data Attributes</t>
        </is>
      </c>
      <c r="D174" s="113" t="inlineStr">
        <is>
          <t>disabled item visible through data-disabled</t>
        </is>
      </c>
      <c r="E174" s="114" t="inlineStr">
        <is>
          <t>yes</t>
        </is>
      </c>
      <c r="F174" s="114" t="inlineStr">
        <is>
          <t>yes</t>
        </is>
      </c>
      <c r="G174" s="112" t="inlineStr">
        <is>
          <t>passed manual test</t>
        </is>
      </c>
      <c r="H174" s="108" t="inlineStr">
        <is>
          <t>covered</t>
        </is>
      </c>
      <c r="I174" s="113" t="inlineStr">
        <is>
          <t>ContextMenu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Styling Hooks</t>
        </is>
      </c>
      <c r="C175" s="113" t="inlineStr">
        <is>
          <t>Data Attributes</t>
        </is>
      </c>
      <c r="D175" s="113" t="inlineStr">
        <is>
          <t>checked item visible through data-checked</t>
        </is>
      </c>
      <c r="E175" s="114" t="inlineStr">
        <is>
          <t>yes</t>
        </is>
      </c>
      <c r="F175" s="114" t="inlineStr">
        <is>
          <t>yes</t>
        </is>
      </c>
      <c r="G175" s="112" t="inlineStr">
        <is>
          <t>passed manual test</t>
        </is>
      </c>
      <c r="H175" s="108" t="inlineStr">
        <is>
          <t>covered</t>
        </is>
      </c>
      <c r="I175" s="113" t="inlineStr">
        <is>
          <t>ContextMenu playground scenario.</t>
        </is>
      </c>
      <c r="J175" s="113" t="n"/>
      <c r="K175" s="117">
        <f>IF(AND(E175="yes",F175="yes",H175="covered"),1,IF(H175="partial",0.5,0))</f>
        <v/>
      </c>
    </row>
    <row r="176" ht="30" customHeight="1" s="58">
      <c r="A176" s="112" t="n">
        <v>168</v>
      </c>
      <c r="B176" s="113" t="inlineStr">
        <is>
          <t>Styling Hooks</t>
        </is>
      </c>
      <c r="C176" s="113" t="inlineStr">
        <is>
          <t>Data Attributes</t>
        </is>
      </c>
      <c r="D176" s="113" t="inlineStr">
        <is>
          <t>positioned state visible through data-positioned</t>
        </is>
      </c>
      <c r="E176" s="114" t="inlineStr">
        <is>
          <t>yes</t>
        </is>
      </c>
      <c r="F176" s="114" t="inlineStr">
        <is>
          <t>yes</t>
        </is>
      </c>
      <c r="G176" s="112" t="inlineStr">
        <is>
          <t>passed manual test</t>
        </is>
      </c>
      <c r="H176" s="108" t="inlineStr">
        <is>
          <t>covered</t>
        </is>
      </c>
      <c r="I176" s="113" t="inlineStr">
        <is>
          <t>ContextMenu playground scenario.</t>
        </is>
      </c>
      <c r="J176" s="113" t="n"/>
      <c r="K176" s="117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Portal And Positioning</t>
        </is>
      </c>
      <c r="C177" s="113" t="inlineStr">
        <is>
          <t>Portal</t>
        </is>
      </c>
      <c r="D177" s="113" t="inlineStr">
        <is>
          <t>content portals to body</t>
        </is>
      </c>
      <c r="E177" s="114" t="inlineStr">
        <is>
          <t>yes</t>
        </is>
      </c>
      <c r="F177" s="114" t="inlineStr">
        <is>
          <t>yes</t>
        </is>
      </c>
      <c r="G177" s="112" t="inlineStr">
        <is>
          <t>passed manual test</t>
        </is>
      </c>
      <c r="H177" s="108" t="inlineStr">
        <is>
          <t>covered</t>
        </is>
      </c>
      <c r="I177" s="113" t="inlineStr">
        <is>
          <t>ContextMenu playground scenario.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Portal And Positioning</t>
        </is>
      </c>
      <c r="C178" s="113" t="inlineStr">
        <is>
          <t>Portal</t>
        </is>
      </c>
      <c r="D178" s="113" t="inlineStr">
        <is>
          <t>sub content portals to body</t>
        </is>
      </c>
      <c r="E178" s="114" t="inlineStr">
        <is>
          <t>yes</t>
        </is>
      </c>
      <c r="F178" s="114" t="inlineStr">
        <is>
          <t>yes</t>
        </is>
      </c>
      <c r="G178" s="112" t="inlineStr">
        <is>
          <t>passed manual test</t>
        </is>
      </c>
      <c r="H178" s="108" t="inlineStr">
        <is>
          <t>covered</t>
        </is>
      </c>
      <c r="I178" s="113" t="inlineStr">
        <is>
          <t>ContextMenu playground scenario.</t>
        </is>
      </c>
      <c r="J178" s="113" t="n"/>
      <c r="K178" s="117">
        <f>IF(AND(E178="yes",F178="yes",H178="covered"),1,IF(H178="partial",0.5,0))</f>
        <v/>
      </c>
    </row>
    <row r="179" ht="30" customHeight="1" s="58">
      <c r="A179" s="112" t="n">
        <v>171</v>
      </c>
      <c r="B179" s="113" t="inlineStr">
        <is>
          <t>Portal And Positioning</t>
        </is>
      </c>
      <c r="C179" s="113" t="inlineStr">
        <is>
          <t>Portal</t>
        </is>
      </c>
      <c r="D179" s="113" t="inlineStr">
        <is>
          <t>content positions relative to pointer anchor</t>
        </is>
      </c>
      <c r="E179" s="114" t="inlineStr">
        <is>
          <t>yes</t>
        </is>
      </c>
      <c r="F179" s="114" t="inlineStr">
        <is>
          <t>yes</t>
        </is>
      </c>
      <c r="G179" s="112" t="inlineStr">
        <is>
          <t>passed manual test</t>
        </is>
      </c>
      <c r="H179" s="108" t="inlineStr">
        <is>
          <t>covered</t>
        </is>
      </c>
      <c r="I179" s="113" t="inlineStr">
        <is>
          <t>ContextMenu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Portal And Positioning</t>
        </is>
      </c>
      <c r="C180" s="113" t="inlineStr">
        <is>
          <t>Portal</t>
        </is>
      </c>
      <c r="D180" s="113" t="inlineStr">
        <is>
          <t>content positions relative to trigger for keyboard open</t>
        </is>
      </c>
      <c r="E180" s="114" t="inlineStr">
        <is>
          <t>yes</t>
        </is>
      </c>
      <c r="F180" s="114" t="inlineStr">
        <is>
          <t>yes</t>
        </is>
      </c>
      <c r="G180" s="112" t="inlineStr">
        <is>
          <t>passed manual test</t>
        </is>
      </c>
      <c r="H180" s="108" t="inlineStr">
        <is>
          <t>covered</t>
        </is>
      </c>
      <c r="I180" s="113" t="inlineStr">
        <is>
          <t>ContextMenu playground scenario.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Portal And Positioning</t>
        </is>
      </c>
      <c r="C181" s="113" t="inlineStr">
        <is>
          <t>Portal</t>
        </is>
      </c>
      <c r="D181" s="113" t="inlineStr">
        <is>
          <t>placement flips or shifts near the edge of the manually tested desktop layout viewport</t>
        </is>
      </c>
      <c r="E181" s="114" t="inlineStr">
        <is>
          <t>yes</t>
        </is>
      </c>
      <c r="F181" s="114" t="inlineStr">
        <is>
          <t>yes</t>
        </is>
      </c>
      <c r="G181" s="112" t="inlineStr">
        <is>
          <t>passed existing desktop browser/manual baseline; mobile device qualification not run</t>
        </is>
      </c>
      <c r="H181" s="108" t="inlineStr">
        <is>
          <t>covered</t>
        </is>
      </c>
      <c r="I181" s="113" t="inlineStr">
        <is>
          <t>Existing desktop browser/manual baseline; not real iOS Safari or Android Chrome evidence.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Regression</t>
        </is>
      </c>
      <c r="C182" s="113" t="inlineStr">
        <is>
          <t>Recent Fixes</t>
        </is>
      </c>
      <c r="D182" s="113" t="inlineStr">
        <is>
          <t>Escape closes topmost context menu before parent overlay</t>
        </is>
      </c>
      <c r="E182" s="114" t="inlineStr">
        <is>
          <t>yes</t>
        </is>
      </c>
      <c r="F182" s="114" t="inlineStr">
        <is>
          <t>yes</t>
        </is>
      </c>
      <c r="G182" s="112" t="inlineStr">
        <is>
          <t>passed manual test</t>
        </is>
      </c>
      <c r="H182" s="108" t="inlineStr">
        <is>
          <t>covered</t>
        </is>
      </c>
      <c r="I182" s="113" t="inlineStr">
        <is>
          <t>ContextMenu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Regression</t>
        </is>
      </c>
      <c r="C183" s="113" t="inlineStr">
        <is>
          <t>Recent Fixes</t>
        </is>
      </c>
      <c r="D183" s="113" t="inlineStr">
        <is>
          <t>typeahead same-letter cycling works in context menu</t>
        </is>
      </c>
      <c r="E183" s="114" t="inlineStr">
        <is>
          <t>yes</t>
        </is>
      </c>
      <c r="F183" s="114" t="inlineStr">
        <is>
          <t>yes</t>
        </is>
      </c>
      <c r="G183" s="112" t="inlineStr">
        <is>
          <t>passed manual test</t>
        </is>
      </c>
      <c r="H183" s="108" t="inlineStr">
        <is>
          <t>covered</t>
        </is>
      </c>
      <c r="I183" s="113" t="inlineStr">
        <is>
          <t>ContextMenu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Regression</t>
        </is>
      </c>
      <c r="C184" s="113" t="inlineStr">
        <is>
          <t>Recent Fixes</t>
        </is>
      </c>
      <c r="D184" s="113" t="inlineStr">
        <is>
          <t>trigger disabled right click does not open menu</t>
        </is>
      </c>
      <c r="E184" s="114" t="inlineStr">
        <is>
          <t>yes</t>
        </is>
      </c>
      <c r="F184" s="114" t="inlineStr">
        <is>
          <t>yes</t>
        </is>
      </c>
      <c r="G184" s="112" t="inlineStr">
        <is>
          <t>passed manual test</t>
        </is>
      </c>
      <c r="H184" s="108" t="inlineStr">
        <is>
          <t>covered</t>
        </is>
      </c>
      <c r="I184" s="113" t="inlineStr">
        <is>
          <t>ContextMenu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Regression</t>
        </is>
      </c>
      <c r="C185" s="113" t="inlineStr">
        <is>
          <t>Recent Fixes</t>
        </is>
      </c>
      <c r="D185" s="113" t="inlineStr">
        <is>
          <t>trigger asChild composition keeps one child element</t>
        </is>
      </c>
      <c r="E185" s="114" t="inlineStr">
        <is>
          <t>yes</t>
        </is>
      </c>
      <c r="F185" s="114" t="inlineStr">
        <is>
          <t>yes</t>
        </is>
      </c>
      <c r="G185" s="112" t="inlineStr">
        <is>
          <t>passed manual test</t>
        </is>
      </c>
      <c r="H185" s="108" t="inlineStr">
        <is>
          <t>covered</t>
        </is>
      </c>
      <c r="I185" s="113" t="inlineStr">
        <is>
          <t>ContextMenu playground scenario.</t>
        </is>
      </c>
      <c r="J185" s="113" t="n"/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Regression</t>
        </is>
      </c>
      <c r="C186" s="113" t="inlineStr">
        <is>
          <t>Recent Fixes</t>
        </is>
      </c>
      <c r="D186" s="113" t="inlineStr">
        <is>
          <t>outside click closes portalled context menu</t>
        </is>
      </c>
      <c r="E186" s="114" t="inlineStr">
        <is>
          <t>yes</t>
        </is>
      </c>
      <c r="F186" s="114" t="inlineStr">
        <is>
          <t>yes</t>
        </is>
      </c>
      <c r="G186" s="112" t="inlineStr">
        <is>
          <t>passed manual test</t>
        </is>
      </c>
      <c r="H186" s="108" t="inlineStr">
        <is>
          <t>covered</t>
        </is>
      </c>
      <c r="I186" s="113" t="inlineStr">
        <is>
          <t>ContextMenu playground scenario.</t>
        </is>
      </c>
      <c r="J186" s="113" t="n"/>
      <c r="K186" s="117">
        <f>IF(AND(E186="yes",F186="yes",H186="covered"),1,IF(H186="partial",0.5,0))</f>
        <v/>
      </c>
    </row>
    <row r="187" ht="30" customHeight="1" s="58">
      <c r="A187" s="112" t="n">
        <v>179</v>
      </c>
      <c r="B187" s="113" t="inlineStr">
        <is>
          <t>Regression</t>
        </is>
      </c>
      <c r="C187" s="113" t="inlineStr">
        <is>
          <t>Recent Fixes</t>
        </is>
      </c>
      <c r="D187" s="113" t="inlineStr">
        <is>
          <t>submenu focus returns to its immediate SubTrigger on close</t>
        </is>
      </c>
      <c r="E187" s="114" t="inlineStr">
        <is>
          <t>yes</t>
        </is>
      </c>
      <c r="F187" s="115" t="inlineStr">
        <is>
          <t>no</t>
        </is>
      </c>
      <c r="G187" s="112" t="inlineStr">
        <is>
          <t>automated tests pass; manual pending</t>
        </is>
      </c>
      <c r="H187" s="116" t="inlineStr">
        <is>
          <t>untested</t>
        </is>
      </c>
      <c r="I187" s="113" t="inlineStr">
        <is>
          <t>playground/manual-tests/context-menu.md</t>
        </is>
      </c>
      <c r="J187" s="113" t="inlineStr">
        <is>
          <t>Run the updated component Manual Test Protocol and named browser/device matrix.</t>
        </is>
      </c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Regression</t>
        </is>
      </c>
      <c r="C188" s="113" t="inlineStr">
        <is>
          <t>Recent Fixes</t>
        </is>
      </c>
      <c r="D188" s="113" t="inlineStr">
        <is>
          <t>hovering non-item content does not reset highlight to first item</t>
        </is>
      </c>
      <c r="E188" s="114" t="inlineStr">
        <is>
          <t>yes</t>
        </is>
      </c>
      <c r="F188" s="114" t="inlineStr">
        <is>
          <t>yes</t>
        </is>
      </c>
      <c r="G188" s="112" t="inlineStr">
        <is>
          <t>passed manual test</t>
        </is>
      </c>
      <c r="H188" s="108" t="inlineStr">
        <is>
          <t>covered</t>
        </is>
      </c>
      <c r="I188" s="113" t="inlineStr">
        <is>
          <t>ContextMenu playground scenario.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Interaction</t>
        </is>
      </c>
      <c r="C189" s="113" t="inlineStr">
        <is>
          <t>Outside interaction</t>
        </is>
      </c>
      <c r="D189" s="113" t="inlineStr">
        <is>
          <t>mouse outside press closes immediately; touch or pen outside release closes only after an uncancelled gesture</t>
        </is>
      </c>
      <c r="E189" s="114" t="inlineStr">
        <is>
          <t>yes</t>
        </is>
      </c>
      <c r="F189" s="115" t="inlineStr">
        <is>
          <t>no</t>
        </is>
      </c>
      <c r="G189" s="112" t="inlineStr">
        <is>
          <t>automated tests pass; manual pending</t>
        </is>
      </c>
      <c r="H189" s="116" t="inlineStr">
        <is>
          <t>untested</t>
        </is>
      </c>
      <c r="I189" s="113" t="inlineStr">
        <is>
          <t>playground/manual-tests/context-menu.md</t>
        </is>
      </c>
      <c r="J189" s="113" t="inlineStr">
        <is>
          <t>Run the updated component Manual Test Protocol and named browser/device matrix.</t>
        </is>
      </c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Interaction</t>
        </is>
      </c>
      <c r="C190" s="113" t="inlineStr">
        <is>
          <t>Item</t>
        </is>
      </c>
      <c r="D190" s="113" t="inlineStr">
        <is>
          <t>pointer/click activation selects an action item in the existing desktop manual scenario</t>
        </is>
      </c>
      <c r="E190" s="114" t="inlineStr">
        <is>
          <t>yes</t>
        </is>
      </c>
      <c r="F190" s="114" t="inlineStr">
        <is>
          <t>yes</t>
        </is>
      </c>
      <c r="G190" s="112" t="inlineStr">
        <is>
          <t>passed existing desktop browser/manual baseline; mobile device qualification not run</t>
        </is>
      </c>
      <c r="H190" s="108" t="inlineStr">
        <is>
          <t>covered</t>
        </is>
      </c>
      <c r="I190" s="113" t="inlineStr">
        <is>
          <t>Existing desktop browser/manual baseline; not real iOS Safari or Android Chrome evidence.</t>
        </is>
      </c>
      <c r="J190" s="113" t="n"/>
      <c r="K190" s="117">
        <f>IF(AND(E190="yes",F190="yes",H190="covered"),1,IF(H190="partial",0.5,0))</f>
        <v/>
      </c>
    </row>
    <row r="191" ht="15" customHeight="1" s="58">
      <c r="A191" s="112" t="n">
        <v>183</v>
      </c>
      <c r="B191" s="113" t="inlineStr">
        <is>
          <t>Interaction</t>
        </is>
      </c>
      <c r="C191" s="113" t="inlineStr">
        <is>
          <t>Checkbox item</t>
        </is>
      </c>
      <c r="D191" s="113" t="inlineStr">
        <is>
          <t>pointer/click activation toggles a checkbox item in the existing desktop manual scenario</t>
        </is>
      </c>
      <c r="E191" s="114" t="inlineStr">
        <is>
          <t>yes</t>
        </is>
      </c>
      <c r="F191" s="114" t="inlineStr">
        <is>
          <t>yes</t>
        </is>
      </c>
      <c r="G191" s="112" t="inlineStr">
        <is>
          <t>passed existing desktop browser/manual baseline; mobile device qualification not run</t>
        </is>
      </c>
      <c r="H191" s="108" t="inlineStr">
        <is>
          <t>covered</t>
        </is>
      </c>
      <c r="I191" s="113" t="inlineStr">
        <is>
          <t>Existing desktop browser/manual baseline; not real iOS Safari or Android Chrome evidence.</t>
        </is>
      </c>
      <c r="J191" s="113" t="n"/>
      <c r="K191" s="117">
        <f>IF(AND(E191="yes",F191="yes",H191="covered"),1,IF(H191="partial",0.5,0))</f>
        <v/>
      </c>
    </row>
    <row r="192" ht="15" customHeight="1" s="58">
      <c r="A192" s="112" t="n">
        <v>184</v>
      </c>
      <c r="B192" s="113" t="inlineStr">
        <is>
          <t>Interaction</t>
        </is>
      </c>
      <c r="C192" s="113" t="inlineStr">
        <is>
          <t>Radio item</t>
        </is>
      </c>
      <c r="D192" s="113" t="inlineStr">
        <is>
          <t>pointer/click activation selects a radio item in the existing desktop manual scenario</t>
        </is>
      </c>
      <c r="E192" s="114" t="inlineStr">
        <is>
          <t>yes</t>
        </is>
      </c>
      <c r="F192" s="114" t="inlineStr">
        <is>
          <t>yes</t>
        </is>
      </c>
      <c r="G192" s="112" t="inlineStr">
        <is>
          <t>passed existing desktop browser/manual baseline; mobile device qualification not run</t>
        </is>
      </c>
      <c r="H192" s="108" t="inlineStr">
        <is>
          <t>covered</t>
        </is>
      </c>
      <c r="I192" s="113" t="inlineStr">
        <is>
          <t>Existing desktop browser/manual baseline; not real iOS Safari or Android Chrome evidence.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Interaction</t>
        </is>
      </c>
      <c r="C193" s="113" t="inlineStr">
        <is>
          <t>Submenu</t>
        </is>
      </c>
      <c r="D193" s="113" t="inlineStr">
        <is>
          <t>pointer/click activation opens a submenu in the existing desktop manual scenario</t>
        </is>
      </c>
      <c r="E193" s="114" t="inlineStr">
        <is>
          <t>yes</t>
        </is>
      </c>
      <c r="F193" s="114" t="inlineStr">
        <is>
          <t>yes</t>
        </is>
      </c>
      <c r="G193" s="112" t="inlineStr">
        <is>
          <t>passed existing desktop browser/manual baseline; mobile device qualification not run</t>
        </is>
      </c>
      <c r="H193" s="108" t="inlineStr">
        <is>
          <t>covered</t>
        </is>
      </c>
      <c r="I193" s="113" t="inlineStr">
        <is>
          <t>Existing desktop browser/manual baseline; not real iOS Safari or Android Chrome evidence.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Direction</t>
        </is>
      </c>
      <c r="C194" s="113" t="inlineStr">
        <is>
          <t>Submenu</t>
        </is>
      </c>
      <c r="D194" s="113" t="inlineStr">
        <is>
          <t>reads Direction.Provider context for submenu keyboard behavior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</t>
        </is>
      </c>
      <c r="H194" s="119" t="inlineStr">
        <is>
          <t>covered</t>
        </is>
      </c>
      <c r="I194" s="113" t="inlineStr">
        <is>
          <t>ContextMenu playground direction scenario; manually verified.</t>
        </is>
      </c>
      <c r="J194" s="113" t="n"/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Direction</t>
        </is>
      </c>
      <c r="C195" s="113" t="inlineStr">
        <is>
          <t>Submenu</t>
        </is>
      </c>
      <c r="D195" s="113" t="inlineStr">
        <is>
          <t>RTL mirrors submenu ArrowLeft and ArrowRight open/close behavior</t>
        </is>
      </c>
      <c r="E195" s="119" t="inlineStr">
        <is>
          <t>yes</t>
        </is>
      </c>
      <c r="F195" s="115" t="inlineStr">
        <is>
          <t>yes</t>
        </is>
      </c>
      <c r="G195" s="112" t="inlineStr">
        <is>
          <t>pass</t>
        </is>
      </c>
      <c r="H195" s="119" t="inlineStr">
        <is>
          <t>covered</t>
        </is>
      </c>
      <c r="I195" s="113" t="inlineStr">
        <is>
          <t>ContextMenu playground direction scenario; manually verified.</t>
        </is>
      </c>
      <c r="J195" s="113" t="n"/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Playground</t>
        </is>
      </c>
      <c r="C196" s="113" t="inlineStr">
        <is>
          <t>Direction controls</t>
        </is>
      </c>
      <c r="D196" s="113" t="inlineStr">
        <is>
          <t>scenario exposes provider direction controls</t>
        </is>
      </c>
      <c r="E196" s="119" t="inlineStr">
        <is>
          <t>yes</t>
        </is>
      </c>
      <c r="F196" s="115" t="inlineStr">
        <is>
          <t>yes</t>
        </is>
      </c>
      <c r="G196" s="112" t="inlineStr">
        <is>
          <t>pass</t>
        </is>
      </c>
      <c r="H196" s="119" t="inlineStr">
        <is>
          <t>covered</t>
        </is>
      </c>
      <c r="I196" s="113" t="inlineStr">
        <is>
          <t>ContextMenu playground direction scenario; manually verified.</t>
        </is>
      </c>
      <c r="J196" s="113" t="n"/>
      <c r="K196" s="117">
        <f>IF(AND(E196="yes",F196="yes",H196="covered"),1,IF(H196="partial",0.5,0))</f>
        <v/>
      </c>
    </row>
    <row r="197" ht="30" customHeight="1" s="58">
      <c r="A197" s="112" t="n">
        <v>189</v>
      </c>
      <c r="B197" s="113" t="inlineStr">
        <is>
          <t>Focus</t>
        </is>
      </c>
      <c r="C197" s="113" t="inlineStr">
        <is>
          <t>Trigger</t>
        </is>
      </c>
      <c r="D197" s="113" t="inlineStr">
        <is>
          <t>right click, Shift+F10, ContextMenu key, and completed long press open with real focus on the first item</t>
        </is>
      </c>
      <c r="E197" s="114" t="inlineStr">
        <is>
          <t>yes</t>
        </is>
      </c>
      <c r="F197" s="115" t="inlineStr">
        <is>
          <t>no</t>
        </is>
      </c>
      <c r="G197" s="112" t="inlineStr">
        <is>
          <t>automated tests pass; manual pending</t>
        </is>
      </c>
      <c r="H197" s="116" t="inlineStr">
        <is>
          <t>untested</t>
        </is>
      </c>
      <c r="I197" s="113" t="inlineStr">
        <is>
          <t>playground/manual-tests/context-menu.md</t>
        </is>
      </c>
      <c r="J197" s="113" t="inlineStr">
        <is>
          <t>Run the updated component Manual Test Protocol and named browser/device matrix.</t>
        </is>
      </c>
      <c r="K197" s="117">
        <f>IF(AND(E197="yes",F197="yes",H197="covered"),1,IF(H197="partial",0.5,0))</f>
        <v/>
      </c>
    </row>
    <row r="198" ht="30" customHeight="1" s="58">
      <c r="A198" s="112" t="n">
        <v>190</v>
      </c>
      <c r="B198" s="113" t="inlineStr">
        <is>
          <t>Focus</t>
        </is>
      </c>
      <c r="C198" s="113" t="inlineStr">
        <is>
          <t>Open And Close</t>
        </is>
      </c>
      <c r="D198" s="113" t="inlineStr">
        <is>
          <t>Shift+Tab closes every menu level and moves focus before the complete ContextMenu owner boundary</t>
        </is>
      </c>
      <c r="E198" s="114" t="inlineStr">
        <is>
          <t>yes</t>
        </is>
      </c>
      <c r="F198" s="115" t="inlineStr">
        <is>
          <t>no</t>
        </is>
      </c>
      <c r="G198" s="112" t="inlineStr">
        <is>
          <t>automated tests pass; manual pending</t>
        </is>
      </c>
      <c r="H198" s="116" t="inlineStr">
        <is>
          <t>untested</t>
        </is>
      </c>
      <c r="I198" s="113" t="inlineStr">
        <is>
          <t>playground/manual-tests/context-menu.md</t>
        </is>
      </c>
      <c r="J198" s="113" t="inlineStr">
        <is>
          <t>Run the updated component Manual Test Protocol and named browser/device matrix.</t>
        </is>
      </c>
      <c r="K198" s="117">
        <f>IF(AND(E198="yes",F198="yes",H198="covered"),1,IF(H198="partial",0.5,0))</f>
        <v/>
      </c>
    </row>
    <row r="199" ht="30" customHeight="1" s="58">
      <c r="A199" s="112" t="n">
        <v>191</v>
      </c>
      <c r="B199" s="113" t="inlineStr">
        <is>
          <t>Shared Menu Integration</t>
        </is>
      </c>
      <c r="C199" s="113" t="inlineStr">
        <is>
          <t>Anatomy</t>
        </is>
      </c>
      <c r="D199" s="113" t="inlineStr">
        <is>
          <t>Portal, Arrow, Label, and ItemIndicator render with shared Menu semantics and geometry</t>
        </is>
      </c>
      <c r="E199" s="114" t="inlineStr">
        <is>
          <t>yes</t>
        </is>
      </c>
      <c r="F199" s="115" t="inlineStr">
        <is>
          <t>no</t>
        </is>
      </c>
      <c r="G199" s="112" t="inlineStr">
        <is>
          <t>automated tests pass; manual pending</t>
        </is>
      </c>
      <c r="H199" s="116" t="inlineStr">
        <is>
          <t>untested</t>
        </is>
      </c>
      <c r="I199" s="113" t="inlineStr">
        <is>
          <t>playground/manual-tests/context-menu.md</t>
        </is>
      </c>
      <c r="J199" s="113" t="inlineStr">
        <is>
          <t>Run the updated component Manual Test Protocol and named browser/device matrix.</t>
        </is>
      </c>
      <c r="K199" s="117">
        <f>IF(AND(E199="yes",F199="yes",H199="covered"),1,IF(H199="partial",0.5,0))</f>
        <v/>
      </c>
    </row>
    <row r="200" ht="30" customHeight="1" s="58">
      <c r="A200" s="112" t="n">
        <v>192</v>
      </c>
      <c r="B200" s="113" t="inlineStr">
        <is>
          <t>Pointer</t>
        </is>
      </c>
      <c r="C200" s="113" t="inlineStr">
        <is>
          <t>Trigger</t>
        </is>
      </c>
      <c r="D200" s="113" t="inlineStr">
        <is>
          <t>one primary touch or pen long press opens once at the contact point after 700 ms</t>
        </is>
      </c>
      <c r="E200" s="114" t="inlineStr">
        <is>
          <t>yes</t>
        </is>
      </c>
      <c r="F200" s="115" t="inlineStr">
        <is>
          <t>no</t>
        </is>
      </c>
      <c r="G200" s="112" t="inlineStr">
        <is>
          <t>automated tests pass; manual pending</t>
        </is>
      </c>
      <c r="H200" s="116" t="inlineStr">
        <is>
          <t>untested</t>
        </is>
      </c>
      <c r="I200" s="113" t="inlineStr">
        <is>
          <t>playground/manual-tests/context-menu.md</t>
        </is>
      </c>
      <c r="J200" s="113" t="inlineStr">
        <is>
          <t>Run the updated component Manual Test Protocol and named browser/device matrix.</t>
        </is>
      </c>
      <c r="K200" s="117">
        <f>IF(AND(E200="yes",F200="yes",H200="covered"),1,IF(H200="partial",0.5,0))</f>
        <v/>
      </c>
    </row>
    <row r="201" ht="30" customHeight="1" s="58">
      <c r="A201" s="112" t="n">
        <v>193</v>
      </c>
      <c r="B201" s="113" t="inlineStr">
        <is>
          <t>Pointer</t>
        </is>
      </c>
      <c r="C201" s="113" t="inlineStr">
        <is>
          <t>Trigger</t>
        </is>
      </c>
      <c r="D201" s="113" t="inlineStr">
        <is>
          <t>long press cancels on movement beyond 10 px, scroll, early release, pointer cancellation, second contact, disabled transition, or unmount</t>
        </is>
      </c>
      <c r="E201" s="114" t="inlineStr">
        <is>
          <t>yes</t>
        </is>
      </c>
      <c r="F201" s="115" t="inlineStr">
        <is>
          <t>no</t>
        </is>
      </c>
      <c r="G201" s="112" t="inlineStr">
        <is>
          <t>automated tests pass; manual pending</t>
        </is>
      </c>
      <c r="H201" s="116" t="inlineStr">
        <is>
          <t>untested</t>
        </is>
      </c>
      <c r="I201" s="113" t="inlineStr">
        <is>
          <t>playground/manual-tests/context-menu.md</t>
        </is>
      </c>
      <c r="J201" s="113" t="inlineStr">
        <is>
          <t>Run the updated component Manual Test Protocol and named browser/device matrix.</t>
        </is>
      </c>
      <c r="K201" s="117">
        <f>IF(AND(E201="yes",F201="yes",H201="covered"),1,IF(H201="partial",0.5,0))</f>
        <v/>
      </c>
    </row>
    <row r="202" ht="30" customHeight="1" s="58">
      <c r="A202" s="112" t="n">
        <v>194</v>
      </c>
      <c r="B202" s="113" t="inlineStr">
        <is>
          <t>Pointer</t>
        </is>
      </c>
      <c r="C202" s="113" t="inlineStr">
        <is>
          <t>Trigger</t>
        </is>
      </c>
      <c r="D202" s="113" t="inlineStr">
        <is>
          <t>data-pressed exists only while a long-press session is pending and selection or callout styles are restored</t>
        </is>
      </c>
      <c r="E202" s="114" t="inlineStr">
        <is>
          <t>yes</t>
        </is>
      </c>
      <c r="F202" s="115" t="inlineStr">
        <is>
          <t>no</t>
        </is>
      </c>
      <c r="G202" s="112" t="inlineStr">
        <is>
          <t>automated tests pass; manual pending</t>
        </is>
      </c>
      <c r="H202" s="116" t="inlineStr">
        <is>
          <t>untested</t>
        </is>
      </c>
      <c r="I202" s="113" t="inlineStr">
        <is>
          <t>playground/manual-tests/context-menu.md</t>
        </is>
      </c>
      <c r="J202" s="113" t="inlineStr">
        <is>
          <t>Run the updated component Manual Test Protocol and named browser/device matrix.</t>
        </is>
      </c>
      <c r="K202" s="117">
        <f>IF(AND(E202="yes",F202="yes",H202="covered"),1,IF(H202="partial",0.5,0))</f>
        <v/>
      </c>
    </row>
    <row r="203" ht="30" customHeight="1" s="58">
      <c r="A203" s="112" t="n">
        <v>195</v>
      </c>
      <c r="B203" s="113" t="inlineStr">
        <is>
          <t>Pointer</t>
        </is>
      </c>
      <c r="C203" s="113" t="inlineStr">
        <is>
          <t>Trigger</t>
        </is>
      </c>
      <c r="D203" s="113" t="inlineStr">
        <is>
          <t>native contextmenu delivery clears the fallback and cannot double-open</t>
        </is>
      </c>
      <c r="E203" s="114" t="inlineStr">
        <is>
          <t>yes</t>
        </is>
      </c>
      <c r="F203" s="115" t="inlineStr">
        <is>
          <t>no</t>
        </is>
      </c>
      <c r="G203" s="112" t="inlineStr">
        <is>
          <t>automated tests pass; manual pending</t>
        </is>
      </c>
      <c r="H203" s="116" t="inlineStr">
        <is>
          <t>untested</t>
        </is>
      </c>
      <c r="I203" s="113" t="inlineStr">
        <is>
          <t>playground/manual-tests/context-menu.md</t>
        </is>
      </c>
      <c r="J203" s="113" t="inlineStr">
        <is>
          <t>Run the updated component Manual Test Protocol and named browser/device matrix.</t>
        </is>
      </c>
      <c r="K203" s="117">
        <f>IF(AND(E203="yes",F203="yes",H203="covered"),1,IF(H203="partial",0.5,0))</f>
        <v/>
      </c>
    </row>
    <row r="204" ht="30" customHeight="1" s="58">
      <c r="A204" s="112" t="n">
        <v>196</v>
      </c>
      <c r="B204" s="113" t="inlineStr">
        <is>
          <t>Accessibility</t>
        </is>
      </c>
      <c r="C204" s="113" t="inlineStr">
        <is>
          <t>Trigger</t>
        </is>
      </c>
      <c r="D204" s="113" t="inlineStr">
        <is>
          <t>important ContextMenu actions retain a visible discoverable alternative</t>
        </is>
      </c>
      <c r="E204" s="114" t="inlineStr">
        <is>
          <t>yes</t>
        </is>
      </c>
      <c r="F204" s="115" t="inlineStr">
        <is>
          <t>no</t>
        </is>
      </c>
      <c r="G204" s="112" t="inlineStr">
        <is>
          <t>automated tests pass; manual pending</t>
        </is>
      </c>
      <c r="H204" s="116" t="inlineStr">
        <is>
          <t>untested</t>
        </is>
      </c>
      <c r="I204" s="113" t="inlineStr">
        <is>
          <t>playground/manual-tests/context-menu.md</t>
        </is>
      </c>
      <c r="J204" s="113" t="inlineStr">
        <is>
          <t>Run the updated component Manual Test Protocol and named browser/device matrix.</t>
        </is>
      </c>
      <c r="K204" s="117">
        <f>IF(AND(E204="yes",F204="yes",H204="covered"),1,IF(H204="partial",0.5,0))</f>
        <v/>
      </c>
    </row>
    <row r="205" ht="30" customHeight="1" s="58">
      <c r="A205" s="112" t="n">
        <v>197</v>
      </c>
      <c r="B205" s="113" t="inlineStr">
        <is>
          <t>Pointer</t>
        </is>
      </c>
      <c r="C205" s="113" t="inlineStr">
        <is>
          <t>Sub Trigger</t>
        </is>
      </c>
      <c r="D205" s="113" t="inlineStr">
        <is>
          <t>touch and pen contact cannot start mouse-hover submenu timers while click or tap remains usable</t>
        </is>
      </c>
      <c r="E205" s="114" t="inlineStr">
        <is>
          <t>yes</t>
        </is>
      </c>
      <c r="F205" s="115" t="inlineStr">
        <is>
          <t>no</t>
        </is>
      </c>
      <c r="G205" s="112" t="inlineStr">
        <is>
          <t>automated tests pass; manual pending</t>
        </is>
      </c>
      <c r="H205" s="116" t="inlineStr">
        <is>
          <t>untested</t>
        </is>
      </c>
      <c r="I205" s="113" t="inlineStr">
        <is>
          <t>playground/manual-tests/context-menu.md</t>
        </is>
      </c>
      <c r="J205" s="113" t="inlineStr">
        <is>
          <t>Run the updated component Manual Test Protocol and named browser/device matrix.</t>
        </is>
      </c>
      <c r="K205" s="117">
        <f>IF(AND(E205="yes",F205="yes",H205="covered"),1,IF(H205="partial",0.5,0))</f>
        <v/>
      </c>
    </row>
    <row r="206" ht="30" customHeight="1" s="58">
      <c r="A206" s="112" t="n">
        <v>198</v>
      </c>
      <c r="B206" s="113" t="inlineStr">
        <is>
          <t>Pointer</t>
        </is>
      </c>
      <c r="C206" s="113" t="inlineStr">
        <is>
          <t>Outside interaction</t>
        </is>
      </c>
      <c r="D206" s="113" t="inlineStr">
        <is>
          <t>touch and pen outside dismissal cancels on movement, scroll, pointer cancellation, or a second pointer</t>
        </is>
      </c>
      <c r="E206" s="114" t="inlineStr">
        <is>
          <t>yes</t>
        </is>
      </c>
      <c r="F206" s="115" t="inlineStr">
        <is>
          <t>no</t>
        </is>
      </c>
      <c r="G206" s="112" t="inlineStr">
        <is>
          <t>automated tests pass; manual pending</t>
        </is>
      </c>
      <c r="H206" s="116" t="inlineStr">
        <is>
          <t>untested</t>
        </is>
      </c>
      <c r="I206" s="113" t="inlineStr">
        <is>
          <t>playground/manual-tests/context-menu.md</t>
        </is>
      </c>
      <c r="J206" s="113" t="inlineStr">
        <is>
          <t>Run the updated component Manual Test Protocol and named browser/device matrix.</t>
        </is>
      </c>
      <c r="K206" s="117">
        <f>IF(AND(E206="yes",F206="yes",H206="covered"),1,IF(H206="partial",0.5,0))</f>
        <v/>
      </c>
    </row>
    <row r="207" ht="30" customHeight="1" s="58">
      <c r="A207" s="112" t="n">
        <v>199</v>
      </c>
      <c r="B207" s="113" t="inlineStr">
        <is>
          <t>Portal And Positioning</t>
        </is>
      </c>
      <c r="C207" s="113" t="inlineStr">
        <is>
          <t>Content</t>
        </is>
      </c>
      <c r="D207" s="113" t="inlineStr">
        <is>
          <t>Content and SubContent expose available-size, trigger-size, and transform-origin CSS variables</t>
        </is>
      </c>
      <c r="E207" s="114" t="inlineStr">
        <is>
          <t>yes</t>
        </is>
      </c>
      <c r="F207" s="115" t="inlineStr">
        <is>
          <t>no</t>
        </is>
      </c>
      <c r="G207" s="112" t="inlineStr">
        <is>
          <t>automated tests pass; manual pending</t>
        </is>
      </c>
      <c r="H207" s="116" t="inlineStr">
        <is>
          <t>untested</t>
        </is>
      </c>
      <c r="I207" s="113" t="inlineStr">
        <is>
          <t>playground/manual-tests/context-menu.md</t>
        </is>
      </c>
      <c r="J207" s="113" t="inlineStr">
        <is>
          <t>Run the updated component Manual Test Protocol and named browser/device matrix.</t>
        </is>
      </c>
      <c r="K207" s="117">
        <f>IF(AND(E207="yes",F207="yes",H207="covered"),1,IF(H207="partial",0.5,0))</f>
        <v/>
      </c>
    </row>
    <row r="208" ht="30" customHeight="1" s="58">
      <c r="A208" s="112" t="n">
        <v>200</v>
      </c>
      <c r="B208" s="113" t="inlineStr">
        <is>
          <t>Responsive</t>
        </is>
      </c>
      <c r="C208" s="113" t="inlineStr">
        <is>
          <t>Reflow</t>
        </is>
      </c>
      <c r="D208" s="113" t="inlineStr">
        <is>
          <t>real focused rows and long content remain reachable at 200%, 400%, and narrow viewport reflow</t>
        </is>
      </c>
      <c r="E208" s="114" t="inlineStr">
        <is>
          <t>yes</t>
        </is>
      </c>
      <c r="F208" s="115" t="inlineStr">
        <is>
          <t>no</t>
        </is>
      </c>
      <c r="G208" s="112" t="inlineStr">
        <is>
          <t>automated tests pass; manual pending</t>
        </is>
      </c>
      <c r="H208" s="116" t="inlineStr">
        <is>
          <t>untested</t>
        </is>
      </c>
      <c r="I208" s="113" t="inlineStr">
        <is>
          <t>playground/manual-tests/context-menu.md</t>
        </is>
      </c>
      <c r="J208" s="113" t="inlineStr">
        <is>
          <t>Run the updated component Manual Test Protocol and named browser/device matrix.</t>
        </is>
      </c>
      <c r="K208" s="117">
        <f>IF(AND(E208="yes",F208="yes",H208="covered"),1,IF(H208="partial",0.5,0))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DataGrid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DataGrid playground; manual-tests/data-grid.md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DataGrid playground; manual-tests/data-grid.md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DataGrid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DataGrid playground; manual-tests/data-grid.md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DataGrid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DataGrid playground; manual-tests/data-grid.md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DataGrid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DataGrid playground; manual-tests/data-grid.md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DataGrid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DataGrid playground; manual-tests/data-grid.md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DataGrid</t>
        </is>
      </c>
      <c r="D15" s="113" t="inlineStr">
        <is>
          <t>Implements `role="grid"` with row,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DataGrid playground; manual-tests/data-grid.md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DataGrid</t>
        </is>
      </c>
      <c r="D16" s="113" t="inlineStr">
        <is>
          <t>Uses collection registration for DOM-ordered keyboard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DataGrid playground; manual-tests/data-grid.md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DataGrid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DataGrid playground; manual-tests/data-grid.md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DataGrid</t>
        </is>
      </c>
      <c r="D18" s="113" t="inlineStr">
        <is>
          <t>Supports none, single, and multiple row selection modes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DataGrid playground; manual-tests/data-grid.md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DataGrid</t>
        </is>
      </c>
      <c r="D19" s="113" t="inlineStr">
        <is>
          <t>Supports row click selection, disabled/read-only state, row and column counts, and optional row wrapping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DataGrid playground; manual-tests/data-grid.md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DataGrid</t>
        </is>
      </c>
      <c r="D20" s="113" t="inlineStr">
        <is>
          <t>Keeps sorting models,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DataGrid playground; manual-tests/data-grid.md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DataGrid playground; manual-tests/data-grid.md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DataGrid playground; manual-tests/data-grid.md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DataGrid playground; manual-tests/data-grid.md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DataGrid playground; manual-tests/data-grid.md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DataGrid playground; manual-tests/data-grid.md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DataGrid playground; manual-tests/data-grid.md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DataGrid playground; manual-tests/data-grid.md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DataGrid playground; manual-tests/data-grid.md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DataGrid playground; manual-tests/data-grid.md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activeCell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DataGrid playground; manual-tests/data-grid.md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defaultActiveCell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DataGrid playground; manual-tests/data-grid.md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onActiveCellChange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DataGrid playground; manual-tests/data-grid.md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selectionMode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DataGrid playground; manual-tests/data-grid.md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DataGrid playground; manual-tests/data-grid.md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DataGrid playground; manual-tests/data-grid.md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DataGrid playground; manual-tests/data-grid.md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wrapRows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DataGrid playground; manual-tests/data-grid.md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rowCount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DataGrid playground; manual-tests/data-grid.md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columnCount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DataGrid playground; manual-tests/data-grid.md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selectOnRowClick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DataGrid playground; manual-tests/data-grid.md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DataGrid playground; manual-tests/data-grid.md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[data-focused]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DataGrid playground; manual-tests/data-grid.md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[data-disabled]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DataGrid playground; manual-tests/data-grid.md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[data-readonly]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DataGrid playground; manual-tests/data-grid.md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[data-selection-mode]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DataGrid playground; manual-tests/data-grid.md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Body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DataGrid playground; manual-tests/data-grid.md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Body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DataGrid playground; manual-tests/data-grid.md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Body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DataGrid playground; manual-tests/data-grid.md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Body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DataGrid playground; manual-tests/data-grid.md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Body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DataGrid playground; manual-tests/data-grid.md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Body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DataGrid playground; manual-tests/data-grid.md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Caption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DataGrid playground; manual-tests/data-grid.md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Caption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DataGrid playground; manual-tests/data-grid.md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Identity</t>
        </is>
      </c>
      <c r="C54" s="113" t="inlineStr">
        <is>
          <t>Caption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DataGrid playground; manual-tests/data-grid.md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Identity</t>
        </is>
      </c>
      <c r="C55" s="113" t="inlineStr">
        <is>
          <t>Caption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DataGrid playground; manual-tests/data-grid.md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Caption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DataGrid playground; manual-tests/data-grid.md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Caption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DataGrid playground; manual-tests/data-grid.md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Cell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DataGrid playground; manual-tests/data-grid.md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Cell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DataGrid playground; manual-tests/data-grid.md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Cell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DataGrid playground; manual-tests/data-grid.md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Cell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DataGrid playground; manual-tests/data-grid.md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Cell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DataGrid playground; manual-tests/data-grid.md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Cell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DataGrid playground; manual-tests/data-grid.md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Cell</t>
        </is>
      </c>
      <c r="D64" s="113" t="inlineStr">
        <is>
          <t>columnIndex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DataGrid playground; manual-tests/data-grid.md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Cell</t>
        </is>
      </c>
      <c r="D65" s="113" t="inlineStr">
        <is>
          <t>index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DataGrid playground; manual-tests/data-grid.md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Cell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DataGrid playground; manual-tests/data-grid.md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Cell</t>
        </is>
      </c>
      <c r="D67" s="113" t="inlineStr">
        <is>
          <t>[data-active]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DataGrid playground; manual-tests/data-grid.md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Cell</t>
        </is>
      </c>
      <c r="D68" s="113" t="inlineStr">
        <is>
          <t>[data-selected]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DataGrid playground; manual-tests/data-grid.md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Cell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DataGrid playground; manual-tests/data-grid.md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ColumnHeader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DataGrid playground; manual-tests/data-grid.md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ColumnHeader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DataGrid playground; manual-tests/data-grid.md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ColumnHeader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DataGrid playground; manual-tests/data-grid.md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ColumnHeader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DataGrid playground; manual-tests/data-grid.md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ColumnHeader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DataGrid playground; manual-tests/data-grid.md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ColumnHeader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DataGrid playground; manual-tests/data-grid.md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ColumnHeader</t>
        </is>
      </c>
      <c r="D76" s="113" t="inlineStr">
        <is>
          <t>columnIndex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DataGrid playground; manual-tests/data-grid.md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ColumnHeader</t>
        </is>
      </c>
      <c r="D77" s="113" t="inlineStr">
        <is>
          <t>index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DataGrid playground; manual-tests/data-grid.md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ColumnHeader</t>
        </is>
      </c>
      <c r="D78" s="113" t="inlineStr">
        <is>
          <t>sortDirection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DataGrid playground; manual-tests/data-grid.md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State</t>
        </is>
      </c>
      <c r="C79" s="113" t="inlineStr">
        <is>
          <t>ColumnHeader</t>
        </is>
      </c>
      <c r="D79" s="113" t="inlineStr">
        <is>
          <t>disabled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DataGrid playground; manual-tests/data-grid.md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Footer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DataGrid playground; manual-tests/data-grid.md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Footer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DataGrid playground; manual-tests/data-grid.md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Identity</t>
        </is>
      </c>
      <c r="C82" s="113" t="inlineStr">
        <is>
          <t>Footer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DataGrid playground; manual-tests/data-grid.md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Footer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DataGrid playground; manual-tests/data-grid.md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Footer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DataGrid playground; manual-tests/data-grid.md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Footer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DataGrid playground; manual-tests/data-grid.md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Header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DataGrid playground; manual-tests/data-grid.md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Header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DataGrid playground; manual-tests/data-grid.md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Header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DataGrid playground; manual-tests/data-grid.md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Header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DataGrid playground; manual-tests/data-grid.md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Header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DataGrid playground; manual-tests/data-grid.md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Header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DataGrid playground; manual-tests/data-grid.md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Anatomy</t>
        </is>
      </c>
      <c r="C92" s="113" t="inlineStr">
        <is>
          <t>Row</t>
        </is>
      </c>
      <c r="D92" s="113" t="inlineStr">
        <is>
          <t>renders correct part when expected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DataGrid playground; manual-tests/data-grid.md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Row</t>
        </is>
      </c>
      <c r="D93" s="113" t="inlineStr">
        <is>
          <t>appears in documented order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DataGrid playground; manual-tests/data-grid.md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Identity</t>
        </is>
      </c>
      <c r="C94" s="113" t="inlineStr">
        <is>
          <t>Row</t>
        </is>
      </c>
      <c r="D94" s="113" t="inlineStr">
        <is>
          <t>default tag is visible in Anatomy/Inspector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DataGrid playground; manual-tests/data-grid.md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Identity</t>
        </is>
      </c>
      <c r="C95" s="113" t="inlineStr">
        <is>
          <t>Row</t>
        </is>
      </c>
      <c r="D95" s="113" t="inlineStr">
        <is>
          <t>data-slot is present and correct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DataGrid playground; manual-tests/data-grid.md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Row</t>
        </is>
      </c>
      <c r="D96" s="113" t="inlineStr">
        <is>
          <t>non-Atom native props pass through with data-prop-check marker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DataGrid playground; manual-tests/data-grid.md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Refs</t>
        </is>
      </c>
      <c r="C97" s="113" t="inlineStr">
        <is>
          <t>Row</t>
        </is>
      </c>
      <c r="D97" s="113" t="inlineStr">
        <is>
          <t>consumer ref receives the rendered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DataGrid playground; manual-tests/data-grid.md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Row</t>
        </is>
      </c>
      <c r="D98" s="113" t="inlineStr">
        <is>
          <t>rowIndex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DataGrid playground; manual-tests/data-grid.md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Row</t>
        </is>
      </c>
      <c r="D99" s="113" t="inlineStr">
        <is>
          <t>index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DataGrid playground; manual-tests/data-grid.md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Row</t>
        </is>
      </c>
      <c r="D100" s="113" t="inlineStr">
        <is>
          <t>value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DataGrid playground; manual-tests/data-grid.md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Row</t>
        </is>
      </c>
      <c r="D101" s="113" t="inlineStr">
        <is>
          <t>disabled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DataGrid playground; manual-tests/data-grid.md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Row</t>
        </is>
      </c>
      <c r="D102" s="113" t="inlineStr">
        <is>
          <t>selectable prop blocks click, Enter, and Space selection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DataGrid playground; manual-tests/data-grid.md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aria-activedescendant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DataGrid playground; manual-tests/data-grid.md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aria-colcount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DataGrid playground; manual-tests/data-grid.md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aria-colindex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DataGrid playground; manual-tests/data-grid.md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DataGrid playground; manual-tests/data-grid.md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aria-multiselectable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DataGrid playground; manual-tests/data-grid.md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aria-readonly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DataGrid playground; manual-tests/data-grid.md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ARIA</t>
        </is>
      </c>
      <c r="C109" s="113" t="inlineStr">
        <is>
          <t>Live DOM</t>
        </is>
      </c>
      <c r="D109" s="113" t="inlineStr">
        <is>
          <t>aria-rowcount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DataGrid playground; manual-tests/data-grid.md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ARIA</t>
        </is>
      </c>
      <c r="C110" s="113" t="inlineStr">
        <is>
          <t>Live DOM</t>
        </is>
      </c>
      <c r="D110" s="113" t="inlineStr">
        <is>
          <t>aria-rowindex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DataGrid playground; manual-tests/data-grid.md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ARIA</t>
        </is>
      </c>
      <c r="C111" s="113" t="inlineStr">
        <is>
          <t>Live DOM</t>
        </is>
      </c>
      <c r="D111" s="113" t="inlineStr">
        <is>
          <t>aria-selected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DataGrid playground; manual-tests/data-grid.md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ARIA</t>
        </is>
      </c>
      <c r="C112" s="113" t="inlineStr">
        <is>
          <t>Live DOM</t>
        </is>
      </c>
      <c r="D112" s="113" t="inlineStr">
        <is>
          <t>aria-sort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DataGrid playground; manual-tests/data-grid.md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data-active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DataGrid playground; manual-tests/data-grid.md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data-column-count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DataGrid playground; manual-tests/data-grid.md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Live DOM</t>
        </is>
      </c>
      <c r="D115" s="113" t="inlineStr">
        <is>
          <t>data-column-index is present at the correct time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DataGrid playground; manual-tests/data-grid.md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Data</t>
        </is>
      </c>
      <c r="C116" s="113" t="inlineStr">
        <is>
          <t>Live DOM</t>
        </is>
      </c>
      <c r="D116" s="113" t="inlineStr">
        <is>
          <t>data-disabled is present at the correct time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DataGrid playground; manual-tests/data-grid.md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Data</t>
        </is>
      </c>
      <c r="C117" s="113" t="inlineStr">
        <is>
          <t>Live DOM</t>
        </is>
      </c>
      <c r="D117" s="113" t="inlineStr">
        <is>
          <t>data-focused is present at the correct time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DataGrid playground; manual-tests/data-grid.md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Data</t>
        </is>
      </c>
      <c r="C118" s="113" t="inlineStr">
        <is>
          <t>Live DOM</t>
        </is>
      </c>
      <c r="D118" s="113" t="inlineStr">
        <is>
          <t>data-readonly is present at the correct time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DataGrid playground; manual-tests/data-grid.md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Data</t>
        </is>
      </c>
      <c r="C119" s="113" t="inlineStr">
        <is>
          <t>Live DOM</t>
        </is>
      </c>
      <c r="D119" s="113" t="inlineStr">
        <is>
          <t>data-row-count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DataGrid playground; manual-tests/data-grid.md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Data</t>
        </is>
      </c>
      <c r="C120" s="113" t="inlineStr">
        <is>
          <t>Live DOM</t>
        </is>
      </c>
      <c r="D120" s="113" t="inlineStr">
        <is>
          <t>data-row-index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DataGrid playground; manual-tests/data-grid.md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Data</t>
        </is>
      </c>
      <c r="C121" s="113" t="inlineStr">
        <is>
          <t>Live DOM</t>
        </is>
      </c>
      <c r="D121" s="113" t="inlineStr">
        <is>
          <t>data-selected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DataGrid playground; manual-tests/data-grid.md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data-selectable is present for selectable valued rows when selection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DataGrid playground; manual-tests/data-grid.md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data-selection-disabled is present for rows with selectable={false} when selection is enabled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DataGrid playground; manual-tests/data-grid.md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data-selection-mode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DataGrid playground; manual-tests/data-grid.md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DataGrid playground; manual-tests/data-grid.md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data-sort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DataGrid playground; manual-tests/data-grid.md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data-value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DataGrid playground; manual-tests/data-grid.md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Composition</t>
        </is>
      </c>
      <c r="C128" s="113" t="inlineStr">
        <is>
          <t>All DOM parts</t>
        </is>
      </c>
      <c r="D128" s="113" t="inlineStr">
        <is>
          <t>asChild preserves child content without double nesting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DataGrid playground; manual-tests/data-grid.md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All DOM parts</t>
        </is>
      </c>
      <c r="D129" s="113" t="inlineStr">
        <is>
          <t>asChild merges Atom props and consumer props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DataGrid playground; manual-tests/data-grid.md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Composition</t>
        </is>
      </c>
      <c r="C130" s="113" t="inlineStr">
        <is>
          <t>All DOM parts</t>
        </is>
      </c>
      <c r="D130" s="113" t="inlineStr">
        <is>
          <t>render prop renders custom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DataGrid playground; manual-tests/data-grid.md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Composition</t>
        </is>
      </c>
      <c r="C131" s="113" t="inlineStr">
        <is>
          <t>All DOM parts</t>
        </is>
      </c>
      <c r="D131" s="113" t="inlineStr">
        <is>
          <t>render prop preserves refs and behavior props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DataGrid playground; manual-tests/data-grid.md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State</t>
        </is>
      </c>
      <c r="C132" s="113" t="inlineStr">
        <is>
          <t>Root</t>
        </is>
      </c>
      <c r="D132" s="113" t="inlineStr">
        <is>
          <t>controlled state path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DataGrid playground; manual-tests/data-grid.md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Root</t>
        </is>
      </c>
      <c r="D133" s="113" t="inlineStr">
        <is>
          <t>uncontrolled default state path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DataGrid playground; manual-tests/data-grid.md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State</t>
        </is>
      </c>
      <c r="C134" s="113" t="inlineStr">
        <is>
          <t>Root</t>
        </is>
      </c>
      <c r="D134" s="113" t="inlineStr">
        <is>
          <t>state change callback fires once with correct value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DataGrid playground; manual-tests/data-grid.md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DataGrid</t>
        </is>
      </c>
      <c r="D135" s="113" t="inlineStr">
        <is>
          <t>Arrow key navigation follows documented orientation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DataGrid playground; manual-tests/data-grid.md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Keyboard</t>
        </is>
      </c>
      <c r="C136" s="113" t="inlineStr">
        <is>
          <t>DataGrid</t>
        </is>
      </c>
      <c r="D136" s="113" t="inlineStr">
        <is>
          <t>Home and End navigation where supported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DataGrid playground; manual-tests/data-grid.md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DataGrid</t>
        </is>
      </c>
      <c r="D137" s="113" t="inlineStr">
        <is>
          <t>disabled items are skipped or exposed according to pattern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DataGrid playground; manual-tests/data-grid.md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Focus</t>
        </is>
      </c>
      <c r="C138" s="113" t="inlineStr">
        <is>
          <t>DataGrid</t>
        </is>
      </c>
      <c r="D138" s="113" t="inlineStr">
        <is>
          <t>roving focus or active descendant state is visible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DataGrid playground; manual-tests/data-grid.md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Direction</t>
        </is>
      </c>
      <c r="C139" s="113" t="inlineStr">
        <is>
          <t>Grid</t>
        </is>
      </c>
      <c r="D139" s="113" t="inlineStr">
        <is>
          <t>reads Direction.Provider context for horizontal cell navigation</t>
        </is>
      </c>
      <c r="E139" s="119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9" t="inlineStr">
        <is>
          <t>covered</t>
        </is>
      </c>
      <c r="I139" s="113" t="inlineStr">
        <is>
          <t>DataGrid playground; manual-tests/data-grid.md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Direction</t>
        </is>
      </c>
      <c r="C140" s="113" t="inlineStr">
        <is>
          <t>Grid</t>
        </is>
      </c>
      <c r="D140" s="113" t="inlineStr">
        <is>
          <t>RTL mirrors ArrowLeft and ArrowRight cell movement</t>
        </is>
      </c>
      <c r="E140" s="119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9" t="inlineStr">
        <is>
          <t>covered</t>
        </is>
      </c>
      <c r="I140" s="113" t="inlineStr">
        <is>
          <t>DataGrid playground; manual-tests/data-grid.md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Direction</t>
        </is>
      </c>
      <c r="C141" s="113" t="inlineStr">
        <is>
          <t>Root</t>
        </is>
      </c>
      <c r="D141" s="113" t="inlineStr">
        <is>
          <t>local dir overrides Direction.Provider and raw dir is inspectable</t>
        </is>
      </c>
      <c r="E141" s="119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9" t="inlineStr">
        <is>
          <t>covered</t>
        </is>
      </c>
      <c r="I141" s="113" t="inlineStr">
        <is>
          <t>DataGrid playground; manual-tests/data-grid.md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Playground</t>
        </is>
      </c>
      <c r="C142" s="113" t="inlineStr">
        <is>
          <t>Direction controls</t>
        </is>
      </c>
      <c r="D142" s="113" t="inlineStr">
        <is>
          <t>scenario exposes Default, Provider RTL, Local LTR, and Local RTL controls</t>
        </is>
      </c>
      <c r="E142" s="119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9" t="inlineStr">
        <is>
          <t>covered</t>
        </is>
      </c>
      <c r="I142" s="113" t="inlineStr">
        <is>
          <t>DataGrid playground; manual-tests/data-grid.md</t>
        </is>
      </c>
      <c r="J142" s="113" t="n"/>
      <c r="K142" s="117">
        <f>IF(AND(E142="yes",F142="yes",H142="covered"),1,IF(H142="partial",0.5,0))</f>
        <v/>
      </c>
    </row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30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30" customHeight="1" s="58"/>
    <row r="189" ht="15" customHeight="1" s="58"/>
    <row r="190" ht="30" customHeight="1" s="58"/>
    <row r="191" ht="30" customHeight="1" s="58"/>
    <row r="192" ht="30" customHeight="1" s="58"/>
    <row r="19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K1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passes manual test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passes manual test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open prop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passes manual test</t>
        </is>
      </c>
      <c r="H11" s="108" t="inlineStr">
        <is>
          <t>covered</t>
        </is>
      </c>
      <c r="I11" s="113" t="inlineStr">
        <is>
          <t>Dialog playground scenario; manually verified.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/ uncontrolled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passes manual test</t>
        </is>
      </c>
      <c r="H12" s="108" t="inlineStr">
        <is>
          <t>covered</t>
        </is>
      </c>
      <c r="I12" s="113" t="inlineStr">
        <is>
          <t>Dialog playground scenario; manually verified.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callback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passes manual test</t>
        </is>
      </c>
      <c r="H13" s="108" t="inlineStr">
        <is>
          <t>covered</t>
        </is>
      </c>
      <c r="I13" s="113" t="inlineStr">
        <is>
          <t>Dialog playground scenario; manually verified.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onOpenChange close reason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passes manual test</t>
        </is>
      </c>
      <c r="H14" s="108" t="inlineStr">
        <is>
          <t>covered</t>
        </is>
      </c>
      <c r="I14" s="113" t="inlineStr">
        <is>
          <t>Dialog playground scenario; manually verified.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disabled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passes manual test</t>
        </is>
      </c>
      <c r="H15" s="108" t="inlineStr">
        <is>
          <t>covered</t>
        </is>
      </c>
      <c r="I15" s="113" t="inlineStr">
        <is>
          <t>Dialog playground scenario; manually verified.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closeOnEscape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passes manual test</t>
        </is>
      </c>
      <c r="H16" s="108" t="inlineStr">
        <is>
          <t>covered</t>
        </is>
      </c>
      <c r="I16" s="113" t="inlineStr">
        <is>
          <t>Dialog playground scenario; manually verified.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closeOnBackdropClick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passes manual test</t>
        </is>
      </c>
      <c r="H17" s="108" t="inlineStr">
        <is>
          <t>covered</t>
        </is>
      </c>
      <c r="I17" s="113" t="inlineStr">
        <is>
          <t>Dialog playground scenario; manually verified.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keepMounted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passes manual test</t>
        </is>
      </c>
      <c r="H18" s="108" t="inlineStr">
        <is>
          <t>covered</t>
        </is>
      </c>
      <c r="I18" s="113" t="inlineStr">
        <is>
          <t>Dialog playground scenario; manually verified.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Trigger</t>
        </is>
      </c>
      <c r="D19" s="113" t="inlineStr">
        <is>
          <t>click opens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passes manual test</t>
        </is>
      </c>
      <c r="H19" s="108" t="inlineStr">
        <is>
          <t>covered</t>
        </is>
      </c>
      <c r="I19" s="113" t="inlineStr">
        <is>
          <t>Dialog playground scenario; manually verified.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Trigger</t>
        </is>
      </c>
      <c r="D20" s="113" t="inlineStr">
        <is>
          <t>Enter opens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passes manual test</t>
        </is>
      </c>
      <c r="H20" s="108" t="inlineStr">
        <is>
          <t>covered</t>
        </is>
      </c>
      <c r="I20" s="113" t="inlineStr">
        <is>
          <t>Dialog playground scenario; manually verified.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Trigger</t>
        </is>
      </c>
      <c r="D21" s="113" t="inlineStr">
        <is>
          <t>Space opens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passes manual test</t>
        </is>
      </c>
      <c r="H21" s="108" t="inlineStr">
        <is>
          <t>covered</t>
        </is>
      </c>
      <c r="I21" s="113" t="inlineStr">
        <is>
          <t>Dialog playground scenario; manually verified.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Trigger</t>
        </is>
      </c>
      <c r="D22" s="113" t="inlineStr">
        <is>
          <t>disabled blocks click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passes manual test</t>
        </is>
      </c>
      <c r="H22" s="108" t="inlineStr">
        <is>
          <t>covered</t>
        </is>
      </c>
      <c r="I22" s="113" t="inlineStr">
        <is>
          <t>Dialog playground scenario; manually verified.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Trigger</t>
        </is>
      </c>
      <c r="D23" s="113" t="inlineStr">
        <is>
          <t>disabled blocks Enter/Space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passes manual test</t>
        </is>
      </c>
      <c r="H23" s="108" t="inlineStr">
        <is>
          <t>covered</t>
        </is>
      </c>
      <c r="I23" s="113" t="inlineStr">
        <is>
          <t>Dialog playground scenario; manually verified.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data-state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passes manual test</t>
        </is>
      </c>
      <c r="H24" s="108" t="inlineStr">
        <is>
          <t>covered</t>
        </is>
      </c>
      <c r="I24" s="113" t="inlineStr">
        <is>
          <t>Dialog playground scenario; manually verified.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aria-controls id match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passes manual test</t>
        </is>
      </c>
      <c r="H25" s="108" t="inlineStr">
        <is>
          <t>covered</t>
        </is>
      </c>
      <c r="I25" s="113" t="inlineStr">
        <is>
          <t>Dialog playground scenario; manually verified.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aria-haspopup / aria-expanded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passes manual test</t>
        </is>
      </c>
      <c r="H26" s="108" t="inlineStr">
        <is>
          <t>covered</t>
        </is>
      </c>
      <c r="I26" s="113" t="inlineStr">
        <is>
          <t>Dialog playground scenario; manually verified.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Trigger</t>
        </is>
      </c>
      <c r="D27" s="113" t="inlineStr">
        <is>
          <t>asChild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passes manual test</t>
        </is>
      </c>
      <c r="H27" s="108" t="inlineStr">
        <is>
          <t>covered</t>
        </is>
      </c>
      <c r="I27" s="113" t="inlineStr">
        <is>
          <t>Dialog playground scenario; manually verified.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Trigger</t>
        </is>
      </c>
      <c r="D28" s="113" t="inlineStr">
        <is>
          <t>render prop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passes manual test</t>
        </is>
      </c>
      <c r="H28" s="108" t="inlineStr">
        <is>
          <t>covered</t>
        </is>
      </c>
      <c r="I28" s="113" t="inlineStr">
        <is>
          <t>Dialog playground scenario; manually verified.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Trigger</t>
        </is>
      </c>
      <c r="D29" s="113" t="inlineStr">
        <is>
          <t>merged onClick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passes manual test</t>
        </is>
      </c>
      <c r="H29" s="108" t="inlineStr">
        <is>
          <t>covered</t>
        </is>
      </c>
      <c r="I29" s="113" t="inlineStr">
        <is>
          <t>Dialog playground scenario; manually verified.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Composition</t>
        </is>
      </c>
      <c r="C30" s="113" t="inlineStr">
        <is>
          <t>Trigger</t>
        </is>
      </c>
      <c r="D30" s="113" t="inlineStr">
        <is>
          <t>merged onKeyDown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passes manual test</t>
        </is>
      </c>
      <c r="H30" s="108" t="inlineStr">
        <is>
          <t>covered</t>
        </is>
      </c>
      <c r="I30" s="113" t="inlineStr">
        <is>
          <t>Dialog playground scenario; manually verified.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Refs</t>
        </is>
      </c>
      <c r="C31" s="113" t="inlineStr">
        <is>
          <t>Trigger</t>
        </is>
      </c>
      <c r="D31" s="113" t="inlineStr">
        <is>
          <t>ref receives element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passes manual test</t>
        </is>
      </c>
      <c r="H31" s="108" t="inlineStr">
        <is>
          <t>covered</t>
        </is>
      </c>
      <c r="I31" s="113" t="inlineStr">
        <is>
          <t>Dialog playground scenario; manually verified.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Trigger</t>
        </is>
      </c>
      <c r="D32" s="113" t="inlineStr">
        <is>
          <t>native button props passthrough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passes manual test</t>
        </is>
      </c>
      <c r="H32" s="108" t="inlineStr">
        <is>
          <t>covered</t>
        </is>
      </c>
      <c r="I32" s="113" t="inlineStr">
        <is>
          <t>Verify the part forwards a non-Atom-owned data-prop-check marker in the live raw Data group or Inspector.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Styling hooks</t>
        </is>
      </c>
      <c r="C33" s="113" t="inlineStr">
        <is>
          <t>Trigger</t>
        </is>
      </c>
      <c r="D33" s="113" t="inlineStr">
        <is>
          <t>className passthrough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passes manual test</t>
        </is>
      </c>
      <c r="H33" s="108" t="inlineStr">
        <is>
          <t>covered</t>
        </is>
      </c>
      <c r="I33" s="113" t="inlineStr">
        <is>
          <t>Dialog playground scenario; manually verified.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Styling hooks</t>
        </is>
      </c>
      <c r="C34" s="113" t="inlineStr">
        <is>
          <t>Trigger</t>
        </is>
      </c>
      <c r="D34" s="113" t="inlineStr">
        <is>
          <t>data-slot override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passes manual test</t>
        </is>
      </c>
      <c r="H34" s="108" t="inlineStr">
        <is>
          <t>covered</t>
        </is>
      </c>
      <c r="I34" s="113" t="inlineStr">
        <is>
          <t>Dialog playground scenario; manually verified.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Portal</t>
        </is>
      </c>
      <c r="D35" s="113" t="inlineStr">
        <is>
          <t>content mounts in body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passes manual test</t>
        </is>
      </c>
      <c r="H35" s="108" t="inlineStr">
        <is>
          <t>covered</t>
        </is>
      </c>
      <c r="I35" s="113" t="inlineStr">
        <is>
          <t>Dialog playground scenario; manually verified.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Portal</t>
        </is>
      </c>
      <c r="D36" s="113" t="inlineStr">
        <is>
          <t>content not inside canvas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passes manual test</t>
        </is>
      </c>
      <c r="H36" s="108" t="inlineStr">
        <is>
          <t>covered</t>
        </is>
      </c>
      <c r="I36" s="113" t="inlineStr">
        <is>
          <t>Dialog playground scenario; manually verified.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Portal</t>
        </is>
      </c>
      <c r="D37" s="113" t="inlineStr">
        <is>
          <t>unmounts after close without keepMounted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passes manual test</t>
        </is>
      </c>
      <c r="H37" s="108" t="inlineStr">
        <is>
          <t>covered</t>
        </is>
      </c>
      <c r="I37" s="113" t="inlineStr">
        <is>
          <t>Dialog playground scenario; manually verified.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Portal</t>
        </is>
      </c>
      <c r="D38" s="113" t="inlineStr">
        <is>
          <t>stays mounted with keepMounted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passes manual test</t>
        </is>
      </c>
      <c r="H38" s="108" t="inlineStr">
        <is>
          <t>covered</t>
        </is>
      </c>
      <c r="I38" s="113" t="inlineStr">
        <is>
          <t>Dialog playground scenario; manually verified.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Overlay</t>
        </is>
      </c>
      <c r="D39" s="113" t="inlineStr">
        <is>
          <t>renders when open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passes manual test</t>
        </is>
      </c>
      <c r="H39" s="108" t="inlineStr">
        <is>
          <t>covered</t>
        </is>
      </c>
      <c r="I39" s="113" t="inlineStr">
        <is>
          <t>Dialog playground scenario; manually verified.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Overlay</t>
        </is>
      </c>
      <c r="D40" s="113" t="inlineStr">
        <is>
          <t>data-state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passes manual test</t>
        </is>
      </c>
      <c r="H40" s="108" t="inlineStr">
        <is>
          <t>covered</t>
        </is>
      </c>
      <c r="I40" s="113" t="inlineStr">
        <is>
          <t>Dialog playground scenario; manually verified.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Interaction</t>
        </is>
      </c>
      <c r="C41" s="113" t="inlineStr">
        <is>
          <t>Overlay</t>
        </is>
      </c>
      <c r="D41" s="113" t="inlineStr">
        <is>
          <t>backdrop click closes when enabled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passes manual test</t>
        </is>
      </c>
      <c r="H41" s="108" t="inlineStr">
        <is>
          <t>covered</t>
        </is>
      </c>
      <c r="I41" s="113" t="inlineStr">
        <is>
          <t>Dialog playground scenario; manually verified.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Interaction</t>
        </is>
      </c>
      <c r="C42" s="113" t="inlineStr">
        <is>
          <t>Overlay</t>
        </is>
      </c>
      <c r="D42" s="113" t="inlineStr">
        <is>
          <t>backdrop click does not close when disabled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passes manual test</t>
        </is>
      </c>
      <c r="H42" s="108" t="inlineStr">
        <is>
          <t>covered</t>
        </is>
      </c>
      <c r="I42" s="113" t="inlineStr">
        <is>
          <t>Dialog playground scenario; manually verified.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Composition</t>
        </is>
      </c>
      <c r="C43" s="113" t="inlineStr">
        <is>
          <t>Overlay</t>
        </is>
      </c>
      <c r="D43" s="113" t="inlineStr">
        <is>
          <t>user onClick merges with close behavior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passes manual test</t>
        </is>
      </c>
      <c r="H43" s="108" t="inlineStr">
        <is>
          <t>covered</t>
        </is>
      </c>
      <c r="I43" s="113" t="inlineStr">
        <is>
          <t>Dialog playground scenario; manually verified.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Overlay</t>
        </is>
      </c>
      <c r="D44" s="113" t="inlineStr">
        <is>
          <t>ref receives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passes manual test</t>
        </is>
      </c>
      <c r="H44" s="108" t="inlineStr">
        <is>
          <t>covered</t>
        </is>
      </c>
      <c r="I44" s="113" t="inlineStr">
        <is>
          <t>Dialog playground scenario; manually verified.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Overlay</t>
        </is>
      </c>
      <c r="D45" s="113" t="inlineStr">
        <is>
          <t>native div props passthrough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passes manual test</t>
        </is>
      </c>
      <c r="H45" s="108" t="inlineStr">
        <is>
          <t>covered</t>
        </is>
      </c>
      <c r="I45" s="113" t="inlineStr">
        <is>
          <t>Verify the part forwards a non-Atom-owned data-prop-check marker in the live raw Data group or Inspector.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Styling hooks</t>
        </is>
      </c>
      <c r="C46" s="113" t="inlineStr">
        <is>
          <t>Overlay</t>
        </is>
      </c>
      <c r="D46" s="113" t="inlineStr">
        <is>
          <t>className passthrough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passes manual test</t>
        </is>
      </c>
      <c r="H46" s="108" t="inlineStr">
        <is>
          <t>covered</t>
        </is>
      </c>
      <c r="I46" s="113" t="inlineStr">
        <is>
          <t>Dialog playground scenario; manually verified.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Styling hooks</t>
        </is>
      </c>
      <c r="C47" s="113" t="inlineStr">
        <is>
          <t>Overlay</t>
        </is>
      </c>
      <c r="D47" s="113" t="inlineStr">
        <is>
          <t>data-slot override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passes manual test</t>
        </is>
      </c>
      <c r="H47" s="108" t="inlineStr">
        <is>
          <t>covered</t>
        </is>
      </c>
      <c r="I47" s="113" t="inlineStr">
        <is>
          <t>Dialog playground scenario; manually verified.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renders when open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passes manual test</t>
        </is>
      </c>
      <c r="H48" s="108" t="inlineStr">
        <is>
          <t>covered</t>
        </is>
      </c>
      <c r="I48" s="113" t="inlineStr">
        <is>
          <t>Dialog playground scenario; manually verified.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unmounts when closed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passes manual test</t>
        </is>
      </c>
      <c r="H49" s="108" t="inlineStr">
        <is>
          <t>covered</t>
        </is>
      </c>
      <c r="I49" s="113" t="inlineStr">
        <is>
          <t>Dialog playground scenario; manually verified.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hidden with keepMounted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passes manual test</t>
        </is>
      </c>
      <c r="H50" s="108" t="inlineStr">
        <is>
          <t>covered</t>
        </is>
      </c>
      <c r="I50" s="113" t="inlineStr">
        <is>
          <t>Dialog playground scenario; manually verified.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role dialog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passes manual test</t>
        </is>
      </c>
      <c r="H51" s="108" t="inlineStr">
        <is>
          <t>covered</t>
        </is>
      </c>
      <c r="I51" s="113" t="inlineStr">
        <is>
          <t>Dialog playground scenario; manually verified.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role alertdialog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passes manual test</t>
        </is>
      </c>
      <c r="H52" s="108" t="inlineStr">
        <is>
          <t>covered</t>
        </is>
      </c>
      <c r="I52" s="113" t="inlineStr">
        <is>
          <t>Dialog playground scenario; manually verified.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tabIndex -1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passes manual test</t>
        </is>
      </c>
      <c r="H53" s="108" t="inlineStr">
        <is>
          <t>covered</t>
        </is>
      </c>
      <c r="I53" s="113" t="inlineStr">
        <is>
          <t>Dialog playground scenario; manually verified.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data-state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passes manual test</t>
        </is>
      </c>
      <c r="H54" s="108" t="inlineStr">
        <is>
          <t>covered</t>
        </is>
      </c>
      <c r="I54" s="113" t="inlineStr">
        <is>
          <t>Dialog playground scenario; manually verified.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data-positioned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passes manual test</t>
        </is>
      </c>
      <c r="H55" s="108" t="inlineStr">
        <is>
          <t>covered</t>
        </is>
      </c>
      <c r="I55" s="113" t="inlineStr">
        <is>
          <t>Dialog playground scenario; manually verified.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Accessibility</t>
        </is>
      </c>
      <c r="C56" s="113" t="inlineStr">
        <is>
          <t>Content</t>
        </is>
      </c>
      <c r="D56" s="113" t="inlineStr">
        <is>
          <t>aria-modal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passes manual test</t>
        </is>
      </c>
      <c r="H56" s="108" t="inlineStr">
        <is>
          <t>covered</t>
        </is>
      </c>
      <c r="I56" s="113" t="inlineStr">
        <is>
          <t>Dialog playground scenario; manually verified.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Content</t>
        </is>
      </c>
      <c r="D57" s="113" t="inlineStr">
        <is>
          <t>aria-labelledby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passes manual test</t>
        </is>
      </c>
      <c r="H57" s="108" t="inlineStr">
        <is>
          <t>covered</t>
        </is>
      </c>
      <c r="I57" s="113" t="inlineStr">
        <is>
          <t>Dialog playground scenario; manually verified.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Accessibility</t>
        </is>
      </c>
      <c r="C58" s="113" t="inlineStr">
        <is>
          <t>Content</t>
        </is>
      </c>
      <c r="D58" s="113" t="inlineStr">
        <is>
          <t>aria-describedby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passes manual test</t>
        </is>
      </c>
      <c r="H58" s="108" t="inlineStr">
        <is>
          <t>covered</t>
        </is>
      </c>
      <c r="I58" s="113" t="inlineStr">
        <is>
          <t>Dialog playground scenario; manually verified.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Accessibility</t>
        </is>
      </c>
      <c r="C59" s="113" t="inlineStr">
        <is>
          <t>Content</t>
        </is>
      </c>
      <c r="D59" s="113" t="inlineStr">
        <is>
          <t>ariaLabel compatibility fallback applies only when native aria-label is absent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focused manual qualification</t>
        </is>
      </c>
      <c r="H59" s="108" t="inlineStr">
        <is>
          <t>covered</t>
        </is>
      </c>
      <c r="I59" s="113" t="inlineStr">
        <is>
          <t>Dialog Modal Foundation Manual Test Protocol, 2026-07-17; desktop, macOS VoiceOver, iPhone Safari, and iPhone VoiceOver.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Interaction</t>
        </is>
      </c>
      <c r="C60" s="113" t="inlineStr">
        <is>
          <t>Content</t>
        </is>
      </c>
      <c r="D60" s="113" t="inlineStr">
        <is>
          <t>click inside content does not close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passes manual test</t>
        </is>
      </c>
      <c r="H60" s="108" t="inlineStr">
        <is>
          <t>covered</t>
        </is>
      </c>
      <c r="I60" s="113" t="inlineStr">
        <is>
          <t>Dialog playground scenario; manually verified.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Interaction</t>
        </is>
      </c>
      <c r="C61" s="113" t="inlineStr">
        <is>
          <t>Content</t>
        </is>
      </c>
      <c r="D61" s="113" t="inlineStr">
        <is>
          <t>first focusable receives focus on open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passes manual test</t>
        </is>
      </c>
      <c r="H61" s="108" t="inlineStr">
        <is>
          <t>covered</t>
        </is>
      </c>
      <c r="I61" s="113" t="inlineStr">
        <is>
          <t>Dialog playground scenario; manually verified.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Interaction</t>
        </is>
      </c>
      <c r="C62" s="113" t="inlineStr">
        <is>
          <t>Content</t>
        </is>
      </c>
      <c r="D62" s="113" t="inlineStr">
        <is>
          <t>no focusable child focuses content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passes manual test</t>
        </is>
      </c>
      <c r="H62" s="108" t="inlineStr">
        <is>
          <t>covered</t>
        </is>
      </c>
      <c r="I62" s="113" t="inlineStr">
        <is>
          <t>Dialog playground scenario; manually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Content</t>
        </is>
      </c>
      <c r="D63" s="113" t="inlineStr">
        <is>
          <t>focus trap Tab loop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passes manual test</t>
        </is>
      </c>
      <c r="H63" s="108" t="inlineStr">
        <is>
          <t>covered</t>
        </is>
      </c>
      <c r="I63" s="113" t="inlineStr">
        <is>
          <t>Dialog playground scenario; manually verified.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Interaction</t>
        </is>
      </c>
      <c r="C64" s="113" t="inlineStr">
        <is>
          <t>Content</t>
        </is>
      </c>
      <c r="D64" s="113" t="inlineStr">
        <is>
          <t>focus trap Shift+Tab loop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passes manual test</t>
        </is>
      </c>
      <c r="H64" s="108" t="inlineStr">
        <is>
          <t>covered</t>
        </is>
      </c>
      <c r="I64" s="113" t="inlineStr">
        <is>
          <t>Dialog playground scenario; manually verified.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Interaction</t>
        </is>
      </c>
      <c r="C65" s="113" t="inlineStr">
        <is>
          <t>Content</t>
        </is>
      </c>
      <c r="D65" s="113" t="inlineStr">
        <is>
          <t>focus cannot escape behind dialog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passes manual test</t>
        </is>
      </c>
      <c r="H65" s="108" t="inlineStr">
        <is>
          <t>covered</t>
        </is>
      </c>
      <c r="I65" s="113" t="inlineStr">
        <is>
          <t>Dialog playground scenario; manually verified.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Interaction</t>
        </is>
      </c>
      <c r="C66" s="113" t="inlineStr">
        <is>
          <t>Content</t>
        </is>
      </c>
      <c r="D66" s="113" t="inlineStr">
        <is>
          <t>focus restores to trigger after close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passes manual test</t>
        </is>
      </c>
      <c r="H66" s="108" t="inlineStr">
        <is>
          <t>covered</t>
        </is>
      </c>
      <c r="I66" s="113" t="inlineStr">
        <is>
          <t>Dialog playground scenario; manually verified.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Interaction</t>
        </is>
      </c>
      <c r="C67" s="113" t="inlineStr">
        <is>
          <t>Content</t>
        </is>
      </c>
      <c r="D67" s="113" t="inlineStr">
        <is>
          <t>scroll lock on open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passes manual test</t>
        </is>
      </c>
      <c r="H67" s="108" t="inlineStr">
        <is>
          <t>covered</t>
        </is>
      </c>
      <c r="I67" s="113" t="inlineStr">
        <is>
          <t>Dialog playground scenario; manually verified.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Content</t>
        </is>
      </c>
      <c r="D68" s="113" t="inlineStr">
        <is>
          <t>ref receives element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passes manual test</t>
        </is>
      </c>
      <c r="H68" s="108" t="inlineStr">
        <is>
          <t>covered</t>
        </is>
      </c>
      <c r="I68" s="113" t="inlineStr">
        <is>
          <t>Dialog playground scenario; manually verified.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Content</t>
        </is>
      </c>
      <c r="D69" s="113" t="inlineStr">
        <is>
          <t>native div props passthrough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passes manual test</t>
        </is>
      </c>
      <c r="H69" s="108" t="inlineStr">
        <is>
          <t>covered</t>
        </is>
      </c>
      <c r="I69" s="113" t="inlineStr">
        <is>
          <t>Verify the part forwards a non-Atom-owned data-prop-check marker in the live raw Data group or Inspector.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Styling hooks</t>
        </is>
      </c>
      <c r="C70" s="113" t="inlineStr">
        <is>
          <t>Content</t>
        </is>
      </c>
      <c r="D70" s="113" t="inlineStr">
        <is>
          <t>className passthrough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passes manual test</t>
        </is>
      </c>
      <c r="H70" s="108" t="inlineStr">
        <is>
          <t>covered</t>
        </is>
      </c>
      <c r="I70" s="113" t="inlineStr">
        <is>
          <t>Dialog playground scenario; manually verified.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Styling hooks</t>
        </is>
      </c>
      <c r="C71" s="113" t="inlineStr">
        <is>
          <t>Content</t>
        </is>
      </c>
      <c r="D71" s="113" t="inlineStr">
        <is>
          <t>data-slot override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passes manual test</t>
        </is>
      </c>
      <c r="H71" s="108" t="inlineStr">
        <is>
          <t>covered</t>
        </is>
      </c>
      <c r="I71" s="113" t="inlineStr">
        <is>
          <t>Dialog playground scenario; manually verified.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Title</t>
        </is>
      </c>
      <c r="D72" s="113" t="inlineStr">
        <is>
          <t>renders title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passes manual test</t>
        </is>
      </c>
      <c r="H72" s="108" t="inlineStr">
        <is>
          <t>covered</t>
        </is>
      </c>
      <c r="I72" s="113" t="inlineStr">
        <is>
          <t>Dialog playground scenario; manually verified.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id matches aria-labelledby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passes manual test</t>
        </is>
      </c>
      <c r="H73" s="108" t="inlineStr">
        <is>
          <t>covered</t>
        </is>
      </c>
      <c r="I73" s="113" t="inlineStr">
        <is>
          <t>Dialog playground scenario; manually verified.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heading level default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passes manual test</t>
        </is>
      </c>
      <c r="H74" s="108" t="inlineStr">
        <is>
          <t>covered</t>
        </is>
      </c>
      <c r="I74" s="113" t="inlineStr">
        <is>
          <t>Dialog playground scenario; manually verified.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Public API</t>
        </is>
      </c>
      <c r="C75" s="113" t="inlineStr">
        <is>
          <t>Title</t>
        </is>
      </c>
      <c r="D75" s="113" t="inlineStr">
        <is>
          <t>heading level as prop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passes manual test</t>
        </is>
      </c>
      <c r="H75" s="108" t="inlineStr">
        <is>
          <t>covered</t>
        </is>
      </c>
      <c r="I75" s="113" t="inlineStr">
        <is>
          <t>Dialog playground scenario; manually verified.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ref receives heading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passes manual test</t>
        </is>
      </c>
      <c r="H76" s="108" t="inlineStr">
        <is>
          <t>covered</t>
        </is>
      </c>
      <c r="I76" s="113" t="inlineStr">
        <is>
          <t>Dialog playground scenario; manually verified.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Title</t>
        </is>
      </c>
      <c r="D77" s="113" t="inlineStr">
        <is>
          <t>heading props passthrough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passes manual test</t>
        </is>
      </c>
      <c r="H77" s="108" t="inlineStr">
        <is>
          <t>covered</t>
        </is>
      </c>
      <c r="I77" s="113" t="inlineStr">
        <is>
          <t>Verify the part forwards a non-Atom-owned data-prop-check marker in the live raw Data group or Inspector.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Styling hooks</t>
        </is>
      </c>
      <c r="C78" s="113" t="inlineStr">
        <is>
          <t>Title</t>
        </is>
      </c>
      <c r="D78" s="113" t="inlineStr">
        <is>
          <t>className passthrough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passes manual test</t>
        </is>
      </c>
      <c r="H78" s="108" t="inlineStr">
        <is>
          <t>covered</t>
        </is>
      </c>
      <c r="I78" s="113" t="inlineStr">
        <is>
          <t>Dialog playground scenario; manually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Styling hooks</t>
        </is>
      </c>
      <c r="C79" s="113" t="inlineStr">
        <is>
          <t>Title</t>
        </is>
      </c>
      <c r="D79" s="113" t="inlineStr">
        <is>
          <t>data-slot override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passes manual test</t>
        </is>
      </c>
      <c r="H79" s="108" t="inlineStr">
        <is>
          <t>covered</t>
        </is>
      </c>
      <c r="I79" s="113" t="inlineStr">
        <is>
          <t>Dialog playground scenario; manually verified.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renders description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passes manual test</t>
        </is>
      </c>
      <c r="H80" s="108" t="inlineStr">
        <is>
          <t>covered</t>
        </is>
      </c>
      <c r="I80" s="113" t="inlineStr">
        <is>
          <t>Dialog playground scenario; manually verified.</t>
        </is>
      </c>
      <c r="J80" s="113" t="n"/>
      <c r="K80" s="117">
        <f>IF(AND(E80="yes",F80="yes",H80="covered"),1,IF(H80="partial",0.5,0))</f>
        <v/>
      </c>
    </row>
    <row r="81" ht="45" customHeight="1" s="58">
      <c r="A81" s="112" t="n">
        <v>73</v>
      </c>
      <c r="B81" s="113" t="inlineStr">
        <is>
          <t>Public API</t>
        </is>
      </c>
      <c r="C81" s="113" t="inlineStr">
        <is>
          <t>Description</t>
        </is>
      </c>
      <c r="D81" s="113" t="inlineStr">
        <is>
          <t>id matches aria-describedby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passes manual test</t>
        </is>
      </c>
      <c r="H81" s="108" t="inlineStr">
        <is>
          <t>covered</t>
        </is>
      </c>
      <c r="I81" s="113" t="inlineStr">
        <is>
          <t>Dialog playground scenario; manually verified.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Description</t>
        </is>
      </c>
      <c r="D82" s="113" t="inlineStr">
        <is>
          <t>ref receives paragraph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passes manual test</t>
        </is>
      </c>
      <c r="H82" s="108" t="inlineStr">
        <is>
          <t>covered</t>
        </is>
      </c>
      <c r="I82" s="113" t="inlineStr">
        <is>
          <t>Dialog playground scenario; manually verified.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Description</t>
        </is>
      </c>
      <c r="D83" s="113" t="inlineStr">
        <is>
          <t>paragraph props passthrough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passes manual test</t>
        </is>
      </c>
      <c r="H83" s="108" t="inlineStr">
        <is>
          <t>covered</t>
        </is>
      </c>
      <c r="I83" s="113" t="inlineStr">
        <is>
          <t>Verify the part forwards a non-Atom-owned data-prop-check marker in the live raw Data group or Inspector.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Styling hooks</t>
        </is>
      </c>
      <c r="C84" s="113" t="inlineStr">
        <is>
          <t>Description</t>
        </is>
      </c>
      <c r="D84" s="113" t="inlineStr">
        <is>
          <t>className passthrough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passes manual test</t>
        </is>
      </c>
      <c r="H84" s="108" t="inlineStr">
        <is>
          <t>covered</t>
        </is>
      </c>
      <c r="I84" s="113" t="inlineStr">
        <is>
          <t>Dialog playground scenario; manually verified.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Styling hooks</t>
        </is>
      </c>
      <c r="C85" s="113" t="inlineStr">
        <is>
          <t>Description</t>
        </is>
      </c>
      <c r="D85" s="113" t="inlineStr">
        <is>
          <t>data-slot override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passes manual test</t>
        </is>
      </c>
      <c r="H85" s="108" t="inlineStr">
        <is>
          <t>covered</t>
        </is>
      </c>
      <c r="I85" s="113" t="inlineStr">
        <is>
          <t>Dialog playground scenario; manually verified.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Close</t>
        </is>
      </c>
      <c r="D86" s="113" t="inlineStr">
        <is>
          <t>Cancel close button closes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passes manual test</t>
        </is>
      </c>
      <c r="H86" s="108" t="inlineStr">
        <is>
          <t>covered</t>
        </is>
      </c>
      <c r="I86" s="113" t="inlineStr">
        <is>
          <t>Dialog playground scenario; manually verified.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Close</t>
        </is>
      </c>
      <c r="D87" s="113" t="inlineStr">
        <is>
          <t>Save close button closes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passes manual test</t>
        </is>
      </c>
      <c r="H87" s="108" t="inlineStr">
        <is>
          <t>covered</t>
        </is>
      </c>
      <c r="I87" s="113" t="inlineStr">
        <is>
          <t>Dialog playground scenario; manually verified.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closeClick reason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passes manual test</t>
        </is>
      </c>
      <c r="H88" s="108" t="inlineStr">
        <is>
          <t>covered</t>
        </is>
      </c>
      <c r="I88" s="113" t="inlineStr">
        <is>
          <t>Dialog playground scenario; manually verified.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Close</t>
        </is>
      </c>
      <c r="D89" s="113" t="inlineStr">
        <is>
          <t>asChild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passes manual test</t>
        </is>
      </c>
      <c r="H89" s="108" t="inlineStr">
        <is>
          <t>covered</t>
        </is>
      </c>
      <c r="I89" s="113" t="inlineStr">
        <is>
          <t>Dialog playground scenario; manually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Close</t>
        </is>
      </c>
      <c r="D90" s="113" t="inlineStr">
        <is>
          <t>render prop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passes manual test</t>
        </is>
      </c>
      <c r="H90" s="108" t="inlineStr">
        <is>
          <t>covered</t>
        </is>
      </c>
      <c r="I90" s="113" t="inlineStr">
        <is>
          <t>Dialog playground scenario; manually verified.</t>
        </is>
      </c>
      <c r="J90" s="113" t="n"/>
      <c r="K90" s="117">
        <f>IF(AND(E90="yes",F90="yes",H90="covered"),1,IF(H90="partial",0.5,0))</f>
        <v/>
      </c>
    </row>
    <row r="91" ht="45" customHeight="1" s="58">
      <c r="A91" s="112" t="n">
        <v>83</v>
      </c>
      <c r="B91" s="113" t="inlineStr">
        <is>
          <t>Composition</t>
        </is>
      </c>
      <c r="C91" s="113" t="inlineStr">
        <is>
          <t>Close</t>
        </is>
      </c>
      <c r="D91" s="113" t="inlineStr">
        <is>
          <t>merged onClick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passes manual test</t>
        </is>
      </c>
      <c r="H91" s="108" t="inlineStr">
        <is>
          <t>covered</t>
        </is>
      </c>
      <c r="I91" s="113" t="inlineStr">
        <is>
          <t>Dialog playground scenario; manually verified.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Close</t>
        </is>
      </c>
      <c r="D92" s="113" t="inlineStr">
        <is>
          <t>ref receives element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passes manual test</t>
        </is>
      </c>
      <c r="H92" s="108" t="inlineStr">
        <is>
          <t>covered</t>
        </is>
      </c>
      <c r="I92" s="113" t="inlineStr">
        <is>
          <t>Dialog playground scenario; manually verified.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native button props passthrough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passes manual test</t>
        </is>
      </c>
      <c r="H93" s="108" t="inlineStr">
        <is>
          <t>covered</t>
        </is>
      </c>
      <c r="I93" s="113" t="inlineStr">
        <is>
          <t>Verify the part forwards a non-Atom-owned data-prop-check marker in the live raw Data group or Inspector.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Styling hooks</t>
        </is>
      </c>
      <c r="C94" s="113" t="inlineStr">
        <is>
          <t>Close</t>
        </is>
      </c>
      <c r="D94" s="113" t="inlineStr">
        <is>
          <t>className passthrough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passes manual test</t>
        </is>
      </c>
      <c r="H94" s="108" t="inlineStr">
        <is>
          <t>covered</t>
        </is>
      </c>
      <c r="I94" s="113" t="inlineStr">
        <is>
          <t>Dialog playground scenario; manually verified.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Styling hooks</t>
        </is>
      </c>
      <c r="C95" s="113" t="inlineStr">
        <is>
          <t>Close</t>
        </is>
      </c>
      <c r="D95" s="113" t="inlineStr">
        <is>
          <t>data-slot override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passes manual test</t>
        </is>
      </c>
      <c r="H95" s="108" t="inlineStr">
        <is>
          <t>covered</t>
        </is>
      </c>
      <c r="I95" s="113" t="inlineStr">
        <is>
          <t>Dialog playground scenario; manually verified.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Keyboard</t>
        </is>
      </c>
      <c r="D96" s="113" t="inlineStr">
        <is>
          <t>Escape closes when enabled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passes manual test</t>
        </is>
      </c>
      <c r="H96" s="108" t="inlineStr">
        <is>
          <t>covered</t>
        </is>
      </c>
      <c r="I96" s="113" t="inlineStr">
        <is>
          <t>Dialog playground scenario; manually verified.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Keyboard</t>
        </is>
      </c>
      <c r="D97" s="113" t="inlineStr">
        <is>
          <t>Escape does not close when disabled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passes manual test</t>
        </is>
      </c>
      <c r="H97" s="108" t="inlineStr">
        <is>
          <t>covered</t>
        </is>
      </c>
      <c r="I97" s="113" t="inlineStr">
        <is>
          <t>Dialog playground scenario; manually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Keyboard</t>
        </is>
      </c>
      <c r="D98" s="113" t="inlineStr">
        <is>
          <t>fullscreen browser Escape limitation documented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passes manual test</t>
        </is>
      </c>
      <c r="H98" s="108" t="inlineStr">
        <is>
          <t>covered</t>
        </is>
      </c>
      <c r="I98" s="113" t="inlineStr">
        <is>
          <t>Dialog playground scenario; manually verified.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Cycle</t>
        </is>
      </c>
      <c r="D99" s="113" t="inlineStr">
        <is>
          <t>multiple open/close cycles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passes manual test</t>
        </is>
      </c>
      <c r="H99" s="108" t="inlineStr">
        <is>
          <t>covered</t>
        </is>
      </c>
      <c r="I99" s="113" t="inlineStr">
        <is>
          <t>Dialog playground scenario; manually verified.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pointer/click trigger activation opens Dialog in the existing desktop manual scenario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desktop and iPhone Safari qualification; Android deferred</t>
        </is>
      </c>
      <c r="H100" s="108" t="inlineStr">
        <is>
          <t>covered</t>
        </is>
      </c>
      <c r="I100" s="113" t="inlineStr">
        <is>
          <t>Dialog Modal Foundation Manual Test Protocol, 2026-07-17; desktop, macOS VoiceOver, iPhone Safari, and iPhone VoiceOver.</t>
        </is>
      </c>
      <c r="J100" s="113" t="inlineStr">
        <is>
          <t>Android Chrome/TalkBack deferred — no device available.</t>
        </is>
      </c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Backdrop</t>
        </is>
      </c>
      <c r="D101" s="113" t="inlineStr">
        <is>
          <t>pointer/click backdrop activation dismisses Dialog in the existing desktop manual scenario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desktop and iPhone Safari qualification; Android deferred</t>
        </is>
      </c>
      <c r="H101" s="108" t="inlineStr">
        <is>
          <t>covered</t>
        </is>
      </c>
      <c r="I101" s="113" t="inlineStr">
        <is>
          <t>Dialog Modal Foundation Manual Test Protocol, 2026-07-17; desktop, macOS VoiceOver, iPhone Safari, and iPhone VoiceOver.</t>
        </is>
      </c>
      <c r="J101" s="113" t="inlineStr">
        <is>
          <t>Android Chrome/TalkBack deferred — no device available.</t>
        </is>
      </c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Positioning</t>
        </is>
      </c>
      <c r="C102" s="113" t="inlineStr">
        <is>
          <t>Dialog</t>
        </is>
      </c>
      <c r="D102" s="113" t="inlineStr">
        <is>
          <t>Dialog fits the manually tested desktop layout viewport; mobile safe-area, visual-viewport, and virtual-keyboard behavior is not qualified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desktop and iPhone Safari qualification; Android deferred</t>
        </is>
      </c>
      <c r="H102" s="108" t="inlineStr">
        <is>
          <t>covered</t>
        </is>
      </c>
      <c r="I102" s="113" t="inlineStr">
        <is>
          <t>Dialog Modal Foundation Manual Test Protocol, 2026-07-17; desktop, macOS VoiceOver, iPhone Safari, and iPhone VoiceOver.</t>
        </is>
      </c>
      <c r="J102" s="113" t="inlineStr">
        <is>
          <t>Android Chrome/TalkBack deferred — no device available.</t>
        </is>
      </c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Dialog</t>
        </is>
      </c>
      <c r="D103" s="113" t="inlineStr">
        <is>
          <t>desktop focus entry, trap, and restoration expectations; mobile screen-reader touch exploration is not qualified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desktop and iPhone Safari qualification; Android deferred</t>
        </is>
      </c>
      <c r="H103" s="108" t="inlineStr">
        <is>
          <t>covered</t>
        </is>
      </c>
      <c r="I103" s="113" t="inlineStr">
        <is>
          <t>Dialog Modal Foundation Manual Test Protocol, 2026-07-17; desktop, macOS VoiceOver, iPhone Safari, and iPhone VoiceOver.</t>
        </is>
      </c>
      <c r="J103" s="113" t="inlineStr">
        <is>
          <t>Android Chrome/TalkBack deferred — no device available.</t>
        </is>
      </c>
      <c r="K103" s="117">
        <f>IF(AND(E103="yes",F103="yes",H103="covered"),1,IF(H103="partial",0.5,0))</f>
        <v/>
      </c>
    </row>
    <row r="104" ht="54" customHeight="1" s="58">
      <c r="A104" s="112" t="n">
        <v>96</v>
      </c>
      <c r="B104" s="113" t="inlineStr">
        <is>
          <t>Accessibility</t>
        </is>
      </c>
      <c r="C104" s="113" t="inlineStr">
        <is>
          <t>Content</t>
        </is>
      </c>
      <c r="D104" s="113" t="inlineStr">
        <is>
          <t>native aria-label, aria-labelledby, and aria-describedby take precedence over compatibility and generated relationships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focused manual qualification</t>
        </is>
      </c>
      <c r="H104" s="108" t="inlineStr">
        <is>
          <t>covered</t>
        </is>
      </c>
      <c r="I104" s="113" t="inlineStr">
        <is>
          <t>Dialog Modal Foundation Manual Test Protocol, 2026-07-17; desktop, macOS VoiceOver, iPhone Safari, and iPhone VoiceOver.</t>
        </is>
      </c>
      <c r="J104" s="113" t="n"/>
      <c r="K104" s="117">
        <f>IF(AND(E104="yes",F104="yes",H104="covered"),1,IF(H104="partial",0.5,0))</f>
        <v/>
      </c>
    </row>
    <row r="105" ht="54" customHeight="1" s="58">
      <c r="A105" s="112" t="n">
        <v>97</v>
      </c>
      <c r="B105" s="113" t="inlineStr">
        <is>
          <t>Accessibility</t>
        </is>
      </c>
      <c r="C105" s="113" t="inlineStr">
        <is>
          <t>Description</t>
        </is>
      </c>
      <c r="D105" s="113" t="inlineStr">
        <is>
          <t>conditional Description mount and unmount adds and removes aria-describedby without a dangling relationship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focused manual qualification</t>
        </is>
      </c>
      <c r="H105" s="108" t="inlineStr">
        <is>
          <t>covered</t>
        </is>
      </c>
      <c r="I105" s="113" t="inlineStr">
        <is>
          <t>Dialog Modal Foundation Manual Test Protocol, 2026-07-17; desktop, macOS VoiceOver, iPhone Safari, and iPhone VoiceOver.</t>
        </is>
      </c>
      <c r="J105" s="113" t="n"/>
      <c r="K105" s="117">
        <f>IF(AND(E105="yes",F105="yes",H105="covered"),1,IF(H105="partial",0.5,0))</f>
        <v/>
      </c>
    </row>
    <row r="106" ht="54" customHeight="1" s="58">
      <c r="A106" s="112" t="n">
        <v>98</v>
      </c>
      <c r="B106" s="113" t="inlineStr">
        <is>
          <t>Focus</t>
        </is>
      </c>
      <c r="C106" s="113" t="inlineStr">
        <is>
          <t>Content</t>
        </is>
      </c>
      <c r="D106" s="113" t="inlineStr">
        <is>
          <t>initialFocus supports Content, explicit target, native autoFocus, and interaction-aware touch default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focused manual qualification</t>
        </is>
      </c>
      <c r="H106" s="108" t="inlineStr">
        <is>
          <t>covered</t>
        </is>
      </c>
      <c r="I106" s="113" t="inlineStr">
        <is>
          <t>Dialog Modal Foundation Manual Test Protocol, 2026-07-17; desktop, macOS VoiceOver, iPhone Safari, and iPhone VoiceOver.</t>
        </is>
      </c>
      <c r="J106" s="113" t="n"/>
      <c r="K106" s="117">
        <f>IF(AND(E106="yes",F106="yes",H106="covered"),1,IF(H106="partial",0.5,0))</f>
        <v/>
      </c>
    </row>
    <row r="107" ht="54" customHeight="1" s="58">
      <c r="A107" s="112" t="n">
        <v>99</v>
      </c>
      <c r="B107" s="113" t="inlineStr">
        <is>
          <t>Focus</t>
        </is>
      </c>
      <c r="C107" s="113" t="inlineStr">
        <is>
          <t>Content</t>
        </is>
      </c>
      <c r="D107" s="113" t="inlineStr">
        <is>
          <t>finalFocus supports workflow target, trigger restoration, and disabled automatic restoration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focused manual qualification</t>
        </is>
      </c>
      <c r="H107" s="108" t="inlineStr">
        <is>
          <t>covered</t>
        </is>
      </c>
      <c r="I107" s="113" t="inlineStr">
        <is>
          <t>Dialog Modal Foundation Manual Test Protocol, 2026-07-17; desktop, macOS VoiceOver, iPhone Safari, and iPhone VoiceOver.</t>
        </is>
      </c>
      <c r="J107" s="113" t="n"/>
      <c r="K107" s="117">
        <f>IF(AND(E107="yes",F107="yes",H107="covered"),1,IF(H107="partial",0.5,0))</f>
        <v/>
      </c>
    </row>
    <row r="108" ht="54" customHeight="1" s="58">
      <c r="A108" s="112" t="n">
        <v>100</v>
      </c>
      <c r="B108" s="113" t="inlineStr">
        <is>
          <t>Isolation</t>
        </is>
      </c>
      <c r="C108" s="113" t="inlineStr">
        <is>
          <t>Dialog</t>
        </is>
      </c>
      <c r="D108" s="113" t="inlineStr">
        <is>
          <t>background is inert while open and author/background state is restored after close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focused manual qualification</t>
        </is>
      </c>
      <c r="H108" s="108" t="inlineStr">
        <is>
          <t>covered</t>
        </is>
      </c>
      <c r="I108" s="113" t="inlineStr">
        <is>
          <t>Dialog Modal Foundation Manual Test Protocol, 2026-07-17; desktop, macOS VoiceOver, iPhone Safari, and iPhone VoiceOver.</t>
        </is>
      </c>
      <c r="J108" s="113" t="n"/>
      <c r="K108" s="117">
        <f>IF(AND(E108="yes",F108="yes",H108="covered"),1,IF(H108="partial",0.5,0))</f>
        <v/>
      </c>
    </row>
    <row r="109" ht="54" customHeight="1" s="58">
      <c r="A109" s="112" t="n">
        <v>101</v>
      </c>
      <c r="B109" s="113" t="inlineStr">
        <is>
          <t>Portal</t>
        </is>
      </c>
      <c r="C109" s="113" t="inlineStr">
        <is>
          <t>Select</t>
        </is>
      </c>
      <c r="D109" s="113" t="inlineStr">
        <is>
          <t>portalled Select retains its keyboard contract, focus containment, and allowed scrolling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focused manual qualification</t>
        </is>
      </c>
      <c r="H109" s="108" t="inlineStr">
        <is>
          <t>covered</t>
        </is>
      </c>
      <c r="I109" s="113" t="inlineStr">
        <is>
          <t>Dialog Modal Foundation Manual Test Protocol, 2026-07-17; desktop, macOS VoiceOver, iPhone Safari, and iPhone VoiceOver.</t>
        </is>
      </c>
      <c r="J109" s="113" t="n"/>
      <c r="K109" s="117">
        <f>IF(AND(E109="yes",F109="yes",H109="covered"),1,IF(H109="partial",0.5,0))</f>
        <v/>
      </c>
    </row>
    <row r="110" ht="54" customHeight="1" s="58">
      <c r="A110" s="112" t="n">
        <v>102</v>
      </c>
      <c r="B110" s="113" t="inlineStr">
        <is>
          <t>Portal</t>
        </is>
      </c>
      <c r="C110" s="113" t="inlineStr">
        <is>
          <t>Modal.Branch</t>
        </is>
      </c>
      <c r="D110" s="113" t="inlineStr">
        <is>
          <t>consumer-owned branch remains focusable and scrollable while delegating its own Tab contract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focused manual qualification</t>
        </is>
      </c>
      <c r="H110" s="108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n"/>
      <c r="K110" s="117">
        <f>IF(AND(E110="yes",F110="yes",H110="covered"),1,IF(H110="partial",0.5,0))</f>
        <v/>
      </c>
    </row>
    <row r="111" ht="54" customHeight="1" s="58">
      <c r="A111" s="112" t="n">
        <v>103</v>
      </c>
      <c r="B111" s="113" t="inlineStr">
        <is>
          <t>Layering</t>
        </is>
      </c>
      <c r="C111" s="113" t="inlineStr">
        <is>
          <t>Nested Dialog</t>
        </is>
      </c>
      <c r="D111" s="113" t="inlineStr">
        <is>
          <t>top layer alone owns Escape, overlay dismissal, focus, isolation, and scroll locking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focused manual qualification</t>
        </is>
      </c>
      <c r="H111" s="108" t="inlineStr">
        <is>
          <t>covered</t>
        </is>
      </c>
      <c r="I111" s="113" t="inlineStr">
        <is>
          <t>Dialog Modal Foundation Manual Test Protocol, 2026-07-17; desktop, macOS VoiceOver, iPhone Safari, and iPhone VoiceOver.</t>
        </is>
      </c>
      <c r="J111" s="113" t="n"/>
      <c r="K111" s="117">
        <f>IF(AND(E111="yes",F111="yes",H111="covered"),1,IF(H111="partial",0.5,0))</f>
        <v/>
      </c>
    </row>
    <row r="112" ht="54" customHeight="1" s="58">
      <c r="A112" s="112" t="n">
        <v>104</v>
      </c>
      <c r="B112" s="113" t="inlineStr">
        <is>
          <t>Interaction</t>
        </is>
      </c>
      <c r="C112" s="113" t="inlineStr">
        <is>
          <t>Overlay</t>
        </is>
      </c>
      <c r="D112" s="113" t="inlineStr">
        <is>
          <t>portalled or descendant click bubbling does not dismiss; direct overlay activation dismisses one layer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focused manual qualification</t>
        </is>
      </c>
      <c r="H112" s="108" t="inlineStr">
        <is>
          <t>covered</t>
        </is>
      </c>
      <c r="I112" s="113" t="inlineStr">
        <is>
          <t>Dialog Modal Foundation Manual Test Protocol, 2026-07-17; desktop, macOS VoiceOver, iPhone Safari, and iPhone VoiceOver.</t>
        </is>
      </c>
      <c r="J112" s="113" t="n"/>
      <c r="K112" s="117">
        <f>IF(AND(E112="yes",F112="yes",H112="covered"),1,IF(H112="partial",0.5,0))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K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Direction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IFERROR(SUM(K9:K34)/COUNTA(A9:A34),0)</f>
        <v/>
      </c>
      <c r="C4" s="86" t="inlineStr">
        <is>
          <t>Covered</t>
        </is>
      </c>
      <c r="D4" s="98">
        <f>COUNTIF(H9:H34,"covered")</f>
        <v/>
      </c>
      <c r="E4" s="86" t="inlineStr">
        <is>
          <t>Partial</t>
        </is>
      </c>
      <c r="F4" s="98">
        <f>COUNTIF(H9:H34,"partial")</f>
        <v/>
      </c>
      <c r="G4" s="86" t="inlineStr">
        <is>
          <t>Missing</t>
        </is>
      </c>
      <c r="H4" s="98">
        <f>COUNTIF(H9:H34,"missing")</f>
        <v/>
      </c>
      <c r="I4" s="86" t="inlineStr">
        <is>
          <t>Untested</t>
        </is>
      </c>
      <c r="J4" s="98">
        <f>COUNTIF(F9:F34,"no")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Direction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Direction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Direction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Direction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Direction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Direction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Direction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Direction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Direction</t>
        </is>
      </c>
      <c r="D15" s="106" t="inlineStr">
        <is>
          <t>Provides `ltr` or `rtl` direction to Atom primitives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Direction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Direction</t>
        </is>
      </c>
      <c r="D16" s="106" t="inlineStr">
        <is>
          <t>Supports nested providers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Direction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Direction</t>
        </is>
      </c>
      <c r="D17" s="106" t="inlineStr">
        <is>
          <t>Exports `useDirection` for custom headless compositions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Direction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Direction</t>
        </is>
      </c>
      <c r="D18" s="106" t="inlineStr">
        <is>
          <t>Does not render a DOM wrapper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Direction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Direction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Direction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Direction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Direction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Direction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Provider</t>
        </is>
      </c>
      <c r="D24" s="106" t="inlineStr">
        <is>
          <t>renders correct part when expected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Direction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Provider</t>
        </is>
      </c>
      <c r="D25" s="106" t="inlineStr">
        <is>
          <t>appears in documented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Direction playground scenario.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Provider</t>
        </is>
      </c>
      <c r="D26" s="106" t="inlineStr">
        <is>
          <t>default tag is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Direction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Provider</t>
        </is>
      </c>
      <c r="D27" s="106" t="inlineStr">
        <is>
          <t>data-slot is present and correct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Direction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Provider</t>
        </is>
      </c>
      <c r="D28" s="106" t="inlineStr">
        <is>
          <t>non-Atom native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Direction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Provider</t>
        </is>
      </c>
      <c r="D29" s="106" t="inlineStr">
        <is>
          <t>dir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Direction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controlled state path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Direction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State</t>
        </is>
      </c>
      <c r="C31" s="106" t="inlineStr">
        <is>
          <t>Root</t>
        </is>
      </c>
      <c r="D31" s="106" t="inlineStr">
        <is>
          <t>uncontrolled default state path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Direction playground scenario.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State</t>
        </is>
      </c>
      <c r="C32" s="106" t="inlineStr">
        <is>
          <t>Root</t>
        </is>
      </c>
      <c r="D32" s="106" t="inlineStr">
        <is>
          <t>state change callback fires once with correct value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Direction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Utility</t>
        </is>
      </c>
      <c r="C33" s="106" t="inlineStr">
        <is>
          <t>Direction</t>
        </is>
      </c>
      <c r="D33" s="106" t="inlineStr">
        <is>
          <t>direction provider changes descendant direction context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Direction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Utility</t>
        </is>
      </c>
      <c r="C34" s="106" t="inlineStr">
        <is>
          <t>Direction</t>
        </is>
      </c>
      <c r="D34" s="106" t="inlineStr">
        <is>
          <t>rtl-sensitive keyboard behavior updates in composed widgets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Direction playground scenario.</t>
        </is>
      </c>
      <c r="J34" s="106" t="n"/>
      <c r="K34" s="107">
        <f>IF(H34="covered",1,IF(H34="partial",0.5,0))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Divider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Divider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Divider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Divider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Divider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Divider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Divider playground scenario.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Playground</t>
        </is>
      </c>
      <c r="C13" s="106" t="inlineStr">
        <is>
          <t>Divider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Divider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Divider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Divider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Divider</t>
        </is>
      </c>
      <c r="D15" s="106" t="inlineStr">
        <is>
          <t>Renders `hr` when it has no children and `div` when it contains content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Divider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Divider</t>
        </is>
      </c>
      <c r="D16" s="106" t="inlineStr">
        <is>
          <t>Defaults to decorative output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Divider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Divider</t>
        </is>
      </c>
      <c r="D17" s="106" t="inlineStr">
        <is>
          <t>Supports horizontal and vertical semantic orientation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Divider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Divider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Divider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Divider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Divider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Divider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Divider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Divider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Divider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Divider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Divider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orientation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Divider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decorative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Divider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Divider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ARIA</t>
        </is>
      </c>
      <c r="C30" s="106" t="inlineStr">
        <is>
          <t>Live DOM</t>
        </is>
      </c>
      <c r="D30" s="106" t="inlineStr">
        <is>
          <t>aria-orientation is present at the correct time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Divider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Data</t>
        </is>
      </c>
      <c r="C31" s="106" t="inlineStr">
        <is>
          <t>Live DOM</t>
        </is>
      </c>
      <c r="D31" s="106" t="inlineStr">
        <is>
          <t>data-slot is present at the correct time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Divider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Divider</t>
        </is>
      </c>
      <c r="D32" s="106" t="inlineStr">
        <is>
          <t>asChild preserves child content without double nesting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Divider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Divider</t>
        </is>
      </c>
      <c r="D33" s="106" t="inlineStr">
        <is>
          <t>asChild merges Atom props and consumer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Divider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Divider</t>
        </is>
      </c>
      <c r="D34" s="106" t="inlineStr">
        <is>
          <t>render prop renders custom element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Divider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Composition</t>
        </is>
      </c>
      <c r="C35" s="106" t="inlineStr">
        <is>
          <t>Divider</t>
        </is>
      </c>
      <c r="D35" s="106" t="inlineStr">
        <is>
          <t>render prop preserves refs and behavior props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Divider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Drawer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manual-tests/drawer.md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manual-tests/drawer.md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Drawer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manual-tests/drawer.md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Drawer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manual-tests/drawer.md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Drawer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manual-tests/drawer.md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Drawer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manual-tests/drawer.md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Drawer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manual-tests/drawer.md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Drawer</t>
        </is>
      </c>
      <c r="D16" s="113" t="inlineStr">
        <is>
          <t>Trigger, portal, overlay, content, title, description, and close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manual-tests/drawer.md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Drawer</t>
        </is>
      </c>
      <c r="D17" s="113" t="inlineStr">
        <is>
          <t>Focus trap, focus restore, Escape dismissal, backdrop dismissal, and scroll lock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manual-tests/drawer.md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Drawer</t>
        </is>
      </c>
      <c r="D18" s="113" t="inlineStr">
        <is>
          <t>Stack-aware Escape dismissal so nested overlays close before the parent drawer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manual-tests/drawer.md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Drawer</t>
        </is>
      </c>
      <c r="D19" s="113" t="inlineStr">
        <is>
          <t>`placement` value exposed as `data-placement` for styling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manual-tests/drawer.md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Drawer</t>
        </is>
      </c>
      <c r="D20" s="113" t="inlineStr">
        <is>
          <t>Keep-mounted content support for exit animations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manual-tests/drawer.md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Drawer</t>
        </is>
      </c>
      <c r="D21" s="113" t="inlineStr">
        <is>
          <t>Headless only: placement does not apply visual positioning by itself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manual-tests/drawer.md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manual-tests/drawer.md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manual-tests/drawer.md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manual-tests/drawer.md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defaultOpen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manual-tests/drawer.md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manual-tests/drawer.md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closeOnEscape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manual-tests/drawer.md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closeOnBackdropClick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manual-tests/drawer.md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manual-tests/drawer.md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keepMounted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manual-tests/drawer.md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Portal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manual-tests/drawer.md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manual-tests/drawer.md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Positioning</t>
        </is>
      </c>
      <c r="C33" s="113" t="inlineStr">
        <is>
          <t>Portal</t>
        </is>
      </c>
      <c r="D33" s="113" t="inlineStr">
        <is>
          <t>container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manual-tests/drawer.md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Portal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manual-tests/drawer.md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Overlay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manual-tests/drawer.md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Overlay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manual-tests/drawer.md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Overlay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manual-tests/drawer.md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Overlay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manual-tests/drawer.md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Overlay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manual-tests/drawer.md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Overlay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manual-tests/drawer.md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Overlay</t>
        </is>
      </c>
      <c r="D41" s="113" t="inlineStr">
        <is>
          <t>data-slot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manual-tests/drawer.md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Overlay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manual-tests/drawer.md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Overlay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manual-tests/drawer.md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Overlay</t>
        </is>
      </c>
      <c r="D44" s="113" t="inlineStr">
        <is>
          <t>[data-positioned]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manual-tests/drawer.md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Anatomy</t>
        </is>
      </c>
      <c r="C45" s="113" t="inlineStr">
        <is>
          <t>Trigger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manual-tests/drawer.md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Trigger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manual-tests/drawer.md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Trigger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manual-tests/drawer.md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Trigger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manual-tests/drawer.md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Trigger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manual-tests/drawer.md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manual-tests/drawer.md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Trigger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manual-tests/drawer.md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manual-tests/drawer.md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manual-tests/drawer.md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Trigger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manual-tests/drawer.md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Trigger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manual-tests/drawer.md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manual-tests/drawer.md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Content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manual-tests/drawer.md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manual-tests/drawer.md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Content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manual-tests/drawer.md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Content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manual-tests/drawer.md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placement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manual-tests/drawer.md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Accessibility</t>
        </is>
      </c>
      <c r="C62" s="113" t="inlineStr">
        <is>
          <t>Content</t>
        </is>
      </c>
      <c r="D62" s="113" t="inlineStr">
        <is>
          <t>ariaLabel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manual-tests/drawer.md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Content</t>
        </is>
      </c>
      <c r="D63" s="113" t="inlineStr">
        <is>
          <t>data-slot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manual-tests/drawer.md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Content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manual-tests/drawer.md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Content</t>
        </is>
      </c>
      <c r="D65" s="113" t="inlineStr">
        <is>
          <t>[data-state]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manual-tests/drawer.md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Content</t>
        </is>
      </c>
      <c r="D66" s="113" t="inlineStr">
        <is>
          <t>[data-placement]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manual-tests/drawer.md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Content</t>
        </is>
      </c>
      <c r="D67" s="113" t="inlineStr">
        <is>
          <t>[data-positioned]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manual-tests/drawer.md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Anatomy</t>
        </is>
      </c>
      <c r="C68" s="113" t="inlineStr">
        <is>
          <t>Title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manual-tests/drawer.md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Title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manual-tests/drawer.md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Title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manual-tests/drawer.md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Title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manual-tests/drawer.md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Props</t>
        </is>
      </c>
      <c r="C72" s="113" t="inlineStr">
        <is>
          <t>Title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manual-tests/drawer.md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as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manual-tests/drawer.md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data-slot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manual-tests/drawer.md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Description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manual-tests/drawer.md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Description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manual-tests/drawer.md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Description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manual-tests/drawer.md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Description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manual-tests/drawer.md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Description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manual-tests/drawer.md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manual-tests/drawer.md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Anatomy</t>
        </is>
      </c>
      <c r="C81" s="113" t="inlineStr">
        <is>
          <t>Close</t>
        </is>
      </c>
      <c r="D81" s="113" t="inlineStr">
        <is>
          <t>renders correct part when expected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manual-tests/drawer.md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Close</t>
        </is>
      </c>
      <c r="D82" s="113" t="inlineStr">
        <is>
          <t>appears in documented order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manual-tests/drawer.md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Close</t>
        </is>
      </c>
      <c r="D83" s="113" t="inlineStr">
        <is>
          <t>default tag is visible in Anatomy/Inspector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manual-tests/drawer.md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Close</t>
        </is>
      </c>
      <c r="D84" s="113" t="inlineStr">
        <is>
          <t>data-slot is present and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manual-tests/drawer.md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Props</t>
        </is>
      </c>
      <c r="C85" s="113" t="inlineStr">
        <is>
          <t>Close</t>
        </is>
      </c>
      <c r="D85" s="113" t="inlineStr">
        <is>
          <t>non-Atom native props pass through with data-prop-check marker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manual-tests/drawer.md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Close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manual-tests/drawer.md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Close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manual-tests/drawer.md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data-slot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manual-tests/drawer.md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manual-tests/drawer.md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data-placement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manual-tests/drawer.md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data-positioned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manual-tests/drawer.md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data-slot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manual-tests/drawer.md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data-state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manual-tests/drawer.md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controlled state path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manual-tests/drawer.md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Root</t>
        </is>
      </c>
      <c r="D95" s="113" t="inlineStr">
        <is>
          <t>uncontrolled default state path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manual-tests/drawer.md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state change callback fires once with correct value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manual-tests/drawer.md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mouse click or pointer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manual-tests/drawer.md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Enter key activation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manual-tests/drawer.md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Trigger</t>
        </is>
      </c>
      <c r="D99" s="113" t="inlineStr">
        <is>
          <t>Space key activation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manual-tests/drawer.md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disabled trigger blocks pointer and keyboard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manual-tests/drawer.md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Focus</t>
        </is>
      </c>
      <c r="C101" s="113" t="inlineStr">
        <is>
          <t>Trigger</t>
        </is>
      </c>
      <c r="D101" s="113" t="inlineStr">
        <is>
          <t>focus ring and focus restoration are correct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manual-tests/drawer.md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Dismiss</t>
        </is>
      </c>
      <c r="C102" s="113" t="inlineStr">
        <is>
          <t>Drawer</t>
        </is>
      </c>
      <c r="D102" s="113" t="inlineStr">
        <is>
          <t>Escape closes only the topmost active layer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manual-tests/drawer.md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Dismiss</t>
        </is>
      </c>
      <c r="C103" s="113" t="inlineStr">
        <is>
          <t>Drawer</t>
        </is>
      </c>
      <c r="D103" s="113" t="inlineStr">
        <is>
          <t>outside click/interact closes when enabled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manual-tests/drawer.md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Dismiss</t>
        </is>
      </c>
      <c r="C104" s="113" t="inlineStr">
        <is>
          <t>Drawer</t>
        </is>
      </c>
      <c r="D104" s="113" t="inlineStr">
        <is>
          <t>outside click/interact is blocked when disabled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manual-tests/drawer.md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Drawer</t>
        </is>
      </c>
      <c r="D105" s="113" t="inlineStr">
        <is>
          <t>focus returns to the correct trigger/anchor after close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manual-tests/drawer.md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Drawer</t>
        </is>
      </c>
      <c r="D106" s="113" t="inlineStr">
        <is>
          <t>nested overlays keep focus and Escape order correct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manual-tests/drawer.md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Portal</t>
        </is>
      </c>
      <c r="C107" s="113" t="inlineStr">
        <is>
          <t>Drawer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manual-tests/drawer.md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Drawer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manual-tests/drawer.md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Positioning</t>
        </is>
      </c>
      <c r="C109" s="113" t="inlineStr">
        <is>
          <t>Drawer</t>
        </is>
      </c>
      <c r="D109" s="113" t="inlineStr">
        <is>
          <t>placement options expose data-placement and playground CSS positions content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manual-tests/drawer.md</t>
        </is>
      </c>
      <c r="J109" s="113" t="n"/>
      <c r="K109" s="117">
        <f>IF(AND(E109="yes",F109="yes",H109="covered"),1,IF(H109="partial",0.5,0))</f>
        <v/>
      </c>
    </row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30" customHeight="1" s="58"/>
    <row r="126" ht="15" customHeight="1" s="58"/>
    <row r="12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2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DropdownMenu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1.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DropdownMenu playground manual verification.</t>
        </is>
      </c>
      <c r="J9" s="121" t="n"/>
      <c r="K9" s="122">
        <f>IF(AND(E9="yes",F9="yes",H9="covered"),1,IF(H9="partial",0.5,0))</f>
        <v/>
      </c>
    </row>
    <row r="10" ht="31.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DropdownMenu playground manual verification.</t>
        </is>
      </c>
      <c r="J10" s="121" t="n"/>
      <c r="K10" s="122">
        <f>IF(AND(E10="yes",F10="yes",H10="covered"),1,IF(H10="partial",0.5,0))</f>
        <v/>
      </c>
    </row>
    <row r="11" ht="31.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DropdownMenu playground manual verification.</t>
        </is>
      </c>
      <c r="J11" s="121" t="n"/>
      <c r="K11" s="122">
        <f>IF(AND(E11="yes",F11="yes",H11="covered"),1,IF(H11="partial",0.5,0))</f>
        <v/>
      </c>
    </row>
    <row r="12" ht="31.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DropdownMenu playground manual verification.</t>
        </is>
      </c>
      <c r="J12" s="121" t="n"/>
      <c r="K12" s="122">
        <f>IF(AND(E12="yes",F12="yes",H12="covered"),1,IF(H12="partial",0.5,0))</f>
        <v/>
      </c>
    </row>
    <row r="13" ht="31.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DropdownMenu playground manual verification.</t>
        </is>
      </c>
      <c r="J13" s="121" t="n"/>
      <c r="K13" s="122">
        <f>IF(AND(E13="yes",F13="yes",H13="covered"),1,IF(H13="partial",0.5,0))</f>
        <v/>
      </c>
    </row>
    <row r="14" ht="31.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closeOnSelect true closes action items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DropdownMenu playground manual verification.</t>
        </is>
      </c>
      <c r="J14" s="121" t="n"/>
      <c r="K14" s="122">
        <f>IF(AND(E14="yes",F14="yes",H14="covered"),1,IF(H14="partial",0.5,0))</f>
        <v/>
      </c>
    </row>
    <row r="15" ht="31.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closeOnSelect false keeps selection menu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DropdownMenu playground manual verification.</t>
        </is>
      </c>
      <c r="J15" s="121" t="n"/>
      <c r="K15" s="122">
        <f>IF(AND(E15="yes",F15="yes",H15="covered"),1,IF(H15="partial",0.5,0))</f>
        <v/>
      </c>
    </row>
    <row r="16" ht="31.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loop true wraps keyboard highlight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DropdownMenu playground manual verification.</t>
        </is>
      </c>
      <c r="J16" s="121" t="n"/>
      <c r="K16" s="122">
        <f>IF(AND(E16="yes",F16="yes",H16="covered"),1,IF(H16="partial",0.5,0))</f>
        <v/>
      </c>
    </row>
    <row r="17" ht="31.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loop false stops at first and last item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DropdownMenu playground manual verification.</t>
        </is>
      </c>
      <c r="J17" s="121" t="n"/>
      <c r="K17" s="122">
        <f>IF(AND(E17="yes",F17="yes",H17="covered"),1,IF(H17="partial",0.5,0))</f>
        <v/>
      </c>
    </row>
    <row r="18" ht="31.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closeOnEscape true closes menu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DropdownMenu playground manual verification.</t>
        </is>
      </c>
      <c r="J18" s="121" t="n"/>
      <c r="K18" s="122">
        <f>IF(AND(E18="yes",F18="yes",H18="covered"),1,IF(H18="partial",0.5,0))</f>
        <v/>
      </c>
    </row>
    <row r="19" ht="31.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closeOnEscape false leaves menu open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DropdownMenu playground manual verification.</t>
        </is>
      </c>
      <c r="J19" s="121" t="n"/>
      <c r="K19" s="122">
        <f>IF(AND(E19="yes",F19="yes",H19="covered"),1,IF(H19="partial",0.5,0))</f>
        <v/>
      </c>
    </row>
    <row r="20" ht="31.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nested submenu disables parent Escape close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DropdownMenu playground manual verification.</t>
        </is>
      </c>
      <c r="J20" s="121" t="n"/>
      <c r="K20" s="122">
        <f>IF(AND(E20="yes",F20="yes",H20="covered"),1,IF(H20="partial",0.5,0))</f>
        <v/>
      </c>
    </row>
    <row r="21" ht="31.5" customHeight="1" s="58">
      <c r="A21" s="120" t="n">
        <v>13</v>
      </c>
      <c r="B21" s="121" t="inlineStr">
        <is>
          <t>Public API</t>
        </is>
      </c>
      <c r="C21" s="121" t="inlineStr">
        <is>
          <t>Trigger</t>
        </is>
      </c>
      <c r="D21" s="121" t="inlineStr">
        <is>
          <t>renders native button by default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DropdownMenu playground manual verification.</t>
        </is>
      </c>
      <c r="J21" s="121" t="n"/>
      <c r="K21" s="122">
        <f>IF(AND(E21="yes",F21="yes",H21="covered"),1,IF(H21="partial",0.5,0))</f>
        <v/>
      </c>
    </row>
    <row r="22" ht="31.5" customHeight="1" s="58">
      <c r="A22" s="120" t="n">
        <v>14</v>
      </c>
      <c r="B22" s="121" t="inlineStr">
        <is>
          <t>Public API</t>
        </is>
      </c>
      <c r="C22" s="121" t="inlineStr">
        <is>
          <t>Trigger</t>
        </is>
      </c>
      <c r="D22" s="121" t="inlineStr">
        <is>
          <t>default trigger has type button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DropdownMenu playground manual verification.</t>
        </is>
      </c>
      <c r="J22" s="121" t="n"/>
      <c r="K22" s="122">
        <f>IF(AND(E22="yes",F22="yes",H22="covered"),1,IF(H22="partial",0.5,0))</f>
        <v/>
      </c>
    </row>
    <row r="23" ht="31.5" customHeight="1" s="58">
      <c r="A23" s="120" t="n">
        <v>15</v>
      </c>
      <c r="B23" s="121" t="inlineStr">
        <is>
          <t>Public API</t>
        </is>
      </c>
      <c r="C23" s="121" t="inlineStr">
        <is>
          <t>Trigger</t>
        </is>
      </c>
      <c r="D23" s="121" t="inlineStr">
        <is>
          <t>trigger id is stable and present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DropdownMenu playground manual verification.</t>
        </is>
      </c>
      <c r="J23" s="121" t="n"/>
      <c r="K23" s="122">
        <f>IF(AND(E23="yes",F23="yes",H23="covered"),1,IF(H23="partial",0.5,0))</f>
        <v/>
      </c>
    </row>
    <row r="24" ht="31.5" customHeight="1" s="58">
      <c r="A24" s="120" t="n">
        <v>16</v>
      </c>
      <c r="B24" s="121" t="inlineStr">
        <is>
          <t>Public API</t>
        </is>
      </c>
      <c r="C24" s="121" t="inlineStr">
        <is>
          <t>Trigger</t>
        </is>
      </c>
      <c r="D24" s="121" t="inlineStr">
        <is>
          <t>trigger data-slot is dropdown-menu-trigger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DropdownMenu playground manual verification.</t>
        </is>
      </c>
      <c r="J24" s="121" t="n"/>
      <c r="K24" s="122">
        <f>IF(AND(E24="yes",F24="yes",H24="covered"),1,IF(H24="partial",0.5,0))</f>
        <v/>
      </c>
    </row>
    <row r="25" ht="31.5" customHeight="1" s="58">
      <c r="A25" s="120" t="n">
        <v>17</v>
      </c>
      <c r="B25" s="121" t="inlineStr">
        <is>
          <t>Public API</t>
        </is>
      </c>
      <c r="C25" s="121" t="inlineStr">
        <is>
          <t>Trigger</t>
        </is>
      </c>
      <c r="D25" s="121" t="inlineStr">
        <is>
          <t>trigger data-state is closed when menu is closed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DropdownMenu playground manual verification.</t>
        </is>
      </c>
      <c r="J25" s="121" t="n"/>
      <c r="K25" s="122">
        <f>IF(AND(E25="yes",F25="yes",H25="covered"),1,IF(H25="partial",0.5,0))</f>
        <v/>
      </c>
    </row>
    <row r="26" ht="31.5" customHeight="1" s="58">
      <c r="A26" s="120" t="n">
        <v>18</v>
      </c>
      <c r="B26" s="121" t="inlineStr">
        <is>
          <t>Public API</t>
        </is>
      </c>
      <c r="C26" s="121" t="inlineStr">
        <is>
          <t>Trigger</t>
        </is>
      </c>
      <c r="D26" s="121" t="inlineStr">
        <is>
          <t>trigger data-state is open when menu is open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DropdownMenu playground manual verification.</t>
        </is>
      </c>
      <c r="J26" s="121" t="n"/>
      <c r="K26" s="122">
        <f>IF(AND(E26="yes",F26="yes",H26="covered"),1,IF(H26="partial",0.5,0))</f>
        <v/>
      </c>
    </row>
    <row r="27" ht="31.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trigger aria-haspopup is menu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DropdownMenu playground manual verification.</t>
        </is>
      </c>
      <c r="J27" s="121" t="n"/>
      <c r="K27" s="122">
        <f>IF(AND(E27="yes",F27="yes",H27="covered"),1,IF(H27="partial",0.5,0))</f>
        <v/>
      </c>
    </row>
    <row r="28" ht="31.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trigger aria-expanded reflects open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DropdownMenu playground manual verification.</t>
        </is>
      </c>
      <c r="J28" s="121" t="n"/>
      <c r="K28" s="122">
        <f>IF(AND(E28="yes",F28="yes",H28="covered"),1,IF(H28="partial",0.5,0))</f>
        <v/>
      </c>
    </row>
    <row r="29" ht="31.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trigger aria-controls references content id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DropdownMenu playground manual verification.</t>
        </is>
      </c>
      <c r="J29" s="121" t="n"/>
      <c r="K29" s="122">
        <f>IF(AND(E29="yes",F29="yes",H29="covered"),1,IF(H29="partial",0.5,0))</f>
        <v/>
      </c>
    </row>
    <row r="30" ht="31.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trigger controls match content id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DropdownMenu playground manual verification.</t>
        </is>
      </c>
      <c r="J30" s="121" t="n"/>
      <c r="K30" s="122">
        <f>IF(AND(E30="yes",F30="yes",H30="covered"),1,IF(H30="partial",0.5,0))</f>
        <v/>
      </c>
    </row>
    <row r="31" ht="31.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disabled trigger exposes native disabled attr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DropdownMenu playground manual verification.</t>
        </is>
      </c>
      <c r="J31" s="121" t="n"/>
      <c r="K31" s="122">
        <f>IF(AND(E31="yes",F31="yes",H31="covered"),1,IF(H31="partial",0.5,0))</f>
        <v/>
      </c>
    </row>
    <row r="32" ht="31.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disabled trigger exposes aria-disabled true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DropdownMenu playground manual verification.</t>
        </is>
      </c>
      <c r="J32" s="121" t="n"/>
      <c r="K32" s="122">
        <f>IF(AND(E32="yes",F32="yes",H32="covered"),1,IF(H32="partial",0.5,0))</f>
        <v/>
      </c>
    </row>
    <row r="33" ht="31.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disabled trigger exposes data-disabled flag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DropdownMenu playground manual verification.</t>
        </is>
      </c>
      <c r="J33" s="121" t="n"/>
      <c r="K33" s="122">
        <f>IF(AND(E33="yes",F33="yes",H33="covered"),1,IF(H33="partial",0.5,0))</f>
        <v/>
      </c>
    </row>
    <row r="34" ht="31.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disabled trigger does not open on click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DropdownMenu playground manual verification.</t>
        </is>
      </c>
      <c r="J34" s="121" t="n"/>
      <c r="K34" s="122">
        <f>IF(AND(E34="yes",F34="yes",H34="covered"),1,IF(H34="partial",0.5,0))</f>
        <v/>
      </c>
    </row>
    <row r="35" ht="31.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disabled trigger does not open from keyboard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DropdownMenu playground manual verification.</t>
        </is>
      </c>
      <c r="J35" s="121" t="n"/>
      <c r="K35" s="122">
        <f>IF(AND(E35="yes",F35="yes",H35="covered"),1,IF(H35="partial",0.5,0))</f>
        <v/>
      </c>
    </row>
    <row r="36" ht="31.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native className and data props pass through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DropdownMenu playground manual verification.</t>
        </is>
      </c>
      <c r="J36" s="121" t="n"/>
      <c r="K36" s="122">
        <f>IF(AND(E36="yes",F36="yes",H36="covered"),1,IF(H36="partial",0.5,0))</f>
        <v/>
      </c>
    </row>
    <row r="37" ht="31.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consumer onClick runs before Atom toggle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DropdownMenu playground manual verification.</t>
        </is>
      </c>
      <c r="J37" s="121" t="n"/>
      <c r="K37" s="122">
        <f>IF(AND(E37="yes",F37="yes",H37="covered"),1,IF(H37="partial",0.5,0))</f>
        <v/>
      </c>
    </row>
    <row r="38" ht="31.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consumer onClick can prevent Atom toggle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DropdownMenu playground manual verification.</t>
        </is>
      </c>
      <c r="J38" s="121" t="n"/>
      <c r="K38" s="122">
        <f>IF(AND(E38="yes",F38="yes",H38="covered"),1,IF(H38="partial",0.5,0))</f>
        <v/>
      </c>
    </row>
    <row r="39" ht="31.5" customHeight="1" s="58">
      <c r="A39" s="120" t="n">
        <v>31</v>
      </c>
      <c r="B39" s="121" t="inlineStr">
        <is>
          <t>Public API</t>
        </is>
      </c>
      <c r="C39" s="121" t="inlineStr">
        <is>
          <t>Trigger</t>
        </is>
      </c>
      <c r="D39" s="121" t="inlineStr">
        <is>
          <t>consumer onKeyDown runs before Atom key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DropdownMenu playground manual verification.</t>
        </is>
      </c>
      <c r="J39" s="121" t="n"/>
      <c r="K39" s="122">
        <f>IF(AND(E39="yes",F39="yes",H39="covered"),1,IF(H39="partial",0.5,0))</f>
        <v/>
      </c>
    </row>
    <row r="40" ht="31.5" customHeight="1" s="58">
      <c r="A40" s="120" t="n">
        <v>32</v>
      </c>
      <c r="B40" s="121" t="inlineStr">
        <is>
          <t>Public API</t>
        </is>
      </c>
      <c r="C40" s="121" t="inlineStr">
        <is>
          <t>Trigger</t>
        </is>
      </c>
      <c r="D40" s="121" t="inlineStr">
        <is>
          <t>consumer onKeyDown can prevent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DropdownMenu playground manual verification.</t>
        </is>
      </c>
      <c r="J40" s="121" t="n"/>
      <c r="K40" s="122">
        <f>IF(AND(E40="yes",F40="yes",H40="covered"),1,IF(H40="partial",0.5,0))</f>
        <v/>
      </c>
    </row>
    <row r="41" ht="31.5" customHeight="1" s="58">
      <c r="A41" s="120" t="n">
        <v>33</v>
      </c>
      <c r="B41" s="121" t="inlineStr">
        <is>
          <t>Public API</t>
        </is>
      </c>
      <c r="C41" s="121" t="inlineStr">
        <is>
          <t>Trigger</t>
        </is>
      </c>
      <c r="D41" s="121" t="inlineStr">
        <is>
          <t>click toggles menu open and closed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DropdownMenu playground manual verification.</t>
        </is>
      </c>
      <c r="J41" s="121" t="n"/>
      <c r="K41" s="122">
        <f>IF(AND(E41="yes",F41="yes",H41="covered"),1,IF(H41="partial",0.5,0))</f>
        <v/>
      </c>
    </row>
    <row r="42" ht="31.5" customHeight="1" s="58">
      <c r="A42" s="120" t="n">
        <v>34</v>
      </c>
      <c r="B42" s="121" t="inlineStr">
        <is>
          <t>Public API</t>
        </is>
      </c>
      <c r="C42" s="121" t="inlineStr">
        <is>
          <t>Trigger</t>
        </is>
      </c>
      <c r="D42" s="121" t="inlineStr">
        <is>
          <t>pointer click opens without pre-highlighting first item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DropdownMenu playground manual verification.</t>
        </is>
      </c>
      <c r="J42" s="121" t="n"/>
      <c r="K42" s="122">
        <f>IF(AND(E42="yes",F42="yes",H42="covered"),1,IF(H42="partial",0.5,0))</f>
        <v/>
      </c>
    </row>
    <row r="43" ht="31.5" customHeight="1" s="58">
      <c r="A43" s="120" t="n">
        <v>35</v>
      </c>
      <c r="B43" s="121" t="inlineStr">
        <is>
          <t>Public API</t>
        </is>
      </c>
      <c r="C43" s="121" t="inlineStr">
        <is>
          <t>Trigger</t>
        </is>
      </c>
      <c r="D43" s="121" t="inlineStr">
        <is>
          <t>Enter opens menu and seeds first highlight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DropdownMenu playground manual verification.</t>
        </is>
      </c>
      <c r="J43" s="121" t="n"/>
      <c r="K43" s="122">
        <f>IF(AND(E43="yes",F43="yes",H43="covered"),1,IF(H43="partial",0.5,0))</f>
        <v/>
      </c>
    </row>
    <row r="44" ht="31.5" customHeight="1" s="58">
      <c r="A44" s="120" t="n">
        <v>36</v>
      </c>
      <c r="B44" s="121" t="inlineStr">
        <is>
          <t>Public API</t>
        </is>
      </c>
      <c r="C44" s="121" t="inlineStr">
        <is>
          <t>Trigger</t>
        </is>
      </c>
      <c r="D44" s="121" t="inlineStr">
        <is>
          <t>Space opens menu and seeds first highlight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DropdownMenu playground manual verification.</t>
        </is>
      </c>
      <c r="J44" s="121" t="n"/>
      <c r="K44" s="122">
        <f>IF(AND(E44="yes",F44="yes",H44="covered"),1,IF(H44="partial",0.5,0))</f>
        <v/>
      </c>
    </row>
    <row r="45" ht="31.5" customHeight="1" s="58">
      <c r="A45" s="120" t="n">
        <v>37</v>
      </c>
      <c r="B45" s="121" t="inlineStr">
        <is>
          <t>Public API</t>
        </is>
      </c>
      <c r="C45" s="121" t="inlineStr">
        <is>
          <t>Trigger</t>
        </is>
      </c>
      <c r="D45" s="121" t="inlineStr">
        <is>
          <t>ArrowDown opens menu and seeds first highlight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DropdownMenu playground manual verification.</t>
        </is>
      </c>
      <c r="J45" s="121" t="n"/>
      <c r="K45" s="122">
        <f>IF(AND(E45="yes",F45="yes",H45="covered"),1,IF(H45="partial",0.5,0))</f>
        <v/>
      </c>
    </row>
    <row r="46" ht="31.5" customHeight="1" s="58">
      <c r="A46" s="120" t="n">
        <v>38</v>
      </c>
      <c r="B46" s="121" t="inlineStr">
        <is>
          <t>Public API</t>
        </is>
      </c>
      <c r="C46" s="121" t="inlineStr">
        <is>
          <t>Trigger</t>
        </is>
      </c>
      <c r="D46" s="121" t="inlineStr">
        <is>
          <t>ArrowUp opens menu and seeds last highlight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DropdownMenu playground manual verification.</t>
        </is>
      </c>
      <c r="J46" s="121" t="n"/>
      <c r="K46" s="122">
        <f>IF(AND(E46="yes",F46="yes",H46="covered"),1,IF(H46="partial",0.5,0))</f>
        <v/>
      </c>
    </row>
    <row r="47" ht="31.5" customHeight="1" s="58">
      <c r="A47" s="120" t="n">
        <v>39</v>
      </c>
      <c r="B47" s="121" t="inlineStr">
        <is>
          <t>Public API</t>
        </is>
      </c>
      <c r="C47" s="121" t="inlineStr">
        <is>
          <t>Trigger</t>
        </is>
      </c>
      <c r="D47" s="121" t="inlineStr">
        <is>
          <t>focus returns to trigger after Escape close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DropdownMenu playground manual verification.</t>
        </is>
      </c>
      <c r="J47" s="121" t="n"/>
      <c r="K47" s="122">
        <f>IF(AND(E47="yes",F47="yes",H47="covered"),1,IF(H47="partial",0.5,0))</f>
        <v/>
      </c>
    </row>
    <row r="48" ht="31.5" customHeight="1" s="58">
      <c r="A48" s="120" t="n">
        <v>40</v>
      </c>
      <c r="B48" s="121" t="inlineStr">
        <is>
          <t>Public API</t>
        </is>
      </c>
      <c r="C48" s="121" t="inlineStr">
        <is>
          <t>Trigger</t>
        </is>
      </c>
      <c r="D48" s="121" t="inlineStr">
        <is>
          <t>focus returns to trigger after item selection close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DropdownMenu playground manual verification.</t>
        </is>
      </c>
      <c r="J48" s="121" t="n"/>
      <c r="K48" s="122">
        <f>IF(AND(E48="yes",F48="yes",H48="covered"),1,IF(H48="partial",0.5,0))</f>
        <v/>
      </c>
    </row>
    <row r="49" ht="31.5" customHeight="1" s="58">
      <c r="A49" s="120" t="n">
        <v>41</v>
      </c>
      <c r="B49" s="121" t="inlineStr">
        <is>
          <t>Public API</t>
        </is>
      </c>
      <c r="C49" s="121" t="inlineStr">
        <is>
          <t>Trigger</t>
        </is>
      </c>
      <c r="D49" s="121" t="inlineStr">
        <is>
          <t>trigger ref points to rendered trigger element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DropdownMenu playground manual verification.</t>
        </is>
      </c>
      <c r="J49" s="121" t="n"/>
      <c r="K49" s="122">
        <f>IF(AND(E49="yes",F49="yes",H49="covered"),1,IF(H49="partial",0.5,0))</f>
        <v/>
      </c>
    </row>
    <row r="50" ht="31.5" customHeight="1" s="58">
      <c r="A50" s="120" t="n">
        <v>42</v>
      </c>
      <c r="B50" s="121" t="inlineStr">
        <is>
          <t>Public API</t>
        </is>
      </c>
      <c r="C50" s="121" t="inlineStr">
        <is>
          <t>Trigger</t>
        </is>
      </c>
      <c r="D50" s="121" t="inlineStr">
        <is>
          <t>asChild trigger preserves child content without nesting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DropdownMenu playground manual verification.</t>
        </is>
      </c>
      <c r="J50" s="121" t="n"/>
      <c r="K50" s="122">
        <f>IF(AND(E50="yes",F50="yes",H50="covered"),1,IF(H50="partial",0.5,0))</f>
        <v/>
      </c>
    </row>
    <row r="51" ht="31.5" customHeight="1" s="58">
      <c r="A51" s="120" t="n">
        <v>43</v>
      </c>
      <c r="B51" s="121" t="inlineStr">
        <is>
          <t>Public API</t>
        </is>
      </c>
      <c r="C51" s="121" t="inlineStr">
        <is>
          <t>Trigger</t>
        </is>
      </c>
      <c r="D51" s="121" t="inlineStr">
        <is>
          <t>asChild trigger receives role button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DropdownMenu playground manual verification.</t>
        </is>
      </c>
      <c r="J51" s="121" t="n"/>
      <c r="K51" s="122">
        <f>IF(AND(E51="yes",F51="yes",H51="covered"),1,IF(H51="partial",0.5,0))</f>
        <v/>
      </c>
    </row>
    <row r="52" ht="31.5" customHeight="1" s="58">
      <c r="A52" s="120" t="n">
        <v>44</v>
      </c>
      <c r="B52" s="121" t="inlineStr">
        <is>
          <t>Public API</t>
        </is>
      </c>
      <c r="C52" s="121" t="inlineStr">
        <is>
          <t>Trigger</t>
        </is>
      </c>
      <c r="D52" s="121" t="inlineStr">
        <is>
          <t>asChild trigger receives tabindex 0 when enabled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DropdownMenu playground manual verification.</t>
        </is>
      </c>
      <c r="J52" s="121" t="n"/>
      <c r="K52" s="122">
        <f>IF(AND(E52="yes",F52="yes",H52="covered"),1,IF(H52="partial",0.5,0))</f>
        <v/>
      </c>
    </row>
    <row r="53" ht="31.5" customHeight="1" s="58">
      <c r="A53" s="120" t="n">
        <v>45</v>
      </c>
      <c r="B53" s="121" t="inlineStr">
        <is>
          <t>Public API</t>
        </is>
      </c>
      <c r="C53" s="121" t="inlineStr">
        <is>
          <t>Trigger</t>
        </is>
      </c>
      <c r="D53" s="121" t="inlineStr">
        <is>
          <t>asChild disabled trigger receives tabindex -1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DropdownMenu playground manual verification.</t>
        </is>
      </c>
      <c r="J53" s="121" t="n"/>
      <c r="K53" s="122">
        <f>IF(AND(E53="yes",F53="yes",H53="covered"),1,IF(H53="partial",0.5,0))</f>
        <v/>
      </c>
    </row>
    <row r="54" ht="31.5" customHeight="1" s="58">
      <c r="A54" s="120" t="n">
        <v>46</v>
      </c>
      <c r="B54" s="121" t="inlineStr">
        <is>
          <t>Public API</t>
        </is>
      </c>
      <c r="C54" s="121" t="inlineStr">
        <is>
          <t>Trigger</t>
        </is>
      </c>
      <c r="D54" s="121" t="inlineStr">
        <is>
          <t>render trigger preserves custom element content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DropdownMenu playground manual verification.</t>
        </is>
      </c>
      <c r="J54" s="121" t="n"/>
      <c r="K54" s="122">
        <f>IF(AND(E54="yes",F54="yes",H54="covered"),1,IF(H54="partial",0.5,0))</f>
        <v/>
      </c>
    </row>
    <row r="55" ht="31.5" customHeight="1" s="58">
      <c r="A55" s="120" t="n">
        <v>47</v>
      </c>
      <c r="B55" s="121" t="inlineStr">
        <is>
          <t>Public API</t>
        </is>
      </c>
      <c r="C55" s="121" t="inlineStr">
        <is>
          <t>Trigger</t>
        </is>
      </c>
      <c r="D55" s="121" t="inlineStr">
        <is>
          <t>render trigger receives role button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DropdownMenu playground manual verification.</t>
        </is>
      </c>
      <c r="J55" s="121" t="n"/>
      <c r="K55" s="122">
        <f>IF(AND(E55="yes",F55="yes",H55="covered"),1,IF(H55="partial",0.5,0))</f>
        <v/>
      </c>
    </row>
    <row r="56" ht="31.5" customHeight="1" s="58">
      <c r="A56" s="120" t="n">
        <v>48</v>
      </c>
      <c r="B56" s="121" t="inlineStr">
        <is>
          <t>Public API</t>
        </is>
      </c>
      <c r="C56" s="121" t="inlineStr">
        <is>
          <t>Trigger</t>
        </is>
      </c>
      <c r="D56" s="121" t="inlineStr">
        <is>
          <t>render trigger receives tabindex 0 when enabled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DropdownMenu playground manual verification.</t>
        </is>
      </c>
      <c r="J56" s="121" t="n"/>
      <c r="K56" s="122">
        <f>IF(AND(E56="yes",F56="yes",H56="covered"),1,IF(H56="partial",0.5,0))</f>
        <v/>
      </c>
    </row>
    <row r="57" ht="31.5" customHeight="1" s="58">
      <c r="A57" s="120" t="n">
        <v>49</v>
      </c>
      <c r="B57" s="121" t="inlineStr">
        <is>
          <t>Public API</t>
        </is>
      </c>
      <c r="C57" s="121" t="inlineStr">
        <is>
          <t>Trigger</t>
        </is>
      </c>
      <c r="D57" s="121" t="inlineStr">
        <is>
          <t>render disabled trigger receives tabindex -1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DropdownMenu playground manual verification.</t>
        </is>
      </c>
      <c r="J57" s="121" t="n"/>
      <c r="K57" s="122">
        <f>IF(AND(E57="yes",F57="yes",H57="covered"),1,IF(H57="partial",0.5,0))</f>
        <v/>
      </c>
    </row>
    <row r="58" ht="31.5" customHeight="1" s="58">
      <c r="A58" s="120" t="n">
        <v>50</v>
      </c>
      <c r="B58" s="121" t="inlineStr">
        <is>
          <t>Public API</t>
        </is>
      </c>
      <c r="C58" s="121" t="inlineStr">
        <is>
          <t>Trigger</t>
        </is>
      </c>
      <c r="D58" s="121" t="inlineStr">
        <is>
          <t>custom data-slot override applies to trigger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DropdownMenu playground manual verification.</t>
        </is>
      </c>
      <c r="J58" s="121" t="n"/>
      <c r="K58" s="122">
        <f>IF(AND(E58="yes",F58="yes",H58="covered"),1,IF(H58="partial",0.5,0))</f>
        <v/>
      </c>
    </row>
    <row r="59" ht="31.5" customHeight="1" s="58">
      <c r="A59" s="120" t="n">
        <v>51</v>
      </c>
      <c r="B59" s="121" t="inlineStr">
        <is>
          <t>Public API</t>
        </is>
      </c>
      <c r="C59" s="121" t="inlineStr">
        <is>
          <t>Content</t>
        </is>
      </c>
      <c r="D59" s="121" t="inlineStr">
        <is>
          <t>renders only while open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DropdownMenu playground manual verification.</t>
        </is>
      </c>
      <c r="J59" s="121" t="n"/>
      <c r="K59" s="122">
        <f>IF(AND(E59="yes",F59="yes",H59="covered"),1,IF(H59="partial",0.5,0))</f>
        <v/>
      </c>
    </row>
    <row r="60" ht="31.5" customHeight="1" s="58">
      <c r="A60" s="120" t="n">
        <v>52</v>
      </c>
      <c r="B60" s="121" t="inlineStr">
        <is>
          <t>Public API</t>
        </is>
      </c>
      <c r="C60" s="121" t="inlineStr">
        <is>
          <t>Content</t>
        </is>
      </c>
      <c r="D60" s="121" t="inlineStr">
        <is>
          <t>role is menu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DropdownMenu playground manual verification.</t>
        </is>
      </c>
      <c r="J60" s="121" t="n"/>
      <c r="K60" s="122">
        <f>IF(AND(E60="yes",F60="yes",H60="covered"),1,IF(H60="partial",0.5,0))</f>
        <v/>
      </c>
    </row>
    <row r="61" ht="31.5" customHeight="1" s="58">
      <c r="A61" s="120" t="n">
        <v>53</v>
      </c>
      <c r="B61" s="121" t="inlineStr">
        <is>
          <t>Public API</t>
        </is>
      </c>
      <c r="C61" s="121" t="inlineStr">
        <is>
          <t>Content</t>
        </is>
      </c>
      <c r="D61" s="121" t="inlineStr">
        <is>
          <t>aria-orientation is vertical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DropdownMenu playground manual verification.</t>
        </is>
      </c>
      <c r="J61" s="121" t="n"/>
      <c r="K61" s="122">
        <f>IF(AND(E61="yes",F61="yes",H61="covered"),1,IF(H61="partial",0.5,0))</f>
        <v/>
      </c>
    </row>
    <row r="62" ht="31.5" customHeight="1" s="58">
      <c r="A62" s="120" t="n">
        <v>54</v>
      </c>
      <c r="B62" s="121" t="inlineStr">
        <is>
          <t>Public API</t>
        </is>
      </c>
      <c r="C62" s="121" t="inlineStr">
        <is>
          <t>Content</t>
        </is>
      </c>
      <c r="D62" s="121" t="inlineStr">
        <is>
          <t>aria-label prop names menu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DropdownMenu playground manual verification.</t>
        </is>
      </c>
      <c r="J62" s="121" t="n"/>
      <c r="K62" s="122">
        <f>IF(AND(E62="yes",F62="yes",H62="covered"),1,IF(H62="partial",0.5,0))</f>
        <v/>
      </c>
    </row>
    <row r="63" ht="31.5" customHeight="1" s="58">
      <c r="A63" s="120" t="n">
        <v>55</v>
      </c>
      <c r="B63" s="121" t="inlineStr">
        <is>
          <t>Public API</t>
        </is>
      </c>
      <c r="C63" s="121" t="inlineStr">
        <is>
          <t>Content</t>
        </is>
      </c>
      <c r="D63" s="121" t="inlineStr">
        <is>
          <t>aria-labelledby references trigger when ariaLabel is absent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DropdownMenu playground manual verification.</t>
        </is>
      </c>
      <c r="J63" s="121" t="n"/>
      <c r="K63" s="122">
        <f>IF(AND(E63="yes",F63="yes",H63="covered"),1,IF(H63="partial",0.5,0))</f>
        <v/>
      </c>
    </row>
    <row r="64" ht="31.5" customHeight="1" s="58">
      <c r="A64" s="120" t="n">
        <v>56</v>
      </c>
      <c r="B64" s="121" t="inlineStr">
        <is>
          <t>Public API</t>
        </is>
      </c>
      <c r="C64" s="121" t="inlineStr">
        <is>
          <t>Content</t>
        </is>
      </c>
      <c r="D64" s="121" t="inlineStr">
        <is>
          <t>tabindex attr is -1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DropdownMenu playground manual verification.</t>
        </is>
      </c>
      <c r="J64" s="121" t="n"/>
      <c r="K64" s="122">
        <f>IF(AND(E64="yes",F64="yes",H64="covered"),1,IF(H64="partial",0.5,0))</f>
        <v/>
      </c>
    </row>
    <row r="65" ht="31.5" customHeight="1" s="58">
      <c r="A65" s="120" t="n">
        <v>57</v>
      </c>
      <c r="B65" s="121" t="inlineStr">
        <is>
          <t>Public API</t>
        </is>
      </c>
      <c r="C65" s="121" t="inlineStr">
        <is>
          <t>Content</t>
        </is>
      </c>
      <c r="D65" s="121" t="inlineStr">
        <is>
          <t>id matches trigger aria-controls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DropdownMenu playground manual verification.</t>
        </is>
      </c>
      <c r="J65" s="121" t="n"/>
      <c r="K65" s="122">
        <f>IF(AND(E65="yes",F65="yes",H65="covered"),1,IF(H65="partial",0.5,0))</f>
        <v/>
      </c>
    </row>
    <row r="66" ht="31.5" customHeight="1" s="58">
      <c r="A66" s="120" t="n">
        <v>58</v>
      </c>
      <c r="B66" s="121" t="inlineStr">
        <is>
          <t>Public API</t>
        </is>
      </c>
      <c r="C66" s="121" t="inlineStr">
        <is>
          <t>Content</t>
        </is>
      </c>
      <c r="D66" s="121" t="inlineStr">
        <is>
          <t>data-slot is menu-content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DropdownMenu playground manual verification.</t>
        </is>
      </c>
      <c r="J66" s="121" t="n"/>
      <c r="K66" s="122">
        <f>IF(AND(E66="yes",F66="yes",H66="covered"),1,IF(H66="partial",0.5,0))</f>
        <v/>
      </c>
    </row>
    <row r="67" ht="31.5" customHeight="1" s="58">
      <c r="A67" s="120" t="n">
        <v>59</v>
      </c>
      <c r="B67" s="121" t="inlineStr">
        <is>
          <t>Public API</t>
        </is>
      </c>
      <c r="C67" s="121" t="inlineStr">
        <is>
          <t>Content</t>
        </is>
      </c>
      <c r="D67" s="121" t="inlineStr">
        <is>
          <t>data-state is open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DropdownMenu playground manual verification.</t>
        </is>
      </c>
      <c r="J67" s="121" t="n"/>
      <c r="K67" s="122">
        <f>IF(AND(E67="yes",F67="yes",H67="covered"),1,IF(H67="partial",0.5,0))</f>
        <v/>
      </c>
    </row>
    <row r="68" ht="31.5" customHeight="1" s="58">
      <c r="A68" s="120" t="n">
        <v>60</v>
      </c>
      <c r="B68" s="121" t="inlineStr">
        <is>
          <t>Public API</t>
        </is>
      </c>
      <c r="C68" s="121" t="inlineStr">
        <is>
          <t>Content</t>
        </is>
      </c>
      <c r="D68" s="121" t="inlineStr">
        <is>
          <t>data-side reflects final placement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DropdownMenu playground manual verification.</t>
        </is>
      </c>
      <c r="J68" s="121" t="n"/>
      <c r="K68" s="122">
        <f>IF(AND(E68="yes",F68="yes",H68="covered"),1,IF(H68="partial",0.5,0))</f>
        <v/>
      </c>
    </row>
    <row r="69" ht="31.5" customHeight="1" s="58">
      <c r="A69" s="120" t="n">
        <v>61</v>
      </c>
      <c r="B69" s="121" t="inlineStr">
        <is>
          <t>Public API</t>
        </is>
      </c>
      <c r="C69" s="121" t="inlineStr">
        <is>
          <t>Content</t>
        </is>
      </c>
      <c r="D69" s="121" t="inlineStr">
        <is>
          <t>data-align reflects final placement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DropdownMenu playground manual verification.</t>
        </is>
      </c>
      <c r="J69" s="121" t="n"/>
      <c r="K69" s="122">
        <f>IF(AND(E69="yes",F69="yes",H69="covered"),1,IF(H69="partial",0.5,0))</f>
        <v/>
      </c>
    </row>
    <row r="70" ht="31.5" customHeight="1" s="58">
      <c r="A70" s="120" t="n">
        <v>62</v>
      </c>
      <c r="B70" s="121" t="inlineStr">
        <is>
          <t>Public API</t>
        </is>
      </c>
      <c r="C70" s="121" t="inlineStr">
        <is>
          <t>Content</t>
        </is>
      </c>
      <c r="D70" s="121" t="inlineStr">
        <is>
          <t>data-positioned appears after positioning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DropdownMenu playground manual verification.</t>
        </is>
      </c>
      <c r="J70" s="121" t="n"/>
      <c r="K70" s="122">
        <f>IF(AND(E70="yes",F70="yes",H70="covered"),1,IF(H70="partial",0.5,0))</f>
        <v/>
      </c>
    </row>
    <row r="71" ht="31.5" customHeight="1" s="58">
      <c r="A71" s="120" t="n">
        <v>63</v>
      </c>
      <c r="B71" s="121" t="inlineStr">
        <is>
          <t>Public API</t>
        </is>
      </c>
      <c r="C71" s="121" t="inlineStr">
        <is>
          <t>Content</t>
        </is>
      </c>
      <c r="D71" s="121" t="inlineStr">
        <is>
          <t>side prop changes placement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DropdownMenu playground manual verification.</t>
        </is>
      </c>
      <c r="J71" s="121" t="n"/>
      <c r="K71" s="122">
        <f>IF(AND(E71="yes",F71="yes",H71="covered"),1,IF(H71="partial",0.5,0))</f>
        <v/>
      </c>
    </row>
    <row r="72" ht="31.5" customHeight="1" s="58">
      <c r="A72" s="120" t="n">
        <v>64</v>
      </c>
      <c r="B72" s="121" t="inlineStr">
        <is>
          <t>Public API</t>
        </is>
      </c>
      <c r="C72" s="121" t="inlineStr">
        <is>
          <t>Content</t>
        </is>
      </c>
      <c r="D72" s="121" t="inlineStr">
        <is>
          <t>align prop changes placement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DropdownMenu playground manual verification.</t>
        </is>
      </c>
      <c r="J72" s="121" t="n"/>
      <c r="K72" s="122">
        <f>IF(AND(E72="yes",F72="yes",H72="covered"),1,IF(H72="partial",0.5,0))</f>
        <v/>
      </c>
    </row>
    <row r="73" ht="31.5" customHeight="1" s="58">
      <c r="A73" s="120" t="n">
        <v>65</v>
      </c>
      <c r="B73" s="121" t="inlineStr">
        <is>
          <t>Public API</t>
        </is>
      </c>
      <c r="C73" s="121" t="inlineStr">
        <is>
          <t>Content</t>
        </is>
      </c>
      <c r="D73" s="121" t="inlineStr">
        <is>
          <t>sideOffset changes menu distance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DropdownMenu playground manual verification.</t>
        </is>
      </c>
      <c r="J73" s="121" t="n"/>
      <c r="K73" s="122">
        <f>IF(AND(E73="yes",F73="yes",H73="covered"),1,IF(H73="partial",0.5,0))</f>
        <v/>
      </c>
    </row>
    <row r="74" ht="31.5" customHeight="1" s="58">
      <c r="A74" s="120" t="n">
        <v>66</v>
      </c>
      <c r="B74" s="121" t="inlineStr">
        <is>
          <t>Public API</t>
        </is>
      </c>
      <c r="C74" s="121" t="inlineStr">
        <is>
          <t>Content</t>
        </is>
      </c>
      <c r="D74" s="121" t="inlineStr">
        <is>
          <t>loop prop overrides root loop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DropdownMenu playground manual verification.</t>
        </is>
      </c>
      <c r="J74" s="121" t="n"/>
      <c r="K74" s="122">
        <f>IF(AND(E74="yes",F74="yes",H74="covered"),1,IF(H74="partial",0.5,0))</f>
        <v/>
      </c>
    </row>
    <row r="75" ht="31.5" customHeight="1" s="58">
      <c r="A75" s="120" t="n">
        <v>67</v>
      </c>
      <c r="B75" s="121" t="inlineStr">
        <is>
          <t>Public API</t>
        </is>
      </c>
      <c r="C75" s="121" t="inlineStr">
        <is>
          <t>Content</t>
        </is>
      </c>
      <c r="D75" s="121" t="inlineStr">
        <is>
          <t>native className and data props pass through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DropdownMenu playground manual verification.</t>
        </is>
      </c>
      <c r="J75" s="121" t="n"/>
      <c r="K75" s="122">
        <f>IF(AND(E75="yes",F75="yes",H75="covered"),1,IF(H75="partial",0.5,0))</f>
        <v/>
      </c>
    </row>
    <row r="76" ht="31.5" customHeight="1" s="58">
      <c r="A76" s="120" t="n">
        <v>68</v>
      </c>
      <c r="B76" s="121" t="inlineStr">
        <is>
          <t>Public API</t>
        </is>
      </c>
      <c r="C76" s="121" t="inlineStr">
        <is>
          <t>Content</t>
        </is>
      </c>
      <c r="D76" s="121" t="inlineStr">
        <is>
          <t>onKeyDownCapture can block Atom key behavior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DropdownMenu playground manual verification.</t>
        </is>
      </c>
      <c r="J76" s="121" t="n"/>
      <c r="K76" s="122">
        <f>IF(AND(E76="yes",F76="yes",H76="covered"),1,IF(H76="partial",0.5,0))</f>
        <v/>
      </c>
    </row>
    <row r="77" ht="31.5" customHeight="1" s="58">
      <c r="A77" s="120" t="n">
        <v>69</v>
      </c>
      <c r="B77" s="121" t="inlineStr">
        <is>
          <t>Public API</t>
        </is>
      </c>
      <c r="C77" s="121" t="inlineStr">
        <is>
          <t>Item</t>
        </is>
      </c>
      <c r="D77" s="121" t="inlineStr">
        <is>
          <t>renders role menuitem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DropdownMenu playground manual verification.</t>
        </is>
      </c>
      <c r="J77" s="121" t="n"/>
      <c r="K77" s="122">
        <f>IF(AND(E77="yes",F77="yes",H77="covered"),1,IF(H77="partial",0.5,0))</f>
        <v/>
      </c>
    </row>
    <row r="78" ht="31.5" customHeight="1" s="58">
      <c r="A78" s="120" t="n">
        <v>70</v>
      </c>
      <c r="B78" s="121" t="inlineStr">
        <is>
          <t>Public API</t>
        </is>
      </c>
      <c r="C78" s="121" t="inlineStr">
        <is>
          <t>Item</t>
        </is>
      </c>
      <c r="D78" s="121" t="inlineStr">
        <is>
          <t>value appears as data-value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DropdownMenu playground manual verification.</t>
        </is>
      </c>
      <c r="J78" s="121" t="n"/>
      <c r="K78" s="122">
        <f>IF(AND(E78="yes",F78="yes",H78="covered"),1,IF(H78="partial",0.5,0))</f>
        <v/>
      </c>
    </row>
    <row r="79" ht="31.5" customHeight="1" s="58">
      <c r="A79" s="120" t="n">
        <v>71</v>
      </c>
      <c r="B79" s="121" t="inlineStr">
        <is>
          <t>Public API</t>
        </is>
      </c>
      <c r="C79" s="121" t="inlineStr">
        <is>
          <t>Item</t>
        </is>
      </c>
      <c r="D79" s="121" t="inlineStr">
        <is>
          <t>textValue is used for typeahead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DropdownMenu playground manual verification.</t>
        </is>
      </c>
      <c r="J79" s="121" t="n"/>
      <c r="K79" s="122">
        <f>IF(AND(E79="yes",F79="yes",H79="covered"),1,IF(H79="partial",0.5,0))</f>
        <v/>
      </c>
    </row>
    <row r="80" ht="31.5" customHeight="1" s="58">
      <c r="A80" s="120" t="n">
        <v>72</v>
      </c>
      <c r="B80" s="121" t="inlineStr">
        <is>
          <t>Public API</t>
        </is>
      </c>
      <c r="C80" s="121" t="inlineStr">
        <is>
          <t>Item</t>
        </is>
      </c>
      <c r="D80" s="121" t="inlineStr">
        <is>
          <t>onSelect fires on click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DropdownMenu playground manual verification.</t>
        </is>
      </c>
      <c r="J80" s="121" t="n"/>
      <c r="K80" s="122">
        <f>IF(AND(E80="yes",F80="yes",H80="covered"),1,IF(H80="partial",0.5,0))</f>
        <v/>
      </c>
    </row>
    <row r="81" ht="31.5" customHeight="1" s="58">
      <c r="A81" s="120" t="n">
        <v>73</v>
      </c>
      <c r="B81" s="121" t="inlineStr">
        <is>
          <t>Public API</t>
        </is>
      </c>
      <c r="C81" s="121" t="inlineStr">
        <is>
          <t>Item</t>
        </is>
      </c>
      <c r="D81" s="121" t="inlineStr">
        <is>
          <t>onSelect fires from keyboard activation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DropdownMenu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disabled item receives real keyboard focus but Enter, Space, click, and selection callbacks cannot activate it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playground/.manual-tests/dropdown-menu.md (draft)</t>
        </is>
      </c>
      <c r="J82" s="113" t="inlineStr">
        <is>
          <t>Run the updated component Manual Test Protocol and named browser/device matrix.</t>
        </is>
      </c>
      <c r="K82" s="117">
        <f>IF(AND(E82="yes",F82="yes",H82="covered"),1,IF(H82="partial",0.5,0))</f>
        <v/>
      </c>
    </row>
    <row r="83" ht="31.5" customHeight="1" s="58">
      <c r="A83" s="120" t="n">
        <v>75</v>
      </c>
      <c r="B83" s="121" t="inlineStr">
        <is>
          <t>Public API</t>
        </is>
      </c>
      <c r="C83" s="121" t="inlineStr">
        <is>
          <t>Item</t>
        </is>
      </c>
      <c r="D83" s="121" t="inlineStr">
        <is>
          <t>disabled item exposes aria-disabled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DropdownMenu playground manual verification.</t>
        </is>
      </c>
      <c r="J83" s="121" t="n"/>
      <c r="K83" s="122">
        <f>IF(AND(E83="yes",F83="yes",H83="covered"),1,IF(H83="partial",0.5,0))</f>
        <v/>
      </c>
    </row>
    <row r="84" ht="31.5" customHeight="1" s="58">
      <c r="A84" s="120" t="n">
        <v>76</v>
      </c>
      <c r="B84" s="121" t="inlineStr">
        <is>
          <t>Public API</t>
        </is>
      </c>
      <c r="C84" s="121" t="inlineStr">
        <is>
          <t>Item</t>
        </is>
      </c>
      <c r="D84" s="121" t="inlineStr">
        <is>
          <t>disabled item exposes data-disabled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DropdownMenu playground manual verification.</t>
        </is>
      </c>
      <c r="J84" s="121" t="n"/>
      <c r="K84" s="122">
        <f>IF(AND(E84="yes",F84="yes",H84="covered"),1,IF(H84="partial",0.5,0))</f>
        <v/>
      </c>
    </row>
    <row r="85" ht="31.5" customHeight="1" s="58">
      <c r="A85" s="120" t="n">
        <v>77</v>
      </c>
      <c r="B85" s="121" t="inlineStr">
        <is>
          <t>Public API</t>
        </is>
      </c>
      <c r="C85" s="121" t="inlineStr">
        <is>
          <t>Item</t>
        </is>
      </c>
      <c r="D85" s="121" t="inlineStr">
        <is>
          <t>highlighted item exposes data-highlighted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DropdownMenu playground manual verification.</t>
        </is>
      </c>
      <c r="J85" s="121" t="n"/>
      <c r="K85" s="122">
        <f>IF(AND(E85="yes",F85="yes",H85="covered"),1,IF(H85="partial",0.5,0))</f>
        <v/>
      </c>
    </row>
    <row r="86" ht="31.5" customHeight="1" s="58">
      <c r="A86" s="120" t="n">
        <v>78</v>
      </c>
      <c r="B86" s="121" t="inlineStr">
        <is>
          <t>Public API</t>
        </is>
      </c>
      <c r="C86" s="121" t="inlineStr">
        <is>
          <t>Item</t>
        </is>
      </c>
      <c r="D86" s="121" t="inlineStr">
        <is>
          <t>closeOnSelect overrides root close behavior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DropdownMenu playground manual verification.</t>
        </is>
      </c>
      <c r="J86" s="121" t="n"/>
      <c r="K86" s="122">
        <f>IF(AND(E86="yes",F86="yes",H86="covered"),1,IF(H86="partial",0.5,0))</f>
        <v/>
      </c>
    </row>
    <row r="87" ht="31.5" customHeight="1" s="58">
      <c r="A87" s="120" t="n">
        <v>79</v>
      </c>
      <c r="B87" s="121" t="inlineStr">
        <is>
          <t>Public API</t>
        </is>
      </c>
      <c r="C87" s="121" t="inlineStr">
        <is>
          <t>Item</t>
        </is>
      </c>
      <c r="D87" s="121" t="inlineStr">
        <is>
          <t>asChild composition works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DropdownMenu playground manual verification.</t>
        </is>
      </c>
      <c r="J87" s="121" t="n"/>
      <c r="K87" s="122">
        <f>IF(AND(E87="yes",F87="yes",H87="covered"),1,IF(H87="partial",0.5,0))</f>
        <v/>
      </c>
    </row>
    <row r="88" ht="31.5" customHeight="1" s="58">
      <c r="A88" s="120" t="n">
        <v>80</v>
      </c>
      <c r="B88" s="121" t="inlineStr">
        <is>
          <t>Public API</t>
        </is>
      </c>
      <c r="C88" s="121" t="inlineStr">
        <is>
          <t>Item</t>
        </is>
      </c>
      <c r="D88" s="121" t="inlineStr">
        <is>
          <t>render composition works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DropdownMenu playground manual verification.</t>
        </is>
      </c>
      <c r="J88" s="121" t="n"/>
      <c r="K88" s="122">
        <f>IF(AND(E88="yes",F88="yes",H88="covered"),1,IF(H88="partial",0.5,0))</f>
        <v/>
      </c>
    </row>
    <row r="89" ht="31.5" customHeight="1" s="58">
      <c r="A89" s="120" t="n">
        <v>81</v>
      </c>
      <c r="B89" s="121" t="inlineStr">
        <is>
          <t>Public API</t>
        </is>
      </c>
      <c r="C89" s="121" t="inlineStr">
        <is>
          <t>Item</t>
        </is>
      </c>
      <c r="D89" s="121" t="inlineStr">
        <is>
          <t>consumer onClick can prevent Atom behavior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DropdownMenu playground manual verification.</t>
        </is>
      </c>
      <c r="J89" s="121" t="n"/>
      <c r="K89" s="122">
        <f>IF(AND(E89="yes",F89="yes",H89="covered"),1,IF(H89="partial",0.5,0))</f>
        <v/>
      </c>
    </row>
    <row r="90" ht="31.5" customHeight="1" s="58">
      <c r="A90" s="120" t="n">
        <v>82</v>
      </c>
      <c r="B90" s="121" t="inlineStr">
        <is>
          <t>Public API</t>
        </is>
      </c>
      <c r="C90" s="121" t="inlineStr">
        <is>
          <t>Item</t>
        </is>
      </c>
      <c r="D90" s="121" t="inlineStr">
        <is>
          <t>native className and data props pass through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DropdownMenu playground manual verification.</t>
        </is>
      </c>
      <c r="J90" s="121" t="n"/>
      <c r="K90" s="122">
        <f>IF(AND(E90="yes",F90="yes",H90="covered"),1,IF(H90="partial",0.5,0))</f>
        <v/>
      </c>
    </row>
    <row r="91" ht="31.5" customHeight="1" s="58">
      <c r="A91" s="120" t="n">
        <v>83</v>
      </c>
      <c r="B91" s="121" t="inlineStr">
        <is>
          <t>Public API</t>
        </is>
      </c>
      <c r="C91" s="121" t="inlineStr">
        <is>
          <t>Checkbox Item</t>
        </is>
      </c>
      <c r="D91" s="121" t="inlineStr">
        <is>
          <t>renders role menuitemcheckbox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DropdownMenu playground manual verification.</t>
        </is>
      </c>
      <c r="J91" s="121" t="n"/>
      <c r="K91" s="122">
        <f>IF(AND(E91="yes",F91="yes",H91="covered"),1,IF(H91="partial",0.5,0))</f>
        <v/>
      </c>
    </row>
    <row r="92" ht="31.5" customHeight="1" s="58">
      <c r="A92" s="120" t="n">
        <v>84</v>
      </c>
      <c r="B92" s="121" t="inlineStr">
        <is>
          <t>Public API</t>
        </is>
      </c>
      <c r="C92" s="121" t="inlineStr">
        <is>
          <t>Checkbox Item</t>
        </is>
      </c>
      <c r="D92" s="121" t="inlineStr">
        <is>
          <t>checked true exposes aria-checked true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DropdownMenu playground manual verification.</t>
        </is>
      </c>
      <c r="J92" s="121" t="n"/>
      <c r="K92" s="122">
        <f>IF(AND(E92="yes",F92="yes",H92="covered"),1,IF(H92="partial",0.5,0))</f>
        <v/>
      </c>
    </row>
    <row r="93" ht="31.5" customHeight="1" s="58">
      <c r="A93" s="120" t="n">
        <v>85</v>
      </c>
      <c r="B93" s="121" t="inlineStr">
        <is>
          <t>Public API</t>
        </is>
      </c>
      <c r="C93" s="121" t="inlineStr">
        <is>
          <t>Checkbox Item</t>
        </is>
      </c>
      <c r="D93" s="121" t="inlineStr">
        <is>
          <t>checked false exposes aria-checked false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DropdownMenu playground manual verification.</t>
        </is>
      </c>
      <c r="J93" s="121" t="n"/>
      <c r="K93" s="122">
        <f>IF(AND(E93="yes",F93="yes",H93="covered"),1,IF(H93="partial",0.5,0))</f>
        <v/>
      </c>
    </row>
    <row r="94" ht="31.5" customHeight="1" s="58">
      <c r="A94" s="120" t="n">
        <v>86</v>
      </c>
      <c r="B94" s="121" t="inlineStr">
        <is>
          <t>Public API</t>
        </is>
      </c>
      <c r="C94" s="121" t="inlineStr">
        <is>
          <t>Checkbox Item</t>
        </is>
      </c>
      <c r="D94" s="121" t="inlineStr">
        <is>
          <t>checked true exposes data-checked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DropdownMenu playground manual verification.</t>
        </is>
      </c>
      <c r="J94" s="121" t="n"/>
      <c r="K94" s="122">
        <f>IF(AND(E94="yes",F94="yes",H94="covered"),1,IF(H94="partial",0.5,0))</f>
        <v/>
      </c>
    </row>
    <row r="95" ht="31.5" customHeight="1" s="58">
      <c r="A95" s="120" t="n">
        <v>87</v>
      </c>
      <c r="B95" s="121" t="inlineStr">
        <is>
          <t>Public API</t>
        </is>
      </c>
      <c r="C95" s="121" t="inlineStr">
        <is>
          <t>Checkbox Item</t>
        </is>
      </c>
      <c r="D95" s="121" t="inlineStr">
        <is>
          <t>onCheckedChange toggles checked state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DropdownMenu playground manual verification.</t>
        </is>
      </c>
      <c r="J95" s="121" t="n"/>
      <c r="K95" s="122">
        <f>IF(AND(E95="yes",F95="yes",H95="covered"),1,IF(H95="partial",0.5,0))</f>
        <v/>
      </c>
    </row>
    <row r="96" ht="31.5" customHeight="1" s="58">
      <c r="A96" s="120" t="n">
        <v>88</v>
      </c>
      <c r="B96" s="121" t="inlineStr">
        <is>
          <t>Public API</t>
        </is>
      </c>
      <c r="C96" s="121" t="inlineStr">
        <is>
          <t>Checkbox Item</t>
        </is>
      </c>
      <c r="D96" s="121" t="inlineStr">
        <is>
          <t>default closeOnSelect false keeps menu open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DropdownMenu playground manual verification.</t>
        </is>
      </c>
      <c r="J96" s="121" t="n"/>
      <c r="K96" s="122">
        <f>IF(AND(E96="yes",F96="yes",H96="covered"),1,IF(H96="partial",0.5,0))</f>
        <v/>
      </c>
    </row>
    <row r="97" ht="31.5" customHeight="1" s="58">
      <c r="A97" s="120" t="n">
        <v>89</v>
      </c>
      <c r="B97" s="121" t="inlineStr">
        <is>
          <t>Public API</t>
        </is>
      </c>
      <c r="C97" s="121" t="inlineStr">
        <is>
          <t>Checkbox Item</t>
        </is>
      </c>
      <c r="D97" s="121" t="inlineStr">
        <is>
          <t>closeOnSelect true closes 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DropdownMenu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Public API</t>
        </is>
      </c>
      <c r="C98" s="113" t="inlineStr">
        <is>
          <t>Checkbox Item</t>
        </is>
      </c>
      <c r="D98" s="113" t="inlineStr">
        <is>
          <t>disabled checkbox receives real keyboard focus but cannot toggle or close the menu</t>
        </is>
      </c>
      <c r="E98" s="114" t="inlineStr">
        <is>
          <t>yes</t>
        </is>
      </c>
      <c r="F98" s="115" t="inlineStr">
        <is>
          <t>no</t>
        </is>
      </c>
      <c r="G98" s="112" t="inlineStr">
        <is>
          <t>automated tests pass; manual pending</t>
        </is>
      </c>
      <c r="H98" s="116" t="inlineStr">
        <is>
          <t>untested</t>
        </is>
      </c>
      <c r="I98" s="113" t="inlineStr">
        <is>
          <t>playground/.manual-tests/dropdown-menu.md (draft)</t>
        </is>
      </c>
      <c r="J98" s="113" t="inlineStr">
        <is>
          <t>Run the updated component Manual Test Protocol and named browser/device matrix.</t>
        </is>
      </c>
      <c r="K98" s="117">
        <f>IF(AND(E98="yes",F98="yes",H98="covered"),1,IF(H98="partial",0.5,0))</f>
        <v/>
      </c>
    </row>
    <row r="99" ht="31.5" customHeight="1" s="58">
      <c r="A99" s="120" t="n">
        <v>91</v>
      </c>
      <c r="B99" s="121" t="inlineStr">
        <is>
          <t>Public API</t>
        </is>
      </c>
      <c r="C99" s="121" t="inlineStr">
        <is>
          <t>Checkbox Item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DropdownMenu playground manual verification.</t>
        </is>
      </c>
      <c r="J99" s="121" t="n"/>
      <c r="K99" s="122">
        <f>IF(AND(E99="yes",F99="yes",H99="covered"),1,IF(H99="partial",0.5,0))</f>
        <v/>
      </c>
    </row>
    <row r="100" ht="31.5" customHeight="1" s="58">
      <c r="A100" s="120" t="n">
        <v>92</v>
      </c>
      <c r="B100" s="121" t="inlineStr">
        <is>
          <t>Public API</t>
        </is>
      </c>
      <c r="C100" s="121" t="inlineStr">
        <is>
          <t>Radio Group</t>
        </is>
      </c>
      <c r="D100" s="121" t="inlineStr">
        <is>
          <t>renders role group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DropdownMenu playground manual verification.</t>
        </is>
      </c>
      <c r="J100" s="121" t="n"/>
      <c r="K100" s="122">
        <f>IF(AND(E100="yes",F100="yes",H100="covered"),1,IF(H100="partial",0.5,0))</f>
        <v/>
      </c>
    </row>
    <row r="101" ht="31.5" customHeight="1" s="58">
      <c r="A101" s="120" t="n">
        <v>93</v>
      </c>
      <c r="B101" s="121" t="inlineStr">
        <is>
          <t>Public API</t>
        </is>
      </c>
      <c r="C101" s="121" t="inlineStr">
        <is>
          <t>Radio Group</t>
        </is>
      </c>
      <c r="D101" s="121" t="inlineStr">
        <is>
          <t>data-slot is menu-radio-group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DropdownMenu playground manual verification.</t>
        </is>
      </c>
      <c r="J101" s="121" t="n"/>
      <c r="K101" s="122">
        <f>IF(AND(E101="yes",F101="yes",H101="covered"),1,IF(H101="partial",0.5,0))</f>
        <v/>
      </c>
    </row>
    <row r="102" ht="31.5" customHeight="1" s="58">
      <c r="A102" s="120" t="n">
        <v>94</v>
      </c>
      <c r="B102" s="121" t="inlineStr">
        <is>
          <t>Public API</t>
        </is>
      </c>
      <c r="C102" s="121" t="inlineStr">
        <is>
          <t>Radio Group</t>
        </is>
      </c>
      <c r="D102" s="121" t="inlineStr">
        <is>
          <t>value controls checked item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DropdownMenu playground manual verification.</t>
        </is>
      </c>
      <c r="J102" s="121" t="n"/>
      <c r="K102" s="122">
        <f>IF(AND(E102="yes",F102="yes",H102="covered"),1,IF(H102="partial",0.5,0))</f>
        <v/>
      </c>
    </row>
    <row r="103" ht="31.5" customHeight="1" s="58">
      <c r="A103" s="120" t="n">
        <v>95</v>
      </c>
      <c r="B103" s="121" t="inlineStr">
        <is>
          <t>Public API</t>
        </is>
      </c>
      <c r="C103" s="121" t="inlineStr">
        <is>
          <t>Radio Group</t>
        </is>
      </c>
      <c r="D103" s="121" t="inlineStr">
        <is>
          <t>onValueChange fires when selecting radio item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DropdownMenu playground manual verification.</t>
        </is>
      </c>
      <c r="J103" s="121" t="n"/>
      <c r="K103" s="122">
        <f>IF(AND(E103="yes",F103="yes",H103="covered"),1,IF(H103="partial",0.5,0))</f>
        <v/>
      </c>
    </row>
    <row r="104" ht="31.5" customHeight="1" s="58">
      <c r="A104" s="120" t="n">
        <v>96</v>
      </c>
      <c r="B104" s="121" t="inlineStr">
        <is>
          <t>Public API</t>
        </is>
      </c>
      <c r="C104" s="121" t="inlineStr">
        <is>
          <t>Radio Group</t>
        </is>
      </c>
      <c r="D104" s="121" t="inlineStr">
        <is>
          <t>duplicate public radio values in different groups do not conflict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DropdownMenu playground manual verification.</t>
        </is>
      </c>
      <c r="J104" s="121" t="n"/>
      <c r="K104" s="122">
        <f>IF(AND(E104="yes",F104="yes",H104="covered"),1,IF(H104="partial",0.5,0))</f>
        <v/>
      </c>
    </row>
    <row r="105" ht="31.5" customHeight="1" s="58">
      <c r="A105" s="120" t="n">
        <v>97</v>
      </c>
      <c r="B105" s="121" t="inlineStr">
        <is>
          <t>Public API</t>
        </is>
      </c>
      <c r="C105" s="121" t="inlineStr">
        <is>
          <t>Radio Group</t>
        </is>
      </c>
      <c r="D105" s="121" t="inlineStr">
        <is>
          <t>native className and data props pass through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DropdownMenu playground manual verification.</t>
        </is>
      </c>
      <c r="J105" s="121" t="n"/>
      <c r="K105" s="122">
        <f>IF(AND(E105="yes",F105="yes",H105="covered"),1,IF(H105="partial",0.5,0))</f>
        <v/>
      </c>
    </row>
    <row r="106" ht="31.5" customHeight="1" s="58">
      <c r="A106" s="120" t="n">
        <v>98</v>
      </c>
      <c r="B106" s="121" t="inlineStr">
        <is>
          <t>Public API</t>
        </is>
      </c>
      <c r="C106" s="121" t="inlineStr">
        <is>
          <t>Radio Item</t>
        </is>
      </c>
      <c r="D106" s="121" t="inlineStr">
        <is>
          <t>renders role menuitemradio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DropdownMenu playground manual verification.</t>
        </is>
      </c>
      <c r="J106" s="121" t="n"/>
      <c r="K106" s="122">
        <f>IF(AND(E106="yes",F106="yes",H106="covered"),1,IF(H106="partial",0.5,0))</f>
        <v/>
      </c>
    </row>
    <row r="107" ht="31.5" customHeight="1" s="58">
      <c r="A107" s="120" t="n">
        <v>99</v>
      </c>
      <c r="B107" s="121" t="inlineStr">
        <is>
          <t>Public API</t>
        </is>
      </c>
      <c r="C107" s="121" t="inlineStr">
        <is>
          <t>Radio Item</t>
        </is>
      </c>
      <c r="D107" s="121" t="inlineStr">
        <is>
          <t>checked item exposes aria-checked true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DropdownMenu playground manual verification.</t>
        </is>
      </c>
      <c r="J107" s="121" t="n"/>
      <c r="K107" s="122">
        <f>IF(AND(E107="yes",F107="yes",H107="covered"),1,IF(H107="partial",0.5,0))</f>
        <v/>
      </c>
    </row>
    <row r="108" ht="31.5" customHeight="1" s="58">
      <c r="A108" s="120" t="n">
        <v>100</v>
      </c>
      <c r="B108" s="121" t="inlineStr">
        <is>
          <t>Public API</t>
        </is>
      </c>
      <c r="C108" s="121" t="inlineStr">
        <is>
          <t>Radio Item</t>
        </is>
      </c>
      <c r="D108" s="121" t="inlineStr">
        <is>
          <t>unchecked item exposes aria-checked false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DropdownMenu playground manual verification.</t>
        </is>
      </c>
      <c r="J108" s="121" t="n"/>
      <c r="K108" s="122">
        <f>IF(AND(E108="yes",F108="yes",H108="covered"),1,IF(H108="partial",0.5,0))</f>
        <v/>
      </c>
    </row>
    <row r="109" ht="31.5" customHeight="1" s="58">
      <c r="A109" s="120" t="n">
        <v>101</v>
      </c>
      <c r="B109" s="121" t="inlineStr">
        <is>
          <t>Public API</t>
        </is>
      </c>
      <c r="C109" s="121" t="inlineStr">
        <is>
          <t>Radio Item</t>
        </is>
      </c>
      <c r="D109" s="121" t="inlineStr">
        <is>
          <t>checked item exposes data-checked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DropdownMenu playground manual verification.</t>
        </is>
      </c>
      <c r="J109" s="121" t="n"/>
      <c r="K109" s="122">
        <f>IF(AND(E109="yes",F109="yes",H109="covered"),1,IF(H109="partial",0.5,0))</f>
        <v/>
      </c>
    </row>
    <row r="110" ht="31.5" customHeight="1" s="58">
      <c r="A110" s="120" t="n">
        <v>102</v>
      </c>
      <c r="B110" s="121" t="inlineStr">
        <is>
          <t>Public API</t>
        </is>
      </c>
      <c r="C110" s="121" t="inlineStr">
        <is>
          <t>Radio Item</t>
        </is>
      </c>
      <c r="D110" s="121" t="inlineStr">
        <is>
          <t>value appears as data-value without internal group id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DropdownMenu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12" t="n">
        <v>103</v>
      </c>
      <c r="B111" s="113" t="inlineStr">
        <is>
          <t>Public API</t>
        </is>
      </c>
      <c r="C111" s="113" t="inlineStr">
        <is>
          <t>Radio Item</t>
        </is>
      </c>
      <c r="D111" s="113" t="inlineStr">
        <is>
          <t>disabled radio item receives real keyboard focus but cannot change selection</t>
        </is>
      </c>
      <c r="E111" s="114" t="inlineStr">
        <is>
          <t>yes</t>
        </is>
      </c>
      <c r="F111" s="115" t="inlineStr">
        <is>
          <t>no</t>
        </is>
      </c>
      <c r="G111" s="112" t="inlineStr">
        <is>
          <t>automated tests pass; manual pending</t>
        </is>
      </c>
      <c r="H111" s="116" t="inlineStr">
        <is>
          <t>untested</t>
        </is>
      </c>
      <c r="I111" s="113" t="inlineStr">
        <is>
          <t>playground/.manual-tests/dropdown-menu.md (draft)</t>
        </is>
      </c>
      <c r="J111" s="113" t="inlineStr">
        <is>
          <t>Run the updated component Manual Test Protocol and named browser/device matrix.</t>
        </is>
      </c>
      <c r="K111" s="117">
        <f>IF(AND(E111="yes",F111="yes",H111="covered"),1,IF(H111="partial",0.5,0))</f>
        <v/>
      </c>
    </row>
    <row r="112" ht="31.5" customHeight="1" s="58">
      <c r="A112" s="120" t="n">
        <v>104</v>
      </c>
      <c r="B112" s="121" t="inlineStr">
        <is>
          <t>Public API</t>
        </is>
      </c>
      <c r="C112" s="121" t="inlineStr">
        <is>
          <t>Radio Item</t>
        </is>
      </c>
      <c r="D112" s="121" t="inlineStr">
        <is>
          <t>default closeOnSelect false keeps menu open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DropdownMenu playground manual verification.</t>
        </is>
      </c>
      <c r="J112" s="121" t="n"/>
      <c r="K112" s="122">
        <f>IF(AND(E112="yes",F112="yes",H112="covered"),1,IF(H112="partial",0.5,0))</f>
        <v/>
      </c>
    </row>
    <row r="113" ht="31.5" customHeight="1" s="58">
      <c r="A113" s="120" t="n">
        <v>105</v>
      </c>
      <c r="B113" s="121" t="inlineStr">
        <is>
          <t>Public API</t>
        </is>
      </c>
      <c r="C113" s="121" t="inlineStr">
        <is>
          <t>Radio Item</t>
        </is>
      </c>
      <c r="D113" s="121" t="inlineStr">
        <is>
          <t>closeOnSelect true closes 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DropdownMenu playground manual verification.</t>
        </is>
      </c>
      <c r="J113" s="121" t="n"/>
      <c r="K113" s="122">
        <f>IF(AND(E113="yes",F113="yes",H113="covered"),1,IF(H113="partial",0.5,0))</f>
        <v/>
      </c>
    </row>
    <row r="114" ht="31.5" customHeight="1" s="58">
      <c r="A114" s="120" t="n">
        <v>106</v>
      </c>
      <c r="B114" s="121" t="inlineStr">
        <is>
          <t>Public API</t>
        </is>
      </c>
      <c r="C114" s="121" t="inlineStr">
        <is>
          <t>Radio Item</t>
        </is>
      </c>
      <c r="D114" s="121" t="inlineStr">
        <is>
          <t>textValue is used for typeahead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DropdownMenu playground manual verification.</t>
        </is>
      </c>
      <c r="J114" s="121" t="n"/>
      <c r="K114" s="122">
        <f>IF(AND(E114="yes",F114="yes",H114="covered"),1,IF(H114="partial",0.5,0))</f>
        <v/>
      </c>
    </row>
    <row r="115" ht="31.5" customHeight="1" s="58">
      <c r="A115" s="120" t="n">
        <v>107</v>
      </c>
      <c r="B115" s="121" t="inlineStr">
        <is>
          <t>Public API</t>
        </is>
      </c>
      <c r="C115" s="121" t="inlineStr">
        <is>
          <t>Group</t>
        </is>
      </c>
      <c r="D115" s="121" t="inlineStr">
        <is>
          <t>renders role group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DropdownMenu playground manual verification.</t>
        </is>
      </c>
      <c r="J115" s="121" t="n"/>
      <c r="K115" s="122">
        <f>IF(AND(E115="yes",F115="yes",H115="covered"),1,IF(H115="partial",0.5,0))</f>
        <v/>
      </c>
    </row>
    <row r="116" ht="31.5" customHeight="1" s="58">
      <c r="A116" s="120" t="n">
        <v>108</v>
      </c>
      <c r="B116" s="121" t="inlineStr">
        <is>
          <t>Public API</t>
        </is>
      </c>
      <c r="C116" s="121" t="inlineStr">
        <is>
          <t>Group</t>
        </is>
      </c>
      <c r="D116" s="121" t="inlineStr">
        <is>
          <t>data-slot is menu-group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DropdownMenu playground manual verification.</t>
        </is>
      </c>
      <c r="J116" s="121" t="n"/>
      <c r="K116" s="122">
        <f>IF(AND(E116="yes",F116="yes",H116="covered"),1,IF(H116="partial",0.5,0))</f>
        <v/>
      </c>
    </row>
    <row r="117" ht="31.5" customHeight="1" s="58">
      <c r="A117" s="120" t="n">
        <v>109</v>
      </c>
      <c r="B117" s="121" t="inlineStr">
        <is>
          <t>Public API</t>
        </is>
      </c>
      <c r="C117" s="121" t="inlineStr">
        <is>
          <t>Group</t>
        </is>
      </c>
      <c r="D117" s="121" t="inlineStr">
        <is>
          <t>native className and data props pass through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DropdownMenu playground manual verification.</t>
        </is>
      </c>
      <c r="J117" s="121" t="n"/>
      <c r="K117" s="122">
        <f>IF(AND(E117="yes",F117="yes",H117="covered"),1,IF(H117="partial",0.5,0))</f>
        <v/>
      </c>
    </row>
    <row r="118" ht="31.5" customHeight="1" s="58">
      <c r="A118" s="120" t="n">
        <v>110</v>
      </c>
      <c r="B118" s="121" t="inlineStr">
        <is>
          <t>Public API</t>
        </is>
      </c>
      <c r="C118" s="121" t="inlineStr">
        <is>
          <t>Separator</t>
        </is>
      </c>
      <c r="D118" s="121" t="inlineStr">
        <is>
          <t>renders role separator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DropdownMenu playground manual verification.</t>
        </is>
      </c>
      <c r="J118" s="121" t="n"/>
      <c r="K118" s="122">
        <f>IF(AND(E118="yes",F118="yes",H118="covered"),1,IF(H118="partial",0.5,0))</f>
        <v/>
      </c>
    </row>
    <row r="119" ht="31.5" customHeight="1" s="58">
      <c r="A119" s="120" t="n">
        <v>111</v>
      </c>
      <c r="B119" s="121" t="inlineStr">
        <is>
          <t>Public API</t>
        </is>
      </c>
      <c r="C119" s="121" t="inlineStr">
        <is>
          <t>Separator</t>
        </is>
      </c>
      <c r="D119" s="121" t="inlineStr">
        <is>
          <t>aria-orientation is horizontal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DropdownMenu playground manual verification.</t>
        </is>
      </c>
      <c r="J119" s="121" t="n"/>
      <c r="K119" s="122">
        <f>IF(AND(E119="yes",F119="yes",H119="covered"),1,IF(H119="partial",0.5,0))</f>
        <v/>
      </c>
    </row>
    <row r="120" ht="31.5" customHeight="1" s="58">
      <c r="A120" s="120" t="n">
        <v>112</v>
      </c>
      <c r="B120" s="121" t="inlineStr">
        <is>
          <t>Public API</t>
        </is>
      </c>
      <c r="C120" s="121" t="inlineStr">
        <is>
          <t>Separator</t>
        </is>
      </c>
      <c r="D120" s="121" t="inlineStr">
        <is>
          <t>data-slot is menu-separator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DropdownMenu playground manual verification.</t>
        </is>
      </c>
      <c r="J120" s="121" t="n"/>
      <c r="K120" s="122">
        <f>IF(AND(E120="yes",F120="yes",H120="covered"),1,IF(H120="partial",0.5,0))</f>
        <v/>
      </c>
    </row>
    <row r="121" ht="31.5" customHeight="1" s="58">
      <c r="A121" s="120" t="n">
        <v>113</v>
      </c>
      <c r="B121" s="121" t="inlineStr">
        <is>
          <t>Public API</t>
        </is>
      </c>
      <c r="C121" s="121" t="inlineStr">
        <is>
          <t>Separator</t>
        </is>
      </c>
      <c r="D121" s="121" t="inlineStr">
        <is>
          <t>is not keyboard highlightable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DropdownMenu playground manual verification.</t>
        </is>
      </c>
      <c r="J121" s="121" t="n"/>
      <c r="K121" s="122">
        <f>IF(AND(E121="yes",F121="yes",H121="covered"),1,IF(H121="partial",0.5,0))</f>
        <v/>
      </c>
    </row>
    <row r="122" ht="31.5" customHeight="1" s="58">
      <c r="A122" s="120" t="n">
        <v>114</v>
      </c>
      <c r="B122" s="121" t="inlineStr">
        <is>
          <t>Public API</t>
        </is>
      </c>
      <c r="C122" s="121" t="inlineStr">
        <is>
          <t>Sub</t>
        </is>
      </c>
      <c r="D122" s="121" t="inlineStr">
        <is>
          <t>defaultOpen initializes uncontrolled submenu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DropdownMenu playground manual verification.</t>
        </is>
      </c>
      <c r="J122" s="121" t="n"/>
      <c r="K122" s="122">
        <f>IF(AND(E122="yes",F122="yes",H122="covered"),1,IF(H122="partial",0.5,0))</f>
        <v/>
      </c>
    </row>
    <row r="123" ht="31.5" customHeight="1" s="58">
      <c r="A123" s="120" t="n">
        <v>115</v>
      </c>
      <c r="B123" s="121" t="inlineStr">
        <is>
          <t>Public API</t>
        </is>
      </c>
      <c r="C123" s="121" t="inlineStr">
        <is>
          <t>Sub</t>
        </is>
      </c>
      <c r="D123" s="121" t="inlineStr">
        <is>
          <t>open prop controls submenu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DropdownMenu playground manual verification.</t>
        </is>
      </c>
      <c r="J123" s="121" t="n"/>
      <c r="K123" s="122">
        <f>IF(AND(E123="yes",F123="yes",H123="covered"),1,IF(H123="partial",0.5,0))</f>
        <v/>
      </c>
    </row>
    <row r="124" ht="31.5" customHeight="1" s="58">
      <c r="A124" s="120" t="n">
        <v>116</v>
      </c>
      <c r="B124" s="121" t="inlineStr">
        <is>
          <t>Public API</t>
        </is>
      </c>
      <c r="C124" s="121" t="inlineStr">
        <is>
          <t>Sub</t>
        </is>
      </c>
      <c r="D124" s="121" t="inlineStr">
        <is>
          <t>onOpenChange fires for controlled submenu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DropdownMenu playground manual verification.</t>
        </is>
      </c>
      <c r="J124" s="121" t="n"/>
      <c r="K124" s="122">
        <f>IF(AND(E124="yes",F124="yes",H124="covered"),1,IF(H124="partial",0.5,0))</f>
        <v/>
      </c>
    </row>
    <row r="125" ht="31.5" customHeight="1" s="58">
      <c r="A125" s="120" t="n">
        <v>117</v>
      </c>
      <c r="B125" s="121" t="inlineStr">
        <is>
          <t>Public API</t>
        </is>
      </c>
      <c r="C125" s="121" t="inlineStr">
        <is>
          <t>Sub</t>
        </is>
      </c>
      <c r="D125" s="121" t="inlineStr">
        <is>
          <t>only one uncontrolled submenu is open at a time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DropdownMenu playground manual verification.</t>
        </is>
      </c>
      <c r="J125" s="121" t="n"/>
      <c r="K125" s="122">
        <f>IF(AND(E125="yes",F125="yes",H125="covered"),1,IF(H125="partial",0.5,0))</f>
        <v/>
      </c>
    </row>
    <row r="126" ht="31.5" customHeight="1" s="58">
      <c r="A126" s="120" t="n">
        <v>118</v>
      </c>
      <c r="B126" s="121" t="inlineStr">
        <is>
          <t>Public API</t>
        </is>
      </c>
      <c r="C126" s="121" t="inlineStr">
        <is>
          <t>Sub Trigger</t>
        </is>
      </c>
      <c r="D126" s="121" t="inlineStr">
        <is>
          <t>renders role menuitem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DropdownMenu playground manual verification.</t>
        </is>
      </c>
      <c r="J126" s="121" t="n"/>
      <c r="K126" s="122">
        <f>IF(AND(E126="yes",F126="yes",H126="covered"),1,IF(H126="partial",0.5,0))</f>
        <v/>
      </c>
    </row>
    <row r="127" ht="31.5" customHeight="1" s="58">
      <c r="A127" s="120" t="n">
        <v>119</v>
      </c>
      <c r="B127" s="121" t="inlineStr">
        <is>
          <t>Public API</t>
        </is>
      </c>
      <c r="C127" s="121" t="inlineStr">
        <is>
          <t>Sub Trigger</t>
        </is>
      </c>
      <c r="D127" s="121" t="inlineStr">
        <is>
          <t>aria-haspopup is menu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DropdownMenu playground manual verification.</t>
        </is>
      </c>
      <c r="J127" s="121" t="n"/>
      <c r="K127" s="122">
        <f>IF(AND(E127="yes",F127="yes",H127="covered"),1,IF(H127="partial",0.5,0))</f>
        <v/>
      </c>
    </row>
    <row r="128" ht="31.5" customHeight="1" s="58">
      <c r="A128" s="120" t="n">
        <v>120</v>
      </c>
      <c r="B128" s="121" t="inlineStr">
        <is>
          <t>Public API</t>
        </is>
      </c>
      <c r="C128" s="121" t="inlineStr">
        <is>
          <t>Sub Trigger</t>
        </is>
      </c>
      <c r="D128" s="121" t="inlineStr">
        <is>
          <t>aria-expanded reflects submenu open state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DropdownMenu playground manual verification.</t>
        </is>
      </c>
      <c r="J128" s="121" t="n"/>
      <c r="K128" s="122">
        <f>IF(AND(E128="yes",F128="yes",H128="covered"),1,IF(H128="partial",0.5,0))</f>
        <v/>
      </c>
    </row>
    <row r="129" ht="31.5" customHeight="1" s="58">
      <c r="A129" s="120" t="n">
        <v>121</v>
      </c>
      <c r="B129" s="121" t="inlineStr">
        <is>
          <t>Public API</t>
        </is>
      </c>
      <c r="C129" s="121" t="inlineStr">
        <is>
          <t>Sub Trigger</t>
        </is>
      </c>
      <c r="D129" s="121" t="inlineStr">
        <is>
          <t>data-state reflects submenu state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DropdownMenu playground manual verification.</t>
        </is>
      </c>
      <c r="J129" s="121" t="n"/>
      <c r="K129" s="122">
        <f>IF(AND(E129="yes",F129="yes",H129="covered"),1,IF(H129="partial",0.5,0))</f>
        <v/>
      </c>
    </row>
    <row r="130" ht="31.5" customHeight="1" s="58">
      <c r="A130" s="120" t="n">
        <v>122</v>
      </c>
      <c r="B130" s="121" t="inlineStr">
        <is>
          <t>Public API</t>
        </is>
      </c>
      <c r="C130" s="121" t="inlineStr">
        <is>
          <t>Sub Trigger</t>
        </is>
      </c>
      <c r="D130" s="121" t="inlineStr">
        <is>
          <t>data-slot is menu-sub-trigger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DropdownMenu playground manual verification.</t>
        </is>
      </c>
      <c r="J130" s="121" t="n"/>
      <c r="K130" s="122">
        <f>IF(AND(E130="yes",F130="yes",H130="covered"),1,IF(H130="partial",0.5,0))</f>
        <v/>
      </c>
    </row>
    <row r="131" ht="31.5" customHeight="1" s="58">
      <c r="A131" s="120" t="n">
        <v>123</v>
      </c>
      <c r="B131" s="121" t="inlineStr">
        <is>
          <t>Public API</t>
        </is>
      </c>
      <c r="C131" s="121" t="inlineStr">
        <is>
          <t>Sub Trigger</t>
        </is>
      </c>
      <c r="D131" s="121" t="inlineStr">
        <is>
          <t>hover opens submenu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DropdownMenu playground manual verification.</t>
        </is>
      </c>
      <c r="J131" s="121" t="n"/>
      <c r="K131" s="122">
        <f>IF(AND(E131="yes",F131="yes",H131="covered"),1,IF(H131="partial",0.5,0))</f>
        <v/>
      </c>
    </row>
    <row r="132" ht="31.5" customHeight="1" s="58">
      <c r="A132" s="120" t="n">
        <v>124</v>
      </c>
      <c r="B132" s="121" t="inlineStr">
        <is>
          <t>Public API</t>
        </is>
      </c>
      <c r="C132" s="121" t="inlineStr">
        <is>
          <t>Sub Trigger</t>
        </is>
      </c>
      <c r="D132" s="121" t="inlineStr">
        <is>
          <t>click toggles submenu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DropdownMenu playground manual verification.</t>
        </is>
      </c>
      <c r="J132" s="121" t="n"/>
      <c r="K132" s="122">
        <f>IF(AND(E132="yes",F132="yes",H132="covered"),1,IF(H132="partial",0.5,0))</f>
        <v/>
      </c>
    </row>
    <row r="133" ht="31.5" customHeight="1" s="58">
      <c r="A133" s="120" t="n">
        <v>125</v>
      </c>
      <c r="B133" s="121" t="inlineStr">
        <is>
          <t>Public API</t>
        </is>
      </c>
      <c r="C133" s="121" t="inlineStr">
        <is>
          <t>Sub Trigger</t>
        </is>
      </c>
      <c r="D133" s="121" t="inlineStr">
        <is>
          <t>ArrowRight opens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DropdownMenu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Public API</t>
        </is>
      </c>
      <c r="C134" s="113" t="inlineStr">
        <is>
          <t>Sub Trigger</t>
        </is>
      </c>
      <c r="D134" s="113" t="inlineStr">
        <is>
          <t>disabled sub trigger receives real keyboard focus but cannot open its submenu</t>
        </is>
      </c>
      <c r="E134" s="114" t="inlineStr">
        <is>
          <t>yes</t>
        </is>
      </c>
      <c r="F134" s="115" t="inlineStr">
        <is>
          <t>no</t>
        </is>
      </c>
      <c r="G134" s="112" t="inlineStr">
        <is>
          <t>automated tests pass; manual pending</t>
        </is>
      </c>
      <c r="H134" s="116" t="inlineStr">
        <is>
          <t>untested</t>
        </is>
      </c>
      <c r="I134" s="113" t="inlineStr">
        <is>
          <t>playground/.manual-tests/dropdown-menu.md (draft)</t>
        </is>
      </c>
      <c r="J134" s="113" t="inlineStr">
        <is>
          <t>Run the updated component Manual Test Protocol and named browser/device matrix.</t>
        </is>
      </c>
      <c r="K134" s="117">
        <f>IF(AND(E134="yes",F134="yes",H134="covered"),1,IF(H134="partial",0.5,0))</f>
        <v/>
      </c>
    </row>
    <row r="135" ht="31.5" customHeight="1" s="58">
      <c r="A135" s="120" t="n">
        <v>127</v>
      </c>
      <c r="B135" s="121" t="inlineStr">
        <is>
          <t>Public API</t>
        </is>
      </c>
      <c r="C135" s="121" t="inlineStr">
        <is>
          <t>Sub Trigger</t>
        </is>
      </c>
      <c r="D135" s="121" t="inlineStr">
        <is>
          <t>textValue is used for typeahead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DropdownMenu playground manual verification.</t>
        </is>
      </c>
      <c r="J135" s="121" t="n"/>
      <c r="K135" s="122">
        <f>IF(AND(E135="yes",F135="yes",H135="covered"),1,IF(H135="partial",0.5,0))</f>
        <v/>
      </c>
    </row>
    <row r="136" ht="31.5" customHeight="1" s="58">
      <c r="A136" s="120" t="n">
        <v>128</v>
      </c>
      <c r="B136" s="121" t="inlineStr">
        <is>
          <t>Public API</t>
        </is>
      </c>
      <c r="C136" s="121" t="inlineStr">
        <is>
          <t>Sub Content</t>
        </is>
      </c>
      <c r="D136" s="121" t="inlineStr">
        <is>
          <t>renders role menu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DropdownMenu playground manual verification.</t>
        </is>
      </c>
      <c r="J136" s="121" t="n"/>
      <c r="K136" s="122">
        <f>IF(AND(E136="yes",F136="yes",H136="covered"),1,IF(H136="partial",0.5,0))</f>
        <v/>
      </c>
    </row>
    <row r="137" ht="31.5" customHeight="1" s="58">
      <c r="A137" s="120" t="n">
        <v>129</v>
      </c>
      <c r="B137" s="121" t="inlineStr">
        <is>
          <t>Public API</t>
        </is>
      </c>
      <c r="C137" s="121" t="inlineStr">
        <is>
          <t>Sub Content</t>
        </is>
      </c>
      <c r="D137" s="121" t="inlineStr">
        <is>
          <t>aria-label prop names submenu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DropdownMenu playground manual verification.</t>
        </is>
      </c>
      <c r="J137" s="121" t="n"/>
      <c r="K137" s="122">
        <f>IF(AND(E137="yes",F137="yes",H137="covered"),1,IF(H137="partial",0.5,0))</f>
        <v/>
      </c>
    </row>
    <row r="138" ht="31.5" customHeight="1" s="58">
      <c r="A138" s="120" t="n">
        <v>130</v>
      </c>
      <c r="B138" s="121" t="inlineStr">
        <is>
          <t>Public API</t>
        </is>
      </c>
      <c r="C138" s="121" t="inlineStr">
        <is>
          <t>Sub Content</t>
        </is>
      </c>
      <c r="D138" s="121" t="inlineStr">
        <is>
          <t>aria-labelledby references sub trigger when ariaLabel is absent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DropdownMenu playground manual verification.</t>
        </is>
      </c>
      <c r="J138" s="121" t="n"/>
      <c r="K138" s="122">
        <f>IF(AND(E138="yes",F138="yes",H138="covered"),1,IF(H138="partial",0.5,0))</f>
        <v/>
      </c>
    </row>
    <row r="139" ht="31.5" customHeight="1" s="58">
      <c r="A139" s="120" t="n">
        <v>131</v>
      </c>
      <c r="B139" s="121" t="inlineStr">
        <is>
          <t>Public API</t>
        </is>
      </c>
      <c r="C139" s="121" t="inlineStr">
        <is>
          <t>Sub Content</t>
        </is>
      </c>
      <c r="D139" s="121" t="inlineStr">
        <is>
          <t>data-slot is menu-sub-content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DropdownMenu playground manual verification.</t>
        </is>
      </c>
      <c r="J139" s="121" t="n"/>
      <c r="K139" s="122">
        <f>IF(AND(E139="yes",F139="yes",H139="covered"),1,IF(H139="partial",0.5,0))</f>
        <v/>
      </c>
    </row>
    <row r="140" ht="31.5" customHeight="1" s="58">
      <c r="A140" s="120" t="n">
        <v>132</v>
      </c>
      <c r="B140" s="121" t="inlineStr">
        <is>
          <t>Public API</t>
        </is>
      </c>
      <c r="C140" s="121" t="inlineStr">
        <is>
          <t>Sub Content</t>
        </is>
      </c>
      <c r="D140" s="121" t="inlineStr">
        <is>
          <t>data-state is open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DropdownMenu playground manual verification.</t>
        </is>
      </c>
      <c r="J140" s="121" t="n"/>
      <c r="K140" s="122">
        <f>IF(AND(E140="yes",F140="yes",H140="covered"),1,IF(H140="partial",0.5,0))</f>
        <v/>
      </c>
    </row>
    <row r="141" ht="31.5" customHeight="1" s="58">
      <c r="A141" s="120" t="n">
        <v>133</v>
      </c>
      <c r="B141" s="121" t="inlineStr">
        <is>
          <t>Public API</t>
        </is>
      </c>
      <c r="C141" s="121" t="inlineStr">
        <is>
          <t>Sub Content</t>
        </is>
      </c>
      <c r="D141" s="121" t="inlineStr">
        <is>
          <t>data-side reflects final placement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DropdownMenu playground manual verification.</t>
        </is>
      </c>
      <c r="J141" s="121" t="n"/>
      <c r="K141" s="122">
        <f>IF(AND(E141="yes",F141="yes",H141="covered"),1,IF(H141="partial",0.5,0))</f>
        <v/>
      </c>
    </row>
    <row r="142" ht="31.5" customHeight="1" s="58">
      <c r="A142" s="120" t="n">
        <v>134</v>
      </c>
      <c r="B142" s="121" t="inlineStr">
        <is>
          <t>Public API</t>
        </is>
      </c>
      <c r="C142" s="121" t="inlineStr">
        <is>
          <t>Sub Content</t>
        </is>
      </c>
      <c r="D142" s="121" t="inlineStr">
        <is>
          <t>data-positioned appears after positioning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DropdownMenu playground manual verification.</t>
        </is>
      </c>
      <c r="J142" s="121" t="n"/>
      <c r="K142" s="122">
        <f>IF(AND(E142="yes",F142="yes",H142="covered"),1,IF(H142="partial",0.5,0))</f>
        <v/>
      </c>
    </row>
    <row r="143" ht="31.5" customHeight="1" s="58">
      <c r="A143" s="120" t="n">
        <v>135</v>
      </c>
      <c r="B143" s="121" t="inlineStr">
        <is>
          <t>Public API</t>
        </is>
      </c>
      <c r="C143" s="121" t="inlineStr">
        <is>
          <t>Sub Content</t>
        </is>
      </c>
      <c r="D143" s="121" t="inlineStr">
        <is>
          <t>sideOffset changes submenu distance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DropdownMenu playground manual verification.</t>
        </is>
      </c>
      <c r="J143" s="121" t="n"/>
      <c r="K143" s="122">
        <f>IF(AND(E143="yes",F143="yes",H143="covered"),1,IF(H143="partial",0.5,0))</f>
        <v/>
      </c>
    </row>
    <row r="144" ht="31.5" customHeight="1" s="58">
      <c r="A144" s="120" t="n">
        <v>136</v>
      </c>
      <c r="B144" s="121" t="inlineStr">
        <is>
          <t>Public API</t>
        </is>
      </c>
      <c r="C144" s="121" t="inlineStr">
        <is>
          <t>Sub Content</t>
        </is>
      </c>
      <c r="D144" s="121" t="inlineStr">
        <is>
          <t>loop prop controls submenu wrapping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DropdownMenu playground manual verification.</t>
        </is>
      </c>
      <c r="J144" s="121" t="n"/>
      <c r="K144" s="122">
        <f>IF(AND(E144="yes",F144="yes",H144="covered"),1,IF(H144="partial",0.5,0))</f>
        <v/>
      </c>
    </row>
    <row r="145" ht="31.5" customHeight="1" s="58">
      <c r="A145" s="120" t="n">
        <v>137</v>
      </c>
      <c r="B145" s="121" t="inlineStr">
        <is>
          <t>Interaction</t>
        </is>
      </c>
      <c r="C145" s="121" t="inlineStr">
        <is>
          <t>Open And Close</t>
        </is>
      </c>
      <c r="D145" s="121" t="inlineStr">
        <is>
          <t>trigger click opens menu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DropdownMenu playground manual verification.</t>
        </is>
      </c>
      <c r="J145" s="121" t="n"/>
      <c r="K145" s="122">
        <f>IF(AND(E145="yes",F145="yes",H145="covered"),1,IF(H145="partial",0.5,0))</f>
        <v/>
      </c>
    </row>
    <row r="146" ht="31.5" customHeight="1" s="58">
      <c r="A146" s="120" t="n">
        <v>138</v>
      </c>
      <c r="B146" s="121" t="inlineStr">
        <is>
          <t>Interaction</t>
        </is>
      </c>
      <c r="C146" s="121" t="inlineStr">
        <is>
          <t>Open And Close</t>
        </is>
      </c>
      <c r="D146" s="121" t="inlineStr">
        <is>
          <t>trigger click closes open menu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DropdownMenu playground manual verification.</t>
        </is>
      </c>
      <c r="J146" s="121" t="n"/>
      <c r="K146" s="122">
        <f>IF(AND(E146="yes",F146="yes",H146="covered"),1,IF(H146="partial",0.5,0))</f>
        <v/>
      </c>
    </row>
    <row r="147" ht="31.5" customHeight="1" s="58">
      <c r="A147" s="120" t="n">
        <v>139</v>
      </c>
      <c r="B147" s="121" t="inlineStr">
        <is>
          <t>Interaction</t>
        </is>
      </c>
      <c r="C147" s="121" t="inlineStr">
        <is>
          <t>Open And Close</t>
        </is>
      </c>
      <c r="D147" s="121" t="inlineStr">
        <is>
          <t>controlled open button opens menu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DropdownMenu playground manual verification.</t>
        </is>
      </c>
      <c r="J147" s="121" t="n"/>
      <c r="K147" s="122">
        <f>IF(AND(E147="yes",F147="yes",H147="covered"),1,IF(H147="partial",0.5,0))</f>
        <v/>
      </c>
    </row>
    <row r="148" ht="31.5" customHeight="1" s="58">
      <c r="A148" s="120" t="n">
        <v>140</v>
      </c>
      <c r="B148" s="121" t="inlineStr">
        <is>
          <t>Interaction</t>
        </is>
      </c>
      <c r="C148" s="121" t="inlineStr">
        <is>
          <t>Open And Close</t>
        </is>
      </c>
      <c r="D148" s="121" t="inlineStr">
        <is>
          <t>controlled close button closes menu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DropdownMenu playground manual verification.</t>
        </is>
      </c>
      <c r="J148" s="121" t="n"/>
      <c r="K148" s="122">
        <f>IF(AND(E148="yes",F148="yes",H148="covered"),1,IF(H148="partial",0.5,0))</f>
        <v/>
      </c>
    </row>
    <row r="149" ht="31.5" customHeight="1" s="58">
      <c r="A149" s="120" t="n">
        <v>141</v>
      </c>
      <c r="B149" s="121" t="inlineStr">
        <is>
          <t>Interaction</t>
        </is>
      </c>
      <c r="C149" s="121" t="inlineStr">
        <is>
          <t>Open And Close</t>
        </is>
      </c>
      <c r="D149" s="121" t="inlineStr">
        <is>
          <t>outside click closes menu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DropdownMenu playground manual verification.</t>
        </is>
      </c>
      <c r="J149" s="121" t="n"/>
      <c r="K149" s="122">
        <f>IF(AND(E149="yes",F149="yes",H149="covered"),1,IF(H149="partial",0.5,0))</f>
        <v/>
      </c>
    </row>
    <row r="150" ht="31.5" customHeight="1" s="58">
      <c r="A150" s="120" t="n">
        <v>142</v>
      </c>
      <c r="B150" s="121" t="inlineStr">
        <is>
          <t>Interaction</t>
        </is>
      </c>
      <c r="C150" s="121" t="inlineStr">
        <is>
          <t>Open And Close</t>
        </is>
      </c>
      <c r="D150" s="121" t="inlineStr">
        <is>
          <t>outside click closes submenu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DropdownMenu playground manual verification.</t>
        </is>
      </c>
      <c r="J150" s="121" t="n"/>
      <c r="K150" s="122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Interaction</t>
        </is>
      </c>
      <c r="C151" s="113" t="inlineStr">
        <is>
          <t>Open And Close</t>
        </is>
      </c>
      <c r="D151" s="113" t="inlineStr">
        <is>
          <t>Tab closes every menu level and moves focus after the complete DropdownMenu owner boundary</t>
        </is>
      </c>
      <c r="E151" s="114" t="inlineStr">
        <is>
          <t>yes</t>
        </is>
      </c>
      <c r="F151" s="115" t="inlineStr">
        <is>
          <t>no</t>
        </is>
      </c>
      <c r="G151" s="112" t="inlineStr">
        <is>
          <t>automated tests pass; manual pending</t>
        </is>
      </c>
      <c r="H151" s="116" t="inlineStr">
        <is>
          <t>untested</t>
        </is>
      </c>
      <c r="I151" s="113" t="inlineStr">
        <is>
          <t>playground/.manual-tests/dropdown-menu.md (draft)</t>
        </is>
      </c>
      <c r="J151" s="113" t="inlineStr">
        <is>
          <t>Run the updated component Manual Test Protocol and named browser/device matrix.</t>
        </is>
      </c>
      <c r="K151" s="117">
        <f>IF(AND(E151="yes",F151="yes",H151="covered"),1,IF(H151="partial",0.5,0))</f>
        <v/>
      </c>
    </row>
    <row r="152" ht="31.5" customHeight="1" s="58">
      <c r="A152" s="120" t="n">
        <v>144</v>
      </c>
      <c r="B152" s="121" t="inlineStr">
        <is>
          <t>Interaction</t>
        </is>
      </c>
      <c r="C152" s="121" t="inlineStr">
        <is>
          <t>Open And Close</t>
        </is>
      </c>
      <c r="D152" s="121" t="inlineStr">
        <is>
          <t>Escape closes root menu and returns focus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DropdownMenu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12" t="n">
        <v>145</v>
      </c>
      <c r="B153" s="113" t="inlineStr">
        <is>
          <t>Interaction</t>
        </is>
      </c>
      <c r="C153" s="113" t="inlineStr">
        <is>
          <t>Open And Close</t>
        </is>
      </c>
      <c r="D153" s="113" t="inlineStr">
        <is>
          <t>Escape closes the innermost submenu first and restores real focus to its SubTrigger</t>
        </is>
      </c>
      <c r="E153" s="114" t="inlineStr">
        <is>
          <t>yes</t>
        </is>
      </c>
      <c r="F153" s="115" t="inlineStr">
        <is>
          <t>no</t>
        </is>
      </c>
      <c r="G153" s="112" t="inlineStr">
        <is>
          <t>automated tests pass; manual pending</t>
        </is>
      </c>
      <c r="H153" s="116" t="inlineStr">
        <is>
          <t>untested</t>
        </is>
      </c>
      <c r="I153" s="113" t="inlineStr">
        <is>
          <t>playground/.manual-tests/dropdown-menu.md (draft)</t>
        </is>
      </c>
      <c r="J153" s="113" t="inlineStr">
        <is>
          <t>Run the updated component Manual Test Protocol and named browser/device matrix.</t>
        </is>
      </c>
      <c r="K153" s="117">
        <f>IF(AND(E153="yes",F153="yes",H153="covered"),1,IF(H153="partial",0.5,0))</f>
        <v/>
      </c>
    </row>
    <row r="154" ht="31.5" customHeight="1" s="58">
      <c r="A154" s="120" t="n">
        <v>146</v>
      </c>
      <c r="B154" s="121" t="inlineStr">
        <is>
          <t>Interaction</t>
        </is>
      </c>
      <c r="C154" s="121" t="inlineStr">
        <is>
          <t>Open And Close</t>
        </is>
      </c>
      <c r="D154" s="121" t="inlineStr">
        <is>
          <t>selecting action item closes menu when enabled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DropdownMenu playground manual verification.</t>
        </is>
      </c>
      <c r="J154" s="121" t="n"/>
      <c r="K154" s="122">
        <f>IF(AND(E154="yes",F154="yes",H154="covered"),1,IF(H154="partial",0.5,0))</f>
        <v/>
      </c>
    </row>
    <row r="155" ht="31.5" customHeight="1" s="58">
      <c r="A155" s="120" t="n">
        <v>147</v>
      </c>
      <c r="B155" s="121" t="inlineStr">
        <is>
          <t>Interaction</t>
        </is>
      </c>
      <c r="C155" s="121" t="inlineStr">
        <is>
          <t>Open And Close</t>
        </is>
      </c>
      <c r="D155" s="121" t="inlineStr">
        <is>
          <t>selecting checkbox/radio stays open by default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DropdownMenu playground manual verification.</t>
        </is>
      </c>
      <c r="J155" s="121" t="n"/>
      <c r="K155" s="122">
        <f>IF(AND(E155="yes",F155="yes",H155="covered"),1,IF(H155="partial",0.5,0))</f>
        <v/>
      </c>
    </row>
    <row r="156" ht="31.5" customHeight="1" s="58">
      <c r="A156" s="120" t="n">
        <v>148</v>
      </c>
      <c r="B156" s="121" t="inlineStr">
        <is>
          <t>Interaction</t>
        </is>
      </c>
      <c r="C156" s="121" t="inlineStr">
        <is>
          <t>Open And Close</t>
        </is>
      </c>
      <c r="D156" s="121" t="inlineStr">
        <is>
          <t>selecting submenu item closes submenu and parent menu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DropdownMenu playground manual verification.</t>
        </is>
      </c>
      <c r="J156" s="121" t="n"/>
      <c r="K156" s="122">
        <f>IF(AND(E156="yes",F156="yes",H156="covered"),1,IF(H156="partial",0.5,0))</f>
        <v/>
      </c>
    </row>
    <row r="157" ht="31.5" customHeight="1" s="58">
      <c r="A157" s="120" t="n">
        <v>149</v>
      </c>
      <c r="B157" s="121" t="inlineStr">
        <is>
          <t>Keyboard</t>
        </is>
      </c>
      <c r="C157" s="121" t="inlineStr">
        <is>
          <t>Navigation</t>
        </is>
      </c>
      <c r="D157" s="121" t="inlineStr">
        <is>
          <t>ArrowDown opens from trigger and highlights first enabled item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DropdownMenu playground manual verification.</t>
        </is>
      </c>
      <c r="J157" s="121" t="n"/>
      <c r="K157" s="122">
        <f>IF(AND(E157="yes",F157="yes",H157="covered"),1,IF(H157="partial",0.5,0))</f>
        <v/>
      </c>
    </row>
    <row r="158" ht="31.5" customHeight="1" s="58">
      <c r="A158" s="120" t="n">
        <v>150</v>
      </c>
      <c r="B158" s="121" t="inlineStr">
        <is>
          <t>Keyboard</t>
        </is>
      </c>
      <c r="C158" s="121" t="inlineStr">
        <is>
          <t>Navigation</t>
        </is>
      </c>
      <c r="D158" s="121" t="inlineStr">
        <is>
          <t>ArrowUp opens from trigger and highlights last enabled item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DropdownMenu playground manual verification.</t>
        </is>
      </c>
      <c r="J158" s="121" t="n"/>
      <c r="K158" s="122">
        <f>IF(AND(E158="yes",F158="yes",H158="covered"),1,IF(H158="partial",0.5,0))</f>
        <v/>
      </c>
    </row>
    <row r="159" ht="31.5" customHeight="1" s="58">
      <c r="A159" s="120" t="n">
        <v>151</v>
      </c>
      <c r="B159" s="121" t="inlineStr">
        <is>
          <t>Keyboard</t>
        </is>
      </c>
      <c r="C159" s="121" t="inlineStr">
        <is>
          <t>Navigation</t>
        </is>
      </c>
      <c r="D159" s="121" t="inlineStr">
        <is>
          <t>Enter opens from trigger and highlights first enabled item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DropdownMenu playground manual verification.</t>
        </is>
      </c>
      <c r="J159" s="121" t="n"/>
      <c r="K159" s="122">
        <f>IF(AND(E159="yes",F159="yes",H159="covered"),1,IF(H159="partial",0.5,0))</f>
        <v/>
      </c>
    </row>
    <row r="160" ht="31.5" customHeight="1" s="58">
      <c r="A160" s="120" t="n">
        <v>152</v>
      </c>
      <c r="B160" s="121" t="inlineStr">
        <is>
          <t>Keyboard</t>
        </is>
      </c>
      <c r="C160" s="121" t="inlineStr">
        <is>
          <t>Navigation</t>
        </is>
      </c>
      <c r="D160" s="121" t="inlineStr">
        <is>
          <t>Space opens from trigger and highlights first enabled item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DropdownMenu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12" t="n">
        <v>153</v>
      </c>
      <c r="B161" s="113" t="inlineStr">
        <is>
          <t>Keyboard</t>
        </is>
      </c>
      <c r="C161" s="113" t="inlineStr">
        <is>
          <t>Navigation</t>
        </is>
      </c>
      <c r="D161" s="113" t="inlineStr">
        <is>
          <t>ArrowDown moves real focus to the next item, including disabled items</t>
        </is>
      </c>
      <c r="E161" s="114" t="inlineStr">
        <is>
          <t>yes</t>
        </is>
      </c>
      <c r="F161" s="115" t="inlineStr">
        <is>
          <t>no</t>
        </is>
      </c>
      <c r="G161" s="112" t="inlineStr">
        <is>
          <t>automated tests pass; manual pending</t>
        </is>
      </c>
      <c r="H161" s="116" t="inlineStr">
        <is>
          <t>untested</t>
        </is>
      </c>
      <c r="I161" s="113" t="inlineStr">
        <is>
          <t>playground/.manual-tests/dropdown-menu.md (draft)</t>
        </is>
      </c>
      <c r="J161" s="113" t="inlineStr">
        <is>
          <t>Run the updated component Manual Test Protocol and named browser/device matrix.</t>
        </is>
      </c>
      <c r="K161" s="117">
        <f>IF(AND(E161="yes",F161="yes",H161="covered"),1,IF(H161="partial",0.5,0))</f>
        <v/>
      </c>
    </row>
    <row r="162" ht="30" customHeight="1" s="58">
      <c r="A162" s="112" t="n">
        <v>154</v>
      </c>
      <c r="B162" s="113" t="inlineStr">
        <is>
          <t>Keyboard</t>
        </is>
      </c>
      <c r="C162" s="113" t="inlineStr">
        <is>
          <t>Navigation</t>
        </is>
      </c>
      <c r="D162" s="113" t="inlineStr">
        <is>
          <t>ArrowUp moves real focus to the previous item, including disabled items</t>
        </is>
      </c>
      <c r="E162" s="114" t="inlineStr">
        <is>
          <t>yes</t>
        </is>
      </c>
      <c r="F162" s="115" t="inlineStr">
        <is>
          <t>no</t>
        </is>
      </c>
      <c r="G162" s="112" t="inlineStr">
        <is>
          <t>automated tests pass; manual pending</t>
        </is>
      </c>
      <c r="H162" s="116" t="inlineStr">
        <is>
          <t>untested</t>
        </is>
      </c>
      <c r="I162" s="113" t="inlineStr">
        <is>
          <t>playground/.manual-tests/dropdown-menu.md (draft)</t>
        </is>
      </c>
      <c r="J162" s="113" t="inlineStr">
        <is>
          <t>Run the updated component Manual Test Protocol and named browser/device matrix.</t>
        </is>
      </c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Keyboard</t>
        </is>
      </c>
      <c r="C163" s="113" t="inlineStr">
        <is>
          <t>Navigation</t>
        </is>
      </c>
      <c r="D163" s="113" t="inlineStr">
        <is>
          <t>Home moves real focus to the first item</t>
        </is>
      </c>
      <c r="E163" s="114" t="inlineStr">
        <is>
          <t>yes</t>
        </is>
      </c>
      <c r="F163" s="115" t="inlineStr">
        <is>
          <t>no</t>
        </is>
      </c>
      <c r="G163" s="112" t="inlineStr">
        <is>
          <t>automated tests pass; manual pending</t>
        </is>
      </c>
      <c r="H163" s="116" t="inlineStr">
        <is>
          <t>untested</t>
        </is>
      </c>
      <c r="I163" s="113" t="inlineStr">
        <is>
          <t>playground/.manual-tests/dropdown-menu.md (draft)</t>
        </is>
      </c>
      <c r="J163" s="113" t="inlineStr">
        <is>
          <t>Run the updated component Manual Test Protocol and named browser/device matrix.</t>
        </is>
      </c>
      <c r="K163" s="117">
        <f>IF(AND(E163="yes",F163="yes",H163="covered"),1,IF(H163="partial",0.5,0))</f>
        <v/>
      </c>
    </row>
    <row r="164" ht="30" customHeight="1" s="58">
      <c r="A164" s="112" t="n">
        <v>156</v>
      </c>
      <c r="B164" s="113" t="inlineStr">
        <is>
          <t>Keyboard</t>
        </is>
      </c>
      <c r="C164" s="113" t="inlineStr">
        <is>
          <t>Navigation</t>
        </is>
      </c>
      <c r="D164" s="113" t="inlineStr">
        <is>
          <t>End moves real focus to the last item</t>
        </is>
      </c>
      <c r="E164" s="114" t="inlineStr">
        <is>
          <t>yes</t>
        </is>
      </c>
      <c r="F164" s="115" t="inlineStr">
        <is>
          <t>no</t>
        </is>
      </c>
      <c r="G164" s="112" t="inlineStr">
        <is>
          <t>automated tests pass; manual pending</t>
        </is>
      </c>
      <c r="H164" s="116" t="inlineStr">
        <is>
          <t>untested</t>
        </is>
      </c>
      <c r="I164" s="113" t="inlineStr">
        <is>
          <t>playground/.manual-tests/dropdown-menu.md (draft)</t>
        </is>
      </c>
      <c r="J164" s="113" t="inlineStr">
        <is>
          <t>Run the updated component Manual Test Protocol and named browser/device matrix.</t>
        </is>
      </c>
      <c r="K164" s="117">
        <f>IF(AND(E164="yes",F164="yes",H164="covered"),1,IF(H164="partial",0.5,0))</f>
        <v/>
      </c>
    </row>
    <row r="165" ht="31.5" customHeight="1" s="58">
      <c r="A165" s="120" t="n">
        <v>157</v>
      </c>
      <c r="B165" s="121" t="inlineStr">
        <is>
          <t>Keyboard</t>
        </is>
      </c>
      <c r="C165" s="121" t="inlineStr">
        <is>
          <t>Navigation</t>
        </is>
      </c>
      <c r="D165" s="121" t="inlineStr">
        <is>
          <t>loop forward wraps to first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DropdownMenu playground manual verification.</t>
        </is>
      </c>
      <c r="J165" s="121" t="n"/>
      <c r="K165" s="122">
        <f>IF(AND(E165="yes",F165="yes",H165="covered"),1,IF(H165="partial",0.5,0))</f>
        <v/>
      </c>
    </row>
    <row r="166" ht="31.5" customHeight="1" s="58">
      <c r="A166" s="120" t="n">
        <v>158</v>
      </c>
      <c r="B166" s="121" t="inlineStr">
        <is>
          <t>Keyboard</t>
        </is>
      </c>
      <c r="C166" s="121" t="inlineStr">
        <is>
          <t>Navigation</t>
        </is>
      </c>
      <c r="D166" s="121" t="inlineStr">
        <is>
          <t>loop backward wraps to last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DropdownMenu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12" t="n">
        <v>159</v>
      </c>
      <c r="B167" s="113" t="inlineStr">
        <is>
          <t>Keyboard</t>
        </is>
      </c>
      <c r="C167" s="113" t="inlineStr">
        <is>
          <t>Navigation</t>
        </is>
      </c>
      <c r="D167" s="113" t="inlineStr">
        <is>
          <t>disabled items participate in Arrow and typeahead focus movement but never activate</t>
        </is>
      </c>
      <c r="E167" s="114" t="inlineStr">
        <is>
          <t>yes</t>
        </is>
      </c>
      <c r="F167" s="115" t="inlineStr">
        <is>
          <t>no</t>
        </is>
      </c>
      <c r="G167" s="112" t="inlineStr">
        <is>
          <t>automated tests pass; manual pending</t>
        </is>
      </c>
      <c r="H167" s="116" t="inlineStr">
        <is>
          <t>untested</t>
        </is>
      </c>
      <c r="I167" s="113" t="inlineStr">
        <is>
          <t>playground/.manual-tests/dropdown-menu.md (draft)</t>
        </is>
      </c>
      <c r="J167" s="113" t="inlineStr">
        <is>
          <t>Run the updated component Manual Test Protocol and named browser/device matrix.</t>
        </is>
      </c>
      <c r="K167" s="117">
        <f>IF(AND(E167="yes",F167="yes",H167="covered"),1,IF(H167="partial",0.5,0))</f>
        <v/>
      </c>
    </row>
    <row r="168" ht="31.5" customHeight="1" s="58">
      <c r="A168" s="120" t="n">
        <v>160</v>
      </c>
      <c r="B168" s="121" t="inlineStr">
        <is>
          <t>Keyboard</t>
        </is>
      </c>
      <c r="C168" s="121" t="inlineStr">
        <is>
          <t>Navigation</t>
        </is>
      </c>
      <c r="D168" s="121" t="inlineStr">
        <is>
          <t>separator is skipped by Arrow keys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DropdownMenu playground manual verification.</t>
        </is>
      </c>
      <c r="J168" s="121" t="n"/>
      <c r="K168" s="122">
        <f>IF(AND(E168="yes",F168="yes",H168="covered"),1,IF(H168="partial",0.5,0))</f>
        <v/>
      </c>
    </row>
    <row r="169" ht="31.5" customHeight="1" s="58">
      <c r="A169" s="120" t="n">
        <v>161</v>
      </c>
      <c r="B169" s="121" t="inlineStr">
        <is>
          <t>Keyboard</t>
        </is>
      </c>
      <c r="C169" s="121" t="inlineStr">
        <is>
          <t>Navigation</t>
        </is>
      </c>
      <c r="D169" s="121" t="inlineStr">
        <is>
          <t>Enter activates highlighted item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DropdownMenu playground manual verification.</t>
        </is>
      </c>
      <c r="J169" s="121" t="n"/>
      <c r="K169" s="122">
        <f>IF(AND(E169="yes",F169="yes",H169="covered"),1,IF(H169="partial",0.5,0))</f>
        <v/>
      </c>
    </row>
    <row r="170" ht="31.5" customHeight="1" s="58">
      <c r="A170" s="120" t="n">
        <v>162</v>
      </c>
      <c r="B170" s="121" t="inlineStr">
        <is>
          <t>Keyboard</t>
        </is>
      </c>
      <c r="C170" s="121" t="inlineStr">
        <is>
          <t>Navigation</t>
        </is>
      </c>
      <c r="D170" s="121" t="inlineStr">
        <is>
          <t>Space activates highlighted item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DropdownMenu playground manual verification.</t>
        </is>
      </c>
      <c r="J170" s="121" t="n"/>
      <c r="K170" s="122">
        <f>IF(AND(E170="yes",F170="yes",H170="covered"),1,IF(H170="partial",0.5,0))</f>
        <v/>
      </c>
    </row>
    <row r="171" ht="31.5" customHeight="1" s="58">
      <c r="A171" s="120" t="n">
        <v>163</v>
      </c>
      <c r="B171" s="121" t="inlineStr">
        <is>
          <t>Keyboard</t>
        </is>
      </c>
      <c r="C171" s="121" t="inlineStr">
        <is>
          <t>Navigation</t>
        </is>
      </c>
      <c r="D171" s="121" t="inlineStr">
        <is>
          <t>typeahead highlights matching item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DropdownMenu playground manual verification.</t>
        </is>
      </c>
      <c r="J171" s="121" t="n"/>
      <c r="K171" s="122">
        <f>IF(AND(E171="yes",F171="yes",H171="covered"),1,IF(H171="partial",0.5,0))</f>
        <v/>
      </c>
    </row>
    <row r="172" ht="31.5" customHeight="1" s="58">
      <c r="A172" s="120" t="n">
        <v>164</v>
      </c>
      <c r="B172" s="121" t="inlineStr">
        <is>
          <t>Keyboard</t>
        </is>
      </c>
      <c r="C172" s="121" t="inlineStr">
        <is>
          <t>Navigation</t>
        </is>
      </c>
      <c r="D172" s="121" t="inlineStr">
        <is>
          <t>typeahead uses explicit textValue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</t>
        </is>
      </c>
      <c r="H172" s="120" t="inlineStr">
        <is>
          <t>covered</t>
        </is>
      </c>
      <c r="I172" s="121" t="inlineStr">
        <is>
          <t>DropdownMenu playground manual verification.</t>
        </is>
      </c>
      <c r="J172" s="121" t="n"/>
      <c r="K172" s="122">
        <f>IF(AND(E172="yes",F172="yes",H172="covered"),1,IF(H172="partial",0.5,0))</f>
        <v/>
      </c>
    </row>
    <row r="173" ht="31.5" customHeight="1" s="58">
      <c r="A173" s="120" t="n">
        <v>165</v>
      </c>
      <c r="B173" s="121" t="inlineStr">
        <is>
          <t>Keyboard</t>
        </is>
      </c>
      <c r="C173" s="121" t="inlineStr">
        <is>
          <t>Navigation</t>
        </is>
      </c>
      <c r="D173" s="121" t="inlineStr">
        <is>
          <t>typeahead buffer resets after delay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</t>
        </is>
      </c>
      <c r="H173" s="120" t="inlineStr">
        <is>
          <t>covered</t>
        </is>
      </c>
      <c r="I173" s="121" t="inlineStr">
        <is>
          <t>DropdownMenu playground manual verification.</t>
        </is>
      </c>
      <c r="J173" s="121" t="n"/>
      <c r="K173" s="122">
        <f>IF(AND(E173="yes",F173="yes",H173="covered"),1,IF(H173="partial",0.5,0))</f>
        <v/>
      </c>
    </row>
    <row r="174" ht="31.5" customHeight="1" s="58">
      <c r="A174" s="120" t="n">
        <v>166</v>
      </c>
      <c r="B174" s="121" t="inlineStr">
        <is>
          <t>Keyboard</t>
        </is>
      </c>
      <c r="C174" s="121" t="inlineStr">
        <is>
          <t>Navigation</t>
        </is>
      </c>
      <c r="D174" s="121" t="inlineStr">
        <is>
          <t>submenu has independent highlight state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</t>
        </is>
      </c>
      <c r="H174" s="120" t="inlineStr">
        <is>
          <t>covered</t>
        </is>
      </c>
      <c r="I174" s="121" t="inlineStr">
        <is>
          <t>DropdownMenu playground manual verification.</t>
        </is>
      </c>
      <c r="J174" s="121" t="n"/>
      <c r="K174" s="122">
        <f>IF(AND(E174="yes",F174="yes",H174="covered"),1,IF(H174="partial",0.5,0))</f>
        <v/>
      </c>
    </row>
    <row r="175" ht="31.5" customHeight="1" s="58">
      <c r="A175" s="120" t="n">
        <v>167</v>
      </c>
      <c r="B175" s="121" t="inlineStr">
        <is>
          <t>Keyboard</t>
        </is>
      </c>
      <c r="C175" s="121" t="inlineStr">
        <is>
          <t>Navigation</t>
        </is>
      </c>
      <c r="D175" s="121" t="inlineStr">
        <is>
          <t>ArrowLeft closes submenu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</t>
        </is>
      </c>
      <c r="H175" s="120" t="inlineStr">
        <is>
          <t>covered</t>
        </is>
      </c>
      <c r="I175" s="121" t="inlineStr">
        <is>
          <t>DropdownMenu playground manual verification.</t>
        </is>
      </c>
      <c r="J175" s="121" t="n"/>
      <c r="K175" s="122">
        <f>IF(AND(E175="yes",F175="yes",H175="covered"),1,IF(H175="partial",0.5,0))</f>
        <v/>
      </c>
    </row>
    <row r="176" ht="31.5" customHeight="1" s="58">
      <c r="A176" s="120" t="n">
        <v>168</v>
      </c>
      <c r="B176" s="121" t="inlineStr">
        <is>
          <t>Keyboard</t>
        </is>
      </c>
      <c r="C176" s="121" t="inlineStr">
        <is>
          <t>Navigation</t>
        </is>
      </c>
      <c r="D176" s="121" t="inlineStr">
        <is>
          <t>ArrowRight opens nested submenu from submenu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</t>
        </is>
      </c>
      <c r="H176" s="120" t="inlineStr">
        <is>
          <t>covered</t>
        </is>
      </c>
      <c r="I176" s="121" t="inlineStr">
        <is>
          <t>DropdownMenu playground manual verification.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Pointer</t>
        </is>
      </c>
      <c r="C177" s="113" t="inlineStr">
        <is>
          <t>Highlight</t>
        </is>
      </c>
      <c r="D177" s="113" t="inlineStr">
        <is>
          <t>mouse pointer enter moves real focus and highlight to the item</t>
        </is>
      </c>
      <c r="E177" s="114" t="inlineStr">
        <is>
          <t>yes</t>
        </is>
      </c>
      <c r="F177" s="115" t="inlineStr">
        <is>
          <t>no</t>
        </is>
      </c>
      <c r="G177" s="112" t="inlineStr">
        <is>
          <t>automated tests pass; manual pending</t>
        </is>
      </c>
      <c r="H177" s="116" t="inlineStr">
        <is>
          <t>untested</t>
        </is>
      </c>
      <c r="I177" s="113" t="inlineStr">
        <is>
          <t>playground/.manual-tests/dropdown-menu.md (draft)</t>
        </is>
      </c>
      <c r="J177" s="113" t="inlineStr">
        <is>
          <t>Run the updated component Manual Test Protocol and named browser/device matrix.</t>
        </is>
      </c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Pointer</t>
        </is>
      </c>
      <c r="C178" s="113" t="inlineStr">
        <is>
          <t>Highlight</t>
        </is>
      </c>
      <c r="D178" s="113" t="inlineStr">
        <is>
          <t>pointer leave preserves the current real item focus</t>
        </is>
      </c>
      <c r="E178" s="114" t="inlineStr">
        <is>
          <t>yes</t>
        </is>
      </c>
      <c r="F178" s="115" t="inlineStr">
        <is>
          <t>no</t>
        </is>
      </c>
      <c r="G178" s="112" t="inlineStr">
        <is>
          <t>automated tests pass; manual pending</t>
        </is>
      </c>
      <c r="H178" s="116" t="inlineStr">
        <is>
          <t>untested</t>
        </is>
      </c>
      <c r="I178" s="113" t="inlineStr">
        <is>
          <t>playground/.manual-tests/dropdown-menu.md (draft)</t>
        </is>
      </c>
      <c r="J178" s="113" t="inlineStr">
        <is>
          <t>Run the updated component Manual Test Protocol and named browser/device matrix.</t>
        </is>
      </c>
      <c r="K178" s="117">
        <f>IF(AND(E178="yes",F178="yes",H178="covered"),1,IF(H178="partial",0.5,0))</f>
        <v/>
      </c>
    </row>
    <row r="179" ht="31.5" customHeight="1" s="58">
      <c r="A179" s="120" t="n">
        <v>171</v>
      </c>
      <c r="B179" s="121" t="inlineStr">
        <is>
          <t>Pointer</t>
        </is>
      </c>
      <c r="C179" s="121" t="inlineStr">
        <is>
          <t>Highlight</t>
        </is>
      </c>
      <c r="D179" s="121" t="inlineStr">
        <is>
          <t>pointer-opened menu does not pre-highlight first item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DropdownMenu playground manual verification.</t>
        </is>
      </c>
      <c r="J179" s="121" t="n"/>
      <c r="K179" s="122">
        <f>IF(AND(E179="yes",F179="yes",H179="covered"),1,IF(H179="partial",0.5,0))</f>
        <v/>
      </c>
    </row>
    <row r="180" ht="31.5" customHeight="1" s="58">
      <c r="A180" s="120" t="n">
        <v>172</v>
      </c>
      <c r="B180" s="121" t="inlineStr">
        <is>
          <t>Pointer</t>
        </is>
      </c>
      <c r="C180" s="121" t="inlineStr">
        <is>
          <t>Highlight</t>
        </is>
      </c>
      <c r="D180" s="121" t="inlineStr">
        <is>
          <t>hovering group labels or gaps does not reset initial highlight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DropdownMenu playground manual verification.</t>
        </is>
      </c>
      <c r="J180" s="121" t="n"/>
      <c r="K180" s="122">
        <f>IF(AND(E180="yes",F180="yes",H180="covered"),1,IF(H180="partial",0.5,0))</f>
        <v/>
      </c>
    </row>
    <row r="181" ht="31.5" customHeight="1" s="58">
      <c r="A181" s="120" t="n">
        <v>173</v>
      </c>
      <c r="B181" s="121" t="inlineStr">
        <is>
          <t>Pointer</t>
        </is>
      </c>
      <c r="C181" s="121" t="inlineStr">
        <is>
          <t>Highlight</t>
        </is>
      </c>
      <c r="D181" s="121" t="inlineStr">
        <is>
          <t>hovering item closes previously open submenu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DropdownMenu playground manual verification.</t>
        </is>
      </c>
      <c r="J181" s="121" t="n"/>
      <c r="K181" s="122">
        <f>IF(AND(E181="yes",F181="yes",H181="covered"),1,IF(H181="partial",0.5,0))</f>
        <v/>
      </c>
    </row>
    <row r="182" ht="30" customHeight="1" s="58">
      <c r="A182" s="112" t="n">
        <v>174</v>
      </c>
      <c r="B182" s="113" t="inlineStr">
        <is>
          <t>Pointer</t>
        </is>
      </c>
      <c r="C182" s="113" t="inlineStr">
        <is>
          <t>Highlight</t>
        </is>
      </c>
      <c r="D182" s="113" t="inlineStr">
        <is>
          <t>mouse hover may focus and highlight a disabled item without activating it</t>
        </is>
      </c>
      <c r="E182" s="114" t="inlineStr">
        <is>
          <t>yes</t>
        </is>
      </c>
      <c r="F182" s="115" t="inlineStr">
        <is>
          <t>no</t>
        </is>
      </c>
      <c r="G182" s="112" t="inlineStr">
        <is>
          <t>automated tests pass; manual pending</t>
        </is>
      </c>
      <c r="H182" s="116" t="inlineStr">
        <is>
          <t>untested</t>
        </is>
      </c>
      <c r="I182" s="113" t="inlineStr">
        <is>
          <t>playground/.manual-tests/dropdown-menu.md (draft)</t>
        </is>
      </c>
      <c r="J182" s="113" t="inlineStr">
        <is>
          <t>Run the updated component Manual Test Protocol and named browser/device matrix.</t>
        </is>
      </c>
      <c r="K182" s="117">
        <f>IF(AND(E182="yes",F182="yes",H182="covered"),1,IF(H182="partial",0.5,0))</f>
        <v/>
      </c>
    </row>
    <row r="183" ht="31.5" customHeight="1" s="58">
      <c r="A183" s="120" t="n">
        <v>175</v>
      </c>
      <c r="B183" s="121" t="inlineStr">
        <is>
          <t>Accessibility</t>
        </is>
      </c>
      <c r="C183" s="121" t="inlineStr">
        <is>
          <t>Relationships</t>
        </is>
      </c>
      <c r="D183" s="121" t="inlineStr">
        <is>
          <t>trigger has accessible text</t>
        </is>
      </c>
      <c r="E183" s="120" t="inlineStr">
        <is>
          <t>yes</t>
        </is>
      </c>
      <c r="F183" s="120" t="inlineStr">
        <is>
          <t>yes</t>
        </is>
      </c>
      <c r="G183" s="120" t="inlineStr">
        <is>
          <t>pass</t>
        </is>
      </c>
      <c r="H183" s="120" t="inlineStr">
        <is>
          <t>covered</t>
        </is>
      </c>
      <c r="I183" s="121" t="inlineStr">
        <is>
          <t>DropdownMenu playground manual verification.</t>
        </is>
      </c>
      <c r="J183" s="121" t="n"/>
      <c r="K183" s="122">
        <f>IF(AND(E183="yes",F183="yes",H183="covered"),1,IF(H183="partial",0.5,0))</f>
        <v/>
      </c>
    </row>
    <row r="184" ht="31.5" customHeight="1" s="58">
      <c r="A184" s="120" t="n">
        <v>176</v>
      </c>
      <c r="B184" s="121" t="inlineStr">
        <is>
          <t>Accessibility</t>
        </is>
      </c>
      <c r="C184" s="121" t="inlineStr">
        <is>
          <t>Relationships</t>
        </is>
      </c>
      <c r="D184" s="121" t="inlineStr">
        <is>
          <t>trigger controls content by id</t>
        </is>
      </c>
      <c r="E184" s="120" t="inlineStr">
        <is>
          <t>yes</t>
        </is>
      </c>
      <c r="F184" s="120" t="inlineStr">
        <is>
          <t>yes</t>
        </is>
      </c>
      <c r="G184" s="120" t="inlineStr">
        <is>
          <t>pass</t>
        </is>
      </c>
      <c r="H184" s="120" t="inlineStr">
        <is>
          <t>covered</t>
        </is>
      </c>
      <c r="I184" s="121" t="inlineStr">
        <is>
          <t>DropdownMenu playground manual verification.</t>
        </is>
      </c>
      <c r="J184" s="121" t="n"/>
      <c r="K184" s="122">
        <f>IF(AND(E184="yes",F184="yes",H184="covered"),1,IF(H184="partial",0.5,0))</f>
        <v/>
      </c>
    </row>
    <row r="185" ht="31.5" customHeight="1" s="58">
      <c r="A185" s="120" t="n">
        <v>177</v>
      </c>
      <c r="B185" s="121" t="inlineStr">
        <is>
          <t>Accessibility</t>
        </is>
      </c>
      <c r="C185" s="121" t="inlineStr">
        <is>
          <t>Relationships</t>
        </is>
      </c>
      <c r="D185" s="121" t="inlineStr">
        <is>
          <t>content has accessible name</t>
        </is>
      </c>
      <c r="E185" s="120" t="inlineStr">
        <is>
          <t>yes</t>
        </is>
      </c>
      <c r="F185" s="120" t="inlineStr">
        <is>
          <t>yes</t>
        </is>
      </c>
      <c r="G185" s="120" t="inlineStr">
        <is>
          <t>pass</t>
        </is>
      </c>
      <c r="H185" s="120" t="inlineStr">
        <is>
          <t>covered</t>
        </is>
      </c>
      <c r="I185" s="121" t="inlineStr">
        <is>
          <t>DropdownMenu playground manual verification.</t>
        </is>
      </c>
      <c r="J185" s="121" t="n"/>
      <c r="K185" s="122">
        <f>IF(AND(E185="yes",F185="yes",H185="covered"),1,IF(H185="partial",0.5,0))</f>
        <v/>
      </c>
    </row>
    <row r="186" ht="31.5" customHeight="1" s="58">
      <c r="A186" s="120" t="n">
        <v>178</v>
      </c>
      <c r="B186" s="121" t="inlineStr">
        <is>
          <t>Accessibility</t>
        </is>
      </c>
      <c r="C186" s="121" t="inlineStr">
        <is>
          <t>Relationships</t>
        </is>
      </c>
      <c r="D186" s="121" t="inlineStr">
        <is>
          <t>content references trigger when unnamed</t>
        </is>
      </c>
      <c r="E186" s="120" t="inlineStr">
        <is>
          <t>yes</t>
        </is>
      </c>
      <c r="F186" s="120" t="inlineStr">
        <is>
          <t>yes</t>
        </is>
      </c>
      <c r="G186" s="120" t="inlineStr">
        <is>
          <t>pass</t>
        </is>
      </c>
      <c r="H186" s="120" t="inlineStr">
        <is>
          <t>covered</t>
        </is>
      </c>
      <c r="I186" s="121" t="inlineStr">
        <is>
          <t>DropdownMenu playground manual verification.</t>
        </is>
      </c>
      <c r="J186" s="121" t="n"/>
      <c r="K186" s="122">
        <f>IF(AND(E186="yes",F186="yes",H186="covered"),1,IF(H186="partial",0.5,0))</f>
        <v/>
      </c>
    </row>
    <row r="187" ht="31.5" customHeight="1" s="58">
      <c r="A187" s="120" t="n">
        <v>179</v>
      </c>
      <c r="B187" s="121" t="inlineStr">
        <is>
          <t>Accessibility</t>
        </is>
      </c>
      <c r="C187" s="121" t="inlineStr">
        <is>
          <t>Relationships</t>
        </is>
      </c>
      <c r="D187" s="121" t="inlineStr">
        <is>
          <t>sub content references sub trigger when unnamed</t>
        </is>
      </c>
      <c r="E187" s="120" t="inlineStr">
        <is>
          <t>yes</t>
        </is>
      </c>
      <c r="F187" s="120" t="inlineStr">
        <is>
          <t>yes</t>
        </is>
      </c>
      <c r="G187" s="120" t="inlineStr">
        <is>
          <t>pass</t>
        </is>
      </c>
      <c r="H187" s="120" t="inlineStr">
        <is>
          <t>covered</t>
        </is>
      </c>
      <c r="I187" s="121" t="inlineStr">
        <is>
          <t>DropdownMenu playground manual verification.</t>
        </is>
      </c>
      <c r="J187" s="121" t="n"/>
      <c r="K187" s="122">
        <f>IF(AND(E187="yes",F187="yes",H187="covered"),1,IF(H187="partial",0.5,0))</f>
        <v/>
      </c>
    </row>
    <row r="188" ht="31.5" customHeight="1" s="58">
      <c r="A188" s="120" t="n">
        <v>180</v>
      </c>
      <c r="B188" s="121" t="inlineStr">
        <is>
          <t>Accessibility</t>
        </is>
      </c>
      <c r="C188" s="121" t="inlineStr">
        <is>
          <t>Relationships</t>
        </is>
      </c>
      <c r="D188" s="121" t="inlineStr">
        <is>
          <t>checked states are exposed through aria-checked</t>
        </is>
      </c>
      <c r="E188" s="120" t="inlineStr">
        <is>
          <t>yes</t>
        </is>
      </c>
      <c r="F188" s="120" t="inlineStr">
        <is>
          <t>yes</t>
        </is>
      </c>
      <c r="G188" s="120" t="inlineStr">
        <is>
          <t>pass</t>
        </is>
      </c>
      <c r="H188" s="120" t="inlineStr">
        <is>
          <t>covered</t>
        </is>
      </c>
      <c r="I188" s="121" t="inlineStr">
        <is>
          <t>DropdownMenu playground manual verification.</t>
        </is>
      </c>
      <c r="J188" s="121" t="n"/>
      <c r="K188" s="122">
        <f>IF(AND(E188="yes",F188="yes",H188="covered"),1,IF(H188="partial",0.5,0))</f>
        <v/>
      </c>
    </row>
    <row r="189" ht="31.5" customHeight="1" s="58">
      <c r="A189" s="120" t="n">
        <v>181</v>
      </c>
      <c r="B189" s="121" t="inlineStr">
        <is>
          <t>Accessibility</t>
        </is>
      </c>
      <c r="C189" s="121" t="inlineStr">
        <is>
          <t>Relationships</t>
        </is>
      </c>
      <c r="D189" s="121" t="inlineStr">
        <is>
          <t>disabled states are exposed through aria-disabled</t>
        </is>
      </c>
      <c r="E189" s="120" t="inlineStr">
        <is>
          <t>yes</t>
        </is>
      </c>
      <c r="F189" s="120" t="inlineStr">
        <is>
          <t>yes</t>
        </is>
      </c>
      <c r="G189" s="120" t="inlineStr">
        <is>
          <t>pass</t>
        </is>
      </c>
      <c r="H189" s="120" t="inlineStr">
        <is>
          <t>covered</t>
        </is>
      </c>
      <c r="I189" s="121" t="inlineStr">
        <is>
          <t>DropdownMenu playground manual verification.</t>
        </is>
      </c>
      <c r="J189" s="121" t="n"/>
      <c r="K189" s="122">
        <f>IF(AND(E189="yes",F189="yes",H189="covered"),1,IF(H189="partial",0.5,0))</f>
        <v/>
      </c>
    </row>
    <row r="190" ht="31.5" customHeight="1" s="58">
      <c r="A190" s="120" t="n">
        <v>182</v>
      </c>
      <c r="B190" s="121" t="inlineStr">
        <is>
          <t>Accessibility</t>
        </is>
      </c>
      <c r="C190" s="121" t="inlineStr">
        <is>
          <t>Relationships</t>
        </is>
      </c>
      <c r="D190" s="121" t="inlineStr">
        <is>
          <t>focus stays inside modal parent when opened inside Dialog</t>
        </is>
      </c>
      <c r="E190" s="120" t="inlineStr">
        <is>
          <t>yes</t>
        </is>
      </c>
      <c r="F190" s="120" t="inlineStr">
        <is>
          <t>yes</t>
        </is>
      </c>
      <c r="G190" s="120" t="inlineStr">
        <is>
          <t>pass</t>
        </is>
      </c>
      <c r="H190" s="120" t="inlineStr">
        <is>
          <t>covered</t>
        </is>
      </c>
      <c r="I190" s="121" t="inlineStr">
        <is>
          <t>DropdownMenu playground manual verification.</t>
        </is>
      </c>
      <c r="J190" s="121" t="n"/>
      <c r="K190" s="122">
        <f>IF(AND(E190="yes",F190="yes",H190="covered"),1,IF(H190="partial",0.5,0))</f>
        <v/>
      </c>
    </row>
    <row r="191" ht="31.5" customHeight="1" s="58">
      <c r="A191" s="120" t="n">
        <v>183</v>
      </c>
      <c r="B191" s="121" t="inlineStr">
        <is>
          <t>Accessibility</t>
        </is>
      </c>
      <c r="C191" s="121" t="inlineStr">
        <is>
          <t>Relationships</t>
        </is>
      </c>
      <c r="D191" s="121" t="inlineStr">
        <is>
          <t>portalled dropdown registers with parent modal focus scope</t>
        </is>
      </c>
      <c r="E191" s="120" t="inlineStr">
        <is>
          <t>yes</t>
        </is>
      </c>
      <c r="F191" s="120" t="inlineStr">
        <is>
          <t>yes</t>
        </is>
      </c>
      <c r="G191" s="120" t="inlineStr">
        <is>
          <t>pass</t>
        </is>
      </c>
      <c r="H191" s="120" t="inlineStr">
        <is>
          <t>covered</t>
        </is>
      </c>
      <c r="I191" s="121" t="inlineStr">
        <is>
          <t>DropdownMenu playground manual verification.</t>
        </is>
      </c>
      <c r="J191" s="121" t="n"/>
      <c r="K191" s="122">
        <f>IF(AND(E191="yes",F191="yes",H191="covered"),1,IF(H191="partial",0.5,0))</f>
        <v/>
      </c>
    </row>
    <row r="192" ht="31.5" customHeight="1" s="58">
      <c r="A192" s="120" t="n">
        <v>184</v>
      </c>
      <c r="B192" s="121" t="inlineStr">
        <is>
          <t>Accessibility</t>
        </is>
      </c>
      <c r="C192" s="121" t="inlineStr">
        <is>
          <t>Relationships</t>
        </is>
      </c>
      <c r="D192" s="121" t="inlineStr">
        <is>
          <t>nested dropdown Escape does not close parent overlay</t>
        </is>
      </c>
      <c r="E192" s="120" t="inlineStr">
        <is>
          <t>yes</t>
        </is>
      </c>
      <c r="F192" s="120" t="inlineStr">
        <is>
          <t>yes</t>
        </is>
      </c>
      <c r="G192" s="120" t="inlineStr">
        <is>
          <t>pass</t>
        </is>
      </c>
      <c r="H192" s="120" t="inlineStr">
        <is>
          <t>covered</t>
        </is>
      </c>
      <c r="I192" s="121" t="inlineStr">
        <is>
          <t>DropdownMenu playground manual verification.</t>
        </is>
      </c>
      <c r="J192" s="121" t="n"/>
      <c r="K192" s="122">
        <f>IF(AND(E192="yes",F192="yes",H192="covered"),1,IF(H192="partial",0.5,0))</f>
        <v/>
      </c>
    </row>
    <row r="193" ht="31.5" customHeight="1" s="58">
      <c r="A193" s="120" t="n">
        <v>185</v>
      </c>
      <c r="B193" s="121" t="inlineStr">
        <is>
          <t>Composition</t>
        </is>
      </c>
      <c r="C193" s="121" t="inlineStr">
        <is>
          <t>Trigger Composition</t>
        </is>
      </c>
      <c r="D193" s="121" t="inlineStr">
        <is>
          <t>trigger asChild preserves child content</t>
        </is>
      </c>
      <c r="E193" s="120" t="inlineStr">
        <is>
          <t>yes</t>
        </is>
      </c>
      <c r="F193" s="120" t="inlineStr">
        <is>
          <t>yes</t>
        </is>
      </c>
      <c r="G193" s="120" t="inlineStr">
        <is>
          <t>pass</t>
        </is>
      </c>
      <c r="H193" s="120" t="inlineStr">
        <is>
          <t>covered</t>
        </is>
      </c>
      <c r="I193" s="121" t="inlineStr">
        <is>
          <t>DropdownMenu playground manual verification.</t>
        </is>
      </c>
      <c r="J193" s="121" t="n"/>
      <c r="K193" s="122">
        <f>IF(AND(E193="yes",F193="yes",H193="covered"),1,IF(H193="partial",0.5,0))</f>
        <v/>
      </c>
    </row>
    <row r="194" ht="31.5" customHeight="1" s="58">
      <c r="A194" s="120" t="n">
        <v>186</v>
      </c>
      <c r="B194" s="121" t="inlineStr">
        <is>
          <t>Composition</t>
        </is>
      </c>
      <c r="C194" s="121" t="inlineStr">
        <is>
          <t>Trigger Composition</t>
        </is>
      </c>
      <c r="D194" s="121" t="inlineStr">
        <is>
          <t>trigger render preserves child content</t>
        </is>
      </c>
      <c r="E194" s="120" t="inlineStr">
        <is>
          <t>yes</t>
        </is>
      </c>
      <c r="F194" s="120" t="inlineStr">
        <is>
          <t>yes</t>
        </is>
      </c>
      <c r="G194" s="120" t="inlineStr">
        <is>
          <t>pass</t>
        </is>
      </c>
      <c r="H194" s="120" t="inlineStr">
        <is>
          <t>covered</t>
        </is>
      </c>
      <c r="I194" s="121" t="inlineStr">
        <is>
          <t>DropdownMenu playground manual verification.</t>
        </is>
      </c>
      <c r="J194" s="121" t="n"/>
      <c r="K194" s="122">
        <f>IF(AND(E194="yes",F194="yes",H194="covered"),1,IF(H194="partial",0.5,0))</f>
        <v/>
      </c>
    </row>
    <row r="195" ht="31.5" customHeight="1" s="58">
      <c r="A195" s="120" t="n">
        <v>187</v>
      </c>
      <c r="B195" s="121" t="inlineStr">
        <is>
          <t>Composition</t>
        </is>
      </c>
      <c r="C195" s="121" t="inlineStr">
        <is>
          <t>Trigger Composition</t>
        </is>
      </c>
      <c r="D195" s="121" t="inlineStr">
        <is>
          <t>trigger consumer event can block open</t>
        </is>
      </c>
      <c r="E195" s="120" t="inlineStr">
        <is>
          <t>yes</t>
        </is>
      </c>
      <c r="F195" s="120" t="inlineStr">
        <is>
          <t>yes</t>
        </is>
      </c>
      <c r="G195" s="120" t="inlineStr">
        <is>
          <t>pass</t>
        </is>
      </c>
      <c r="H195" s="120" t="inlineStr">
        <is>
          <t>covered</t>
        </is>
      </c>
      <c r="I195" s="121" t="inlineStr">
        <is>
          <t>DropdownMenu playground manual verification.</t>
        </is>
      </c>
      <c r="J195" s="121" t="n"/>
      <c r="K195" s="122">
        <f>IF(AND(E195="yes",F195="yes",H195="covered"),1,IF(H195="partial",0.5,0))</f>
        <v/>
      </c>
    </row>
    <row r="196" ht="31.5" customHeight="1" s="58">
      <c r="A196" s="120" t="n">
        <v>188</v>
      </c>
      <c r="B196" s="121" t="inlineStr">
        <is>
          <t>Composition</t>
        </is>
      </c>
      <c r="C196" s="121" t="inlineStr">
        <is>
          <t>Item Composition</t>
        </is>
      </c>
      <c r="D196" s="121" t="inlineStr">
        <is>
          <t>Item asChild preserves child content</t>
        </is>
      </c>
      <c r="E196" s="120" t="inlineStr">
        <is>
          <t>yes</t>
        </is>
      </c>
      <c r="F196" s="120" t="inlineStr">
        <is>
          <t>yes</t>
        </is>
      </c>
      <c r="G196" s="120" t="inlineStr">
        <is>
          <t>pass</t>
        </is>
      </c>
      <c r="H196" s="120" t="inlineStr">
        <is>
          <t>covered</t>
        </is>
      </c>
      <c r="I196" s="121" t="inlineStr">
        <is>
          <t>DropdownMenu playground manual verification.</t>
        </is>
      </c>
      <c r="J196" s="121" t="n"/>
      <c r="K196" s="122">
        <f>IF(AND(E196="yes",F196="yes",H196="covered"),1,IF(H196="partial",0.5,0))</f>
        <v/>
      </c>
    </row>
    <row r="197" ht="31.5" customHeight="1" s="58">
      <c r="A197" s="120" t="n">
        <v>189</v>
      </c>
      <c r="B197" s="121" t="inlineStr">
        <is>
          <t>Composition</t>
        </is>
      </c>
      <c r="C197" s="121" t="inlineStr">
        <is>
          <t>Item Composition</t>
        </is>
      </c>
      <c r="D197" s="121" t="inlineStr">
        <is>
          <t>Item render preserves child content</t>
        </is>
      </c>
      <c r="E197" s="120" t="inlineStr">
        <is>
          <t>yes</t>
        </is>
      </c>
      <c r="F197" s="120" t="inlineStr">
        <is>
          <t>yes</t>
        </is>
      </c>
      <c r="G197" s="120" t="inlineStr">
        <is>
          <t>pass</t>
        </is>
      </c>
      <c r="H197" s="120" t="inlineStr">
        <is>
          <t>covered</t>
        </is>
      </c>
      <c r="I197" s="121" t="inlineStr">
        <is>
          <t>DropdownMenu playground manual verification.</t>
        </is>
      </c>
      <c r="J197" s="121" t="n"/>
      <c r="K197" s="122">
        <f>IF(AND(E197="yes",F197="yes",H197="covered"),1,IF(H197="partial",0.5,0))</f>
        <v/>
      </c>
    </row>
    <row r="198" ht="31.5" customHeight="1" s="58">
      <c r="A198" s="120" t="n">
        <v>190</v>
      </c>
      <c r="B198" s="121" t="inlineStr">
        <is>
          <t>Composition</t>
        </is>
      </c>
      <c r="C198" s="121" t="inlineStr">
        <is>
          <t>Item Composition</t>
        </is>
      </c>
      <c r="D198" s="121" t="inlineStr">
        <is>
          <t>Item consumer event can block selection</t>
        </is>
      </c>
      <c r="E198" s="120" t="inlineStr">
        <is>
          <t>yes</t>
        </is>
      </c>
      <c r="F198" s="120" t="inlineStr">
        <is>
          <t>yes</t>
        </is>
      </c>
      <c r="G198" s="120" t="inlineStr">
        <is>
          <t>pass</t>
        </is>
      </c>
      <c r="H198" s="120" t="inlineStr">
        <is>
          <t>covered</t>
        </is>
      </c>
      <c r="I198" s="121" t="inlineStr">
        <is>
          <t>DropdownMenu playground manual verification.</t>
        </is>
      </c>
      <c r="J198" s="121" t="n"/>
      <c r="K198" s="122">
        <f>IF(AND(E198="yes",F198="yes",H198="covered"),1,IF(H198="partial",0.5,0))</f>
        <v/>
      </c>
    </row>
    <row r="199" ht="31.5" customHeight="1" s="58">
      <c r="A199" s="120" t="n">
        <v>191</v>
      </c>
      <c r="B199" s="121" t="inlineStr">
        <is>
          <t>Composition</t>
        </is>
      </c>
      <c r="C199" s="121" t="inlineStr">
        <is>
          <t>Native Props</t>
        </is>
      </c>
      <c r="D199" s="121" t="inlineStr">
        <is>
          <t>Trigger native props pass through</t>
        </is>
      </c>
      <c r="E199" s="120" t="inlineStr">
        <is>
          <t>yes</t>
        </is>
      </c>
      <c r="F199" s="120" t="inlineStr">
        <is>
          <t>yes</t>
        </is>
      </c>
      <c r="G199" s="120" t="inlineStr">
        <is>
          <t>pass</t>
        </is>
      </c>
      <c r="H199" s="120" t="inlineStr">
        <is>
          <t>covered</t>
        </is>
      </c>
      <c r="I199" s="121" t="inlineStr">
        <is>
          <t>DropdownMenu playground manual verification.</t>
        </is>
      </c>
      <c r="J199" s="121" t="n"/>
      <c r="K199" s="122">
        <f>IF(AND(E199="yes",F199="yes",H199="covered"),1,IF(H199="partial",0.5,0))</f>
        <v/>
      </c>
    </row>
    <row r="200" ht="31.5" customHeight="1" s="58">
      <c r="A200" s="120" t="n">
        <v>192</v>
      </c>
      <c r="B200" s="121" t="inlineStr">
        <is>
          <t>Composition</t>
        </is>
      </c>
      <c r="C200" s="121" t="inlineStr">
        <is>
          <t>Native Props</t>
        </is>
      </c>
      <c r="D200" s="121" t="inlineStr">
        <is>
          <t>Content native props pass through</t>
        </is>
      </c>
      <c r="E200" s="120" t="inlineStr">
        <is>
          <t>yes</t>
        </is>
      </c>
      <c r="F200" s="120" t="inlineStr">
        <is>
          <t>yes</t>
        </is>
      </c>
      <c r="G200" s="120" t="inlineStr">
        <is>
          <t>pass</t>
        </is>
      </c>
      <c r="H200" s="120" t="inlineStr">
        <is>
          <t>covered</t>
        </is>
      </c>
      <c r="I200" s="121" t="inlineStr">
        <is>
          <t>DropdownMenu playground manual verification.</t>
        </is>
      </c>
      <c r="J200" s="121" t="n"/>
      <c r="K200" s="122">
        <f>IF(AND(E200="yes",F200="yes",H200="covered"),1,IF(H200="partial",0.5,0))</f>
        <v/>
      </c>
    </row>
    <row r="201" ht="31.5" customHeight="1" s="58">
      <c r="A201" s="120" t="n">
        <v>193</v>
      </c>
      <c r="B201" s="121" t="inlineStr">
        <is>
          <t>Composition</t>
        </is>
      </c>
      <c r="C201" s="121" t="inlineStr">
        <is>
          <t>Native Props</t>
        </is>
      </c>
      <c r="D201" s="121" t="inlineStr">
        <is>
          <t>CheckboxItem native props pass through</t>
        </is>
      </c>
      <c r="E201" s="120" t="inlineStr">
        <is>
          <t>yes</t>
        </is>
      </c>
      <c r="F201" s="120" t="inlineStr">
        <is>
          <t>yes</t>
        </is>
      </c>
      <c r="G201" s="120" t="inlineStr">
        <is>
          <t>pass</t>
        </is>
      </c>
      <c r="H201" s="120" t="inlineStr">
        <is>
          <t>covered</t>
        </is>
      </c>
      <c r="I201" s="121" t="inlineStr">
        <is>
          <t>DropdownMenu playground manual verification.</t>
        </is>
      </c>
      <c r="J201" s="121" t="n"/>
      <c r="K201" s="122">
        <f>IF(AND(E201="yes",F201="yes",H201="covered"),1,IF(H201="partial",0.5,0))</f>
        <v/>
      </c>
    </row>
    <row r="202" ht="31.5" customHeight="1" s="58">
      <c r="A202" s="120" t="n">
        <v>194</v>
      </c>
      <c r="B202" s="121" t="inlineStr">
        <is>
          <t>Composition</t>
        </is>
      </c>
      <c r="C202" s="121" t="inlineStr">
        <is>
          <t>Native Props</t>
        </is>
      </c>
      <c r="D202" s="121" t="inlineStr">
        <is>
          <t>RadioItem native props pass through</t>
        </is>
      </c>
      <c r="E202" s="120" t="inlineStr">
        <is>
          <t>yes</t>
        </is>
      </c>
      <c r="F202" s="120" t="inlineStr">
        <is>
          <t>yes</t>
        </is>
      </c>
      <c r="G202" s="120" t="inlineStr">
        <is>
          <t>pass</t>
        </is>
      </c>
      <c r="H202" s="120" t="inlineStr">
        <is>
          <t>covered</t>
        </is>
      </c>
      <c r="I202" s="121" t="inlineStr">
        <is>
          <t>DropdownMenu playground manual verification.</t>
        </is>
      </c>
      <c r="J202" s="121" t="n"/>
      <c r="K202" s="122">
        <f>IF(AND(E202="yes",F202="yes",H202="covered"),1,IF(H202="partial",0.5,0))</f>
        <v/>
      </c>
    </row>
    <row r="203" ht="31.5" customHeight="1" s="58">
      <c r="A203" s="120" t="n">
        <v>195</v>
      </c>
      <c r="B203" s="121" t="inlineStr">
        <is>
          <t>Composition</t>
        </is>
      </c>
      <c r="C203" s="121" t="inlineStr">
        <is>
          <t>Native Props</t>
        </is>
      </c>
      <c r="D203" s="121" t="inlineStr">
        <is>
          <t>SubContent native props pass through</t>
        </is>
      </c>
      <c r="E203" s="120" t="inlineStr">
        <is>
          <t>yes</t>
        </is>
      </c>
      <c r="F203" s="120" t="inlineStr">
        <is>
          <t>yes</t>
        </is>
      </c>
      <c r="G203" s="120" t="inlineStr">
        <is>
          <t>pass</t>
        </is>
      </c>
      <c r="H203" s="120" t="inlineStr">
        <is>
          <t>covered</t>
        </is>
      </c>
      <c r="I203" s="121" t="inlineStr">
        <is>
          <t>DropdownMenu playground manual verification.</t>
        </is>
      </c>
      <c r="J203" s="121" t="n"/>
      <c r="K203" s="122">
        <f>IF(AND(E203="yes",F203="yes",H203="covered"),1,IF(H203="partial",0.5,0))</f>
        <v/>
      </c>
    </row>
    <row r="204" ht="31.5" customHeight="1" s="58">
      <c r="A204" s="120" t="n">
        <v>196</v>
      </c>
      <c r="B204" s="121" t="inlineStr">
        <is>
          <t>Styling Hooks</t>
        </is>
      </c>
      <c r="C204" s="121" t="inlineStr">
        <is>
          <t>Data Attributes</t>
        </is>
      </c>
      <c r="D204" s="121" t="inlineStr">
        <is>
          <t>trigger open state visible through data-state</t>
        </is>
      </c>
      <c r="E204" s="120" t="inlineStr">
        <is>
          <t>yes</t>
        </is>
      </c>
      <c r="F204" s="120" t="inlineStr">
        <is>
          <t>yes</t>
        </is>
      </c>
      <c r="G204" s="120" t="inlineStr">
        <is>
          <t>pass</t>
        </is>
      </c>
      <c r="H204" s="120" t="inlineStr">
        <is>
          <t>covered</t>
        </is>
      </c>
      <c r="I204" s="121" t="inlineStr">
        <is>
          <t>DropdownMenu playground manual verification.</t>
        </is>
      </c>
      <c r="J204" s="121" t="n"/>
      <c r="K204" s="122">
        <f>IF(AND(E204="yes",F204="yes",H204="covered"),1,IF(H204="partial",0.5,0))</f>
        <v/>
      </c>
    </row>
    <row r="205" ht="31.5" customHeight="1" s="58">
      <c r="A205" s="120" t="n">
        <v>197</v>
      </c>
      <c r="B205" s="121" t="inlineStr">
        <is>
          <t>Styling Hooks</t>
        </is>
      </c>
      <c r="C205" s="121" t="inlineStr">
        <is>
          <t>Data Attributes</t>
        </is>
      </c>
      <c r="D205" s="121" t="inlineStr">
        <is>
          <t>content open state visible through data-state</t>
        </is>
      </c>
      <c r="E205" s="120" t="inlineStr">
        <is>
          <t>yes</t>
        </is>
      </c>
      <c r="F205" s="120" t="inlineStr">
        <is>
          <t>yes</t>
        </is>
      </c>
      <c r="G205" s="120" t="inlineStr">
        <is>
          <t>pass</t>
        </is>
      </c>
      <c r="H205" s="120" t="inlineStr">
        <is>
          <t>covered</t>
        </is>
      </c>
      <c r="I205" s="121" t="inlineStr">
        <is>
          <t>DropdownMenu playground manual verification.</t>
        </is>
      </c>
      <c r="J205" s="121" t="n"/>
      <c r="K205" s="122">
        <f>IF(AND(E205="yes",F205="yes",H205="covered"),1,IF(H205="partial",0.5,0))</f>
        <v/>
      </c>
    </row>
    <row r="206" ht="31.5" customHeight="1" s="58">
      <c r="A206" s="120" t="n">
        <v>198</v>
      </c>
      <c r="B206" s="121" t="inlineStr">
        <is>
          <t>Styling Hooks</t>
        </is>
      </c>
      <c r="C206" s="121" t="inlineStr">
        <is>
          <t>Data Attributes</t>
        </is>
      </c>
      <c r="D206" s="121" t="inlineStr">
        <is>
          <t>highlighted item visible through data-highlighted</t>
        </is>
      </c>
      <c r="E206" s="120" t="inlineStr">
        <is>
          <t>yes</t>
        </is>
      </c>
      <c r="F206" s="120" t="inlineStr">
        <is>
          <t>yes</t>
        </is>
      </c>
      <c r="G206" s="120" t="inlineStr">
        <is>
          <t>pass</t>
        </is>
      </c>
      <c r="H206" s="120" t="inlineStr">
        <is>
          <t>covered</t>
        </is>
      </c>
      <c r="I206" s="121" t="inlineStr">
        <is>
          <t>DropdownMenu playground manual verification.</t>
        </is>
      </c>
      <c r="J206" s="121" t="n"/>
      <c r="K206" s="122">
        <f>IF(AND(E206="yes",F206="yes",H206="covered"),1,IF(H206="partial",0.5,0))</f>
        <v/>
      </c>
    </row>
    <row r="207" ht="31.5" customHeight="1" s="58">
      <c r="A207" s="120" t="n">
        <v>199</v>
      </c>
      <c r="B207" s="121" t="inlineStr">
        <is>
          <t>Styling Hooks</t>
        </is>
      </c>
      <c r="C207" s="121" t="inlineStr">
        <is>
          <t>Data Attributes</t>
        </is>
      </c>
      <c r="D207" s="121" t="inlineStr">
        <is>
          <t>disabled trigger visible through data-disabled</t>
        </is>
      </c>
      <c r="E207" s="120" t="inlineStr">
        <is>
          <t>yes</t>
        </is>
      </c>
      <c r="F207" s="120" t="inlineStr">
        <is>
          <t>yes</t>
        </is>
      </c>
      <c r="G207" s="120" t="inlineStr">
        <is>
          <t>pass</t>
        </is>
      </c>
      <c r="H207" s="120" t="inlineStr">
        <is>
          <t>covered</t>
        </is>
      </c>
      <c r="I207" s="121" t="inlineStr">
        <is>
          <t>DropdownMenu playground manual verification.</t>
        </is>
      </c>
      <c r="J207" s="121" t="n"/>
      <c r="K207" s="122">
        <f>IF(AND(E207="yes",F207="yes",H207="covered"),1,IF(H207="partial",0.5,0))</f>
        <v/>
      </c>
    </row>
    <row r="208" ht="31.5" customHeight="1" s="58">
      <c r="A208" s="120" t="n">
        <v>200</v>
      </c>
      <c r="B208" s="121" t="inlineStr">
        <is>
          <t>Styling Hooks</t>
        </is>
      </c>
      <c r="C208" s="121" t="inlineStr">
        <is>
          <t>Data Attributes</t>
        </is>
      </c>
      <c r="D208" s="121" t="inlineStr">
        <is>
          <t>disabled item visible through data-disabled</t>
        </is>
      </c>
      <c r="E208" s="120" t="inlineStr">
        <is>
          <t>yes</t>
        </is>
      </c>
      <c r="F208" s="120" t="inlineStr">
        <is>
          <t>yes</t>
        </is>
      </c>
      <c r="G208" s="120" t="inlineStr">
        <is>
          <t>pass</t>
        </is>
      </c>
      <c r="H208" s="120" t="inlineStr">
        <is>
          <t>covered</t>
        </is>
      </c>
      <c r="I208" s="121" t="inlineStr">
        <is>
          <t>DropdownMenu playground manual verification.</t>
        </is>
      </c>
      <c r="J208" s="121" t="n"/>
      <c r="K208" s="122">
        <f>IF(AND(E208="yes",F208="yes",H208="covered"),1,IF(H208="partial",0.5,0))</f>
        <v/>
      </c>
    </row>
    <row r="209" ht="31.5" customHeight="1" s="58">
      <c r="A209" s="120" t="n">
        <v>201</v>
      </c>
      <c r="B209" s="121" t="inlineStr">
        <is>
          <t>Styling Hooks</t>
        </is>
      </c>
      <c r="C209" s="121" t="inlineStr">
        <is>
          <t>Data Attributes</t>
        </is>
      </c>
      <c r="D209" s="121" t="inlineStr">
        <is>
          <t>checked item visible through data-checked</t>
        </is>
      </c>
      <c r="E209" s="120" t="inlineStr">
        <is>
          <t>yes</t>
        </is>
      </c>
      <c r="F209" s="120" t="inlineStr">
        <is>
          <t>yes</t>
        </is>
      </c>
      <c r="G209" s="120" t="inlineStr">
        <is>
          <t>pass</t>
        </is>
      </c>
      <c r="H209" s="120" t="inlineStr">
        <is>
          <t>covered</t>
        </is>
      </c>
      <c r="I209" s="121" t="inlineStr">
        <is>
          <t>DropdownMenu playground manual verification.</t>
        </is>
      </c>
      <c r="J209" s="121" t="n"/>
      <c r="K209" s="122">
        <f>IF(AND(E209="yes",F209="yes",H209="covered"),1,IF(H209="partial",0.5,0))</f>
        <v/>
      </c>
    </row>
    <row r="210" ht="31.5" customHeight="1" s="58">
      <c r="A210" s="120" t="n">
        <v>202</v>
      </c>
      <c r="B210" s="121" t="inlineStr">
        <is>
          <t>Styling Hooks</t>
        </is>
      </c>
      <c r="C210" s="121" t="inlineStr">
        <is>
          <t>Data Attributes</t>
        </is>
      </c>
      <c r="D210" s="121" t="inlineStr">
        <is>
          <t>placement visible through data-side and data-align</t>
        </is>
      </c>
      <c r="E210" s="120" t="inlineStr">
        <is>
          <t>yes</t>
        </is>
      </c>
      <c r="F210" s="120" t="inlineStr">
        <is>
          <t>yes</t>
        </is>
      </c>
      <c r="G210" s="120" t="inlineStr">
        <is>
          <t>pass</t>
        </is>
      </c>
      <c r="H210" s="120" t="inlineStr">
        <is>
          <t>covered</t>
        </is>
      </c>
      <c r="I210" s="121" t="inlineStr">
        <is>
          <t>DropdownMenu playground manual verification.</t>
        </is>
      </c>
      <c r="J210" s="121" t="n"/>
      <c r="K210" s="122">
        <f>IF(AND(E210="yes",F210="yes",H210="covered"),1,IF(H210="partial",0.5,0))</f>
        <v/>
      </c>
    </row>
    <row r="211" ht="31.5" customHeight="1" s="58">
      <c r="A211" s="120" t="n">
        <v>203</v>
      </c>
      <c r="B211" s="121" t="inlineStr">
        <is>
          <t>Styling Hooks</t>
        </is>
      </c>
      <c r="C211" s="121" t="inlineStr">
        <is>
          <t>Data Attributes</t>
        </is>
      </c>
      <c r="D211" s="121" t="inlineStr">
        <is>
          <t>positioned state visible through data-positioned</t>
        </is>
      </c>
      <c r="E211" s="120" t="inlineStr">
        <is>
          <t>yes</t>
        </is>
      </c>
      <c r="F211" s="120" t="inlineStr">
        <is>
          <t>yes</t>
        </is>
      </c>
      <c r="G211" s="120" t="inlineStr">
        <is>
          <t>pass</t>
        </is>
      </c>
      <c r="H211" s="120" t="inlineStr">
        <is>
          <t>covered</t>
        </is>
      </c>
      <c r="I211" s="121" t="inlineStr">
        <is>
          <t>DropdownMenu playground manual verification.</t>
        </is>
      </c>
      <c r="J211" s="121" t="n"/>
      <c r="K211" s="122">
        <f>IF(AND(E211="yes",F211="yes",H211="covered"),1,IF(H211="partial",0.5,0))</f>
        <v/>
      </c>
    </row>
    <row r="212" ht="31.5" customHeight="1" s="58">
      <c r="A212" s="120" t="n">
        <v>204</v>
      </c>
      <c r="B212" s="121" t="inlineStr">
        <is>
          <t>Portal And Positioning</t>
        </is>
      </c>
      <c r="C212" s="121" t="inlineStr">
        <is>
          <t>Portal</t>
        </is>
      </c>
      <c r="D212" s="121" t="inlineStr">
        <is>
          <t>content portals to body</t>
        </is>
      </c>
      <c r="E212" s="120" t="inlineStr">
        <is>
          <t>yes</t>
        </is>
      </c>
      <c r="F212" s="120" t="inlineStr">
        <is>
          <t>yes</t>
        </is>
      </c>
      <c r="G212" s="120" t="inlineStr">
        <is>
          <t>pass</t>
        </is>
      </c>
      <c r="H212" s="120" t="inlineStr">
        <is>
          <t>covered</t>
        </is>
      </c>
      <c r="I212" s="121" t="inlineStr">
        <is>
          <t>DropdownMenu playground manual verification.</t>
        </is>
      </c>
      <c r="J212" s="121" t="n"/>
      <c r="K212" s="122">
        <f>IF(AND(E212="yes",F212="yes",H212="covered"),1,IF(H212="partial",0.5,0))</f>
        <v/>
      </c>
    </row>
    <row r="213" ht="31.5" customHeight="1" s="58">
      <c r="A213" s="120" t="n">
        <v>205</v>
      </c>
      <c r="B213" s="121" t="inlineStr">
        <is>
          <t>Portal And Positioning</t>
        </is>
      </c>
      <c r="C213" s="121" t="inlineStr">
        <is>
          <t>Portal</t>
        </is>
      </c>
      <c r="D213" s="121" t="inlineStr">
        <is>
          <t>sub content portals to body</t>
        </is>
      </c>
      <c r="E213" s="120" t="inlineStr">
        <is>
          <t>yes</t>
        </is>
      </c>
      <c r="F213" s="120" t="inlineStr">
        <is>
          <t>yes</t>
        </is>
      </c>
      <c r="G213" s="120" t="inlineStr">
        <is>
          <t>pass</t>
        </is>
      </c>
      <c r="H213" s="120" t="inlineStr">
        <is>
          <t>covered</t>
        </is>
      </c>
      <c r="I213" s="121" t="inlineStr">
        <is>
          <t>DropdownMenu playground manual verification.</t>
        </is>
      </c>
      <c r="J213" s="121" t="n"/>
      <c r="K213" s="122">
        <f>IF(AND(E213="yes",F213="yes",H213="covered"),1,IF(H213="partial",0.5,0))</f>
        <v/>
      </c>
    </row>
    <row r="214" ht="31.5" customHeight="1" s="58">
      <c r="A214" s="120" t="n">
        <v>206</v>
      </c>
      <c r="B214" s="121" t="inlineStr">
        <is>
          <t>Portal And Positioning</t>
        </is>
      </c>
      <c r="C214" s="121" t="inlineStr">
        <is>
          <t>Portal</t>
        </is>
      </c>
      <c r="D214" s="121" t="inlineStr">
        <is>
          <t>content positions relative to trigger</t>
        </is>
      </c>
      <c r="E214" s="120" t="inlineStr">
        <is>
          <t>yes</t>
        </is>
      </c>
      <c r="F214" s="120" t="inlineStr">
        <is>
          <t>yes</t>
        </is>
      </c>
      <c r="G214" s="120" t="inlineStr">
        <is>
          <t>pass</t>
        </is>
      </c>
      <c r="H214" s="120" t="inlineStr">
        <is>
          <t>covered</t>
        </is>
      </c>
      <c r="I214" s="121" t="inlineStr">
        <is>
          <t>DropdownMenu playground manual verification.</t>
        </is>
      </c>
      <c r="J214" s="121" t="n"/>
      <c r="K214" s="122">
        <f>IF(AND(E214="yes",F214="yes",H214="covered"),1,IF(H214="partial",0.5,0))</f>
        <v/>
      </c>
    </row>
    <row r="215" ht="31.5" customHeight="1" s="58">
      <c r="A215" s="120" t="n">
        <v>207</v>
      </c>
      <c r="B215" s="121" t="inlineStr">
        <is>
          <t>Portal And Positioning</t>
        </is>
      </c>
      <c r="C215" s="121" t="inlineStr">
        <is>
          <t>Portal</t>
        </is>
      </c>
      <c r="D215" s="121" t="inlineStr">
        <is>
          <t>placement flips or shifts near the edge of the manually tested desktop layout viewport</t>
        </is>
      </c>
      <c r="E215" s="120" t="inlineStr">
        <is>
          <t>yes</t>
        </is>
      </c>
      <c r="F215" s="120" t="inlineStr">
        <is>
          <t>yes</t>
        </is>
      </c>
      <c r="G215" s="120" t="inlineStr">
        <is>
          <t>passed existing desktop browser/manual baseline; mobile device qualification not run</t>
        </is>
      </c>
      <c r="H215" s="120" t="inlineStr">
        <is>
          <t>covered</t>
        </is>
      </c>
      <c r="I215" s="121" t="inlineStr">
        <is>
          <t>Existing desktop browser/manual baseline; not real iOS Safari or Android Chrome evidence.</t>
        </is>
      </c>
      <c r="J215" s="121" t="n"/>
      <c r="K215" s="122">
        <f>IF(AND(E215="yes",F215="yes",H215="covered"),1,IF(H215="partial",0.5,0))</f>
        <v/>
      </c>
    </row>
    <row r="216" ht="31.5" customHeight="1" s="58">
      <c r="A216" s="120" t="n">
        <v>208</v>
      </c>
      <c r="B216" s="121" t="inlineStr">
        <is>
          <t>Portal And Positioning</t>
        </is>
      </c>
      <c r="C216" s="121" t="inlineStr">
        <is>
          <t>Portal</t>
        </is>
      </c>
      <c r="D216" s="121" t="inlineStr">
        <is>
          <t>dropdown works inside Dialog without focus escape</t>
        </is>
      </c>
      <c r="E216" s="120" t="inlineStr">
        <is>
          <t>yes</t>
        </is>
      </c>
      <c r="F216" s="120" t="inlineStr">
        <is>
          <t>yes</t>
        </is>
      </c>
      <c r="G216" s="120" t="inlineStr">
        <is>
          <t>pass</t>
        </is>
      </c>
      <c r="H216" s="120" t="inlineStr">
        <is>
          <t>covered</t>
        </is>
      </c>
      <c r="I216" s="121" t="inlineStr">
        <is>
          <t>DropdownMenu playground manual verification.</t>
        </is>
      </c>
      <c r="J216" s="121" t="n"/>
      <c r="K216" s="122">
        <f>IF(AND(E216="yes",F216="yes",H216="covered"),1,IF(H216="partial",0.5,0))</f>
        <v/>
      </c>
    </row>
    <row r="217" ht="31.5" customHeight="1" s="58">
      <c r="A217" s="120" t="n">
        <v>209</v>
      </c>
      <c r="B217" s="121" t="inlineStr">
        <is>
          <t>Portal And Positioning</t>
        </is>
      </c>
      <c r="C217" s="121" t="inlineStr">
        <is>
          <t>Portal</t>
        </is>
      </c>
      <c r="D217" s="121" t="inlineStr">
        <is>
          <t>dropdown inside Dialog closes before Dialog on Escape</t>
        </is>
      </c>
      <c r="E217" s="120" t="inlineStr">
        <is>
          <t>yes</t>
        </is>
      </c>
      <c r="F217" s="120" t="inlineStr">
        <is>
          <t>yes</t>
        </is>
      </c>
      <c r="G217" s="120" t="inlineStr">
        <is>
          <t>pass</t>
        </is>
      </c>
      <c r="H217" s="120" t="inlineStr">
        <is>
          <t>covered</t>
        </is>
      </c>
      <c r="I217" s="121" t="inlineStr">
        <is>
          <t>DropdownMenu playground manual verification.</t>
        </is>
      </c>
      <c r="J217" s="121" t="n"/>
      <c r="K217" s="122">
        <f>IF(AND(E217="yes",F217="yes",H217="covered"),1,IF(H217="partial",0.5,0))</f>
        <v/>
      </c>
    </row>
    <row r="218" ht="31.5" customHeight="1" s="58">
      <c r="A218" s="120" t="n">
        <v>210</v>
      </c>
      <c r="B218" s="121" t="inlineStr">
        <is>
          <t>Regression</t>
        </is>
      </c>
      <c r="C218" s="121" t="inlineStr">
        <is>
          <t>Recent Fixes</t>
        </is>
      </c>
      <c r="D218" s="121" t="inlineStr">
        <is>
          <t>Escape closes topmost dropdown before parent overlay</t>
        </is>
      </c>
      <c r="E218" s="120" t="inlineStr">
        <is>
          <t>yes</t>
        </is>
      </c>
      <c r="F218" s="120" t="inlineStr">
        <is>
          <t>yes</t>
        </is>
      </c>
      <c r="G218" s="120" t="inlineStr">
        <is>
          <t>pass</t>
        </is>
      </c>
      <c r="H218" s="120" t="inlineStr">
        <is>
          <t>covered</t>
        </is>
      </c>
      <c r="I218" s="121" t="inlineStr">
        <is>
          <t>DropdownMenu playground manual verification.</t>
        </is>
      </c>
      <c r="J218" s="121" t="n"/>
      <c r="K218" s="122">
        <f>IF(AND(E218="yes",F218="yes",H218="covered"),1,IF(H218="partial",0.5,0))</f>
        <v/>
      </c>
    </row>
    <row r="219" ht="31.5" customHeight="1" s="58">
      <c r="A219" s="120" t="n">
        <v>211</v>
      </c>
      <c r="B219" s="121" t="inlineStr">
        <is>
          <t>Regression</t>
        </is>
      </c>
      <c r="C219" s="121" t="inlineStr">
        <is>
          <t>Recent Fixes</t>
        </is>
      </c>
      <c r="D219" s="121" t="inlineStr">
        <is>
          <t>portalled dropdown remains valid focus target inside Dialog</t>
        </is>
      </c>
      <c r="E219" s="120" t="inlineStr">
        <is>
          <t>yes</t>
        </is>
      </c>
      <c r="F219" s="120" t="inlineStr">
        <is>
          <t>yes</t>
        </is>
      </c>
      <c r="G219" s="120" t="inlineStr">
        <is>
          <t>pass</t>
        </is>
      </c>
      <c r="H219" s="120" t="inlineStr">
        <is>
          <t>covered</t>
        </is>
      </c>
      <c r="I219" s="121" t="inlineStr">
        <is>
          <t>DropdownMenu playground manual verification.</t>
        </is>
      </c>
      <c r="J219" s="121" t="n"/>
      <c r="K219" s="122">
        <f>IF(AND(E219="yes",F219="yes",H219="covered"),1,IF(H219="partial",0.5,0))</f>
        <v/>
      </c>
    </row>
    <row r="220" ht="31.5" customHeight="1" s="58">
      <c r="A220" s="120" t="n">
        <v>212</v>
      </c>
      <c r="B220" s="121" t="inlineStr">
        <is>
          <t>Regression</t>
        </is>
      </c>
      <c r="C220" s="121" t="inlineStr">
        <is>
          <t>Recent Fixes</t>
        </is>
      </c>
      <c r="D220" s="121" t="inlineStr">
        <is>
          <t>trigger disabled click does not open menu</t>
        </is>
      </c>
      <c r="E220" s="120" t="inlineStr">
        <is>
          <t>yes</t>
        </is>
      </c>
      <c r="F220" s="120" t="inlineStr">
        <is>
          <t>yes</t>
        </is>
      </c>
      <c r="G220" s="120" t="inlineStr">
        <is>
          <t>pass</t>
        </is>
      </c>
      <c r="H220" s="120" t="inlineStr">
        <is>
          <t>covered</t>
        </is>
      </c>
      <c r="I220" s="121" t="inlineStr">
        <is>
          <t>DropdownMenu playground manual verification.</t>
        </is>
      </c>
      <c r="J220" s="121" t="n"/>
      <c r="K220" s="122">
        <f>IF(AND(E220="yes",F220="yes",H220="covered"),1,IF(H220="partial",0.5,0))</f>
        <v/>
      </c>
    </row>
    <row r="221" ht="31.5" customHeight="1" s="58">
      <c r="A221" s="120" t="n">
        <v>213</v>
      </c>
      <c r="B221" s="121" t="inlineStr">
        <is>
          <t>Regression</t>
        </is>
      </c>
      <c r="C221" s="121" t="inlineStr">
        <is>
          <t>Recent Fixes</t>
        </is>
      </c>
      <c r="D221" s="121" t="inlineStr">
        <is>
          <t>trigger disabled asChild is removed from tab order</t>
        </is>
      </c>
      <c r="E221" s="120" t="inlineStr">
        <is>
          <t>yes</t>
        </is>
      </c>
      <c r="F221" s="120" t="inlineStr">
        <is>
          <t>yes</t>
        </is>
      </c>
      <c r="G221" s="120" t="inlineStr">
        <is>
          <t>pass</t>
        </is>
      </c>
      <c r="H221" s="120" t="inlineStr">
        <is>
          <t>covered</t>
        </is>
      </c>
      <c r="I221" s="121" t="inlineStr">
        <is>
          <t>DropdownMenu playground manual verification.</t>
        </is>
      </c>
      <c r="J221" s="121" t="n"/>
      <c r="K221" s="122">
        <f>IF(AND(E221="yes",F221="yes",H221="covered"),1,IF(H221="partial",0.5,0))</f>
        <v/>
      </c>
    </row>
    <row r="222" ht="31.5" customHeight="1" s="58">
      <c r="A222" s="120" t="n">
        <v>214</v>
      </c>
      <c r="B222" s="121" t="inlineStr">
        <is>
          <t>Regression</t>
        </is>
      </c>
      <c r="C222" s="121" t="inlineStr">
        <is>
          <t>Recent Fixes</t>
        </is>
      </c>
      <c r="D222" s="121" t="inlineStr">
        <is>
          <t>pointer-opened menu does not preselect first item</t>
        </is>
      </c>
      <c r="E222" s="120" t="inlineStr">
        <is>
          <t>yes</t>
        </is>
      </c>
      <c r="F222" s="120" t="inlineStr">
        <is>
          <t>yes</t>
        </is>
      </c>
      <c r="G222" s="120" t="inlineStr">
        <is>
          <t>pass</t>
        </is>
      </c>
      <c r="H222" s="120" t="inlineStr">
        <is>
          <t>covered</t>
        </is>
      </c>
      <c r="I222" s="121" t="inlineStr">
        <is>
          <t>DropdownMenu playground manual verification.</t>
        </is>
      </c>
      <c r="J222" s="121" t="n"/>
      <c r="K222" s="122">
        <f>IF(AND(E222="yes",F222="yes",H222="covered"),1,IF(H222="partial",0.5,0))</f>
        <v/>
      </c>
    </row>
    <row r="223" ht="31.5" customHeight="1" s="58">
      <c r="A223" s="120" t="n">
        <v>215</v>
      </c>
      <c r="B223" s="121" t="inlineStr">
        <is>
          <t>Regression</t>
        </is>
      </c>
      <c r="C223" s="121" t="inlineStr">
        <is>
          <t>Recent Fixes</t>
        </is>
      </c>
      <c r="D223" s="121" t="inlineStr">
        <is>
          <t>keyboard-opened menu highlights expected first or last item</t>
        </is>
      </c>
      <c r="E223" s="120" t="inlineStr">
        <is>
          <t>yes</t>
        </is>
      </c>
      <c r="F223" s="120" t="inlineStr">
        <is>
          <t>yes</t>
        </is>
      </c>
      <c r="G223" s="120" t="inlineStr">
        <is>
          <t>pass</t>
        </is>
      </c>
      <c r="H223" s="120" t="inlineStr">
        <is>
          <t>covered</t>
        </is>
      </c>
      <c r="I223" s="121" t="inlineStr">
        <is>
          <t>DropdownMenu playground manual verification.</t>
        </is>
      </c>
      <c r="J223" s="121" t="n"/>
      <c r="K223" s="122">
        <f>IF(AND(E223="yes",F223="yes",H223="covered"),1,IF(H223="partial",0.5,0))</f>
        <v/>
      </c>
    </row>
    <row r="224" ht="31.5" customHeight="1" s="58">
      <c r="A224" s="120" t="n">
        <v>216</v>
      </c>
      <c r="B224" s="121" t="inlineStr">
        <is>
          <t>Regression</t>
        </is>
      </c>
      <c r="C224" s="121" t="inlineStr">
        <is>
          <t>Recent Fixes</t>
        </is>
      </c>
      <c r="D224" s="121" t="inlineStr">
        <is>
          <t>radio groups with duplicate values highlight independently</t>
        </is>
      </c>
      <c r="E224" s="120" t="inlineStr">
        <is>
          <t>yes</t>
        </is>
      </c>
      <c r="F224" s="120" t="inlineStr">
        <is>
          <t>yes</t>
        </is>
      </c>
      <c r="G224" s="120" t="inlineStr">
        <is>
          <t>pass</t>
        </is>
      </c>
      <c r="H224" s="120" t="inlineStr">
        <is>
          <t>covered</t>
        </is>
      </c>
      <c r="I224" s="121" t="inlineStr">
        <is>
          <t>DropdownMenu playground manual verification.</t>
        </is>
      </c>
      <c r="J224" s="121" t="n"/>
      <c r="K224" s="122">
        <f>IF(AND(E224="yes",F224="yes",H224="covered"),1,IF(H224="partial",0.5,0))</f>
        <v/>
      </c>
    </row>
    <row r="225" ht="31.5" customHeight="1" s="58">
      <c r="A225" s="120" t="n">
        <v>217</v>
      </c>
      <c r="B225" s="121" t="inlineStr">
        <is>
          <t>Regression</t>
        </is>
      </c>
      <c r="C225" s="121" t="inlineStr">
        <is>
          <t>Recent Fixes</t>
        </is>
      </c>
      <c r="D225" s="121" t="inlineStr">
        <is>
          <t>hovering non-item content does not reset highlight to first item</t>
        </is>
      </c>
      <c r="E225" s="120" t="inlineStr">
        <is>
          <t>yes</t>
        </is>
      </c>
      <c r="F225" s="120" t="inlineStr">
        <is>
          <t>yes</t>
        </is>
      </c>
      <c r="G225" s="120" t="inlineStr">
        <is>
          <t>pass</t>
        </is>
      </c>
      <c r="H225" s="120" t="inlineStr">
        <is>
          <t>covered</t>
        </is>
      </c>
      <c r="I225" s="121" t="inlineStr">
        <is>
          <t>DropdownMenu playground manual verification.</t>
        </is>
      </c>
      <c r="J225" s="121" t="n"/>
      <c r="K225" s="122">
        <f>IF(AND(E225="yes",F225="yes",H225="covered"),1,IF(H225="partial",0.5,0))</f>
        <v/>
      </c>
    </row>
    <row r="226" ht="31.5" customHeight="1" s="58">
      <c r="A226" s="120" t="n">
        <v>218</v>
      </c>
      <c r="B226" s="121" t="inlineStr">
        <is>
          <t>Regression</t>
        </is>
      </c>
      <c r="C226" s="121" t="inlineStr">
        <is>
          <t>Recent Fixes</t>
        </is>
      </c>
      <c r="D226" s="121" t="inlineStr">
        <is>
          <t>outside click closes portalled dropdown</t>
        </is>
      </c>
      <c r="E226" s="120" t="inlineStr">
        <is>
          <t>yes</t>
        </is>
      </c>
      <c r="F226" s="120" t="inlineStr">
        <is>
          <t>yes</t>
        </is>
      </c>
      <c r="G226" s="120" t="inlineStr">
        <is>
          <t>pass</t>
        </is>
      </c>
      <c r="H226" s="120" t="inlineStr">
        <is>
          <t>covered</t>
        </is>
      </c>
      <c r="I226" s="121" t="inlineStr">
        <is>
          <t>DropdownMenu playground manual verification.</t>
        </is>
      </c>
      <c r="J226" s="121" t="n"/>
      <c r="K226" s="122">
        <f>IF(AND(E226="yes",F226="yes",H226="covered"),1,IF(H226="partial",0.5,0))</f>
        <v/>
      </c>
    </row>
    <row r="227" ht="30" customHeight="1" s="58">
      <c r="A227" s="112" t="n">
        <v>219</v>
      </c>
      <c r="B227" s="113" t="inlineStr">
        <is>
          <t>Regression</t>
        </is>
      </c>
      <c r="C227" s="113" t="inlineStr">
        <is>
          <t>Recent Fixes</t>
        </is>
      </c>
      <c r="D227" s="113" t="inlineStr">
        <is>
          <t>submenu focus returns to its immediate SubTrigger on close</t>
        </is>
      </c>
      <c r="E227" s="114" t="inlineStr">
        <is>
          <t>yes</t>
        </is>
      </c>
      <c r="F227" s="115" t="inlineStr">
        <is>
          <t>no</t>
        </is>
      </c>
      <c r="G227" s="112" t="inlineStr">
        <is>
          <t>automated tests pass; manual pending</t>
        </is>
      </c>
      <c r="H227" s="116" t="inlineStr">
        <is>
          <t>untested</t>
        </is>
      </c>
      <c r="I227" s="113" t="inlineStr">
        <is>
          <t>playground/.manual-tests/dropdown-menu.md (draft)</t>
        </is>
      </c>
      <c r="J227" s="113" t="inlineStr">
        <is>
          <t>Run the updated component Manual Test Protocol and named browser/device matrix.</t>
        </is>
      </c>
      <c r="K227" s="117">
        <f>IF(AND(E227="yes",F227="yes",H227="covered"),1,IF(H227="partial",0.5,0))</f>
        <v/>
      </c>
    </row>
    <row r="228" ht="31.5" customHeight="1" s="58">
      <c r="A228" s="120" t="n">
        <v>220</v>
      </c>
      <c r="B228" s="121" t="inlineStr">
        <is>
          <t>Interaction</t>
        </is>
      </c>
      <c r="C228" s="121" t="inlineStr">
        <is>
          <t>Trigger</t>
        </is>
      </c>
      <c r="D228" s="121" t="inlineStr">
        <is>
          <t>pointer/click trigger activation opens DropdownMenu in the existing desktop manual scenario</t>
        </is>
      </c>
      <c r="E228" s="120" t="inlineStr">
        <is>
          <t>yes</t>
        </is>
      </c>
      <c r="F228" s="120" t="inlineStr">
        <is>
          <t>yes</t>
        </is>
      </c>
      <c r="G228" s="120" t="inlineStr">
        <is>
          <t>passed existing desktop browser/manual baseline; mobile device qualification not run</t>
        </is>
      </c>
      <c r="H228" s="120" t="inlineStr">
        <is>
          <t>covered</t>
        </is>
      </c>
      <c r="I228" s="121" t="inlineStr">
        <is>
          <t>Existing desktop browser/manual baseline; not real iOS Safari or Android Chrome evidence.</t>
        </is>
      </c>
      <c r="J228" s="121" t="n"/>
      <c r="K228" s="122">
        <f>IF(AND(E228="yes",F228="yes",H228="covered"),1,IF(H228="partial",0.5,0))</f>
        <v/>
      </c>
    </row>
    <row r="229" ht="31.5" customHeight="1" s="58">
      <c r="A229" s="120" t="n">
        <v>221</v>
      </c>
      <c r="B229" s="121" t="inlineStr">
        <is>
          <t>Interaction</t>
        </is>
      </c>
      <c r="C229" s="121" t="inlineStr">
        <is>
          <t>Trigger</t>
        </is>
      </c>
      <c r="D229" s="121" t="inlineStr">
        <is>
          <t>pointer/click trigger activation closes an open DropdownMenu in the existing desktop manual scenario</t>
        </is>
      </c>
      <c r="E229" s="120" t="inlineStr">
        <is>
          <t>yes</t>
        </is>
      </c>
      <c r="F229" s="120" t="inlineStr">
        <is>
          <t>yes</t>
        </is>
      </c>
      <c r="G229" s="120" t="inlineStr">
        <is>
          <t>passed existing desktop browser/manual baseline; mobile device qualification not run</t>
        </is>
      </c>
      <c r="H229" s="120" t="inlineStr">
        <is>
          <t>covered</t>
        </is>
      </c>
      <c r="I229" s="121" t="inlineStr">
        <is>
          <t>Existing desktop browser/manual baseline; not real iOS Safari or Android Chrome evidence.</t>
        </is>
      </c>
      <c r="J229" s="121" t="n"/>
      <c r="K229" s="122">
        <f>IF(AND(E229="yes",F229="yes",H229="covered"),1,IF(H229="partial",0.5,0))</f>
        <v/>
      </c>
    </row>
    <row r="230" ht="31.5" customHeight="1" s="58">
      <c r="A230" s="120" t="n">
        <v>222</v>
      </c>
      <c r="B230" s="121" t="inlineStr">
        <is>
          <t>Interaction</t>
        </is>
      </c>
      <c r="C230" s="121" t="inlineStr">
        <is>
          <t>Item</t>
        </is>
      </c>
      <c r="D230" s="121" t="inlineStr">
        <is>
          <t>pointer/click activation selects an action item in the existing desktop manual scenario</t>
        </is>
      </c>
      <c r="E230" s="120" t="inlineStr">
        <is>
          <t>yes</t>
        </is>
      </c>
      <c r="F230" s="120" t="inlineStr">
        <is>
          <t>yes</t>
        </is>
      </c>
      <c r="G230" s="120" t="inlineStr">
        <is>
          <t>passed existing desktop browser/manual baseline; mobile device qualification not run</t>
        </is>
      </c>
      <c r="H230" s="120" t="inlineStr">
        <is>
          <t>covered</t>
        </is>
      </c>
      <c r="I230" s="121" t="inlineStr">
        <is>
          <t>Existing desktop browser/manual baseline; not real iOS Safari or Android Chrome evidence.</t>
        </is>
      </c>
      <c r="J230" s="121" t="n"/>
      <c r="K230" s="122">
        <f>IF(AND(E230="yes",F230="yes",H230="covered"),1,IF(H230="partial",0.5,0))</f>
        <v/>
      </c>
    </row>
    <row r="231" ht="31.5" customHeight="1" s="58">
      <c r="A231" s="120" t="n">
        <v>223</v>
      </c>
      <c r="B231" s="121" t="inlineStr">
        <is>
          <t>Interaction</t>
        </is>
      </c>
      <c r="C231" s="121" t="inlineStr">
        <is>
          <t>Checkbox item</t>
        </is>
      </c>
      <c r="D231" s="121" t="inlineStr">
        <is>
          <t>pointer/click activation toggles a checkbox item in the existing desktop manual scenario</t>
        </is>
      </c>
      <c r="E231" s="120" t="inlineStr">
        <is>
          <t>yes</t>
        </is>
      </c>
      <c r="F231" s="120" t="inlineStr">
        <is>
          <t>yes</t>
        </is>
      </c>
      <c r="G231" s="120" t="inlineStr">
        <is>
          <t>passed existing desktop browser/manual baseline; mobile device qualification not run</t>
        </is>
      </c>
      <c r="H231" s="120" t="inlineStr">
        <is>
          <t>covered</t>
        </is>
      </c>
      <c r="I231" s="121" t="inlineStr">
        <is>
          <t>Existing desktop browser/manual baseline; not real iOS Safari or Android Chrome evidence.</t>
        </is>
      </c>
      <c r="J231" s="121" t="n"/>
      <c r="K231" s="122">
        <f>IF(AND(E231="yes",F231="yes",H231="covered"),1,IF(H231="partial",0.5,0))</f>
        <v/>
      </c>
    </row>
    <row r="232" ht="31.5" customHeight="1" s="58">
      <c r="A232" s="120" t="n">
        <v>224</v>
      </c>
      <c r="B232" s="121" t="inlineStr">
        <is>
          <t>Interaction</t>
        </is>
      </c>
      <c r="C232" s="121" t="inlineStr">
        <is>
          <t>Radio item</t>
        </is>
      </c>
      <c r="D232" s="121" t="inlineStr">
        <is>
          <t>pointer/click activation selects a radio item in the existing desktop manual scenario</t>
        </is>
      </c>
      <c r="E232" s="120" t="inlineStr">
        <is>
          <t>yes</t>
        </is>
      </c>
      <c r="F232" s="120" t="inlineStr">
        <is>
          <t>yes</t>
        </is>
      </c>
      <c r="G232" s="120" t="inlineStr">
        <is>
          <t>passed existing desktop browser/manual baseline; mobile device qualification not run</t>
        </is>
      </c>
      <c r="H232" s="120" t="inlineStr">
        <is>
          <t>covered</t>
        </is>
      </c>
      <c r="I232" s="121" t="inlineStr">
        <is>
          <t>Existing desktop browser/manual baseline; not real iOS Safari or Android Chrome evidence.</t>
        </is>
      </c>
      <c r="J232" s="121" t="n"/>
      <c r="K232" s="122">
        <f>IF(AND(E232="yes",F232="yes",H232="covered"),1,IF(H232="partial",0.5,0))</f>
        <v/>
      </c>
    </row>
    <row r="233" ht="30" customHeight="1" s="58">
      <c r="A233" s="120" t="n">
        <v>225</v>
      </c>
      <c r="B233" s="121" t="inlineStr">
        <is>
          <t>Interaction</t>
        </is>
      </c>
      <c r="C233" s="121" t="inlineStr">
        <is>
          <t>Submenu</t>
        </is>
      </c>
      <c r="D233" s="121" t="inlineStr">
        <is>
          <t>pointer/click activation opens a submenu in the existing desktop manual scenario</t>
        </is>
      </c>
      <c r="E233" s="120" t="inlineStr">
        <is>
          <t>yes</t>
        </is>
      </c>
      <c r="F233" s="120" t="inlineStr">
        <is>
          <t>yes</t>
        </is>
      </c>
      <c r="G233" s="120" t="inlineStr">
        <is>
          <t>passed existing desktop browser/manual baseline; mobile device qualification not run</t>
        </is>
      </c>
      <c r="H233" s="120" t="inlineStr">
        <is>
          <t>covered</t>
        </is>
      </c>
      <c r="I233" s="121" t="inlineStr">
        <is>
          <t>Existing desktop browser/manual baseline; not real iOS Safari or Android Chrome evidence.</t>
        </is>
      </c>
      <c r="J233" s="121" t="n"/>
      <c r="K233" s="122">
        <f>IF(AND(E233="yes",F233="yes",H233="covered"),1,IF(H233="partial",0.5,0))</f>
        <v/>
      </c>
    </row>
    <row r="234" ht="30" customHeight="1" s="58">
      <c r="A234" s="112" t="n">
        <v>226</v>
      </c>
      <c r="B234" s="113" t="inlineStr">
        <is>
          <t>Interaction</t>
        </is>
      </c>
      <c r="C234" s="113" t="inlineStr">
        <is>
          <t>Outside interaction</t>
        </is>
      </c>
      <c r="D234" s="113" t="inlineStr">
        <is>
          <t>mouse outside press closes immediately; touch or pen outside release closes only after an uncancelled gesture</t>
        </is>
      </c>
      <c r="E234" s="114" t="inlineStr">
        <is>
          <t>yes</t>
        </is>
      </c>
      <c r="F234" s="115" t="inlineStr">
        <is>
          <t>no</t>
        </is>
      </c>
      <c r="G234" s="112" t="inlineStr">
        <is>
          <t>automated tests pass; manual pending</t>
        </is>
      </c>
      <c r="H234" s="116" t="inlineStr">
        <is>
          <t>untested</t>
        </is>
      </c>
      <c r="I234" s="113" t="inlineStr">
        <is>
          <t>playground/.manual-tests/dropdown-menu.md (draft)</t>
        </is>
      </c>
      <c r="J234" s="113" t="inlineStr">
        <is>
          <t>Run the updated component Manual Test Protocol and named browser/device matrix.</t>
        </is>
      </c>
      <c r="K234" s="117">
        <f>IF(AND(E234="yes",F234="yes",H234="covered"),1,IF(H234="partial",0.5,0))</f>
        <v/>
      </c>
    </row>
    <row r="235" ht="30" customHeight="1" s="58">
      <c r="A235" s="120" t="n">
        <v>227</v>
      </c>
      <c r="B235" s="121" t="inlineStr">
        <is>
          <t>Keyboard</t>
        </is>
      </c>
      <c r="C235" s="121" t="inlineStr">
        <is>
          <t>Typeahead</t>
        </is>
      </c>
      <c r="D235" s="121" t="inlineStr">
        <is>
          <t>single-character typeahead cycles from current matching item after buffer reset</t>
        </is>
      </c>
      <c r="E235" s="120" t="inlineStr">
        <is>
          <t>yes</t>
        </is>
      </c>
      <c r="F235" s="120" t="inlineStr">
        <is>
          <t>yes</t>
        </is>
      </c>
      <c r="G235" s="120" t="inlineStr">
        <is>
          <t>pass</t>
        </is>
      </c>
      <c r="H235" s="120" t="inlineStr">
        <is>
          <t>covered</t>
        </is>
      </c>
      <c r="I235" s="121" t="inlineStr">
        <is>
          <t>DropdownMenu playground manual verification.</t>
        </is>
      </c>
      <c r="J235" s="121" t="n"/>
      <c r="K235" s="122">
        <f>IF(AND(E235="yes",F235="yes",H235="covered"),1,IF(H235="partial",0.5,0))</f>
        <v/>
      </c>
    </row>
    <row r="236" ht="30" customHeight="1" s="58">
      <c r="A236" s="120" t="n">
        <v>228</v>
      </c>
      <c r="B236" s="121" t="inlineStr">
        <is>
          <t>Direction</t>
        </is>
      </c>
      <c r="C236" s="121" t="inlineStr">
        <is>
          <t>Submenu</t>
        </is>
      </c>
      <c r="D236" s="121" t="inlineStr">
        <is>
          <t>reads Direction.Provider context for submenu keyboard behavior</t>
        </is>
      </c>
      <c r="E236" s="120" t="inlineStr">
        <is>
          <t>yes</t>
        </is>
      </c>
      <c r="F236" s="120" t="inlineStr">
        <is>
          <t>yes</t>
        </is>
      </c>
      <c r="G236" s="120" t="inlineStr">
        <is>
          <t>pass</t>
        </is>
      </c>
      <c r="H236" s="120" t="inlineStr">
        <is>
          <t>covered</t>
        </is>
      </c>
      <c r="I236" s="121" t="inlineStr">
        <is>
          <t>DropdownMenu playground manual verification.</t>
        </is>
      </c>
      <c r="J236" s="121" t="n"/>
      <c r="K236" s="122">
        <f>IF(AND(E236="yes",F236="yes",H236="covered"),1,IF(H236="partial",0.5,0))</f>
        <v/>
      </c>
    </row>
    <row r="237" ht="30" customHeight="1" s="58">
      <c r="A237" s="120" t="n">
        <v>229</v>
      </c>
      <c r="B237" s="121" t="inlineStr">
        <is>
          <t>Direction</t>
        </is>
      </c>
      <c r="C237" s="121" t="inlineStr">
        <is>
          <t>Submenu</t>
        </is>
      </c>
      <c r="D237" s="121" t="inlineStr">
        <is>
          <t>RTL mirrors submenu ArrowLeft and ArrowRight open/close behavior</t>
        </is>
      </c>
      <c r="E237" s="120" t="inlineStr">
        <is>
          <t>yes</t>
        </is>
      </c>
      <c r="F237" s="120" t="inlineStr">
        <is>
          <t>yes</t>
        </is>
      </c>
      <c r="G237" s="120" t="inlineStr">
        <is>
          <t>pass</t>
        </is>
      </c>
      <c r="H237" s="120" t="inlineStr">
        <is>
          <t>covered</t>
        </is>
      </c>
      <c r="I237" s="121" t="inlineStr">
        <is>
          <t>DropdownMenu playground manual verification.</t>
        </is>
      </c>
      <c r="J237" s="121" t="n"/>
      <c r="K237" s="122">
        <f>IF(AND(E237="yes",F237="yes",H237="covered"),1,IF(H237="partial",0.5,0))</f>
        <v/>
      </c>
    </row>
    <row r="238" ht="30" customHeight="1" s="58">
      <c r="A238" s="120" t="n">
        <v>230</v>
      </c>
      <c r="B238" s="121" t="inlineStr">
        <is>
          <t>Playground</t>
        </is>
      </c>
      <c r="C238" s="121" t="inlineStr">
        <is>
          <t>Direction controls</t>
        </is>
      </c>
      <c r="D238" s="121" t="inlineStr">
        <is>
          <t>scenario exposes provider direction controls</t>
        </is>
      </c>
      <c r="E238" s="120" t="inlineStr">
        <is>
          <t>yes</t>
        </is>
      </c>
      <c r="F238" s="120" t="inlineStr">
        <is>
          <t>yes</t>
        </is>
      </c>
      <c r="G238" s="120" t="inlineStr">
        <is>
          <t>pass</t>
        </is>
      </c>
      <c r="H238" s="120" t="inlineStr">
        <is>
          <t>covered</t>
        </is>
      </c>
      <c r="I238" s="121" t="inlineStr">
        <is>
          <t>DropdownMenu playground manual verification.</t>
        </is>
      </c>
      <c r="J238" s="121" t="n"/>
      <c r="K238" s="122">
        <f>IF(AND(E238="yes",F238="yes",H238="covered"),1,IF(H238="partial",0.5,0))</f>
        <v/>
      </c>
    </row>
    <row r="239" ht="30" customHeight="1" s="58">
      <c r="A239" s="112" t="n">
        <v>231</v>
      </c>
      <c r="B239" s="113" t="inlineStr">
        <is>
          <t>Focus</t>
        </is>
      </c>
      <c r="C239" s="113" t="inlineStr">
        <is>
          <t>Trigger</t>
        </is>
      </c>
      <c r="D239" s="113" t="inlineStr">
        <is>
          <t>click, tap, Enter, Space, and ArrowDown open with real focus on the first item; ArrowUp focuses the last</t>
        </is>
      </c>
      <c r="E239" s="114" t="inlineStr">
        <is>
          <t>yes</t>
        </is>
      </c>
      <c r="F239" s="115" t="inlineStr">
        <is>
          <t>no</t>
        </is>
      </c>
      <c r="G239" s="112" t="inlineStr">
        <is>
          <t>automated tests pass; manual pending</t>
        </is>
      </c>
      <c r="H239" s="116" t="inlineStr">
        <is>
          <t>untested</t>
        </is>
      </c>
      <c r="I239" s="113" t="inlineStr">
        <is>
          <t>playground/.manual-tests/dropdown-menu.md (draft)</t>
        </is>
      </c>
      <c r="J239" s="113" t="inlineStr">
        <is>
          <t>Run the updated component Manual Test Protocol and named browser/device matrix.</t>
        </is>
      </c>
      <c r="K239" s="117">
        <f>IF(AND(E239="yes",F239="yes",H239="covered"),1,IF(H239="partial",0.5,0))</f>
        <v/>
      </c>
    </row>
    <row r="240" ht="30" customHeight="1" s="58">
      <c r="A240" s="112" t="n">
        <v>232</v>
      </c>
      <c r="B240" s="113" t="inlineStr">
        <is>
          <t>Focus</t>
        </is>
      </c>
      <c r="C240" s="113" t="inlineStr">
        <is>
          <t>Open And Close</t>
        </is>
      </c>
      <c r="D240" s="113" t="inlineStr">
        <is>
          <t>Shift+Tab closes every menu level and moves focus before the complete DropdownMenu owner boundary</t>
        </is>
      </c>
      <c r="E240" s="114" t="inlineStr">
        <is>
          <t>yes</t>
        </is>
      </c>
      <c r="F240" s="115" t="inlineStr">
        <is>
          <t>no</t>
        </is>
      </c>
      <c r="G240" s="112" t="inlineStr">
        <is>
          <t>automated tests pass; manual pending</t>
        </is>
      </c>
      <c r="H240" s="116" t="inlineStr">
        <is>
          <t>untested</t>
        </is>
      </c>
      <c r="I240" s="113" t="inlineStr">
        <is>
          <t>playground/.manual-tests/dropdown-menu.md (draft)</t>
        </is>
      </c>
      <c r="J240" s="113" t="inlineStr">
        <is>
          <t>Run the updated component Manual Test Protocol and named browser/device matrix.</t>
        </is>
      </c>
      <c r="K240" s="117">
        <f>IF(AND(E240="yes",F240="yes",H240="covered"),1,IF(H240="partial",0.5,0))</f>
        <v/>
      </c>
    </row>
    <row r="241" ht="30" customHeight="1" s="58">
      <c r="A241" s="112" t="n">
        <v>233</v>
      </c>
      <c r="B241" s="113" t="inlineStr">
        <is>
          <t>Shared Menu Integration</t>
        </is>
      </c>
      <c r="C241" s="113" t="inlineStr">
        <is>
          <t>Anatomy</t>
        </is>
      </c>
      <c r="D241" s="113" t="inlineStr">
        <is>
          <t>Portal, Arrow, Label, and ItemIndicator render with shared Menu semantics and geometry</t>
        </is>
      </c>
      <c r="E241" s="114" t="inlineStr">
        <is>
          <t>yes</t>
        </is>
      </c>
      <c r="F241" s="115" t="inlineStr">
        <is>
          <t>no</t>
        </is>
      </c>
      <c r="G241" s="112" t="inlineStr">
        <is>
          <t>automated tests pass; manual pending</t>
        </is>
      </c>
      <c r="H241" s="116" t="inlineStr">
        <is>
          <t>untested</t>
        </is>
      </c>
      <c r="I241" s="113" t="inlineStr">
        <is>
          <t>playground/.manual-tests/dropdown-menu.md (draft)</t>
        </is>
      </c>
      <c r="J241" s="113" t="inlineStr">
        <is>
          <t>Run the updated component Manual Test Protocol and named browser/device matrix.</t>
        </is>
      </c>
      <c r="K241" s="117">
        <f>IF(AND(E241="yes",F241="yes",H241="covered"),1,IF(H241="partial",0.5,0))</f>
        <v/>
      </c>
    </row>
    <row r="242" ht="30" customHeight="1" s="58">
      <c r="A242" s="112" t="n">
        <v>234</v>
      </c>
      <c r="B242" s="113" t="inlineStr">
        <is>
          <t>Shared Menu Integration</t>
        </is>
      </c>
      <c r="C242" s="113" t="inlineStr">
        <is>
          <t>Checkbox Item</t>
        </is>
      </c>
      <c r="D242" s="113" t="inlineStr">
        <is>
          <t>indeterminate checkbox exposes mixed ARIA state and a matching ItemIndicator</t>
        </is>
      </c>
      <c r="E242" s="114" t="inlineStr">
        <is>
          <t>yes</t>
        </is>
      </c>
      <c r="F242" s="115" t="inlineStr">
        <is>
          <t>no</t>
        </is>
      </c>
      <c r="G242" s="112" t="inlineStr">
        <is>
          <t>automated tests pass; manual pending</t>
        </is>
      </c>
      <c r="H242" s="116" t="inlineStr">
        <is>
          <t>untested</t>
        </is>
      </c>
      <c r="I242" s="113" t="inlineStr">
        <is>
          <t>playground/.manual-tests/dropdown-menu.md (draft)</t>
        </is>
      </c>
      <c r="J242" s="113" t="inlineStr">
        <is>
          <t>Run the updated component Manual Test Protocol and named browser/device matrix.</t>
        </is>
      </c>
      <c r="K242" s="117">
        <f>IF(AND(E242="yes",F242="yes",H242="covered"),1,IF(H242="partial",0.5,0))</f>
        <v/>
      </c>
    </row>
    <row r="243" ht="30" customHeight="1" s="58">
      <c r="A243" s="112" t="n">
        <v>235</v>
      </c>
      <c r="B243" s="113" t="inlineStr">
        <is>
          <t>Pointer</t>
        </is>
      </c>
      <c r="C243" s="113" t="inlineStr">
        <is>
          <t>Sub Trigger</t>
        </is>
      </c>
      <c r="D243" s="113" t="inlineStr">
        <is>
          <t>touch and pen contact cannot start mouse-hover submenu timers while click or tap remains usable</t>
        </is>
      </c>
      <c r="E243" s="114" t="inlineStr">
        <is>
          <t>yes</t>
        </is>
      </c>
      <c r="F243" s="115" t="inlineStr">
        <is>
          <t>no</t>
        </is>
      </c>
      <c r="G243" s="112" t="inlineStr">
        <is>
          <t>automated tests pass; manual pending</t>
        </is>
      </c>
      <c r="H243" s="116" t="inlineStr">
        <is>
          <t>untested</t>
        </is>
      </c>
      <c r="I243" s="113" t="inlineStr">
        <is>
          <t>playground/.manual-tests/dropdown-menu.md (draft)</t>
        </is>
      </c>
      <c r="J243" s="113" t="inlineStr">
        <is>
          <t>Run the updated component Manual Test Protocol and named browser/device matrix.</t>
        </is>
      </c>
      <c r="K243" s="117">
        <f>IF(AND(E243="yes",F243="yes",H243="covered"),1,IF(H243="partial",0.5,0))</f>
        <v/>
      </c>
    </row>
    <row r="244" ht="30" customHeight="1" s="58">
      <c r="A244" s="112" t="n">
        <v>236</v>
      </c>
      <c r="B244" s="113" t="inlineStr">
        <is>
          <t>Pointer</t>
        </is>
      </c>
      <c r="C244" s="113" t="inlineStr">
        <is>
          <t>Outside interaction</t>
        </is>
      </c>
      <c r="D244" s="113" t="inlineStr">
        <is>
          <t>touch and pen outside dismissal cancels on movement, scroll, pointer cancellation, or a second pointer</t>
        </is>
      </c>
      <c r="E244" s="114" t="inlineStr">
        <is>
          <t>yes</t>
        </is>
      </c>
      <c r="F244" s="115" t="inlineStr">
        <is>
          <t>no</t>
        </is>
      </c>
      <c r="G244" s="112" t="inlineStr">
        <is>
          <t>automated tests pass; manual pending</t>
        </is>
      </c>
      <c r="H244" s="116" t="inlineStr">
        <is>
          <t>untested</t>
        </is>
      </c>
      <c r="I244" s="113" t="inlineStr">
        <is>
          <t>playground/.manual-tests/dropdown-menu.md (draft)</t>
        </is>
      </c>
      <c r="J244" s="113" t="inlineStr">
        <is>
          <t>Run the updated component Manual Test Protocol and named browser/device matrix.</t>
        </is>
      </c>
      <c r="K244" s="117">
        <f>IF(AND(E244="yes",F244="yes",H244="covered"),1,IF(H244="partial",0.5,0))</f>
        <v/>
      </c>
    </row>
    <row r="245" ht="30" customHeight="1" s="58">
      <c r="A245" s="112" t="n">
        <v>237</v>
      </c>
      <c r="B245" s="113" t="inlineStr">
        <is>
          <t>Portal And Positioning</t>
        </is>
      </c>
      <c r="C245" s="113" t="inlineStr">
        <is>
          <t>Content</t>
        </is>
      </c>
      <c r="D245" s="113" t="inlineStr">
        <is>
          <t>Content and SubContent expose available-size, trigger-size, and transform-origin CSS variables</t>
        </is>
      </c>
      <c r="E245" s="114" t="inlineStr">
        <is>
          <t>yes</t>
        </is>
      </c>
      <c r="F245" s="115" t="inlineStr">
        <is>
          <t>no</t>
        </is>
      </c>
      <c r="G245" s="112" t="inlineStr">
        <is>
          <t>automated tests pass; manual pending</t>
        </is>
      </c>
      <c r="H245" s="116" t="inlineStr">
        <is>
          <t>untested</t>
        </is>
      </c>
      <c r="I245" s="113" t="inlineStr">
        <is>
          <t>playground/.manual-tests/dropdown-menu.md (draft)</t>
        </is>
      </c>
      <c r="J245" s="113" t="inlineStr">
        <is>
          <t>Run the updated component Manual Test Protocol and named browser/device matrix.</t>
        </is>
      </c>
      <c r="K245" s="117">
        <f>IF(AND(E245="yes",F245="yes",H245="covered"),1,IF(H245="partial",0.5,0))</f>
        <v/>
      </c>
    </row>
    <row r="246" ht="30" customHeight="1" s="58">
      <c r="A246" s="112" t="n">
        <v>238</v>
      </c>
      <c r="B246" s="113" t="inlineStr">
        <is>
          <t>Accessibility</t>
        </is>
      </c>
      <c r="C246" s="113" t="inlineStr">
        <is>
          <t>Layers</t>
        </is>
      </c>
      <c r="D246" s="113" t="inlineStr">
        <is>
          <t>modal DropdownMenu isolates and locks the background while owned nested portals stay interactive</t>
        </is>
      </c>
      <c r="E246" s="114" t="inlineStr">
        <is>
          <t>yes</t>
        </is>
      </c>
      <c r="F246" s="115" t="inlineStr">
        <is>
          <t>no</t>
        </is>
      </c>
      <c r="G246" s="112" t="inlineStr">
        <is>
          <t>automated tests pass; manual pending</t>
        </is>
      </c>
      <c r="H246" s="116" t="inlineStr">
        <is>
          <t>untested</t>
        </is>
      </c>
      <c r="I246" s="113" t="inlineStr">
        <is>
          <t>playground/.manual-tests/dropdown-menu.md (draft)</t>
        </is>
      </c>
      <c r="J246" s="113" t="inlineStr">
        <is>
          <t>Run the updated component Manual Test Protocol and named browser/device matrix.</t>
        </is>
      </c>
      <c r="K246" s="117">
        <f>IF(AND(E246="yes",F246="yes",H246="covered"),1,IF(H246="partial",0.5,0))</f>
        <v/>
      </c>
    </row>
    <row r="247" ht="30" customHeight="1" s="58">
      <c r="A247" s="112" t="n">
        <v>239</v>
      </c>
      <c r="B247" s="113" t="inlineStr">
        <is>
          <t>Composition</t>
        </is>
      </c>
      <c r="C247" s="113" t="inlineStr">
        <is>
          <t>Rendering</t>
        </is>
      </c>
      <c r="D247" s="113" t="inlineStr">
        <is>
          <t>the offered shared DOM parts preserve refs, native props, asChild, render, and custom slots</t>
        </is>
      </c>
      <c r="E247" s="114" t="inlineStr">
        <is>
          <t>yes</t>
        </is>
      </c>
      <c r="F247" s="115" t="inlineStr">
        <is>
          <t>no</t>
        </is>
      </c>
      <c r="G247" s="112" t="inlineStr">
        <is>
          <t>automated tests pass; manual pending</t>
        </is>
      </c>
      <c r="H247" s="116" t="inlineStr">
        <is>
          <t>untested</t>
        </is>
      </c>
      <c r="I247" s="113" t="inlineStr">
        <is>
          <t>playground/.manual-tests/dropdown-menu.md (draft)</t>
        </is>
      </c>
      <c r="J247" s="113" t="inlineStr">
        <is>
          <t>Run the updated component Manual Test Protocol and named browser/device matrix.</t>
        </is>
      </c>
      <c r="K247" s="117">
        <f>IF(AND(E247="yes",F247="yes",H247="covered"),1,IF(H247="partial",0.5,0))</f>
        <v/>
      </c>
    </row>
    <row r="248" ht="30" customHeight="1" s="58">
      <c r="A248" s="112" t="n">
        <v>240</v>
      </c>
      <c r="B248" s="113" t="inlineStr">
        <is>
          <t>Responsive</t>
        </is>
      </c>
      <c r="C248" s="113" t="inlineStr">
        <is>
          <t>Reflow</t>
        </is>
      </c>
      <c r="D248" s="113" t="inlineStr">
        <is>
          <t>real focused rows and long content remain reachable at 200%, 400%, and narrow viewport reflow</t>
        </is>
      </c>
      <c r="E248" s="114" t="inlineStr">
        <is>
          <t>yes</t>
        </is>
      </c>
      <c r="F248" s="115" t="inlineStr">
        <is>
          <t>no</t>
        </is>
      </c>
      <c r="G248" s="112" t="inlineStr">
        <is>
          <t>automated tests pass; manual pending</t>
        </is>
      </c>
      <c r="H248" s="116" t="inlineStr">
        <is>
          <t>untested</t>
        </is>
      </c>
      <c r="I248" s="113" t="inlineStr">
        <is>
          <t>playground/.manual-tests/dropdown-menu.md (draft)</t>
        </is>
      </c>
      <c r="J248" s="113" t="inlineStr">
        <is>
          <t>Run the updated component Manual Test Protocol and named browser/device matrix.</t>
        </is>
      </c>
      <c r="K248" s="117">
        <f>IF(AND(E248="yes",F248="yes",H248="covered"),1,IF(H248="partial",0.5,0))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Feed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Feed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Feed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Feed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Feed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Feed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Feed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Feed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Feed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Feed</t>
        </is>
      </c>
      <c r="D15" s="113" t="inlineStr">
        <is>
          <t>Implements `role="feed"` and `role="article"`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Feed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Feed</t>
        </is>
      </c>
      <c r="D16" s="113" t="inlineStr">
        <is>
          <t>Supports known and unknown feed sizes with `aria-setsize`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Feed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Feed</t>
        </is>
      </c>
      <c r="D17" s="113" t="inlineStr">
        <is>
          <t>Supports article position announcements with `aria-posinset`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Feed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Feed</t>
        </is>
      </c>
      <c r="D18" s="113" t="inlineStr">
        <is>
          <t>Supports feed loading state with `aria-busy`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Feed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Feed</t>
        </is>
      </c>
      <c r="D19" s="113" t="inlineStr">
        <is>
          <t>Implements Page Up, Page Down, Control/Command + Home, and Control/Command + End feed keyboard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Feed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Feed</t>
        </is>
      </c>
      <c r="D20" s="113" t="inlineStr">
        <is>
          <t>Keeps layout, fetching, virtualization, and item rendering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verified by Source and Canvas boundaries</t>
        </is>
      </c>
      <c r="H20" s="116" t="inlineStr">
        <is>
          <t>covered</t>
        </is>
      </c>
      <c r="I20" s="113" t="inlineStr">
        <is>
          <t>Feed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Feed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Feed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Feed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Feed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Feed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Feed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busy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Feed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setSize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Feed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Feed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Feed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Feed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[data-busy]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Feed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Item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Feed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Feed playground scenario.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Item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Feed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Feed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Item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Feed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Item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Feed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Item</t>
        </is>
      </c>
      <c r="D39" s="113" t="inlineStr">
        <is>
          <t>position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Feed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index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Feed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Item</t>
        </is>
      </c>
      <c r="D41" s="113" t="inlineStr">
        <is>
          <t>setSize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Feed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Item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Feed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Item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Feed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Feed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[data-position]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Feed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[data-setsize]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Feed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Live DOM</t>
        </is>
      </c>
      <c r="D47" s="113" t="inlineStr">
        <is>
          <t>aria-busy is present at the correct time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Feed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ARIA</t>
        </is>
      </c>
      <c r="C48" s="113" t="inlineStr">
        <is>
          <t>Live DOM</t>
        </is>
      </c>
      <c r="D48" s="113" t="inlineStr">
        <is>
          <t>aria-posinset is present at the correct time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Feed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ARIA</t>
        </is>
      </c>
      <c r="C49" s="113" t="inlineStr">
        <is>
          <t>Live DOM</t>
        </is>
      </c>
      <c r="D49" s="113" t="inlineStr">
        <is>
          <t>aria-setsize is present at the correct time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Feed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Live DOM</t>
        </is>
      </c>
      <c r="D50" s="113" t="inlineStr">
        <is>
          <t>data-busy is present at the correct time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Feed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Data</t>
        </is>
      </c>
      <c r="C51" s="113" t="inlineStr">
        <is>
          <t>Live DOM</t>
        </is>
      </c>
      <c r="D51" s="113" t="inlineStr">
        <is>
          <t>data-position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Feed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Live DOM</t>
        </is>
      </c>
      <c r="D52" s="113" t="inlineStr">
        <is>
          <t>data-setsize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Feed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Data</t>
        </is>
      </c>
      <c r="C53" s="113" t="inlineStr">
        <is>
          <t>Live DOM</t>
        </is>
      </c>
      <c r="D53" s="113" t="inlineStr">
        <is>
          <t>data-slot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Feed playground scenario.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Composition</t>
        </is>
      </c>
      <c r="C54" s="113" t="inlineStr">
        <is>
          <t>Feed</t>
        </is>
      </c>
      <c r="D54" s="113" t="inlineStr">
        <is>
          <t>asChild preserves child content without double nesting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Feed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Feed</t>
        </is>
      </c>
      <c r="D55" s="113" t="inlineStr">
        <is>
          <t>asChild merges Atom props and consumer props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Feed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Feed</t>
        </is>
      </c>
      <c r="D56" s="113" t="inlineStr">
        <is>
          <t>asChild lets preventDefault block Atom behavior where supported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Feed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Feed</t>
        </is>
      </c>
      <c r="D57" s="113" t="inlineStr">
        <is>
          <t>render prop renders custom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Feed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Feed</t>
        </is>
      </c>
      <c r="D58" s="113" t="inlineStr">
        <is>
          <t>render prop preserves refs and behavior props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Feed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Keyboard</t>
        </is>
      </c>
      <c r="C59" s="113" t="inlineStr">
        <is>
          <t>Feed</t>
        </is>
      </c>
      <c r="D59" s="113" t="inlineStr">
        <is>
          <t>Ctrl/Cmd+End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Feed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Keyboard</t>
        </is>
      </c>
      <c r="C60" s="113" t="inlineStr">
        <is>
          <t>Feed</t>
        </is>
      </c>
      <c r="D60" s="113" t="inlineStr">
        <is>
          <t>Ctrl/Cmd+Home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Feed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Keyboard</t>
        </is>
      </c>
      <c r="C61" s="113" t="inlineStr">
        <is>
          <t>Feed</t>
        </is>
      </c>
      <c r="D61" s="113" t="inlineStr">
        <is>
          <t>PageDown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Feed playground scenario.</t>
        </is>
      </c>
      <c r="J61" s="113" t="n"/>
      <c r="K61" s="117">
        <f>IF(AND(E61="yes",F61="yes",H61="covered"),1,IF(H61="partial",0.5,0))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 playground scenario.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</t>
        </is>
      </c>
      <c r="D15" s="113" t="inlineStr">
        <is>
          <t>Generates stable IDs for label, control, description, and error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</t>
        </is>
      </c>
      <c r="D16" s="113" t="inlineStr">
        <is>
          <t>Wires Field-aware controls to descriptions and visible errors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Field</t>
        </is>
      </c>
      <c r="D17" s="113" t="inlineStr">
        <is>
          <t>Shares disabled, required, readonly, and invalid state with child controls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</t>
        </is>
      </c>
      <c r="D18" s="113" t="inlineStr">
        <is>
          <t>Supports required and optional label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</t>
        </is>
      </c>
      <c r="D19" s="113" t="inlineStr">
        <is>
          <t>Keeps layout outside Atom through `data-orientation`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id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 form-field playground page exposes this part/prop in Anatomy, Inspector, Source, or toolbar controls.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invalid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orientation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asChild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render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[data-slot]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[data-orientation]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[data-disabled]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[data-required]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[data-readonly]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 playground scenario.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[data-invalid]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 playground scenario.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Anatomy</t>
        </is>
      </c>
      <c r="C40" s="113" t="inlineStr">
        <is>
          <t>Label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Label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 form-field playground page exposes this part/prop in Anatomy, Inspector, Source, or toolbar controls.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Label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Label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Label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 playground scenario.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Refs</t>
        </is>
      </c>
      <c r="C45" s="113" t="inlineStr">
        <is>
          <t>Label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Label</t>
        </is>
      </c>
      <c r="D46" s="113" t="inlineStr">
        <is>
          <t>requiredIndicator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Label</t>
        </is>
      </c>
      <c r="D47" s="113" t="inlineStr">
        <is>
          <t>optionalIndicator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 form-field playground page exposes this part/prop in Anatomy, Inspector, Source, or toolbar controls.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Label</t>
        </is>
      </c>
      <c r="D48" s="113" t="inlineStr">
        <is>
          <t>disabled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Label</t>
        </is>
      </c>
      <c r="D49" s="113" t="inlineStr">
        <is>
          <t>required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Label</t>
        </is>
      </c>
      <c r="D50" s="113" t="inlineStr">
        <is>
          <t>readOnly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Label</t>
        </is>
      </c>
      <c r="D51" s="113" t="inlineStr">
        <is>
          <t>invalid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Label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Label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Label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Label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Label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Label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 playground scenario.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State</t>
        </is>
      </c>
      <c r="C58" s="113" t="inlineStr">
        <is>
          <t>Label</t>
        </is>
      </c>
      <c r="D58" s="113" t="inlineStr">
        <is>
          <t>[data-invalid]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Anatomy</t>
        </is>
      </c>
      <c r="C59" s="113" t="inlineStr">
        <is>
          <t>Description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Description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 form-field playground page exposes this part/prop in Anatomy, Inspector, Source, or toolbar controls.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Description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Description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Description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Description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Description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Description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 playground scenario.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Public API</t>
        </is>
      </c>
      <c r="C67" s="113" t="inlineStr">
        <is>
          <t>Description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 playground scenario.</t>
        </is>
      </c>
      <c r="J67" s="113" t="n"/>
      <c r="K67" s="117">
        <f>IF(AND(E67="yes",F67="yes",H67="covered"),1,IF(H67="partial",0.5,0))</f>
        <v/>
      </c>
    </row>
    <row r="68" ht="45" customHeight="1" s="58">
      <c r="A68" s="112" t="n">
        <v>60</v>
      </c>
      <c r="B68" s="113" t="inlineStr">
        <is>
          <t>Anatomy</t>
        </is>
      </c>
      <c r="C68" s="113" t="inlineStr">
        <is>
          <t>Error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Error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 form-field playground page exposes this part/prop in Anatomy, Inspector, Source, or toolbar controls.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Error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 form-field playground page exposes this part/prop in Anatomy, Inspector, Source, or toolbar controls.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Error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Props</t>
        </is>
      </c>
      <c r="C72" s="113" t="inlineStr">
        <is>
          <t>Error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 playground scenario.</t>
        </is>
      </c>
      <c r="J72" s="113" t="n"/>
      <c r="K72" s="117">
        <f>IF(AND(E72="yes",F72="yes",H72="covered"),1,IF(H72="partial",0.5,0))</f>
        <v/>
      </c>
    </row>
    <row r="73" ht="45" customHeight="1" s="58">
      <c r="A73" s="112" t="n">
        <v>65</v>
      </c>
      <c r="B73" s="113" t="inlineStr">
        <is>
          <t>Refs</t>
        </is>
      </c>
      <c r="C73" s="113" t="inlineStr">
        <is>
          <t>Error</t>
        </is>
      </c>
      <c r="D73" s="113" t="inlineStr">
        <is>
          <t>consumer ref receives the rendered element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Error</t>
        </is>
      </c>
      <c r="D74" s="113" t="inlineStr">
        <is>
          <t>match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 form-field playground page exposes this part/prop in Anatomy, Inspector, Source, or toolbar controls.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Error</t>
        </is>
      </c>
      <c r="D75" s="113" t="inlineStr">
        <is>
          <t>forceMatch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 form-field playground page exposes this part/prop in Anatomy, Inspector, Source, or toolbar controls.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Error</t>
        </is>
      </c>
      <c r="D76" s="113" t="inlineStr">
        <is>
          <t>asChild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Error</t>
        </is>
      </c>
      <c r="D77" s="113" t="inlineStr">
        <is>
          <t>render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Public API</t>
        </is>
      </c>
      <c r="C78" s="113" t="inlineStr">
        <is>
          <t>Error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 playground scenario.</t>
        </is>
      </c>
      <c r="J78" s="113" t="n"/>
      <c r="K78" s="117">
        <f>IF(AND(E78="yes",F78="yes",H78="covered"),1,IF(H78="partial",0.5,0))</f>
        <v/>
      </c>
    </row>
    <row r="79" ht="45" customHeight="1" s="58">
      <c r="A79" s="112" t="n">
        <v>71</v>
      </c>
      <c r="B79" s="113" t="inlineStr">
        <is>
          <t>Anatomy</t>
        </is>
      </c>
      <c r="C79" s="113" t="inlineStr">
        <is>
          <t>RequiredIndicator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RequiredIndicator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 form-field playground page exposes this part/prop in Anatomy, Inspector, Source, or toolbar controls.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RequiredIndicator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 form-field playground page exposes this part/prop in Anatomy, Inspector, Source, or toolbar controls.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RequiredIndicator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Field playground scenario.</t>
        </is>
      </c>
      <c r="J82" s="113" t="n"/>
      <c r="K82" s="117">
        <f>IF(AND(E82="yes",F82="yes",H82="covered"),1,IF(H82="partial",0.5,0))</f>
        <v/>
      </c>
    </row>
    <row r="83" ht="45" customHeight="1" s="58">
      <c r="A83" s="112" t="n">
        <v>75</v>
      </c>
      <c r="B83" s="113" t="inlineStr">
        <is>
          <t>Props</t>
        </is>
      </c>
      <c r="C83" s="113" t="inlineStr">
        <is>
          <t>RequiredIndicator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RequiredIndicator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RequiredIndicator</t>
        </is>
      </c>
      <c r="D85" s="113" t="inlineStr">
        <is>
          <t>fallback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Field form-field playground page exposes this part/prop in Anatomy, Inspector, Source, or toolbar controls.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RequiredIndicator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Composition</t>
        </is>
      </c>
      <c r="C87" s="113" t="inlineStr">
        <is>
          <t>RequiredIndicator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RequiredIndicator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Shared Anatomy/Inspector expose live ARIA/data attributes for Field when the part is rendered.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data-invalid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data-readonly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data-required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data-slot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Field playground scenario.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Field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Field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Field</t>
        </is>
      </c>
      <c r="D98" s="113" t="inlineStr">
        <is>
          <t>asChild lets preventDefault block Atom behavior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Composition</t>
        </is>
      </c>
      <c r="C99" s="113" t="inlineStr">
        <is>
          <t>Field</t>
        </is>
      </c>
      <c r="D99" s="113" t="inlineStr">
        <is>
          <t>render prop renders custom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Composition</t>
        </is>
      </c>
      <c r="C100" s="113" t="inlineStr">
        <is>
          <t>Field</t>
        </is>
      </c>
      <c r="D100" s="113" t="inlineStr">
        <is>
          <t>render prop preserves refs and behavior props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Field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Field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Field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Field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Field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Field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Field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Field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Field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Forms</t>
        </is>
      </c>
      <c r="C105" s="113" t="inlineStr">
        <is>
          <t>Field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Field playground scenario.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Forms</t>
        </is>
      </c>
      <c r="C106" s="113" t="inlineStr">
        <is>
          <t>Field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Field playground scenario.</t>
        </is>
      </c>
      <c r="J106" s="113" t="n"/>
      <c r="K106" s="117">
        <f>IF(AND(E106="yes",F106="yes",H106="covered"),1,IF(H106="partial",0.5,0))</f>
        <v/>
      </c>
    </row>
    <row r="107" ht="13.5" customHeight="1" s="58">
      <c r="A107" s="118" t="n">
        <v>99</v>
      </c>
      <c r="B107" s="118" t="inlineStr">
        <is>
          <t>Integration</t>
        </is>
      </c>
      <c r="C107" s="118" t="inlineStr">
        <is>
          <t>Native control</t>
        </is>
      </c>
      <c r="D107" s="118" t="inlineStr">
        <is>
          <t>Field.Root wires Label, Description, Error, and state to a native input control</t>
        </is>
      </c>
      <c r="E107" s="118" t="inlineStr">
        <is>
          <t>yes</t>
        </is>
      </c>
      <c r="F107" s="118" t="inlineStr">
        <is>
          <t>yes</t>
        </is>
      </c>
      <c r="G107" s="118" t="inlineStr">
        <is>
          <t>tested</t>
        </is>
      </c>
      <c r="H107" s="118" t="inlineStr">
        <is>
          <t>covered</t>
        </is>
      </c>
      <c r="I107" s="118" t="inlineStr">
        <is>
          <t>Field Content &gt; Control: Native.</t>
        </is>
      </c>
      <c r="K107" s="118">
        <f>IF(AND(E107="yes",F107="yes",H107="covered"),1,IF(H107="partial",0.5,0))</f>
        <v/>
      </c>
    </row>
    <row r="108" ht="13.5" customHeight="1" s="58">
      <c r="A108" s="118" t="n">
        <v>100</v>
      </c>
      <c r="B108" s="118" t="inlineStr">
        <is>
          <t>Integration</t>
        </is>
      </c>
      <c r="C108" s="118" t="inlineStr">
        <is>
          <t>Atom control</t>
        </is>
      </c>
      <c r="D108" s="118" t="inlineStr">
        <is>
          <t>Field.Root wires Label, Description, Error, and state to Atom Input.Root</t>
        </is>
      </c>
      <c r="E108" s="118" t="inlineStr">
        <is>
          <t>yes</t>
        </is>
      </c>
      <c r="F108" s="118" t="inlineStr">
        <is>
          <t>yes</t>
        </is>
      </c>
      <c r="G108" s="118" t="inlineStr">
        <is>
          <t>tested</t>
        </is>
      </c>
      <c r="H108" s="118" t="inlineStr">
        <is>
          <t>covered</t>
        </is>
      </c>
      <c r="I108" s="118" t="inlineStr">
        <is>
          <t>Field Content &gt; Control: Atom.</t>
        </is>
      </c>
      <c r="K108" s="118">
        <f>IF(AND(E108="yes",F108="yes",H108="covered"),1,IF(H108="partial",0.5,0))</f>
        <v/>
      </c>
    </row>
    <row r="109" ht="13.5" customHeight="1" s="58">
      <c r="A109" s="118" t="n">
        <v>101</v>
      </c>
      <c r="B109" s="118" t="inlineStr">
        <is>
          <t>ARIA</t>
        </is>
      </c>
      <c r="C109" s="118" t="inlineStr">
        <is>
          <t>Root</t>
        </is>
      </c>
      <c r="D109" s="118" t="inlineStr">
        <is>
          <t>server markup and hydration keep stable description/error relationships</t>
        </is>
      </c>
      <c r="E109" s="118" t="inlineStr">
        <is>
          <t>yes</t>
        </is>
      </c>
      <c r="F109" s="118" t="inlineStr">
        <is>
          <t>no</t>
        </is>
      </c>
      <c r="G109" s="118" t="inlineStr">
        <is>
          <t>automated tests pass; manual pending</t>
        </is>
      </c>
      <c r="H109" s="118" t="inlineStr">
        <is>
          <t>untested</t>
        </is>
      </c>
      <c r="I109" s="118" t="inlineStr">
        <is>
          <t>Form &gt; Control: Foundation plus the component scenario and automated package tests.</t>
        </is>
      </c>
      <c r="J109" s="118" t="inlineStr">
        <is>
          <t>Run and review the form-foundation manual protocol.</t>
        </is>
      </c>
      <c r="K109" s="118">
        <f>IF(AND(E109="yes",F109="yes",H109="covered"),1,IF(H109="partial",0.5,0))</f>
        <v/>
      </c>
    </row>
    <row r="110" ht="13.5" customHeight="1" s="58">
      <c r="A110" s="118" t="n">
        <v>102</v>
      </c>
      <c r="B110" s="118" t="inlineStr">
        <is>
          <t>Accessibility</t>
        </is>
      </c>
      <c r="C110" s="118" t="inlineStr">
        <is>
          <t>Error</t>
        </is>
      </c>
      <c r="D110" s="118" t="inlineStr">
        <is>
          <t>does not force a live-region role; consumers opt in with native role or aria-live</t>
        </is>
      </c>
      <c r="E110" s="118" t="inlineStr">
        <is>
          <t>yes</t>
        </is>
      </c>
      <c r="F110" s="118" t="inlineStr">
        <is>
          <t>no</t>
        </is>
      </c>
      <c r="G110" s="118" t="inlineStr">
        <is>
          <t>automated tests pass; manual pending</t>
        </is>
      </c>
      <c r="H110" s="118" t="inlineStr">
        <is>
          <t>untested</t>
        </is>
      </c>
      <c r="I110" s="118" t="inlineStr">
        <is>
          <t>Form &gt; Control: Foundation plus the component scenario and automated package tests.</t>
        </is>
      </c>
      <c r="J110" s="118" t="inlineStr">
        <is>
          <t>Run and review the form-foundation manual protocol.</t>
        </is>
      </c>
      <c r="K110" s="118">
        <f>IF(AND(E110="yes",F110="yes",H110="covered"),1,IF(H110="partial",0.5,0))</f>
        <v/>
      </c>
    </row>
    <row r="111" ht="13.5" customHeight="1" s="58">
      <c r="A111" s="118" t="n">
        <v>103</v>
      </c>
      <c r="B111" s="118" t="inlineStr">
        <is>
          <t>Validation</t>
        </is>
      </c>
      <c r="C111" s="118" t="inlineStr">
        <is>
          <t>Root/Error</t>
        </is>
      </c>
      <c r="D111" s="118" t="inlineStr">
        <is>
          <t>native-invalid controls derive Field state and automatically reveal a compatible Error in inline mode</t>
        </is>
      </c>
      <c r="E111" s="118" t="inlineStr">
        <is>
          <t>yes</t>
        </is>
      </c>
      <c r="F111" s="118" t="inlineStr">
        <is>
          <t>no</t>
        </is>
      </c>
      <c r="G111" s="118" t="inlineStr">
        <is>
          <t>automated tests pass; manual pending</t>
        </is>
      </c>
      <c r="H111" s="118" t="inlineStr">
        <is>
          <t>untested</t>
        </is>
      </c>
      <c r="I111" s="118" t="inlineStr">
        <is>
          <t>Form &gt; Control: Foundation and automated Atom validation tests.</t>
        </is>
      </c>
      <c r="J111" s="118" t="inlineStr">
        <is>
          <t>Run and review the updated form-foundation validation steps.</t>
        </is>
      </c>
      <c r="K111" s="118">
        <f>IF(AND(E111="yes",F111="yes",H111="covered"),1,IF(H111="partial",0.5,0))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Fieldset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Fieldset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Fieldset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Fieldset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Fieldset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Fieldset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Fieldset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Fieldset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Fieldset playground scenario.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Fieldset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Fieldset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Fieldset</t>
        </is>
      </c>
      <c r="D15" s="113" t="inlineStr">
        <is>
          <t>Renders native `&lt;fieldset&gt;` and `&lt;legend&gt;`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Fieldset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Fieldset</t>
        </is>
      </c>
      <c r="D16" s="113" t="inlineStr">
        <is>
          <t>Shares disabled, required, and invalid state across grouped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Fieldset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Fieldset</t>
        </is>
      </c>
      <c r="D17" s="113" t="inlineStr">
        <is>
          <t>Wires description and visible error content with `aria-describedby`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Fieldset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Fieldset</t>
        </is>
      </c>
      <c r="D18" s="113" t="inlineStr">
        <is>
          <t>Supports required and optional legend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Fieldset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Fieldset</t>
        </is>
      </c>
      <c r="D19" s="113" t="inlineStr">
        <is>
          <t>Keeps visual layout outside Atom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Fieldset form-field playground page exposes this part/prop in Anatomy, Inspector, Source, or toolbar controls.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Fieldset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Fieldset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Fieldset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Fieldset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Fieldset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Fieldset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Fieldset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Fieldset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invalid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Fieldset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Fieldset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Fieldset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Fieldset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[data-disabled]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Fieldset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[data-required]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Fieldset playground scenario.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[data-invalid]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Fieldset playground scenario.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Anatomy</t>
        </is>
      </c>
      <c r="C35" s="113" t="inlineStr">
        <is>
          <t>Description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Fieldset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Description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Fieldset form-field playground page exposes this part/prop in Anatomy, Inspector, Source, or toolbar controls.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Description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Fieldset form-field playground page exposes this part/prop in Anatomy, Inspector, Source, or toolbar controls.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Description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Fieldset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Description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Fieldset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Description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Fieldset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Description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Fieldset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Description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Fieldset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Description</t>
        </is>
      </c>
      <c r="D43" s="113" t="inlineStr">
        <is>
          <t>[data-slot]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Fieldset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Anatomy</t>
        </is>
      </c>
      <c r="C44" s="113" t="inlineStr">
        <is>
          <t>Error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Fieldset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Error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Fieldset form-field playground page exposes this part/prop in Anatomy, Inspector, Source, or toolbar controls.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Error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Fieldset form-field playground page exposes this part/prop in Anatomy, Inspector, Source, or toolbar controls.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Error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Fieldset playground scenario.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Props</t>
        </is>
      </c>
      <c r="C48" s="113" t="inlineStr">
        <is>
          <t>Error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Fieldset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Error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Fieldset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Error</t>
        </is>
      </c>
      <c r="D50" s="113" t="inlineStr">
        <is>
          <t>forceMatch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Fieldset form-field playground page exposes this part/prop in Anatomy, Inspector, Source, or toolbar controls.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Error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Fieldset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Error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Fieldset playground scenario.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Public API</t>
        </is>
      </c>
      <c r="C53" s="113" t="inlineStr">
        <is>
          <t>Error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Fieldset playground scenario.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Anatomy</t>
        </is>
      </c>
      <c r="C54" s="113" t="inlineStr">
        <is>
          <t>Legend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Fieldset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Legend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Fieldset form-field playground page exposes this part/prop in Anatomy, Inspector, Source, or toolbar controls.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Legend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Fieldset form-field playground page exposes this part/prop in Anatomy, Inspector, Source, or toolbar controls.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Legend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Fieldset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Legend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Fieldset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Refs</t>
        </is>
      </c>
      <c r="C59" s="113" t="inlineStr">
        <is>
          <t>Legend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Fieldset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Legend</t>
        </is>
      </c>
      <c r="D60" s="113" t="inlineStr">
        <is>
          <t>requiredIndicator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Fieldset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Legend</t>
        </is>
      </c>
      <c r="D61" s="113" t="inlineStr">
        <is>
          <t>optionalIndicator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Fieldset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Legend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Fieldset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Legend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Fieldset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Legend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Fieldset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Legend</t>
        </is>
      </c>
      <c r="D65" s="113" t="inlineStr">
        <is>
          <t>[data-disabled]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Fieldset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Legend</t>
        </is>
      </c>
      <c r="D66" s="113" t="inlineStr">
        <is>
          <t>[data-required]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Fieldset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Live DOM</t>
        </is>
      </c>
      <c r="D67" s="113" t="inlineStr">
        <is>
          <t>aria-describedby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Fieldset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ARIA</t>
        </is>
      </c>
      <c r="C68" s="113" t="inlineStr">
        <is>
          <t>Live DOM</t>
        </is>
      </c>
      <c r="D68" s="113" t="inlineStr">
        <is>
          <t>aria-hidden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Shared Anatomy/Inspector expose live ARIA/data attributes for Fieldset when the part is rendered.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aria-invalid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Fieldset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aria-required is absent from Fieldset.Root when required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Fieldset required toggle, Inspector, and axe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Fieldset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Fieldset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data-required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Fieldset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data-slot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Fieldset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Composition</t>
        </is>
      </c>
      <c r="C75" s="113" t="inlineStr">
        <is>
          <t>Fieldset</t>
        </is>
      </c>
      <c r="D75" s="113" t="inlineStr">
        <is>
          <t>asChild preserves child content without double nesting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Fieldset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Fieldset</t>
        </is>
      </c>
      <c r="D76" s="113" t="inlineStr">
        <is>
          <t>asChild merges Atom props and consumer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Fieldset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Fieldset</t>
        </is>
      </c>
      <c r="D77" s="113" t="inlineStr">
        <is>
          <t>render prop renders custom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Fieldset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Composition</t>
        </is>
      </c>
      <c r="C78" s="113" t="inlineStr">
        <is>
          <t>Fieldset</t>
        </is>
      </c>
      <c r="D78" s="113" t="inlineStr">
        <is>
          <t>render prop preserves refs and behavior props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Fieldset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Integration</t>
        </is>
      </c>
      <c r="C79" s="113" t="inlineStr">
        <is>
          <t>Native controls</t>
        </is>
      </c>
      <c r="D79" s="113" t="inlineStr">
        <is>
          <t>native radio controls work inside Fieldset with shared required, invalid, and disabled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Fieldset Content &gt; Controls: Native.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Integration</t>
        </is>
      </c>
      <c r="C80" s="113" t="inlineStr">
        <is>
          <t>Atom controls</t>
        </is>
      </c>
      <c r="D80" s="113" t="inlineStr">
        <is>
          <t>Atom RadioGroup works inside Fieldset with shared required, invalid, and disabled state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Fieldset Content &gt; Controls: Atom.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Fieldset</t>
        </is>
      </c>
      <c r="D81" s="113" t="inlineStr">
        <is>
          <t>invalid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Fieldset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ARIA</t>
        </is>
      </c>
      <c r="C82" s="113" t="inlineStr">
        <is>
          <t>Root</t>
        </is>
      </c>
      <c r="D82" s="113" t="inlineStr">
        <is>
          <t>server markup and hydration keep stable legend/description/error relationships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Form &gt; Control: Foundation plus the component scenario and automated package tests.</t>
        </is>
      </c>
      <c r="J82" s="113" t="inlineStr">
        <is>
          <t>Run and review the form-foundation manual protocol.</t>
        </is>
      </c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Accessibility</t>
        </is>
      </c>
      <c r="C83" s="113" t="inlineStr">
        <is>
          <t>Error</t>
        </is>
      </c>
      <c r="D83" s="113" t="inlineStr">
        <is>
          <t>does not force a live-region role; consumers opt in with native role or aria-live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Validation</t>
        </is>
      </c>
      <c r="C84" s="113" t="inlineStr">
        <is>
          <t>Root/Error</t>
        </is>
      </c>
      <c r="D84" s="113" t="inlineStr">
        <is>
          <t>group native-invalid state derives Fieldset state and automatically reveals one compatible Error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K1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FileUpload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FileUpload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FileUpload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FileUpload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FileUpload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FileUpload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FileUpload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FileUpload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FileUpload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FileUpload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FileUpload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FileUpload</t>
        </is>
      </c>
      <c r="D15" s="113" t="inlineStr">
        <is>
          <t>Controlled and uncontrolled file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FileUpload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FileUpload</t>
        </is>
      </c>
      <c r="D16" s="113" t="inlineStr">
        <is>
          <t>Native hidden file input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FileUpload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FileUpload</t>
        </is>
      </c>
      <c r="D17" s="113" t="inlineStr">
        <is>
          <t>Picker trigger and drag-and-drop dropzone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FileUpload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FileUpload</t>
        </is>
      </c>
      <c r="D18" s="113" t="inlineStr">
        <is>
          <t>Accept, max file count, max file size, and custom file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FileUpload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FileUpload</t>
        </is>
      </c>
      <c r="D19" s="113" t="inlineStr">
        <is>
          <t>Multiple-file append or replace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FileUpload playground scenario.</t>
        </is>
      </c>
      <c r="J19" s="113" t="n"/>
      <c r="K19" s="117">
        <f>IF(AND(E19="yes",F19="yes",H19="covered"),1,IF(H19="partial",0.5,0))</f>
        <v/>
      </c>
    </row>
    <row r="20" ht="30" customHeight="1" s="58">
      <c r="A20" s="112" t="n">
        <v>12</v>
      </c>
      <c r="B20" s="113" t="inlineStr">
        <is>
          <t>Feature</t>
        </is>
      </c>
      <c r="C20" s="113" t="inlineStr">
        <is>
          <t>FileUpload</t>
        </is>
      </c>
      <c r="D20" s="113" t="inlineStr">
        <is>
          <t>Rejected file reporting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FileUpload playground scenario.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FileUpload</t>
        </is>
      </c>
      <c r="D21" s="113" t="inlineStr">
        <is>
          <t>Item group and item metadata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FileUpload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FileUpload</t>
        </is>
      </c>
      <c r="D22" s="113" t="inlineStr">
        <is>
          <t>Same-file re-selection support after removing or clearing files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FileUpload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FileUpload</t>
        </is>
      </c>
      <c r="D23" s="113" t="inlineStr">
        <is>
          <t>Field context integration for ID, description, required, disabled, read-only, and invalid state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FileUpload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renders correct part when expected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FileUpload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Anatomy</t>
        </is>
      </c>
      <c r="C25" s="113" t="inlineStr">
        <is>
          <t>Root</t>
        </is>
      </c>
      <c r="D25" s="113" t="inlineStr">
        <is>
          <t>appears in documented order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FileUpload playground scenario.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visible in Anatomy/Inspector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FileUpload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Identity</t>
        </is>
      </c>
      <c r="C27" s="113" t="inlineStr">
        <is>
          <t>Root</t>
        </is>
      </c>
      <c r="D27" s="113" t="inlineStr">
        <is>
          <t>data-slot is present and correct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FileUpload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non-Atom 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FileUpload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FileUpload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files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FileUpload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defaultFiles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FileUpload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onFilesChange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FileUpload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onRejectedFilesChange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FileUpload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accept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FileUpload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multiple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FileUpload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appendFiles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FileUpload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maxFiles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FileUpload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maxSize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FileUpload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validateFile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FileUpload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name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FileUpload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form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FileUpload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disabled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FileUpload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FileUpload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readOnly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FileUpload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invalid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FileUpload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Root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FileUpload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Root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FileUpload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data-slot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FileUpload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[data-slot]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FileUpload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[data-state]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FileUpload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Root</t>
        </is>
      </c>
      <c r="D51" s="113" t="inlineStr">
        <is>
          <t>[data-drag]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FileUpload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Root</t>
        </is>
      </c>
      <c r="D52" s="113" t="inlineStr">
        <is>
          <t>[data-filled]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FileUpload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Root</t>
        </is>
      </c>
      <c r="D53" s="113" t="inlineStr">
        <is>
          <t>[data-rejected]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FileUpload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FileUpload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Root</t>
        </is>
      </c>
      <c r="D55" s="113" t="inlineStr">
        <is>
          <t>[data-readonly]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FileUpload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Root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FileUpload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[data-invalid]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FileUpload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Trigger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FileUpload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Trigger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FileUpload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Trigger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FileUpload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Trigger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FileUpload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Trigger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FileUpload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Trigger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FileUpload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Trigger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FileUpload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Trigger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FileUpload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Trigger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FileUpload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Trigger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FileUpload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Trigger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FileUpload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Trigger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FileUpload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Content</t>
        </is>
      </c>
      <c r="C70" s="113" t="inlineStr">
        <is>
          <t>Trigger</t>
        </is>
      </c>
      <c r="D70" s="113" t="inlineStr">
        <is>
          <t>visible trigger text is shown in Anatomy and 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FileUpload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Item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FileUpload playground scenario.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Anatomy</t>
        </is>
      </c>
      <c r="C72" s="113" t="inlineStr">
        <is>
          <t>Item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FileUpload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Item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FileUpload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Item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FileUpload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Item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FileUpload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Item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FileUpload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Item</t>
        </is>
      </c>
      <c r="D77" s="113" t="inlineStr">
        <is>
          <t>file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FileUpload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Item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FileUpload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Item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FileUpload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Item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FileUpload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Item</t>
        </is>
      </c>
      <c r="D81" s="113" t="inlineStr">
        <is>
          <t>[data-slot]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FileUpload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[data-name]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FileUpload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Item</t>
        </is>
      </c>
      <c r="D83" s="113" t="inlineStr">
        <is>
          <t>[data-size]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FileUpload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Dropzone</t>
        </is>
      </c>
      <c r="D84" s="113" t="inlineStr">
        <is>
          <t>renders correct part when expected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FileUpload playground scenario.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Anatomy</t>
        </is>
      </c>
      <c r="C85" s="113" t="inlineStr">
        <is>
          <t>Dropzone</t>
        </is>
      </c>
      <c r="D85" s="113" t="inlineStr">
        <is>
          <t>appears in documented order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FileUpload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Dropzone</t>
        </is>
      </c>
      <c r="D86" s="113" t="inlineStr">
        <is>
          <t>default tag is visible in Anatomy/Inspector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FileUpload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Identity</t>
        </is>
      </c>
      <c r="C87" s="113" t="inlineStr">
        <is>
          <t>Dropzone</t>
        </is>
      </c>
      <c r="D87" s="113" t="inlineStr">
        <is>
          <t>data-slot is present and correct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FileUpload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Props</t>
        </is>
      </c>
      <c r="C88" s="113" t="inlineStr">
        <is>
          <t>Dropzone</t>
        </is>
      </c>
      <c r="D88" s="113" t="inlineStr">
        <is>
          <t>non-Atom native props pass through with data-prop-check marker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FileUpload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Refs</t>
        </is>
      </c>
      <c r="C89" s="113" t="inlineStr">
        <is>
          <t>Dropzone</t>
        </is>
      </c>
      <c r="D89" s="113" t="inlineStr">
        <is>
          <t>consumer ref receives the rendered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FileUpload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Content</t>
        </is>
      </c>
      <c r="C90" s="113" t="inlineStr">
        <is>
          <t>Dropzone</t>
        </is>
      </c>
      <c r="D90" s="113" t="inlineStr">
        <is>
          <t>visible dropzone text is shown in Anatomy and 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FileUpload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Dropzone</t>
        </is>
      </c>
      <c r="D91" s="113" t="inlineStr">
        <is>
          <t>Enter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FileUpload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Dropzone</t>
        </is>
      </c>
      <c r="D92" s="113" t="inlineStr">
        <is>
          <t>Space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FileUpload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Dropzone</t>
        </is>
      </c>
      <c r="D93" s="113" t="inlineStr">
        <is>
          <t>Tab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FileUpload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Anatomy</t>
        </is>
      </c>
      <c r="C94" s="113" t="inlineStr">
        <is>
          <t>HiddenInput</t>
        </is>
      </c>
      <c r="D94" s="113" t="inlineStr">
        <is>
          <t>renders correct part when expected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FileUpload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HiddenInput</t>
        </is>
      </c>
      <c r="D95" s="113" t="inlineStr">
        <is>
          <t>appears in documented order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FileUpload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Identity</t>
        </is>
      </c>
      <c r="C96" s="113" t="inlineStr">
        <is>
          <t>HiddenInput</t>
        </is>
      </c>
      <c r="D96" s="113" t="inlineStr">
        <is>
          <t>default tag is visible in Anatomy/Inspector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FileUpload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Identity</t>
        </is>
      </c>
      <c r="C97" s="113" t="inlineStr">
        <is>
          <t>HiddenInput</t>
        </is>
      </c>
      <c r="D97" s="113" t="inlineStr">
        <is>
          <t>data-slot is present and correct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FileUpload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Props</t>
        </is>
      </c>
      <c r="C98" s="113" t="inlineStr">
        <is>
          <t>HiddenInput</t>
        </is>
      </c>
      <c r="D98" s="113" t="inlineStr">
        <is>
          <t>non-Atom native props pass through with data-prop-check marker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FileUpload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Refs</t>
        </is>
      </c>
      <c r="C99" s="113" t="inlineStr">
        <is>
          <t>HiddenInput</t>
        </is>
      </c>
      <c r="D99" s="113" t="inlineStr">
        <is>
          <t>consumer ref receives the rendered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FileUpload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Native Attrs</t>
        </is>
      </c>
      <c r="C100" s="113" t="inlineStr">
        <is>
          <t>HiddenInput</t>
        </is>
      </c>
      <c r="D100" s="113" t="inlineStr">
        <is>
          <t>accept mirrors Root accept on the native file input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FileUpload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Native Attrs</t>
        </is>
      </c>
      <c r="C101" s="113" t="inlineStr">
        <is>
          <t>HiddenInput</t>
        </is>
      </c>
      <c r="D101" s="113" t="inlineStr">
        <is>
          <t>multiple mirrors Root multiple on the native file input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FileUpload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Native Attrs</t>
        </is>
      </c>
      <c r="C102" s="113" t="inlineStr">
        <is>
          <t>HiddenInput</t>
        </is>
      </c>
      <c r="D102" s="113" t="inlineStr">
        <is>
          <t>name mirrors Root name on the native file input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FileUpload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Native Attrs</t>
        </is>
      </c>
      <c r="C103" s="113" t="inlineStr">
        <is>
          <t>HiddenInput</t>
        </is>
      </c>
      <c r="D103" s="113" t="inlineStr">
        <is>
          <t>form mirrors Root form on the native file input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FileUpload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Native Attrs</t>
        </is>
      </c>
      <c r="C104" s="113" t="inlineStr">
        <is>
          <t>HiddenInput</t>
        </is>
      </c>
      <c r="D104" s="113" t="inlineStr">
        <is>
          <t>required mirrors Root or Field required on the native file input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FileUpload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Native Attrs</t>
        </is>
      </c>
      <c r="C105" s="113" t="inlineStr">
        <is>
          <t>HiddenInput</t>
        </is>
      </c>
      <c r="D105" s="113" t="inlineStr">
        <is>
          <t>disabled mirrors Root or Field disabled on the native file input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FileUpload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HiddenInput</t>
        </is>
      </c>
      <c r="D106" s="113" t="inlineStr">
        <is>
          <t>aria-describedby mirrors Field description and error ids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FileUpload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HiddenInput</t>
        </is>
      </c>
      <c r="D107" s="113" t="inlineStr">
        <is>
          <t>aria-invalid mirrors Root or Field invalid state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FileUpload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HiddenInput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FileUpload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ItemDeleteTrigger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FileUpload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ItemDeleteTrigger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FileUpload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ItemDeleteTrigger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FileUpload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ItemDeleteTrigger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FileUpload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ItemDeleteTrigger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FileUpload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Refs</t>
        </is>
      </c>
      <c r="C114" s="113" t="inlineStr">
        <is>
          <t>ItemDeleteTrigger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FileUpload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ItemDeleteTrigger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FileUpload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ItemDeleteTrigger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FileUpload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Accessibility</t>
        </is>
      </c>
      <c r="C117" s="113" t="inlineStr">
        <is>
          <t>ItemDeleteTrigger</t>
        </is>
      </c>
      <c r="D117" s="113" t="inlineStr">
        <is>
          <t>aria-label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FileUpload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ItemDeleteTrigger</t>
        </is>
      </c>
      <c r="D118" s="113" t="inlineStr">
        <is>
          <t>data-slot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FileUpload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ItemDeleteTrigger</t>
        </is>
      </c>
      <c r="D119" s="113" t="inlineStr">
        <is>
          <t>[data-slot] prop behavior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FileUpload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ItemDeleteTrigger</t>
        </is>
      </c>
      <c r="D120" s="113" t="inlineStr">
        <is>
          <t>[data-disabled] prop behavior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FileUpload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ItemDeleteTrigger</t>
        </is>
      </c>
      <c r="D121" s="113" t="inlineStr">
        <is>
          <t>[data-readonly] prop behavior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FileUpload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Content</t>
        </is>
      </c>
      <c r="C122" s="113" t="inlineStr">
        <is>
          <t>ItemDeleteTrigger</t>
        </is>
      </c>
      <c r="D122" s="113" t="inlineStr">
        <is>
          <t>visible delete trigger text is shown in Anatomy and Inspector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FileUpload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Anatomy</t>
        </is>
      </c>
      <c r="C123" s="113" t="inlineStr">
        <is>
          <t>ItemGroup</t>
        </is>
      </c>
      <c r="D123" s="113" t="inlineStr">
        <is>
          <t>renders correct part when expected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FileUpload playground scenario.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Anatomy</t>
        </is>
      </c>
      <c r="C124" s="113" t="inlineStr">
        <is>
          <t>ItemGroup</t>
        </is>
      </c>
      <c r="D124" s="113" t="inlineStr">
        <is>
          <t>appears in documented order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FileUpload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Identity</t>
        </is>
      </c>
      <c r="C125" s="113" t="inlineStr">
        <is>
          <t>ItemGroup</t>
        </is>
      </c>
      <c r="D125" s="113" t="inlineStr">
        <is>
          <t>default tag is visible in Anatomy/Inspector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FileUpload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Identity</t>
        </is>
      </c>
      <c r="C126" s="113" t="inlineStr">
        <is>
          <t>ItemGroup</t>
        </is>
      </c>
      <c r="D126" s="113" t="inlineStr">
        <is>
          <t>data-slot is present and correct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FileUpload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Props</t>
        </is>
      </c>
      <c r="C127" s="113" t="inlineStr">
        <is>
          <t>ItemGroup</t>
        </is>
      </c>
      <c r="D127" s="113" t="inlineStr">
        <is>
          <t>non-Atom native props pass through with data-prop-check marker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FileUpload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Refs</t>
        </is>
      </c>
      <c r="C128" s="113" t="inlineStr">
        <is>
          <t>ItemGroup</t>
        </is>
      </c>
      <c r="D128" s="113" t="inlineStr">
        <is>
          <t>consumer ref receives the rendered element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FileUpload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ItemGroup</t>
        </is>
      </c>
      <c r="D129" s="113" t="inlineStr">
        <is>
          <t>asChild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FileUpload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Composition</t>
        </is>
      </c>
      <c r="C130" s="113" t="inlineStr">
        <is>
          <t>ItemGroup</t>
        </is>
      </c>
      <c r="D130" s="113" t="inlineStr">
        <is>
          <t>render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FileUpload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ItemGroup</t>
        </is>
      </c>
      <c r="D131" s="113" t="inlineStr">
        <is>
          <t>data-slot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FileUpload playground scenario.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Public API</t>
        </is>
      </c>
      <c r="C132" s="113" t="inlineStr">
        <is>
          <t>ItemGroup</t>
        </is>
      </c>
      <c r="D132" s="113" t="inlineStr">
        <is>
          <t>[data-slot]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FileUpload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Public API</t>
        </is>
      </c>
      <c r="C133" s="113" t="inlineStr">
        <is>
          <t>ItemGroup</t>
        </is>
      </c>
      <c r="D133" s="113" t="inlineStr">
        <is>
          <t>[data-count]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FileUpload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Anatomy</t>
        </is>
      </c>
      <c r="C134" s="113" t="inlineStr">
        <is>
          <t>ItemName</t>
        </is>
      </c>
      <c r="D134" s="113" t="inlineStr">
        <is>
          <t>renders correct part when expected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FileUpload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Anatomy</t>
        </is>
      </c>
      <c r="C135" s="113" t="inlineStr">
        <is>
          <t>ItemName</t>
        </is>
      </c>
      <c r="D135" s="113" t="inlineStr">
        <is>
          <t>appears in documented order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FileUpload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Identity</t>
        </is>
      </c>
      <c r="C136" s="113" t="inlineStr">
        <is>
          <t>ItemName</t>
        </is>
      </c>
      <c r="D136" s="113" t="inlineStr">
        <is>
          <t>default tag is visible in Anatomy/Inspector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FileUpload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Identity</t>
        </is>
      </c>
      <c r="C137" s="113" t="inlineStr">
        <is>
          <t>ItemName</t>
        </is>
      </c>
      <c r="D137" s="113" t="inlineStr">
        <is>
          <t>data-slot is present and correct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FileUpload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Props</t>
        </is>
      </c>
      <c r="C138" s="113" t="inlineStr">
        <is>
          <t>ItemName</t>
        </is>
      </c>
      <c r="D138" s="113" t="inlineStr">
        <is>
          <t>non-Atom native props pass through with data-prop-check marker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FileUpload playground scenario.</t>
        </is>
      </c>
      <c r="J138" s="113" t="n"/>
      <c r="K138" s="117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Refs</t>
        </is>
      </c>
      <c r="C139" s="113" t="inlineStr">
        <is>
          <t>ItemName</t>
        </is>
      </c>
      <c r="D139" s="113" t="inlineStr">
        <is>
          <t>consumer ref receives the rendered element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FileUpload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Public API</t>
        </is>
      </c>
      <c r="C140" s="113" t="inlineStr">
        <is>
          <t>ItemName</t>
        </is>
      </c>
      <c r="D140" s="113" t="inlineStr">
        <is>
          <t>[data-slot] prop behavior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FileUpload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Anatomy</t>
        </is>
      </c>
      <c r="C141" s="113" t="inlineStr">
        <is>
          <t>ItemSize</t>
        </is>
      </c>
      <c r="D141" s="113" t="inlineStr">
        <is>
          <t>renders correct part when expected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FileUpload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Anatomy</t>
        </is>
      </c>
      <c r="C142" s="113" t="inlineStr">
        <is>
          <t>ItemSize</t>
        </is>
      </c>
      <c r="D142" s="113" t="inlineStr">
        <is>
          <t>appears in documented order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FileUpload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Identity</t>
        </is>
      </c>
      <c r="C143" s="113" t="inlineStr">
        <is>
          <t>ItemSize</t>
        </is>
      </c>
      <c r="D143" s="113" t="inlineStr">
        <is>
          <t>default tag is visible in Anatomy/Inspector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FileUpload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Identity</t>
        </is>
      </c>
      <c r="C144" s="113" t="inlineStr">
        <is>
          <t>ItemSize</t>
        </is>
      </c>
      <c r="D144" s="113" t="inlineStr">
        <is>
          <t>data-slot is present and correct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FileUpload playground scenario.</t>
        </is>
      </c>
      <c r="J144" s="113" t="n"/>
      <c r="K144" s="117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Props</t>
        </is>
      </c>
      <c r="C145" s="113" t="inlineStr">
        <is>
          <t>ItemSize</t>
        </is>
      </c>
      <c r="D145" s="113" t="inlineStr">
        <is>
          <t>non-Atom native props pass through with data-prop-check marker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FileUpload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Refs</t>
        </is>
      </c>
      <c r="C146" s="113" t="inlineStr">
        <is>
          <t>ItemSize</t>
        </is>
      </c>
      <c r="D146" s="113" t="inlineStr">
        <is>
          <t>consumer ref receives the rendered element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FileUpload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Public API</t>
        </is>
      </c>
      <c r="C147" s="113" t="inlineStr">
        <is>
          <t>ItemSize</t>
        </is>
      </c>
      <c r="D147" s="113" t="inlineStr">
        <is>
          <t>[data-slot] prop behavior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FileUpload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aria-describedby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FileUpload playground scenario.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aria-disabled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FileUpload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aria-invalid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FileUpload playground scenario.</t>
        </is>
      </c>
      <c r="J150" s="113" t="n"/>
      <c r="K150" s="117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aria-label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FileUpload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data-count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FileUpload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data-disabled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FileUpload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data-drag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FileUpload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data-filled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FileUpload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data-invalid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FileUpload playground scenario.</t>
        </is>
      </c>
      <c r="J156" s="113" t="n"/>
      <c r="K156" s="117">
        <f>IF(AND(E156="yes",F156="yes",H156="covered"),1,IF(H156="partial",0.5,0))</f>
        <v/>
      </c>
    </row>
    <row r="157" ht="30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data-name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FileUpload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data-readonly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FileUpload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data-rejected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FileUpload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data-required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FileUpload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data-size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FileUpload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data-slot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FileUpload playground scenario.</t>
        </is>
      </c>
      <c r="J162" s="113" t="n"/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data-state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FileUpload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FileUpload</t>
        </is>
      </c>
      <c r="D164" s="113" t="inlineStr">
        <is>
          <t>asChild preserves child content without double nesting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FileUpload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FileUpload</t>
        </is>
      </c>
      <c r="D165" s="113" t="inlineStr">
        <is>
          <t>asChild merges Atom props and consumer props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FileUpload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FileUpload</t>
        </is>
      </c>
      <c r="D166" s="113" t="inlineStr">
        <is>
          <t>asChild lets preventDefault block Atom behavior where supported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FileUpload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FileUpload</t>
        </is>
      </c>
      <c r="D167" s="113" t="inlineStr">
        <is>
          <t>render prop renders custom element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FileUpload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FileUpload</t>
        </is>
      </c>
      <c r="D168" s="113" t="inlineStr">
        <is>
          <t>render prop preserves refs and behavior props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FileUpload playground scenario.</t>
        </is>
      </c>
      <c r="J168" s="113" t="n"/>
      <c r="K168" s="117">
        <f>IF(AND(E168="yes",F168="yes",H168="covered"),1,IF(H168="partial",0.5,0))</f>
        <v/>
      </c>
    </row>
    <row r="169" ht="30" customHeight="1" s="58">
      <c r="A169" s="112" t="n">
        <v>161</v>
      </c>
      <c r="B169" s="113" t="inlineStr">
        <is>
          <t>State</t>
        </is>
      </c>
      <c r="C169" s="113" t="inlineStr">
        <is>
          <t>Root</t>
        </is>
      </c>
      <c r="D169" s="113" t="inlineStr">
        <is>
          <t>controlled state path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FileUpload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State</t>
        </is>
      </c>
      <c r="C170" s="113" t="inlineStr">
        <is>
          <t>Root</t>
        </is>
      </c>
      <c r="D170" s="113" t="inlineStr">
        <is>
          <t>uncontrolled default state path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FileUpload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State</t>
        </is>
      </c>
      <c r="C171" s="113" t="inlineStr">
        <is>
          <t>Root</t>
        </is>
      </c>
      <c r="D171" s="113" t="inlineStr">
        <is>
          <t>state change callback fires once with correct value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FileUpload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State</t>
        </is>
      </c>
      <c r="C172" s="113" t="inlineStr">
        <is>
          <t>FileUpload</t>
        </is>
      </c>
      <c r="D172" s="113" t="inlineStr">
        <is>
          <t>disabled state blocks or exposes behavior correctly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FileUpload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State</t>
        </is>
      </c>
      <c r="C173" s="113" t="inlineStr">
        <is>
          <t>FileUpload</t>
        </is>
      </c>
      <c r="D173" s="113" t="inlineStr">
        <is>
          <t>readonly/readOnly state blocks or exposes behavior correctly where supported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FileUpload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State</t>
        </is>
      </c>
      <c r="C174" s="113" t="inlineStr">
        <is>
          <t>FileUpload</t>
        </is>
      </c>
      <c r="D174" s="113" t="inlineStr">
        <is>
          <t>required state blocks or exposes behavior correctly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FileUpload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State</t>
        </is>
      </c>
      <c r="C175" s="113" t="inlineStr">
        <is>
          <t>FileUpload</t>
        </is>
      </c>
      <c r="D175" s="113" t="inlineStr">
        <is>
          <t>invalid state blocks or exposes behavior correctly where supported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FileUpload playground scenario.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Forms</t>
        </is>
      </c>
      <c r="C176" s="113" t="inlineStr">
        <is>
          <t>FileUpload</t>
        </is>
      </c>
      <c r="D176" s="113" t="inlineStr">
        <is>
          <t>form value participates correctly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FileUpload playground scenario.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Forms</t>
        </is>
      </c>
      <c r="C177" s="113" t="inlineStr">
        <is>
          <t>FileUpload</t>
        </is>
      </c>
      <c r="D177" s="113" t="inlineStr">
        <is>
          <t>hidden input mirrors value/checked/disabled where supported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FileUpload playground scenario.</t>
        </is>
      </c>
      <c r="J177" s="113" t="n"/>
      <c r="K177" s="117">
        <f>IF(AND(E177="yes",F177="yes",H177="covered"),1,IF(H177="partial",0.5,0))</f>
        <v/>
      </c>
    </row>
    <row r="178" ht="15" customHeight="1" s="58">
      <c r="A178" s="112" t="n">
        <v>170</v>
      </c>
      <c r="B178" s="113" t="inlineStr">
        <is>
          <t>Interaction</t>
        </is>
      </c>
      <c r="C178" s="113" t="inlineStr">
        <is>
          <t>Trigger</t>
        </is>
      </c>
      <c r="D178" s="113" t="inlineStr">
        <is>
          <t>mouse click or pointer activation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FileUpload playground scenario.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Interaction</t>
        </is>
      </c>
      <c r="C179" s="113" t="inlineStr">
        <is>
          <t>Trigger</t>
        </is>
      </c>
      <c r="D179" s="113" t="inlineStr">
        <is>
          <t>Enter key activation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FileUpload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Interaction</t>
        </is>
      </c>
      <c r="C180" s="113" t="inlineStr">
        <is>
          <t>Trigger</t>
        </is>
      </c>
      <c r="D180" s="113" t="inlineStr">
        <is>
          <t>Space key activation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FileUpload playground scenario.</t>
        </is>
      </c>
      <c r="J180" s="113" t="n"/>
      <c r="K180" s="117">
        <f>IF(AND(E180="yes",F180="yes",H180="covered"),1,IF(H180="partial",0.5,0))</f>
        <v/>
      </c>
    </row>
    <row r="181" ht="30" customHeight="1" s="58">
      <c r="A181" s="112" t="n">
        <v>173</v>
      </c>
      <c r="B181" s="113" t="inlineStr">
        <is>
          <t>Interaction</t>
        </is>
      </c>
      <c r="C181" s="113" t="inlineStr">
        <is>
          <t>Trigger</t>
        </is>
      </c>
      <c r="D181" s="113" t="inlineStr">
        <is>
          <t>disabled trigger blocks pointer and keyboard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FileUpload playground scenario.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Focus</t>
        </is>
      </c>
      <c r="C182" s="113" t="inlineStr">
        <is>
          <t>Trigger</t>
        </is>
      </c>
      <c r="D182" s="113" t="inlineStr">
        <is>
          <t>focus ring and focus restoration are correct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</t>
        </is>
      </c>
      <c r="H182" s="116" t="inlineStr">
        <is>
          <t>covered</t>
        </is>
      </c>
      <c r="I182" s="113" t="inlineStr">
        <is>
          <t>FileUpload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Keyboard</t>
        </is>
      </c>
      <c r="C183" s="113" t="inlineStr">
        <is>
          <t>FileUpload</t>
        </is>
      </c>
      <c r="D183" s="113" t="inlineStr">
        <is>
          <t xml:space="preserve">  behavior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FileUpload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Keyboard</t>
        </is>
      </c>
      <c r="C184" s="113" t="inlineStr">
        <is>
          <t>FileUpload</t>
        </is>
      </c>
      <c r="D184" s="113" t="inlineStr">
        <is>
          <t>Enter behavior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</t>
        </is>
      </c>
      <c r="H184" s="116" t="inlineStr">
        <is>
          <t>covered</t>
        </is>
      </c>
      <c r="I184" s="113" t="inlineStr">
        <is>
          <t>FileUpload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Forms</t>
        </is>
      </c>
      <c r="C185" s="113" t="inlineStr">
        <is>
          <t>Root/HiddenInput</t>
        </is>
      </c>
      <c r="D185" s="113" t="inlineStr">
        <is>
          <t>Field inheritance and native form reset clear files, rejections, and drag state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Form &gt; Control: Foundation plus the component scenario and automated package tests.</t>
        </is>
      </c>
      <c r="J185" s="113" t="inlineStr">
        <is>
          <t>Run and review the form-foundation manual protocol.</t>
        </is>
      </c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Validation</t>
        </is>
      </c>
      <c r="C186" s="113" t="inlineStr">
        <is>
          <t>Root/HiddenInput</t>
        </is>
      </c>
      <c r="D186" s="113" t="inlineStr">
        <is>
          <t>HiddenInput invalidity mirrors to the visible upload surface, Field, Error, and Form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Form &gt; Control: Foundation and automated Atom validation tests.</t>
        </is>
      </c>
      <c r="J186" s="113" t="inlineStr">
        <is>
          <t>Run and review the updated form-foundation validation steps.</t>
        </is>
      </c>
      <c r="K186" s="117">
        <f>IF(AND(E186="yes",F186="yes",H186="covered"),1,IF(H186="partial",0.5,0))</f>
        <v/>
      </c>
    </row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30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30" customHeight="1" s="58"/>
    <row r="211" ht="30" customHeight="1" s="58"/>
    <row r="212" ht="30" customHeight="1" s="58"/>
    <row r="213" ht="30" customHeight="1" s="58"/>
    <row r="214" ht="15" customHeight="1" s="58"/>
    <row r="215" ht="30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1" ht="15" customHeight="1" s="58"/>
    <row r="222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Form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Form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Form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Form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Form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Form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Form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Form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Form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Form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Form playground manual verification.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Root</t>
        </is>
      </c>
      <c r="D15" s="113" t="inlineStr">
        <is>
          <t>renders a native form by default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Form playground manual verification.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Root</t>
        </is>
      </c>
      <c r="D16" s="113" t="inlineStr">
        <is>
          <t>composes native onSubmit and onReset handlers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Form playground manual verification.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Root</t>
        </is>
      </c>
      <c r="D17" s="113" t="inlineStr">
        <is>
          <t>supports optional preventDefaultOnSubmit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Form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Root</t>
        </is>
      </c>
      <c r="D18" s="113" t="inlineStr">
        <is>
          <t>supports no validation, passing validation, and failing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Form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Root</t>
        </is>
      </c>
      <c r="D19" s="113" t="inlineStr">
        <is>
          <t>supports async submit validation while exposing pending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Form playground manual verification.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Root</t>
        </is>
      </c>
      <c r="D20" s="113" t="inlineStr">
        <is>
          <t>exposes submitting, submitted, and invalid state through data attributes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Form playground manual verification.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Form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is the only Form anatomy part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Form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form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Form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ref target is form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Form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form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Form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Form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preventDefaultOnSubmit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Form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validateOnSubmit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Form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onSubmit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Form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onReset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Form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Composition</t>
        </is>
      </c>
      <c r="C31" s="113" t="inlineStr">
        <is>
          <t>Root</t>
        </is>
      </c>
      <c r="D31" s="113" t="inlineStr">
        <is>
          <t>asChild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Form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render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Form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Data</t>
        </is>
      </c>
      <c r="C33" s="113" t="inlineStr">
        <is>
          <t>Root</t>
        </is>
      </c>
      <c r="D33" s="113" t="inlineStr">
        <is>
          <t>data-slot is present at the correct time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Form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Root</t>
        </is>
      </c>
      <c r="D34" s="113" t="inlineStr">
        <is>
          <t>data-submitting is present during async submit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Form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Root</t>
        </is>
      </c>
      <c r="D35" s="113" t="inlineStr">
        <is>
          <t>data-submitted is present after successful submit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Form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Root</t>
        </is>
      </c>
      <c r="D36" s="113" t="inlineStr">
        <is>
          <t>data-invalid is present after failed validation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Form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Live DOM</t>
        </is>
      </c>
      <c r="D37" s="113" t="inlineStr">
        <is>
          <t>data-slot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Form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Data</t>
        </is>
      </c>
      <c r="C38" s="113" t="inlineStr">
        <is>
          <t>Live DOM</t>
        </is>
      </c>
      <c r="D38" s="113" t="inlineStr">
        <is>
          <t>data-submitting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Form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Data</t>
        </is>
      </c>
      <c r="C39" s="113" t="inlineStr">
        <is>
          <t>Live DOM</t>
        </is>
      </c>
      <c r="D39" s="113" t="inlineStr">
        <is>
          <t>data-submitted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Form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Live DOM</t>
        </is>
      </c>
      <c r="D40" s="113" t="inlineStr">
        <is>
          <t>data-invalid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Form playground manual verification.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Composition</t>
        </is>
      </c>
      <c r="C41" s="113" t="inlineStr">
        <is>
          <t>Root</t>
        </is>
      </c>
      <c r="D41" s="113" t="inlineStr">
        <is>
          <t>asChild preserves child form content without double nesting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Form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Root</t>
        </is>
      </c>
      <c r="D42" s="113" t="inlineStr">
        <is>
          <t>asChild merges Atom props and consumer props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Form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Root</t>
        </is>
      </c>
      <c r="D43" s="113" t="inlineStr">
        <is>
          <t>asChild preserves submit/reset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Form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render prop renders custom form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Form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preserves refs and behavior props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Form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reset clears submitted, submitting, and invalid state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Form playground manual verification.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Log</t>
        </is>
      </c>
      <c r="C47" s="113" t="inlineStr">
        <is>
          <t>Root</t>
        </is>
      </c>
      <c r="D47" s="113" t="inlineStr">
        <is>
          <t>logs validation, submit, reset, and navigation prevention clearly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Form playground manual verification.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Integration</t>
        </is>
      </c>
      <c r="C48" s="113" t="inlineStr">
        <is>
          <t>Native control</t>
        </is>
      </c>
      <c r="D48" s="113" t="inlineStr">
        <is>
          <t>Form.Root submits and resets with a native input control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Form State &gt; Control: Native.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Integration</t>
        </is>
      </c>
      <c r="C49" s="113" t="inlineStr">
        <is>
          <t>Atom control</t>
        </is>
      </c>
      <c r="D49" s="113" t="inlineStr">
        <is>
          <t>Form.Root submits and resets with Atom Input.Root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Form State &gt; Control: Atom.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/>
      <c r="B50" s="113" t="n"/>
      <c r="C50" s="113" t="n"/>
      <c r="D50" s="113" t="n"/>
      <c r="E50" s="114" t="n"/>
      <c r="F50" s="115" t="n"/>
      <c r="G50" s="112" t="n"/>
      <c r="H50" s="116" t="n"/>
      <c r="I50" s="113" t="n"/>
      <c r="J50" s="113" t="n"/>
      <c r="K50" s="117" t="n"/>
    </row>
    <row r="51" ht="15" customHeight="1" s="58">
      <c r="A51" s="112" t="n"/>
      <c r="B51" s="113" t="n"/>
      <c r="C51" s="113" t="n"/>
      <c r="D51" s="113" t="n"/>
      <c r="E51" s="114" t="n"/>
      <c r="F51" s="115" t="n"/>
      <c r="G51" s="112" t="n"/>
      <c r="H51" s="116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5" t="n"/>
      <c r="G52" s="112" t="n"/>
      <c r="H52" s="116" t="n"/>
      <c r="I52" s="113" t="n"/>
      <c r="J52" s="113" t="n"/>
      <c r="K52" s="117" t="n"/>
    </row>
    <row r="53" ht="13.5" customHeight="1" s="58">
      <c r="A53" s="112" t="n"/>
      <c r="B53" s="113" t="n"/>
      <c r="C53" s="113" t="n"/>
      <c r="D53" s="113" t="n"/>
      <c r="E53" s="114" t="n"/>
      <c r="F53" s="115" t="n"/>
      <c r="G53" s="112" t="n"/>
      <c r="H53" s="116" t="n"/>
      <c r="I53" s="113" t="n"/>
      <c r="J53" s="113" t="n"/>
      <c r="K53" s="117" t="n"/>
    </row>
    <row r="54" ht="13.5" customHeight="1" s="58">
      <c r="A54" s="112" t="n"/>
      <c r="B54" s="113" t="n"/>
      <c r="C54" s="113" t="n"/>
      <c r="D54" s="113" t="n"/>
      <c r="E54" s="114" t="n"/>
      <c r="F54" s="115" t="n"/>
      <c r="G54" s="112" t="n"/>
      <c r="H54" s="116" t="n"/>
      <c r="I54" s="113" t="n"/>
      <c r="J54" s="113" t="n"/>
      <c r="K54" s="117" t="n"/>
    </row>
    <row r="55" ht="13.5" customHeight="1" s="58">
      <c r="A55" s="112" t="n">
        <v>42</v>
      </c>
      <c r="B55" s="113" t="inlineStr">
        <is>
          <t>Integration</t>
        </is>
      </c>
      <c r="C55" s="113" t="inlineStr">
        <is>
          <t>Root</t>
        </is>
      </c>
      <c r="D55" s="113" t="inlineStr">
        <is>
          <t>React function actions preserve React/useFormStatus ownership without Atom-owned pending metadata</t>
        </is>
      </c>
      <c r="E55" s="114" t="inlineStr">
        <is>
          <t>yes</t>
        </is>
      </c>
      <c r="F55" s="115" t="inlineStr">
        <is>
          <t>no</t>
        </is>
      </c>
      <c r="G55" s="112" t="inlineStr">
        <is>
          <t>automated tests pass; manual pending</t>
        </is>
      </c>
      <c r="H55" s="116" t="inlineStr">
        <is>
          <t>untested</t>
        </is>
      </c>
      <c r="I55" s="113" t="inlineStr">
        <is>
          <t>Form &gt; Control: Foundation plus the component scenario and automated package tests.</t>
        </is>
      </c>
      <c r="J55" s="113" t="inlineStr">
        <is>
          <t>Run and review the form-foundation manual protocol.</t>
        </is>
      </c>
      <c r="K55" s="117">
        <f>IF(AND(E55="yes",F55="yes",H55="covered"),1,IF(H55="partial",0.5,0))</f>
        <v/>
      </c>
    </row>
    <row r="56" ht="13.5" customHeight="1" s="58">
      <c r="A56" s="112" t="n">
        <v>43</v>
      </c>
      <c r="B56" s="113" t="inlineStr">
        <is>
          <t>Errors</t>
        </is>
      </c>
      <c r="C56" s="113" t="inlineStr">
        <is>
          <t>Root</t>
        </is>
      </c>
      <c r="D56" s="113" t="inlineStr">
        <is>
          <t>rejected Atom async submit callbacks remain observable while pending state settles</t>
        </is>
      </c>
      <c r="E56" s="114" t="inlineStr">
        <is>
          <t>yes</t>
        </is>
      </c>
      <c r="F56" s="115" t="inlineStr">
        <is>
          <t>no</t>
        </is>
      </c>
      <c r="G56" s="112" t="inlineStr">
        <is>
          <t>automated tests pass; manual pending</t>
        </is>
      </c>
      <c r="H56" s="116" t="inlineStr">
        <is>
          <t>untested</t>
        </is>
      </c>
      <c r="I56" s="113" t="inlineStr">
        <is>
          <t>Form &gt; Control: Foundation plus the component scenario and automated package tests.</t>
        </is>
      </c>
      <c r="J56" s="113" t="inlineStr">
        <is>
          <t>Run and review the form-foundation manual protocol.</t>
        </is>
      </c>
      <c r="K56" s="117">
        <f>IF(AND(E56="yes",F56="yes",H56="covered"),1,IF(H56="partial",0.5,0))</f>
        <v/>
      </c>
    </row>
    <row r="57" ht="13.5" customHeight="1" s="58">
      <c r="A57" s="112" t="n">
        <v>44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native reset clears Atom submission metadata and descendant uncontrolled defaults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and review the form-foundation manual protocol.</t>
        </is>
      </c>
      <c r="K57" s="117">
        <f>IF(AND(E57="yes",F57="yes",H57="covered"),1,IF(H57="partial",0.5,0))</f>
        <v/>
      </c>
    </row>
    <row r="58" ht="13.5" customHeight="1" s="58">
      <c r="A58" s="112" t="n">
        <v>45</v>
      </c>
      <c r="B58" s="113" t="inlineStr">
        <is>
          <t>Public API</t>
        </is>
      </c>
      <c r="C58" s="113" t="inlineStr">
        <is>
          <t>Root</t>
        </is>
      </c>
      <c r="D58" s="113" t="inlineStr">
        <is>
          <t>validationBehavior resolves automatic, inline, and native presentation without disabling native constraints</t>
        </is>
      </c>
      <c r="E58" s="114" t="inlineStr">
        <is>
          <t>yes</t>
        </is>
      </c>
      <c r="F58" s="115" t="inlineStr">
        <is>
          <t>no</t>
        </is>
      </c>
      <c r="G58" s="112" t="inlineStr">
        <is>
          <t>automated tests pass; manual pending</t>
        </is>
      </c>
      <c r="H58" s="116" t="inlineStr">
        <is>
          <t>untested</t>
        </is>
      </c>
      <c r="I58" s="113" t="inlineStr">
        <is>
          <t>Form &gt; Control: Foundation and automated Atom validation tests.</t>
        </is>
      </c>
      <c r="J58" s="113" t="inlineStr">
        <is>
          <t>Run and review the updated form-foundation validation steps.</t>
        </is>
      </c>
      <c r="K58" s="117">
        <f>IF(AND(E58="yes",F58="yes",H58="covered"),1,IF(H58="partial",0.5,0))</f>
        <v/>
      </c>
    </row>
    <row r="59" ht="13.5" customHeight="1" s="58">
      <c r="A59" s="112" t="n">
        <v>46</v>
      </c>
      <c r="B59" s="113" t="inlineStr">
        <is>
          <t>State</t>
        </is>
      </c>
      <c r="C59" s="113" t="inlineStr">
        <is>
          <t>Root</t>
        </is>
      </c>
      <c r="D59" s="113" t="inlineStr">
        <is>
          <t>descendant native-invalid state aggregates to Form and clears after correction or reset</t>
        </is>
      </c>
      <c r="E59" s="114" t="inlineStr">
        <is>
          <t>yes</t>
        </is>
      </c>
      <c r="F59" s="115" t="inlineStr">
        <is>
          <t>no</t>
        </is>
      </c>
      <c r="G59" s="112" t="inlineStr">
        <is>
          <t>automated tests pass; manual pending</t>
        </is>
      </c>
      <c r="H59" s="116" t="inlineStr">
        <is>
          <t>untested</t>
        </is>
      </c>
      <c r="I59" s="113" t="inlineStr">
        <is>
          <t>Form &gt; Control: Foundation and automated Atom validation tests.</t>
        </is>
      </c>
      <c r="J59" s="113" t="inlineStr">
        <is>
          <t>Run and review the updated form-foundation validation steps.</t>
        </is>
      </c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HoverCard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HoverCard Manual Test Protocol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HoverCard Manual Test Protocol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HoverCard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HoverCard Manual Test Protocol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HoverCard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HoverCard Manual Test Protocol</t>
        </is>
      </c>
      <c r="J12" s="113" t="n"/>
      <c r="K12" s="117">
        <f>IF(AND(E12="yes",F12="yes",H12="covered"),1,IF(H12="partial",0.5,0))</f>
        <v/>
      </c>
    </row>
    <row r="13" ht="45" customHeight="1" s="58">
      <c r="A13" s="112" t="n">
        <v>5</v>
      </c>
      <c r="B13" s="113" t="inlineStr">
        <is>
          <t>Playground</t>
        </is>
      </c>
      <c r="C13" s="113" t="inlineStr">
        <is>
          <t>HoverCard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HoverCard Manual Test Protocol</t>
        </is>
      </c>
      <c r="J13" s="113" t="n"/>
      <c r="K13" s="117">
        <f>IF(AND(E13="yes",F13="yes",H13="covered"),1,IF(H13="partial",0.5,0))</f>
        <v/>
      </c>
    </row>
    <row r="14" ht="45" customHeight="1" s="58">
      <c r="A14" s="112" t="n">
        <v>6</v>
      </c>
      <c r="B14" s="113" t="inlineStr">
        <is>
          <t>Playground</t>
        </is>
      </c>
      <c r="C14" s="113" t="inlineStr">
        <is>
          <t>HoverCard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HoverCard Manual Test Protocol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HoverCard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HoverCard Manual Test Protocol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HoverCard</t>
        </is>
      </c>
      <c r="D16" s="113" t="inlineStr">
        <is>
          <t>Opens from hover and keyboard focus-visible trigger interactions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HoverCard Manual Test Protocol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HoverCard</t>
        </is>
      </c>
      <c r="D17" s="113" t="inlineStr">
        <is>
          <t>Configurable open and close delays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HoverCard Manual Test Protocol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HoverCard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HoverCard Manual Test Protocol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HoverCard</t>
        </is>
      </c>
      <c r="D19" s="113" t="inlineStr">
        <is>
          <t>Portal and arrow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HoverCard Manual Test Protocol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HoverCard</t>
        </is>
      </c>
      <c r="D20" s="113" t="inlineStr">
        <is>
          <t>Headless only: no card styling, shadows, animation, or layout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HoverCard Manual Test Protocol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 and exposes feature-wide state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HoverCard Manual Test Protocol</t>
        </is>
      </c>
      <c r="J21" s="113" t="n"/>
      <c r="K21" s="117">
        <f>IF(AND(E21="yes",F21="yes",H21="covered"),1,IF(H21="partial",0.5,0))</f>
        <v/>
      </c>
    </row>
    <row r="22" ht="45" customHeight="1" s="58">
      <c r="A22" s="112" t="n">
        <v>14</v>
      </c>
      <c r="B22" s="113" t="inlineStr">
        <is>
          <t>State</t>
        </is>
      </c>
      <c r="C22" s="113" t="inlineStr">
        <is>
          <t>Root</t>
        </is>
      </c>
      <c r="D22" s="113" t="inlineStr">
        <is>
          <t>open prop behavior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HoverCard Manual Test Protocol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defaultOpen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HoverCard Manual Test Protocol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onOpenChange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HoverCard Manual Test Protocol</t>
        </is>
      </c>
      <c r="J24" s="113" t="n"/>
      <c r="K24" s="117">
        <f>IF(AND(E24="yes",F24="yes",H24="covered"),1,IF(H24="partial",0.5,0))</f>
        <v/>
      </c>
    </row>
    <row r="25" ht="4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openDelay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HoverCard Manual Test Protocol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closeDelay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HoverCard Manual Test Protocol</t>
        </is>
      </c>
      <c r="J26" s="113" t="n"/>
      <c r="K26" s="117">
        <f>IF(AND(E26="yes",F26="yes",H26="covered"),1,IF(H26="partial",0.5,0))</f>
        <v/>
      </c>
    </row>
    <row r="27" ht="4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HoverCard Manual Test Protocol</t>
        </is>
      </c>
      <c r="J27" s="113" t="n"/>
      <c r="K27" s="117">
        <f>IF(AND(E27="yes",F27="yes",H27="covered"),1,IF(H27="partial",0.5,0))</f>
        <v/>
      </c>
    </row>
    <row r="28" ht="45" customHeight="1" s="58">
      <c r="A28" s="112" t="n">
        <v>20</v>
      </c>
      <c r="B28" s="113" t="inlineStr">
        <is>
          <t>Anatomy</t>
        </is>
      </c>
      <c r="C28" s="113" t="inlineStr">
        <is>
          <t>Trigger</t>
        </is>
      </c>
      <c r="D28" s="113" t="inlineStr">
        <is>
          <t>renders correct part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HoverCard Manual Test Protocol</t>
        </is>
      </c>
      <c r="J28" s="113" t="n"/>
      <c r="K28" s="117">
        <f>IF(AND(E28="yes",F28="yes",H28="covered"),1,IF(H28="partial",0.5,0))</f>
        <v/>
      </c>
    </row>
    <row r="29" ht="45" customHeight="1" s="58">
      <c r="A29" s="112" t="n">
        <v>21</v>
      </c>
      <c r="B29" s="113" t="inlineStr">
        <is>
          <t>Identity</t>
        </is>
      </c>
      <c r="C29" s="113" t="inlineStr">
        <is>
          <t>Trigger</t>
        </is>
      </c>
      <c r="D29" s="113" t="inlineStr">
        <is>
          <t>default tag is span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HoverCard Manual Test Protocol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Data</t>
        </is>
      </c>
      <c r="C30" s="113" t="inlineStr">
        <is>
          <t>Trigger</t>
        </is>
      </c>
      <c r="D30" s="113" t="inlineStr">
        <is>
          <t>data-slot and data-state are present and correct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HoverCard Manual Test Protocol</t>
        </is>
      </c>
      <c r="J30" s="113" t="n"/>
      <c r="K30" s="117">
        <f>IF(AND(E30="yes",F30="yes",H30="covered"),1,IF(H30="partial",0.5,0))</f>
        <v/>
      </c>
    </row>
    <row r="31" ht="45" customHeight="1" s="58">
      <c r="A31" s="112" t="n">
        <v>23</v>
      </c>
      <c r="B31" s="113" t="inlineStr">
        <is>
          <t>Props</t>
        </is>
      </c>
      <c r="C31" s="113" t="inlineStr">
        <is>
          <t>Trigger</t>
        </is>
      </c>
      <c r="D31" s="113" t="inlineStr">
        <is>
          <t>native/data props pass through with data-prop-check marker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HoverCard Manual Test Protocol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Slots</t>
        </is>
      </c>
      <c r="C32" s="113" t="inlineStr">
        <is>
          <t>Trigger</t>
        </is>
      </c>
      <c r="D32" s="113" t="inlineStr">
        <is>
          <t>custom data-slot override is applied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HoverCard Manual Test Protocol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Composition</t>
        </is>
      </c>
      <c r="C33" s="113" t="inlineStr">
        <is>
          <t>Trigger</t>
        </is>
      </c>
      <c r="D33" s="113" t="inlineStr">
        <is>
          <t>asChild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HoverCard Manual Test Protocol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Composition</t>
        </is>
      </c>
      <c r="C34" s="113" t="inlineStr">
        <is>
          <t>Trigger</t>
        </is>
      </c>
      <c r="D34" s="113" t="inlineStr">
        <is>
          <t>render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HoverCard Manual Test Protocol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Interaction</t>
        </is>
      </c>
      <c r="C35" s="113" t="inlineStr">
        <is>
          <t>Trigger</t>
        </is>
      </c>
      <c r="D35" s="113" t="inlineStr">
        <is>
          <t>hover opens and mouse leave closes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HoverCard Manual Test Protocol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Focus</t>
        </is>
      </c>
      <c r="C36" s="113" t="inlineStr">
        <is>
          <t>Trigger</t>
        </is>
      </c>
      <c r="D36" s="113" t="inlineStr">
        <is>
          <t>keyboard Tab focus-visible opens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HoverCard Manual Test Protocol</t>
        </is>
      </c>
      <c r="J36" s="113" t="n"/>
      <c r="K36" s="117">
        <f>IF(AND(E36="yes",F36="yes",H36="covered"),1,IF(H36="partial",0.5,0))</f>
        <v/>
      </c>
    </row>
    <row r="37" ht="4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body, custom container, and disabled portal paths work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HoverCard Manual Test Protocol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Portal</t>
        </is>
      </c>
      <c r="C38" s="113" t="inlineStr">
        <is>
          <t>Portal</t>
        </is>
      </c>
      <c r="D38" s="113" t="inlineStr">
        <is>
          <t>portal renders in body by default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HoverCard Manual Test Protocol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Portal</t>
        </is>
      </c>
      <c r="C39" s="113" t="inlineStr">
        <is>
          <t>Portal</t>
        </is>
      </c>
      <c r="D39" s="113" t="inlineStr">
        <is>
          <t>custom container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HoverCard Manual Test Protocol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Portal</t>
        </is>
      </c>
      <c r="C40" s="113" t="inlineStr">
        <is>
          <t>Portal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HoverCard Manual Test Protocol</t>
        </is>
      </c>
      <c r="J40" s="113" t="n"/>
      <c r="K40" s="117">
        <f>IF(AND(E40="yes",F40="yes",H40="covered"),1,IF(H40="partial",0.5,0))</f>
        <v/>
      </c>
    </row>
    <row r="41" ht="45" customHeight="1" s="58">
      <c r="A41" s="112" t="n">
        <v>33</v>
      </c>
      <c r="B41" s="113" t="inlineStr">
        <is>
          <t>Anatomy</t>
        </is>
      </c>
      <c r="C41" s="113" t="inlineStr">
        <is>
          <t>Content</t>
        </is>
      </c>
      <c r="D41" s="113" t="inlineStr">
        <is>
          <t>renders correct part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HoverCard Manual Test Protocol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Identity</t>
        </is>
      </c>
      <c r="C42" s="113" t="inlineStr">
        <is>
          <t>Content</t>
        </is>
      </c>
      <c r="D42" s="113" t="inlineStr">
        <is>
          <t>default tag is div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HoverCard Manual Test Protocol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Data</t>
        </is>
      </c>
      <c r="C43" s="113" t="inlineStr">
        <is>
          <t>Content</t>
        </is>
      </c>
      <c r="D43" s="113" t="inlineStr">
        <is>
          <t>data-slot, data-state, data-side, and data-positioned are present at the correct time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HoverCard Manual Test Protocol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ARIA</t>
        </is>
      </c>
      <c r="C44" s="113" t="inlineStr">
        <is>
          <t>Content</t>
        </is>
      </c>
      <c r="D44" s="113" t="inlineStr">
        <is>
          <t>ariaLabel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HoverCard Manual Test Protocol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Props</t>
        </is>
      </c>
      <c r="C45" s="113" t="inlineStr">
        <is>
          <t>Content</t>
        </is>
      </c>
      <c r="D45" s="113" t="inlineStr">
        <is>
          <t>native/data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HoverCard Manual Test Protocol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Slots</t>
        </is>
      </c>
      <c r="C46" s="113" t="inlineStr">
        <is>
          <t>Content</t>
        </is>
      </c>
      <c r="D46" s="113" t="inlineStr">
        <is>
          <t>custom data-slot override is applied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HoverCard Manual Test Protocol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Positioning</t>
        </is>
      </c>
      <c r="C47" s="113" t="inlineStr">
        <is>
          <t>Content</t>
        </is>
      </c>
      <c r="D47" s="113" t="inlineStr">
        <is>
          <t>side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HoverCard Manual Test Protocol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Positioning</t>
        </is>
      </c>
      <c r="C48" s="113" t="inlineStr">
        <is>
          <t>Content</t>
        </is>
      </c>
      <c r="D48" s="113" t="inlineStr">
        <is>
          <t>align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HoverCard Manual Test Protocol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Positioning</t>
        </is>
      </c>
      <c r="C49" s="113" t="inlineStr">
        <is>
          <t>Content</t>
        </is>
      </c>
      <c r="D49" s="113" t="inlineStr">
        <is>
          <t>sideOffset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HoverCard Manual Test Protocol</t>
        </is>
      </c>
      <c r="J49" s="113" t="n"/>
      <c r="K49" s="117">
        <f>IF(AND(E49="yes",F49="yes",H49="covered"),1,IF(H49="partial",0.5,0))</f>
        <v/>
      </c>
    </row>
    <row r="50" ht="45" customHeight="1" s="58">
      <c r="A50" s="112" t="n">
        <v>42</v>
      </c>
      <c r="B50" s="113" t="inlineStr">
        <is>
          <t>Anatomy</t>
        </is>
      </c>
      <c r="C50" s="113" t="inlineStr">
        <is>
          <t>Arrow</t>
        </is>
      </c>
      <c r="D50" s="113" t="inlineStr">
        <is>
          <t>renders correct part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HoverCard Manual Test Protocol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Identity</t>
        </is>
      </c>
      <c r="C51" s="113" t="inlineStr">
        <is>
          <t>Arrow</t>
        </is>
      </c>
      <c r="D51" s="113" t="inlineStr">
        <is>
          <t>default tag is svg and aria-hidden is true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HoverCard Manual Test Protocol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Data</t>
        </is>
      </c>
      <c r="C52" s="113" t="inlineStr">
        <is>
          <t>Arrow</t>
        </is>
      </c>
      <c r="D52" s="113" t="inlineStr">
        <is>
          <t>data-slot and data-side are present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HoverCard Manual Test Protocol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Props</t>
        </is>
      </c>
      <c r="C53" s="113" t="inlineStr">
        <is>
          <t>Arrow</t>
        </is>
      </c>
      <c r="D53" s="113" t="inlineStr">
        <is>
          <t>native/data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HoverCard Manual Test Protocol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Slots</t>
        </is>
      </c>
      <c r="C54" s="113" t="inlineStr">
        <is>
          <t>Arrow</t>
        </is>
      </c>
      <c r="D54" s="113" t="inlineStr">
        <is>
          <t>custom data-slot override is applied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HoverCard Manual Test Protocol</t>
        </is>
      </c>
      <c r="J54" s="113" t="n"/>
      <c r="K54" s="117">
        <f>IF(AND(E54="yes",F54="yes",H54="covered"),1,IF(H54="partial",0.5,0))</f>
        <v/>
      </c>
    </row>
    <row r="55" ht="45" customHeight="1" s="58">
      <c r="A55" s="112" t="n">
        <v>47</v>
      </c>
      <c r="B55" s="113" t="inlineStr">
        <is>
          <t>Public API</t>
        </is>
      </c>
      <c r="C55" s="113" t="inlineStr">
        <is>
          <t>Arrow</t>
        </is>
      </c>
      <c r="D55" s="113" t="inlineStr">
        <is>
          <t>width and height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HoverCard Manual Test Protocol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Source</t>
        </is>
      </c>
      <c r="C56" s="113" t="inlineStr">
        <is>
          <t>HoverCard</t>
        </is>
      </c>
      <c r="D56" s="113" t="inlineStr">
        <is>
          <t>Source omits playground-only plumbing and default props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HoverCard Manual Test Protocol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Source</t>
        </is>
      </c>
      <c r="C57" s="113" t="inlineStr">
        <is>
          <t>HoverCard</t>
        </is>
      </c>
      <c r="D57" s="113" t="inlineStr">
        <is>
          <t>Source reflects controlled/defaultOpen state, portal mode, composition, props, slots, and Arrow size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HoverCard Manual Test Protocol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Inspector</t>
        </is>
      </c>
      <c r="C58" s="113" t="inlineStr">
        <is>
          <t>HoverCard</t>
        </is>
      </c>
      <c r="D58" s="113" t="inlineStr">
        <is>
          <t>Selected and Focused evidence update independently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HoverCard Manual Test Protocol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Logs</t>
        </is>
      </c>
      <c r="C59" s="113" t="inlineStr">
        <is>
          <t>HoverCard</t>
        </is>
      </c>
      <c r="D59" s="113" t="inlineStr">
        <is>
          <t>interaction logs remain visible after close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HoverCard Manual Test Protocol</t>
        </is>
      </c>
      <c r="J59" s="113" t="n"/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Input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Input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Input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Input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Input</t>
        </is>
      </c>
      <c r="D15" s="113" t="inlineStr">
        <is>
          <t>Renders a native `&lt;input&gt;`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Input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Input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Input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Input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Input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Input</t>
        </is>
      </c>
      <c r="D18" s="113" t="inlineStr">
        <is>
          <t>Exposes filled, focused, disabled, readonly, and invalid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Input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Input</t>
        </is>
      </c>
      <c r="D19" s="113" t="inlineStr">
        <is>
          <t>Includes an optional clear button that clears and refocuses the input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Input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Input</t>
        </is>
      </c>
      <c r="D20" s="113" t="inlineStr">
        <is>
          <t>Preserves native input props and event handlers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Input playground scenario.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Input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Input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Input source/anatomy documents whether Root renders DOM; Inspector verifies rendered descendants.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Input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Input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Input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Input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Input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Input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Input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required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Input playground scenario.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Input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invalid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Input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Input form-field playground page exposes this part/prop in Anatomy, Inspector, Source, or toolbar controls.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Input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[data-filled]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Input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[data-focused]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Input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[data-disabled]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Input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[data-required]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Input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[data-readonly]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tested</t>
        </is>
      </c>
      <c r="H40" s="116" t="inlineStr">
        <is>
          <t>covered</t>
        </is>
      </c>
      <c r="I40" s="113" t="inlineStr">
        <is>
          <t>Input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[data-invalid]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Input playground scenario.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Clear</t>
        </is>
      </c>
      <c r="D42" s="113" t="inlineStr">
        <is>
          <t>renders correct part when expected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Input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Anatomy</t>
        </is>
      </c>
      <c r="C43" s="113" t="inlineStr">
        <is>
          <t>Clear</t>
        </is>
      </c>
      <c r="D43" s="113" t="inlineStr">
        <is>
          <t>appears in documented order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Input form-field playground page exposes this part/prop in Anatomy, Inspector, Source, or toolbar controls.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Clear</t>
        </is>
      </c>
      <c r="D44" s="113" t="inlineStr">
        <is>
          <t>default tag is visible in Anatomy/Inspector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Input form-field playground page exposes this part/prop in Anatomy, Inspector, Source, or toolbar controls.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Clear</t>
        </is>
      </c>
      <c r="D45" s="113" t="inlineStr">
        <is>
          <t>data-slot is present and correct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Input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Props</t>
        </is>
      </c>
      <c r="C46" s="113" t="inlineStr">
        <is>
          <t>Clear</t>
        </is>
      </c>
      <c r="D46" s="113" t="inlineStr">
        <is>
          <t>non-Atom 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Input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Clear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Input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Clear</t>
        </is>
      </c>
      <c r="D48" s="113" t="inlineStr">
        <is>
          <t>onClear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Input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Clear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Input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Clear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Input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Clear</t>
        </is>
      </c>
      <c r="D51" s="113" t="inlineStr">
        <is>
          <t>[data-slot]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Input playground scenario.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State</t>
        </is>
      </c>
      <c r="C52" s="113" t="inlineStr">
        <is>
          <t>Clear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Input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Clear</t>
        </is>
      </c>
      <c r="D53" s="113" t="inlineStr">
        <is>
          <t>[data-hidden]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Input form-field playground page exposes this part/prop in Anatomy, Inspector, Source, or toolbar controls.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aria-describedby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Input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aria-hidden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Shared Anatomy/Inspector expose live ARIA/data attributes for Input when the part is rendered.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aria-invalid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Input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aria-label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Shared Anatomy/Inspector expose live ARIA/data attributes for Input when the part is rendered.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aria-readonly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Input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aria-required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Input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Input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data-filled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Input playground scenario.</t>
        </is>
      </c>
      <c r="J61" s="113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data-focused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Input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data-hidden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Shared Anatomy/Inspector expose live ARIA/data attributes for Input when the part is rendered.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data-invalid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Input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data-readonly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Input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Input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data-slot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Input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controlled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Input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uncontrolled default state path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Input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state change callback fires once with correct value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Input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Input</t>
        </is>
      </c>
      <c r="D71" s="113" t="inlineStr">
        <is>
          <t>disabled state blocks or exposes behavior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Input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Input</t>
        </is>
      </c>
      <c r="D72" s="113" t="inlineStr">
        <is>
          <t>readonly/readOnly state blocks or exposes behavior correctly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Input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Input</t>
        </is>
      </c>
      <c r="D73" s="113" t="inlineStr">
        <is>
          <t>required state blocks or exposes behavior correctly where supported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Input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Input</t>
        </is>
      </c>
      <c r="D74" s="113" t="inlineStr">
        <is>
          <t>invalid state blocks or exposes behavior correctly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Input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Forms</t>
        </is>
      </c>
      <c r="C75" s="113" t="inlineStr">
        <is>
          <t>Input</t>
        </is>
      </c>
      <c r="D75" s="113" t="inlineStr">
        <is>
          <t>form value participates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Input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Forms</t>
        </is>
      </c>
      <c r="C76" s="113" t="inlineStr">
        <is>
          <t>Root</t>
        </is>
      </c>
      <c r="D76" s="113" t="inlineStr">
        <is>
          <t>Field relationships and uncontrolled value follow native form reset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Form &gt; Control: Foundation plus the component scenario and automated package tests.</t>
        </is>
      </c>
      <c r="J76" s="113" t="inlineStr">
        <is>
          <t>Run and review the form-foundation manual protocol.</t>
        </is>
      </c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Validation</t>
        </is>
      </c>
      <c r="C77" s="113" t="inlineStr">
        <is>
          <t>Root</t>
        </is>
      </c>
      <c r="D77" s="113" t="inlineStr">
        <is>
          <t>validationBehavior mirrors attempted native invalidity to Input, Field, and Form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tests pass; manual pending</t>
        </is>
      </c>
      <c r="H77" s="116" t="inlineStr">
        <is>
          <t>untested</t>
        </is>
      </c>
      <c r="I77" s="113" t="inlineStr">
        <is>
          <t>Form &gt; Control: Foundation and automated Atom validation tests.</t>
        </is>
      </c>
      <c r="J77" s="113" t="inlineStr">
        <is>
          <t>Run and review the updated form-foundation validation steps.</t>
        </is>
      </c>
      <c r="K77" s="117">
        <f>IF(AND(E77="yes",F77="yes",H77="covered"),1,IF(H77="partial",0.5,0))</f>
        <v/>
      </c>
    </row>
    <row r="78" ht="15" customHeight="1" s="58"/>
    <row r="79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Label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IFERROR(SUM(K9:K39)/COUNTA(A9:A39),0)</f>
        <v/>
      </c>
      <c r="C4" s="86" t="inlineStr">
        <is>
          <t>Covered</t>
        </is>
      </c>
      <c r="D4" s="98">
        <f>COUNTIF(H9:H39,"covered")</f>
        <v/>
      </c>
      <c r="E4" s="86" t="inlineStr">
        <is>
          <t>Partial</t>
        </is>
      </c>
      <c r="F4" s="98">
        <f>COUNTIF(H9:H39,"partial")</f>
        <v/>
      </c>
      <c r="G4" s="86" t="inlineStr">
        <is>
          <t>Missing</t>
        </is>
      </c>
      <c r="H4" s="98">
        <f>COUNTIF(H9:H39,"missing")</f>
        <v/>
      </c>
      <c r="I4" s="86" t="inlineStr">
        <is>
          <t>Untested</t>
        </is>
      </c>
      <c r="J4" s="98">
        <f>COUNTIF(F9:F39,"no")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Label playground Props menu implemented with conditional data-prop-check and custom data-slot toggles.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Label playground Props menu implemented with conditional data-prop-check and custom data-slot toggles.</t>
        </is>
      </c>
      <c r="J10" s="113" t="n"/>
      <c r="K10" s="117">
        <f>IF(AND(E10="yes",F10="yes",H10="covered"),1,IF(AND(E10="yes",H10="partial"),0.5,0))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Label</t>
        </is>
      </c>
      <c r="D11" s="113" t="inlineStr">
        <is>
          <t>scenario is reachable from Fields &gt; Label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Fields menu opens the Label playground page.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Label</t>
        </is>
      </c>
      <c r="D12" s="113" t="inlineStr">
        <is>
          <t>canvas source reflects current toggles without false-prop noise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view is generated from the Label scenario state.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Label</t>
        </is>
      </c>
      <c r="D13" s="113" t="inlineStr">
        <is>
          <t>anatomy contains only the real Label Root part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Anatomy shows Root only; helper input remains inspectable in Canvas.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Label</t>
        </is>
      </c>
      <c r="D14" s="113" t="inlineStr">
        <is>
          <t>inspector selected/focused/logs work for the Label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Shared Inspector and log panel are wired to Label canvas elements.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Anatomy</t>
        </is>
      </c>
      <c r="C15" s="113" t="inlineStr">
        <is>
          <t>Root</t>
        </is>
      </c>
      <c r="D15" s="113" t="inlineStr">
        <is>
          <t>renders when expected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Root anatomy uses the live [data-label-root] element.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label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Attributes group exposes the live tag.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ref target receives the rendered element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Root anatomy includes Ref target.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Content</t>
        </is>
      </c>
      <c r="C18" s="113" t="inlineStr">
        <is>
          <t>Root</t>
        </is>
      </c>
      <c r="D18" s="113" t="inlineStr">
        <is>
          <t>label text remains Email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Root summary and Inspector text expose the live text.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Data</t>
        </is>
      </c>
      <c r="C19" s="113" t="inlineStr">
        <is>
          <t>Root</t>
        </is>
      </c>
      <c r="D19" s="113" t="inlineStr">
        <is>
          <t>data-slot is label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Shared Anatomy/Inspector Data group exposes data-slot.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Data</t>
        </is>
      </c>
      <c r="C20" s="113" t="inlineStr">
        <is>
          <t>Root</t>
        </is>
      </c>
      <c r="D20" s="113" t="inlineStr">
        <is>
          <t>data-prop-check marker passes through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Canvas passes data-prop-check="root" to Label.Root.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Native prop</t>
        </is>
      </c>
      <c r="C21" s="113" t="inlineStr">
        <is>
          <t>Root</t>
        </is>
      </c>
      <c r="D21" s="113" t="inlineStr">
        <is>
          <t>htmlFor renders native for attribute when enabled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State menu toggles Use htmlFor; Anatomy/Inspector expose for.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Native prop</t>
        </is>
      </c>
      <c r="C22" s="113" t="inlineStr">
        <is>
          <t>Root</t>
        </is>
      </c>
      <c r="D22" s="113" t="inlineStr">
        <is>
          <t>htmlFor can be removed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Use htmlFor toggle removes the for attribute.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Behavior</t>
        </is>
      </c>
      <c r="C23" s="113" t="inlineStr">
        <is>
          <t>Root</t>
        </is>
      </c>
      <c r="D23" s="113" t="inlineStr">
        <is>
          <t>for attribute matches the helper input id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anatomy includes Matches input.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Behavior</t>
        </is>
      </c>
      <c r="C24" s="113" t="inlineStr">
        <is>
          <t>Root</t>
        </is>
      </c>
      <c r="D24" s="113" t="inlineStr">
        <is>
          <t>clicking the label focuses the associated input when htmlFor is enabled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Label click and input focus are logged.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disabled prop exposes data-disabled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State menu toggles Disabled and live Data exposes data-disabled.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does not create native disabled on label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Attributes group should not show disabled on the label.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exposes data-required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State menu toggles Required and live Data exposes data-required.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does not create native required on label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Attributes group should not show required on the label.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exposes data-readonly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State menu toggles Read only and live Data exposes data-readonly.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does not create native readonly on label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Attributes group should not show readonly on the label.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exposes data-invalid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State menu toggles Invalid and live Data exposes data-invalid.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does not create aria-invalid on label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ARIA group should stay empty unless a real ARIA prop exists.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default composition renders label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Composition menu Root default renders native label.</t>
        </is>
      </c>
      <c r="J33" s="113" t="n"/>
      <c r="K33" s="117">
        <f>IF(AND(E33="yes",F33="yes",H33="covered"),1,IF(AND(E33="yes",H33="partial"),0.5,0))</f>
        <v/>
      </c>
    </row>
    <row r="34" ht="30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renders the child span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Composition menu Root asChild renders span and keeps text.</t>
        </is>
      </c>
      <c r="J34" s="113" t="n"/>
      <c r="K34" s="117">
        <f>IF(AND(E34="yes",F34="yes",H34="covered"),1,IF(AND(E34="yes",H34="partial"),0.5,0))</f>
        <v/>
      </c>
    </row>
    <row r="35" ht="30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asChild merges state and data props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Live Data group should keep data-slot/data-prop-check/state markers.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Composition</t>
        </is>
      </c>
      <c r="C36" s="113" t="inlineStr">
        <is>
          <t>Root</t>
        </is>
      </c>
      <c r="D36" s="113" t="inlineStr">
        <is>
          <t>render prop renders a span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Composition menu Root render uses render prop with a span.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render prop preserves ref and behavior props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Root ref and Data groups update under render mode.</t>
        </is>
      </c>
      <c r="J37" s="113" t="n"/>
      <c r="K37" s="117">
        <f>IF(AND(E37="yes",F37="yes",H37="covered"),1,IF(AND(E37="yes",H37="partial"),0.5,0))</f>
        <v/>
      </c>
    </row>
    <row r="38" ht="13.5" customHeight="1" s="58">
      <c r="A38" s="118" t="n">
        <v>30</v>
      </c>
      <c r="B38" s="118" t="inlineStr">
        <is>
          <t>Integration</t>
        </is>
      </c>
      <c r="C38" s="118" t="inlineStr">
        <is>
          <t>Native control</t>
        </is>
      </c>
      <c r="D38" s="118" t="inlineStr">
        <is>
          <t>Label.Root associates with a native input using htmlFor</t>
        </is>
      </c>
      <c r="E38" s="118" t="inlineStr">
        <is>
          <t>yes</t>
        </is>
      </c>
      <c r="F38" s="118" t="inlineStr">
        <is>
          <t>yes</t>
        </is>
      </c>
      <c r="G38" s="118" t="inlineStr">
        <is>
          <t>passed</t>
        </is>
      </c>
      <c r="H38" s="118" t="inlineStr">
        <is>
          <t>covered</t>
        </is>
      </c>
      <c r="I38" s="118" t="inlineStr">
        <is>
          <t>Label Association &gt; Control: Native.</t>
        </is>
      </c>
      <c r="K38" s="118">
        <f>IF(AND(E38="yes",F38="yes",H38="covered"),1,IF(AND(E38="yes",H38="partial"),0.5,0))</f>
        <v/>
      </c>
    </row>
    <row r="39" ht="13.5" customHeight="1" s="58">
      <c r="A39" s="118" t="n">
        <v>31</v>
      </c>
      <c r="B39" s="118" t="inlineStr">
        <is>
          <t>Integration</t>
        </is>
      </c>
      <c r="C39" s="118" t="inlineStr">
        <is>
          <t>Atom control</t>
        </is>
      </c>
      <c r="D39" s="118" t="inlineStr">
        <is>
          <t>Label.Root associates with Atom Input.Root using htmlFor</t>
        </is>
      </c>
      <c r="E39" s="118" t="inlineStr">
        <is>
          <t>yes</t>
        </is>
      </c>
      <c r="F39" s="118" t="inlineStr">
        <is>
          <t>yes</t>
        </is>
      </c>
      <c r="G39" s="118" t="inlineStr">
        <is>
          <t>passed</t>
        </is>
      </c>
      <c r="H39" s="118" t="inlineStr">
        <is>
          <t>covered</t>
        </is>
      </c>
      <c r="I39" s="118" t="inlineStr">
        <is>
          <t>Label Association &gt; Control: Atom.</t>
        </is>
      </c>
      <c r="K39" s="118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Link playground scenario and draft .manual-tests/link.md protocol.</t>
        </is>
      </c>
      <c r="J9" s="113" t="inlineStr">
        <is>
          <t>Run the Link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Root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Link playground scenario and draft .manual-tests/link.md protocol.</t>
        </is>
      </c>
      <c r="J10" s="113" t="inlineStr">
        <is>
          <t>Run the Link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Link</t>
        </is>
      </c>
      <c r="D11" s="113" t="inlineStr">
        <is>
          <t>scenario is reachable from Navigation &gt; Link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Link playground scenario and draft .manual-tests/link.md protocol.</t>
        </is>
      </c>
      <c r="J11" s="113" t="inlineStr">
        <is>
          <t>Run the Link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Link</t>
        </is>
      </c>
      <c r="D12" s="113" t="inlineStr">
        <is>
          <t>canvas Source reflects active composition and native-state controls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Link playground scenario and draft .manual-tests/link.md protocol.</t>
        </is>
      </c>
      <c r="J12" s="113" t="inlineStr">
        <is>
          <t>Run the Link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Link</t>
        </is>
      </c>
      <c r="D13" s="113" t="inlineStr">
        <is>
          <t>Anatomy contains only the public Root part with live DOM evidence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Link playground scenario and draft .manual-tests/link.md protocol.</t>
        </is>
      </c>
      <c r="J13" s="113" t="inlineStr">
        <is>
          <t>Run the Link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Link</t>
        </is>
      </c>
      <c r="D14" s="113" t="inlineStr">
        <is>
          <t>Inspector Selected, Focused, and Logs work for the scenario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Link playground scenario and draft .manual-tests/link.md protocol.</t>
        </is>
      </c>
      <c r="J14" s="113" t="inlineStr">
        <is>
          <t>Run the Link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Identity</t>
        </is>
      </c>
      <c r="C15" s="113" t="inlineStr">
        <is>
          <t>Root</t>
        </is>
      </c>
      <c r="D15" s="113" t="inlineStr">
        <is>
          <t>default tag is a native anchor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Link playground scenario and draft .manual-tests/link.md protocol.</t>
        </is>
      </c>
      <c r="J15" s="113" t="inlineStr">
        <is>
          <t>Run the Link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Navigation</t>
        </is>
      </c>
      <c r="C16" s="113" t="inlineStr">
        <is>
          <t>Root</t>
        </is>
      </c>
      <c r="D16" s="113" t="inlineStr">
        <is>
          <t>default rendering exposes href=#link-destination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Link playground scenario and draft .manual-tests/link.md protocol.</t>
        </is>
      </c>
      <c r="J16" s="113" t="inlineStr">
        <is>
          <t>Run the Link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default data-slot is link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Link playground scenario and draft .manual-tests/link.md protocol.</t>
        </is>
      </c>
      <c r="J17" s="113" t="inlineStr">
        <is>
          <t>Run the Link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Refs</t>
        </is>
      </c>
      <c r="C18" s="113" t="inlineStr">
        <is>
          <t>Root</t>
        </is>
      </c>
      <c r="D18" s="113" t="inlineStr">
        <is>
          <t>consumer ref receives the rendered anchor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Link playground scenario and draft .manual-tests/link.md protocol.</t>
        </is>
      </c>
      <c r="J18" s="113" t="inlineStr">
        <is>
          <t>Run the Link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Native props</t>
        </is>
      </c>
      <c r="C19" s="113" t="inlineStr">
        <is>
          <t>Root</t>
        </is>
      </c>
      <c r="D19" s="113" t="inlineStr">
        <is>
          <t>title and rel pass through and can be removed independently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Link playground scenario and draft .manual-tests/link.md protocol.</t>
        </is>
      </c>
      <c r="J19" s="113" t="inlineStr">
        <is>
          <t>Run the Link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Accessibility</t>
        </is>
      </c>
      <c r="C20" s="113" t="inlineStr">
        <is>
          <t>Root</t>
        </is>
      </c>
      <c r="D20" s="113" t="inlineStr">
        <is>
          <t>aria-current passes through without an active/current alias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Link playground scenario and draft .manual-tests/link.md protocol.</t>
        </is>
      </c>
      <c r="J20" s="113" t="inlineStr">
        <is>
          <t>Run the Link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Accessibility</t>
        </is>
      </c>
      <c r="C21" s="113" t="inlineStr">
        <is>
          <t>Root</t>
        </is>
      </c>
      <c r="D21" s="113" t="inlineStr">
        <is>
          <t>native output adds no role, tabindex, or aria-disabled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Link playground scenario and draft .manual-tests/link.md protocol.</t>
        </is>
      </c>
      <c r="J21" s="113" t="inlineStr">
        <is>
          <t>Run the Link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Composition</t>
        </is>
      </c>
      <c r="C22" s="113" t="inlineStr">
        <is>
          <t>Root</t>
        </is>
      </c>
      <c r="D22" s="113" t="inlineStr">
        <is>
          <t>asChild preserves one final router-owned anchor and href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Link playground scenario and draft .manual-tests/link.md protocol.</t>
        </is>
      </c>
      <c r="J22" s="113" t="inlineStr">
        <is>
          <t>Run the Link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Composition</t>
        </is>
      </c>
      <c r="C23" s="113" t="inlineStr">
        <is>
          <t>Root</t>
        </is>
      </c>
      <c r="D23" s="113" t="inlineStr">
        <is>
          <t>render preserves one final router-owned anchor and href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Link playground scenario and draft .manual-tests/link.md protocol.</t>
        </is>
      </c>
      <c r="J23" s="113" t="inlineStr">
        <is>
          <t>Run the Link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Composition</t>
        </is>
      </c>
      <c r="C24" s="113" t="inlineStr">
        <is>
          <t>Root</t>
        </is>
      </c>
      <c r="D24" s="113" t="inlineStr">
        <is>
          <t>composed links activate once without duplicate navigation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Link playground scenario and draft .manual-tests/link.md protocol.</t>
        </is>
      </c>
      <c r="J24" s="113" t="inlineStr">
        <is>
          <t>Run the Link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Semantics</t>
        </is>
      </c>
      <c r="C25" s="113" t="inlineStr">
        <is>
          <t>Root</t>
        </is>
      </c>
      <c r="D25" s="113" t="inlineStr">
        <is>
          <t>Link navigation and Button action examples remain distinct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Link playground scenario and draft .manual-tests/link.md protocol.</t>
        </is>
      </c>
      <c r="J25" s="113" t="inlineStr">
        <is>
          <t>Run the Link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Native behavior</t>
        </is>
      </c>
      <c r="C26" s="113" t="inlineStr">
        <is>
          <t>Root</t>
        </is>
      </c>
      <c r="D26" s="113" t="inlineStr">
        <is>
          <t>Enter activates the link and same-page navigation remains browser-owned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Link playground scenario and draft .manual-tests/link.md protocol.</t>
        </is>
      </c>
      <c r="J26" s="113" t="inlineStr">
        <is>
          <t>Run the Link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Native behavior</t>
        </is>
      </c>
      <c r="C27" s="113" t="inlineStr">
        <is>
          <t>Root</t>
        </is>
      </c>
      <c r="D27" s="113" t="inlineStr">
        <is>
          <t>browser context-menu and address actions remain available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Link playground scenario and draft .manual-tests/link.md protocol.</t>
        </is>
      </c>
      <c r="J27" s="113" t="inlineStr">
        <is>
          <t>Run the Link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External navigation</t>
        </is>
      </c>
      <c r="C28" s="113" t="inlineStr">
        <is>
          <t>Root</t>
        </is>
      </c>
      <c r="D28" s="113" t="inlineStr">
        <is>
          <t>target and rel pass through without inferred external UI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Link playground scenario and draft .manual-tests/link.md protocol.</t>
        </is>
      </c>
      <c r="J28" s="113" t="inlineStr">
        <is>
          <t>Run the Link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Content</t>
        </is>
      </c>
      <c r="C29" s="113" t="inlineStr">
        <is>
          <t>Root</t>
        </is>
      </c>
      <c r="D29" s="113" t="inlineStr">
        <is>
          <t>visible link text identifies each destination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Link playground scenario and draft .manual-tests/link.md protocol.</t>
        </is>
      </c>
      <c r="J29" s="113" t="inlineStr">
        <is>
          <t>Run the Link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Source</t>
        </is>
      </c>
      <c r="C30" s="113" t="inlineStr">
        <is>
          <t>Root</t>
        </is>
      </c>
      <c r="D30" s="113" t="inlineStr">
        <is>
          <t>generated examples always resolve to a final navigation destination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Link playground scenario and draft .manual-tests/link.md protocol.</t>
        </is>
      </c>
      <c r="J30" s="113" t="inlineStr">
        <is>
          <t>Run the Link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Manual</t>
        </is>
      </c>
      <c r="C31" s="113" t="inlineStr">
        <is>
          <t>Root</t>
        </is>
      </c>
      <c r="D31" s="113" t="inlineStr">
        <is>
          <t>draft protocol covers native, composed, current, props, Source, Inspector, and Logs evidence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Link playground scenario and draft .manual-tests/link.md protocol.</t>
        </is>
      </c>
      <c r="J31" s="113" t="inlineStr">
        <is>
          <t>Run the Link Manual Test Protocol and record owner evidence.</t>
        </is>
      </c>
      <c r="K31" s="117">
        <f>IF(AND(E31="yes",F31="yes",H31="covered"),1,IF(H31="partial",0.5,0))</f>
        <v/>
      </c>
    </row>
    <row r="32" ht="30" customHeight="1" s="58"/>
    <row r="33" ht="30" customHeight="1" s="58"/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1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List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List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List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List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List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List playground manual pass.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List</t>
        </is>
      </c>
      <c r="D15" s="113" t="inlineStr">
        <is>
          <t>Renders native `ul`, `ol`, and `li` semantics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List playground manual pass.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</t>
        </is>
      </c>
      <c r="D16" s="113" t="inlineStr">
        <is>
          <t>Supports ordered and unordered list roots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List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</t>
        </is>
      </c>
      <c r="D17" s="113" t="inlineStr">
        <is>
          <t>Supports disabled item metadata through `aria-disabled` and `data-disabled`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List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List</t>
        </is>
      </c>
      <c r="D18" s="113" t="inlineStr">
        <is>
          <t>Supports `asChild` and `render` composition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List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</t>
        </is>
      </c>
      <c r="D19" s="113" t="inlineStr">
        <is>
          <t>Stays server-safe with no client boundary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List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List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List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List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List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List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List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ordered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List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asChild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List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render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List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List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[data-ordered]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List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Item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List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Item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List playground manual pass.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Item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List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Item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List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Item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List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Item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List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Item</t>
        </is>
      </c>
      <c r="D37" s="113" t="inlineStr">
        <is>
          <t>disabled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List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Item</t>
        </is>
      </c>
      <c r="D38" s="113" t="inlineStr">
        <is>
          <t>asChild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List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Item</t>
        </is>
      </c>
      <c r="D39" s="113" t="inlineStr">
        <is>
          <t>render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List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[data-slot] prop behavior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List playground manual pass.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</t>
        </is>
      </c>
      <c r="D41" s="113" t="inlineStr">
        <is>
          <t>[data-disabled] prop behavior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List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ARIA</t>
        </is>
      </c>
      <c r="C42" s="113" t="inlineStr">
        <is>
          <t>Live DOM</t>
        </is>
      </c>
      <c r="D42" s="113" t="inlineStr">
        <is>
          <t>aria-disabled is present at the correct time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List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Data</t>
        </is>
      </c>
      <c r="C43" s="113" t="inlineStr">
        <is>
          <t>Live DOM</t>
        </is>
      </c>
      <c r="D43" s="113" t="inlineStr">
        <is>
          <t>data-disabled is present at the correct time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List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Data</t>
        </is>
      </c>
      <c r="C44" s="113" t="inlineStr">
        <is>
          <t>Live DOM</t>
        </is>
      </c>
      <c r="D44" s="113" t="inlineStr">
        <is>
          <t>data-ordered is present at the correct time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List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Data</t>
        </is>
      </c>
      <c r="C45" s="113" t="inlineStr">
        <is>
          <t>Live DOM</t>
        </is>
      </c>
      <c r="D45" s="113" t="inlineStr">
        <is>
          <t>data-slot is present at the correct time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List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List</t>
        </is>
      </c>
      <c r="D46" s="113" t="inlineStr">
        <is>
          <t>asChild preserves child content without double nesting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List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List</t>
        </is>
      </c>
      <c r="D47" s="113" t="inlineStr">
        <is>
          <t>asChild merges Atom props and consumer props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List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List</t>
        </is>
      </c>
      <c r="D48" s="113" t="inlineStr">
        <is>
          <t>render prop renders custom element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List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List</t>
        </is>
      </c>
      <c r="D49" s="113" t="inlineStr">
        <is>
          <t>render prop preserves refs and behavior props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List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Keyboard</t>
        </is>
      </c>
      <c r="C50" s="113" t="inlineStr">
        <is>
          <t>List</t>
        </is>
      </c>
      <c r="D50" s="113" t="inlineStr">
        <is>
          <t>disabled items are skipped or exposed according to pattern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List playground manual pass.</t>
        </is>
      </c>
      <c r="J50" s="113" t="n"/>
      <c r="K50" s="117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K1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Listbox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Listbox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Listbox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Listbox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Listbox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Listbox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Listbox</t>
        </is>
      </c>
      <c r="D15" s="113" t="inlineStr">
        <is>
          <t>Implements WAI-ARIA listbox and option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Listbox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Listbox</t>
        </is>
      </c>
      <c r="D16" s="113" t="inlineStr">
        <is>
          <t>Supports single and multiple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Listbox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Listbox</t>
        </is>
      </c>
      <c r="D17" s="113" t="inlineStr">
        <is>
          <t>Supports controlled and uncontrolled values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Listbox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Listbox</t>
        </is>
      </c>
      <c r="D18" s="113" t="inlineStr">
        <is>
          <t>Supports option groups and labels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Listbox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Listbox</t>
        </is>
      </c>
      <c r="D19" s="113" t="inlineStr">
        <is>
          <t>Supports roving active option with `aria-activedescendant`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Listbox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Listbox</t>
        </is>
      </c>
      <c r="D20" s="113" t="inlineStr">
        <is>
          <t>Supports typeahead, Home/End, arrow navigation, disabled options, form submission, and Field context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Listbox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Listbox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Listbox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Listbox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Listbox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Listbox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Listbox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Listbox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Listbox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Listbox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multiple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Listbox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Listbox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Listbox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Listbox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Listbox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Listbox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Listbox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name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Listbox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form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Listbox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asChild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Listbox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Root</t>
        </is>
      </c>
      <c r="D40" s="113" t="inlineStr">
        <is>
          <t>render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Listbox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Listbox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[data-orientation]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Listbox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[data-multiple]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Listbox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[data-filled]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Listbox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[data-disabled]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Listbox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[data-readonly]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Listbox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[data-invalid]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Listbox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Group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Listbox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Group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Listbox playground scenario.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Group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Listbox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Group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Listbox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Group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Listbox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Group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Listbox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Group</t>
        </is>
      </c>
      <c r="D54" s="113" t="inlineStr">
        <is>
          <t>Group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Listbox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Group</t>
        </is>
      </c>
      <c r="D55" s="113" t="inlineStr">
        <is>
          <t>Label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Listbox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Label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Listbox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Label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Listbox playground scenario.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Label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Listbox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Label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Listbox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Label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Listbox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Label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Listbox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Anatomy</t>
        </is>
      </c>
      <c r="C62" s="113" t="inlineStr">
        <is>
          <t>Option</t>
        </is>
      </c>
      <c r="D62" s="113" t="inlineStr">
        <is>
          <t>renders correct part when expected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Listbox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Option</t>
        </is>
      </c>
      <c r="D63" s="113" t="inlineStr">
        <is>
          <t>appears in documented order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Listbox playground scenario.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Identity</t>
        </is>
      </c>
      <c r="C64" s="113" t="inlineStr">
        <is>
          <t>Option</t>
        </is>
      </c>
      <c r="D64" s="113" t="inlineStr">
        <is>
          <t>default tag is visible in Anatomy/Inspector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Listbox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Option</t>
        </is>
      </c>
      <c r="D65" s="113" t="inlineStr">
        <is>
          <t>data-slot is present and correct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Listbox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Option</t>
        </is>
      </c>
      <c r="D66" s="113" t="inlineStr">
        <is>
          <t>non-Atom 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Listbox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Option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Listbox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Option</t>
        </is>
      </c>
      <c r="D68" s="113" t="inlineStr">
        <is>
          <t>value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Listbox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Option</t>
        </is>
      </c>
      <c r="D69" s="113" t="inlineStr">
        <is>
          <t>label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Listbox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Option</t>
        </is>
      </c>
      <c r="D70" s="113" t="inlineStr">
        <is>
          <t>disabled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Listbox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Option</t>
        </is>
      </c>
      <c r="D71" s="113" t="inlineStr">
        <is>
          <t>asChild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Listbox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Option</t>
        </is>
      </c>
      <c r="D72" s="113" t="inlineStr">
        <is>
          <t>render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Listbox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Option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Listbox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State</t>
        </is>
      </c>
      <c r="C74" s="113" t="inlineStr">
        <is>
          <t>Option</t>
        </is>
      </c>
      <c r="D74" s="113" t="inlineStr">
        <is>
          <t>[data-value]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Listbox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Option</t>
        </is>
      </c>
      <c r="D75" s="113" t="inlineStr">
        <is>
          <t>[data-state]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Listbox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Option</t>
        </is>
      </c>
      <c r="D76" s="113" t="inlineStr">
        <is>
          <t>[data-selected]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Listbox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Option</t>
        </is>
      </c>
      <c r="D77" s="113" t="inlineStr">
        <is>
          <t>[data-highlighted]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Listbox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Option</t>
        </is>
      </c>
      <c r="D78" s="113" t="inlineStr">
        <is>
          <t>[data-disabled]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Listbox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OptionText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Listbox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OptionText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Listbox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OptionText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Listbox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OptionText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Listbox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OptionText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Listbox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OptionText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Listbox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OptionText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Listbox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aria-activedescendant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Listbox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aria-describedby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Listbox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aria-disabled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Listbox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Listbox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aria-invalid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Listbox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aria-labelledby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Listbox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aria-multiselectable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Listbox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aria-orientation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Listbox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ARIA</t>
        </is>
      </c>
      <c r="C94" s="113" t="inlineStr">
        <is>
          <t>Live DOM</t>
        </is>
      </c>
      <c r="D94" s="113" t="inlineStr">
        <is>
          <t>aria-readonly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Listbox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Live DOM</t>
        </is>
      </c>
      <c r="D95" s="113" t="inlineStr">
        <is>
          <t>aria-required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Listbox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ARIA</t>
        </is>
      </c>
      <c r="C96" s="113" t="inlineStr">
        <is>
          <t>Live DOM</t>
        </is>
      </c>
      <c r="D96" s="113" t="inlineStr">
        <is>
          <t>aria-selected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Listbox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data-disabled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Listbox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data-filled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Listbox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Data</t>
        </is>
      </c>
      <c r="C99" s="113" t="inlineStr">
        <is>
          <t>Live DOM</t>
        </is>
      </c>
      <c r="D99" s="113" t="inlineStr">
        <is>
          <t>data-highlighted is present at the correct time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Listbox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Data</t>
        </is>
      </c>
      <c r="C100" s="113" t="inlineStr">
        <is>
          <t>Live DOM</t>
        </is>
      </c>
      <c r="D100" s="113" t="inlineStr">
        <is>
          <t>data-invalid is present at the correct time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Listbox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Data</t>
        </is>
      </c>
      <c r="C101" s="113" t="inlineStr">
        <is>
          <t>Live DOM</t>
        </is>
      </c>
      <c r="D101" s="113" t="inlineStr">
        <is>
          <t>data-multiple is present at the correct time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Listbox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Live DOM</t>
        </is>
      </c>
      <c r="D102" s="113" t="inlineStr">
        <is>
          <t>data-readonly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Listbox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Data</t>
        </is>
      </c>
      <c r="C103" s="113" t="inlineStr">
        <is>
          <t>Live DOM</t>
        </is>
      </c>
      <c r="D103" s="113" t="inlineStr">
        <is>
          <t>data-selected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Listbox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Data</t>
        </is>
      </c>
      <c r="C104" s="113" t="inlineStr">
        <is>
          <t>Live DOM</t>
        </is>
      </c>
      <c r="D104" s="113" t="inlineStr">
        <is>
          <t>data-slot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Listbox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data-state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Listbox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data-value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Listbox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Listbox</t>
        </is>
      </c>
      <c r="D107" s="113" t="inlineStr">
        <is>
          <t>asChild preserves child content without double nesting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Listbox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Composition</t>
        </is>
      </c>
      <c r="C108" s="113" t="inlineStr">
        <is>
          <t>Listbox</t>
        </is>
      </c>
      <c r="D108" s="113" t="inlineStr">
        <is>
          <t>asChild merges Atom props and consumer props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Listbox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Composition</t>
        </is>
      </c>
      <c r="C109" s="113" t="inlineStr">
        <is>
          <t>Listbox</t>
        </is>
      </c>
      <c r="D109" s="113" t="inlineStr">
        <is>
          <t>asChild lets preventDefault block Atom behavior where supported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Listbox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Listbox</t>
        </is>
      </c>
      <c r="D110" s="113" t="inlineStr">
        <is>
          <t>render prop renders custom element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Listbox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Listbox</t>
        </is>
      </c>
      <c r="D111" s="113" t="inlineStr">
        <is>
          <t>render prop preserves refs and behavior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Listbox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State</t>
        </is>
      </c>
      <c r="C112" s="113" t="inlineStr">
        <is>
          <t>Root</t>
        </is>
      </c>
      <c r="D112" s="113" t="inlineStr">
        <is>
          <t>controlled state path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Listbox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State</t>
        </is>
      </c>
      <c r="C113" s="113" t="inlineStr">
        <is>
          <t>Root</t>
        </is>
      </c>
      <c r="D113" s="113" t="inlineStr">
        <is>
          <t>uncontrolled default state path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Listbox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state change callback fires once with correct value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Listbox playground scenario.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State</t>
        </is>
      </c>
      <c r="C115" s="113" t="inlineStr">
        <is>
          <t>Listbox</t>
        </is>
      </c>
      <c r="D115" s="113" t="inlineStr">
        <is>
          <t>disabled state blocks or exposes behavior correctly where supported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Listbox playground scenario.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State</t>
        </is>
      </c>
      <c r="C116" s="113" t="inlineStr">
        <is>
          <t>Listbox</t>
        </is>
      </c>
      <c r="D116" s="113" t="inlineStr">
        <is>
          <t>readonly/readOnly state blocks or exposes behavior correctly where supported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Listbox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State</t>
        </is>
      </c>
      <c r="C117" s="113" t="inlineStr">
        <is>
          <t>Listbox</t>
        </is>
      </c>
      <c r="D117" s="113" t="inlineStr">
        <is>
          <t>required state blocks or exposes behavior correctly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Listbox playground scenario.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State</t>
        </is>
      </c>
      <c r="C118" s="113" t="inlineStr">
        <is>
          <t>Listbox</t>
        </is>
      </c>
      <c r="D118" s="113" t="inlineStr">
        <is>
          <t>invalid state blocks or exposes behavior correctly where supported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Listbox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Forms</t>
        </is>
      </c>
      <c r="C119" s="113" t="inlineStr">
        <is>
          <t>Listbox</t>
        </is>
      </c>
      <c r="D119" s="113" t="inlineStr">
        <is>
          <t>form value participates correctly where supported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Listbox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Forms</t>
        </is>
      </c>
      <c r="C120" s="113" t="inlineStr">
        <is>
          <t>Listbox</t>
        </is>
      </c>
      <c r="D120" s="113" t="inlineStr">
        <is>
          <t>hidden input mirrors value/checked/disabled where supported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Listbox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Listbox</t>
        </is>
      </c>
      <c r="D121" s="113" t="inlineStr">
        <is>
          <t>Arrow key navigation follows documented orientation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Listbox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Listbox</t>
        </is>
      </c>
      <c r="D122" s="113" t="inlineStr">
        <is>
          <t>Home and End navigation where supported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Listbox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Keyboard</t>
        </is>
      </c>
      <c r="C123" s="113" t="inlineStr">
        <is>
          <t>Listbox</t>
        </is>
      </c>
      <c r="D123" s="113" t="inlineStr">
        <is>
          <t>disabled items are skipped or exposed according to pattern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Listbox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Keyboard</t>
        </is>
      </c>
      <c r="C124" s="113" t="inlineStr">
        <is>
          <t>Listbox</t>
        </is>
      </c>
      <c r="D124" s="113" t="inlineStr">
        <is>
          <t>typeahead/search behavior where supported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Listbox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Focus</t>
        </is>
      </c>
      <c r="C125" s="113" t="inlineStr">
        <is>
          <t>Listbox</t>
        </is>
      </c>
      <c r="D125" s="113" t="inlineStr">
        <is>
          <t>roving focus or active descendant state is visible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Listbox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Direction</t>
        </is>
      </c>
      <c r="C126" s="113" t="inlineStr">
        <is>
          <t>Root</t>
        </is>
      </c>
      <c r="D126" s="113" t="inlineStr">
        <is>
          <t>reads Direction.Provider context for horizontal keyboard navigation</t>
        </is>
      </c>
      <c r="E126" s="119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9" t="inlineStr">
        <is>
          <t>covered</t>
        </is>
      </c>
      <c r="I126" s="113" t="n"/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Direction</t>
        </is>
      </c>
      <c r="C127" s="113" t="inlineStr">
        <is>
          <t>Root</t>
        </is>
      </c>
      <c r="D127" s="113" t="inlineStr">
        <is>
          <t>RTL mirrors horizontal ArrowLeft and ArrowRight navigation</t>
        </is>
      </c>
      <c r="E127" s="119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9" t="inlineStr">
        <is>
          <t>covered</t>
        </is>
      </c>
      <c r="I127" s="113" t="n"/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Playground</t>
        </is>
      </c>
      <c r="C128" s="113" t="inlineStr">
        <is>
          <t>Direction controls</t>
        </is>
      </c>
      <c r="D128" s="113" t="inlineStr">
        <is>
          <t>scenario exposes provider direction controls</t>
        </is>
      </c>
      <c r="E128" s="119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9" t="inlineStr">
        <is>
          <t>covered</t>
        </is>
      </c>
      <c r="I128" s="113" t="n"/>
      <c r="J128" s="113" t="n"/>
      <c r="K128" s="117">
        <f>IF(AND(E128="yes",F128="yes",H128="covered"),1,IF(H128="partial",0.5,0))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1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0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Menu playground manual verification.</t>
        </is>
      </c>
      <c r="J9" s="121" t="n"/>
      <c r="K9" s="122">
        <f>IF(AND(E9="yes",F9="yes",H9="covered"),1,IF(H9="partial",0.5,0))</f>
        <v/>
      </c>
    </row>
    <row r="10" ht="30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Menu playground manual verification.</t>
        </is>
      </c>
      <c r="J10" s="121" t="n"/>
      <c r="K10" s="122">
        <f>IF(AND(E10="yes",F10="yes",H10="covered"),1,IF(H10="partial",0.5,0))</f>
        <v/>
      </c>
    </row>
    <row r="11" ht="30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Menu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Menu playground manual verification.</t>
        </is>
      </c>
      <c r="J12" s="121" t="n"/>
      <c r="K12" s="122">
        <f>IF(AND(E12="yes",F12="yes",H12="covered"),1,IF(H12="partial",0.5,0))</f>
        <v/>
      </c>
    </row>
    <row r="13" ht="30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Menu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modal true locks scroll while open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Menu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modal false skips scroll lock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Menu playground manual verification.</t>
        </is>
      </c>
      <c r="J15" s="121" t="n"/>
      <c r="K15" s="122">
        <f>IF(AND(E15="yes",F15="yes",H15="covered"),1,IF(H15="partial",0.5,0))</f>
        <v/>
      </c>
    </row>
    <row r="16" ht="30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closeOnSelect true closes action items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Menu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closeOnSelect false keeps selection menu open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Menu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loop true wraps keyboard highlight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Menu playground manual verification.</t>
        </is>
      </c>
      <c r="J18" s="121" t="n"/>
      <c r="K18" s="122">
        <f>IF(AND(E18="yes",F18="yes",H18="covered"),1,IF(H18="partial",0.5,0))</f>
        <v/>
      </c>
    </row>
    <row r="19" ht="30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loop false stops at first and last item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Menu playground manual verification.</t>
        </is>
      </c>
      <c r="J19" s="121" t="n"/>
      <c r="K19" s="122">
        <f>IF(AND(E19="yes",F19="yes",H19="covered"),1,IF(H19="partial",0.5,0))</f>
        <v/>
      </c>
    </row>
    <row r="20" ht="30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closeOnEscape true closes menu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Menu playground manual verification.</t>
        </is>
      </c>
      <c r="J20" s="121" t="n"/>
      <c r="K20" s="122">
        <f>IF(AND(E20="yes",F20="yes",H20="covered"),1,IF(H20="partial",0.5,0))</f>
        <v/>
      </c>
    </row>
    <row r="21" ht="30" customHeight="1" s="58">
      <c r="A21" s="120" t="n">
        <v>13</v>
      </c>
      <c r="B21" s="121" t="inlineStr">
        <is>
          <t>Public API</t>
        </is>
      </c>
      <c r="C21" s="121" t="inlineStr">
        <is>
          <t>Root</t>
        </is>
      </c>
      <c r="D21" s="121" t="inlineStr">
        <is>
          <t>closeOnEscape false leaves menu open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Menu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Public API</t>
        </is>
      </c>
      <c r="C22" s="121" t="inlineStr">
        <is>
          <t>Root</t>
        </is>
      </c>
      <c r="D22" s="121" t="inlineStr">
        <is>
          <t>nested submenu disables parent Escape close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Menu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Public API</t>
        </is>
      </c>
      <c r="C23" s="121" t="inlineStr">
        <is>
          <t>Content</t>
        </is>
      </c>
      <c r="D23" s="121" t="inlineStr">
        <is>
          <t>renders only while open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Menu playground manual verification.</t>
        </is>
      </c>
      <c r="J23" s="121" t="n"/>
      <c r="K23" s="122">
        <f>IF(AND(E23="yes",F23="yes",H23="covered"),1,IF(H23="partial",0.5,0))</f>
        <v/>
      </c>
    </row>
    <row r="24" ht="30" customHeight="1" s="58">
      <c r="A24" s="120" t="n">
        <v>16</v>
      </c>
      <c r="B24" s="121" t="inlineStr">
        <is>
          <t>Public API</t>
        </is>
      </c>
      <c r="C24" s="121" t="inlineStr">
        <is>
          <t>Content</t>
        </is>
      </c>
      <c r="D24" s="121" t="inlineStr">
        <is>
          <t>role is menu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Menu playground manual verification.</t>
        </is>
      </c>
      <c r="J24" s="121" t="n"/>
      <c r="K24" s="122">
        <f>IF(AND(E24="yes",F24="yes",H24="covered"),1,IF(H24="partial",0.5,0))</f>
        <v/>
      </c>
    </row>
    <row r="25" ht="45" customHeight="1" s="58">
      <c r="A25" s="120" t="n">
        <v>17</v>
      </c>
      <c r="B25" s="121" t="inlineStr">
        <is>
          <t>Public API</t>
        </is>
      </c>
      <c r="C25" s="121" t="inlineStr">
        <is>
          <t>Content</t>
        </is>
      </c>
      <c r="D25" s="121" t="inlineStr">
        <is>
          <t>aria-orientation is vertical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Menu playground manual verification.</t>
        </is>
      </c>
      <c r="J25" s="121" t="n"/>
      <c r="K25" s="122">
        <f>IF(AND(E25="yes",F25="yes",H25="covered"),1,IF(H25="partial",0.5,0))</f>
        <v/>
      </c>
    </row>
    <row r="26" ht="30" customHeight="1" s="58">
      <c r="A26" s="120" t="n">
        <v>18</v>
      </c>
      <c r="B26" s="121" t="inlineStr">
        <is>
          <t>Public API</t>
        </is>
      </c>
      <c r="C26" s="121" t="inlineStr">
        <is>
          <t>Content</t>
        </is>
      </c>
      <c r="D26" s="121" t="inlineStr">
        <is>
          <t>aria-label prop names menu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Menu playground manual verification.</t>
        </is>
      </c>
      <c r="J26" s="121" t="n"/>
      <c r="K26" s="122">
        <f>IF(AND(E26="yes",F26="yes",H26="covered"),1,IF(H26="partial",0.5,0))</f>
        <v/>
      </c>
    </row>
    <row r="27" ht="30" customHeight="1" s="58">
      <c r="A27" s="120" t="n">
        <v>19</v>
      </c>
      <c r="B27" s="121" t="inlineStr">
        <is>
          <t>Public API</t>
        </is>
      </c>
      <c r="C27" s="121" t="inlineStr">
        <is>
          <t>Content</t>
        </is>
      </c>
      <c r="D27" s="121" t="inlineStr">
        <is>
          <t>aria-labelledby references trigger when ariaLabel is absent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Menu playground manual verification.</t>
        </is>
      </c>
      <c r="J27" s="121" t="n"/>
      <c r="K27" s="122">
        <f>IF(AND(E27="yes",F27="yes",H27="covered"),1,IF(H27="partial",0.5,0))</f>
        <v/>
      </c>
    </row>
    <row r="28" ht="30" customHeight="1" s="58">
      <c r="A28" s="120" t="n">
        <v>20</v>
      </c>
      <c r="B28" s="121" t="inlineStr">
        <is>
          <t>Public API</t>
        </is>
      </c>
      <c r="C28" s="121" t="inlineStr">
        <is>
          <t>Content</t>
        </is>
      </c>
      <c r="D28" s="121" t="inlineStr">
        <is>
          <t>tabindex attr is -1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Menu playground manual verification.</t>
        </is>
      </c>
      <c r="J28" s="121" t="n"/>
      <c r="K28" s="122">
        <f>IF(AND(E28="yes",F28="yes",H28="covered"),1,IF(H28="partial",0.5,0))</f>
        <v/>
      </c>
    </row>
    <row r="29" ht="30" customHeight="1" s="58">
      <c r="A29" s="120" t="n">
        <v>21</v>
      </c>
      <c r="B29" s="121" t="inlineStr">
        <is>
          <t>Public API</t>
        </is>
      </c>
      <c r="C29" s="121" t="inlineStr">
        <is>
          <t>Content</t>
        </is>
      </c>
      <c r="D29" s="121" t="inlineStr">
        <is>
          <t>data-slot is menu-content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Menu playground manual verification.</t>
        </is>
      </c>
      <c r="J29" s="121" t="n"/>
      <c r="K29" s="122">
        <f>IF(AND(E29="yes",F29="yes",H29="covered"),1,IF(H29="partial",0.5,0))</f>
        <v/>
      </c>
    </row>
    <row r="30" ht="30" customHeight="1" s="58">
      <c r="A30" s="120" t="n">
        <v>22</v>
      </c>
      <c r="B30" s="121" t="inlineStr">
        <is>
          <t>Public API</t>
        </is>
      </c>
      <c r="C30" s="121" t="inlineStr">
        <is>
          <t>Content</t>
        </is>
      </c>
      <c r="D30" s="121" t="inlineStr">
        <is>
          <t>data-state is open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Menu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Public API</t>
        </is>
      </c>
      <c r="C31" s="121" t="inlineStr">
        <is>
          <t>Content</t>
        </is>
      </c>
      <c r="D31" s="121" t="inlineStr">
        <is>
          <t>data-side reflects final placement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Menu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Public API</t>
        </is>
      </c>
      <c r="C32" s="121" t="inlineStr">
        <is>
          <t>Content</t>
        </is>
      </c>
      <c r="D32" s="121" t="inlineStr">
        <is>
          <t>data-align reflects final placement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Menu playground manual verification.</t>
        </is>
      </c>
      <c r="J32" s="121" t="n"/>
      <c r="K32" s="122">
        <f>IF(AND(E32="yes",F32="yes",H32="covered"),1,IF(H32="partial",0.5,0))</f>
        <v/>
      </c>
    </row>
    <row r="33" ht="30" customHeight="1" s="58">
      <c r="A33" s="120" t="n">
        <v>25</v>
      </c>
      <c r="B33" s="121" t="inlineStr">
        <is>
          <t>Public API</t>
        </is>
      </c>
      <c r="C33" s="121" t="inlineStr">
        <is>
          <t>Content</t>
        </is>
      </c>
      <c r="D33" s="121" t="inlineStr">
        <is>
          <t>data-positioned appears after positioning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Menu playground manual verification.</t>
        </is>
      </c>
      <c r="J33" s="121" t="n"/>
      <c r="K33" s="122">
        <f>IF(AND(E33="yes",F33="yes",H33="covered"),1,IF(H33="partial",0.5,0))</f>
        <v/>
      </c>
    </row>
    <row r="34" ht="45" customHeight="1" s="58">
      <c r="A34" s="120" t="n">
        <v>26</v>
      </c>
      <c r="B34" s="121" t="inlineStr">
        <is>
          <t>Public API</t>
        </is>
      </c>
      <c r="C34" s="121" t="inlineStr">
        <is>
          <t>Content</t>
        </is>
      </c>
      <c r="D34" s="121" t="inlineStr">
        <is>
          <t>side prop changes placement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Menu playground manual verification.</t>
        </is>
      </c>
      <c r="J34" s="121" t="n"/>
      <c r="K34" s="122">
        <f>IF(AND(E34="yes",F34="yes",H34="covered"),1,IF(H34="partial",0.5,0))</f>
        <v/>
      </c>
    </row>
    <row r="35" ht="45" customHeight="1" s="58">
      <c r="A35" s="120" t="n">
        <v>27</v>
      </c>
      <c r="B35" s="121" t="inlineStr">
        <is>
          <t>Public API</t>
        </is>
      </c>
      <c r="C35" s="121" t="inlineStr">
        <is>
          <t>Content</t>
        </is>
      </c>
      <c r="D35" s="121" t="inlineStr">
        <is>
          <t>align prop changes placement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Menu playground manual verification.</t>
        </is>
      </c>
      <c r="J35" s="121" t="n"/>
      <c r="K35" s="122">
        <f>IF(AND(E35="yes",F35="yes",H35="covered"),1,IF(H35="partial",0.5,0))</f>
        <v/>
      </c>
    </row>
    <row r="36" ht="30" customHeight="1" s="58">
      <c r="A36" s="120" t="n">
        <v>28</v>
      </c>
      <c r="B36" s="121" t="inlineStr">
        <is>
          <t>Public API</t>
        </is>
      </c>
      <c r="C36" s="121" t="inlineStr">
        <is>
          <t>Content</t>
        </is>
      </c>
      <c r="D36" s="121" t="inlineStr">
        <is>
          <t>sideOffset changes menu distance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Menu playground manual verification.</t>
        </is>
      </c>
      <c r="J36" s="121" t="n"/>
      <c r="K36" s="122">
        <f>IF(AND(E36="yes",F36="yes",H36="covered"),1,IF(H36="partial",0.5,0))</f>
        <v/>
      </c>
    </row>
    <row r="37" ht="45" customHeight="1" s="58">
      <c r="A37" s="120" t="n">
        <v>29</v>
      </c>
      <c r="B37" s="121" t="inlineStr">
        <is>
          <t>Public API</t>
        </is>
      </c>
      <c r="C37" s="121" t="inlineStr">
        <is>
          <t>Content</t>
        </is>
      </c>
      <c r="D37" s="121" t="inlineStr">
        <is>
          <t>loop prop overrides root loop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Menu playground manual verification.</t>
        </is>
      </c>
      <c r="J37" s="121" t="n"/>
      <c r="K37" s="122">
        <f>IF(AND(E37="yes",F37="yes",H37="covered"),1,IF(H37="partial",0.5,0))</f>
        <v/>
      </c>
    </row>
    <row r="38" ht="30" customHeight="1" s="58">
      <c r="A38" s="120" t="n">
        <v>30</v>
      </c>
      <c r="B38" s="121" t="inlineStr">
        <is>
          <t>Public API</t>
        </is>
      </c>
      <c r="C38" s="121" t="inlineStr">
        <is>
          <t>Content</t>
        </is>
      </c>
      <c r="D38" s="121" t="inlineStr">
        <is>
          <t>anchorPoint positions from pointer coordinates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Menu playground manual verification.</t>
        </is>
      </c>
      <c r="J38" s="121" t="n"/>
      <c r="K38" s="122">
        <f>IF(AND(E38="yes",F38="yes",H38="covered"),1,IF(H38="partial",0.5,0))</f>
        <v/>
      </c>
    </row>
    <row r="39" ht="30" customHeight="1" s="58">
      <c r="A39" s="120" t="n">
        <v>31</v>
      </c>
      <c r="B39" s="121" t="inlineStr">
        <is>
          <t>Public API</t>
        </is>
      </c>
      <c r="C39" s="121" t="inlineStr">
        <is>
          <t>Content</t>
        </is>
      </c>
      <c r="D39" s="121" t="inlineStr">
        <is>
          <t>native className and data props pass through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Menu playground manual verification.</t>
        </is>
      </c>
      <c r="J39" s="121" t="n"/>
      <c r="K39" s="122">
        <f>IF(AND(E39="yes",F39="yes",H39="covered"),1,IF(H39="partial",0.5,0))</f>
        <v/>
      </c>
    </row>
    <row r="40" ht="30" customHeight="1" s="58">
      <c r="A40" s="120" t="n">
        <v>32</v>
      </c>
      <c r="B40" s="121" t="inlineStr">
        <is>
          <t>Public API</t>
        </is>
      </c>
      <c r="C40" s="121" t="inlineStr">
        <is>
          <t>Content</t>
        </is>
      </c>
      <c r="D40" s="121" t="inlineStr">
        <is>
          <t>onKeyDownCapture can block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Menu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Public API</t>
        </is>
      </c>
      <c r="C41" s="121" t="inlineStr">
        <is>
          <t>Item</t>
        </is>
      </c>
      <c r="D41" s="121" t="inlineStr">
        <is>
          <t>renders role menuitem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Menu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Public API</t>
        </is>
      </c>
      <c r="C42" s="121" t="inlineStr">
        <is>
          <t>Item</t>
        </is>
      </c>
      <c r="D42" s="121" t="inlineStr">
        <is>
          <t>value appears as data-value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Menu playground manual verification.</t>
        </is>
      </c>
      <c r="J42" s="121" t="n"/>
      <c r="K42" s="122">
        <f>IF(AND(E42="yes",F42="yes",H42="covered"),1,IF(H42="partial",0.5,0))</f>
        <v/>
      </c>
    </row>
    <row r="43" ht="30" customHeight="1" s="58">
      <c r="A43" s="120" t="n">
        <v>35</v>
      </c>
      <c r="B43" s="121" t="inlineStr">
        <is>
          <t>Public API</t>
        </is>
      </c>
      <c r="C43" s="121" t="inlineStr">
        <is>
          <t>Item</t>
        </is>
      </c>
      <c r="D43" s="121" t="inlineStr">
        <is>
          <t>textValue is used for typeahead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Menu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Public API</t>
        </is>
      </c>
      <c r="C44" s="121" t="inlineStr">
        <is>
          <t>Item</t>
        </is>
      </c>
      <c r="D44" s="121" t="inlineStr">
        <is>
          <t>onSelect fires on click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Menu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Public API</t>
        </is>
      </c>
      <c r="C45" s="121" t="inlineStr">
        <is>
          <t>Item</t>
        </is>
      </c>
      <c r="D45" s="121" t="inlineStr">
        <is>
          <t>onSelect fires from keyboard activation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Menu playground manual verification.</t>
        </is>
      </c>
      <c r="J45" s="121" t="n"/>
      <c r="K45" s="122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disabled item receives real keyboard focus but Enter, Space, click, and selection callbacks cannot activate it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playground/.manual-tests/menu.md (draft)</t>
        </is>
      </c>
      <c r="J46" s="113" t="inlineStr">
        <is>
          <t>Run the updated component Manual Test Protocol and named browser/device matrix.</t>
        </is>
      </c>
      <c r="K46" s="117">
        <f>IF(AND(E46="yes",F46="yes",H46="covered"),1,IF(H46="partial",0.5,0))</f>
        <v/>
      </c>
    </row>
    <row r="47" ht="30" customHeight="1" s="58">
      <c r="A47" s="120" t="n">
        <v>39</v>
      </c>
      <c r="B47" s="121" t="inlineStr">
        <is>
          <t>Public API</t>
        </is>
      </c>
      <c r="C47" s="121" t="inlineStr">
        <is>
          <t>Item</t>
        </is>
      </c>
      <c r="D47" s="121" t="inlineStr">
        <is>
          <t>disabled item exposes aria-disabled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Menu playground manual verification.</t>
        </is>
      </c>
      <c r="J47" s="121" t="n"/>
      <c r="K47" s="122">
        <f>IF(AND(E47="yes",F47="yes",H47="covered"),1,IF(H47="partial",0.5,0))</f>
        <v/>
      </c>
    </row>
    <row r="48" ht="30" customHeight="1" s="58">
      <c r="A48" s="120" t="n">
        <v>40</v>
      </c>
      <c r="B48" s="121" t="inlineStr">
        <is>
          <t>Public API</t>
        </is>
      </c>
      <c r="C48" s="121" t="inlineStr">
        <is>
          <t>Item</t>
        </is>
      </c>
      <c r="D48" s="121" t="inlineStr">
        <is>
          <t>disabled item exposes data-disabled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Menu playground manual verification.</t>
        </is>
      </c>
      <c r="J48" s="121" t="n"/>
      <c r="K48" s="122">
        <f>IF(AND(E48="yes",F48="yes",H48="covered"),1,IF(H48="partial",0.5,0))</f>
        <v/>
      </c>
    </row>
    <row r="49" ht="30" customHeight="1" s="58">
      <c r="A49" s="120" t="n">
        <v>41</v>
      </c>
      <c r="B49" s="121" t="inlineStr">
        <is>
          <t>Public API</t>
        </is>
      </c>
      <c r="C49" s="121" t="inlineStr">
        <is>
          <t>Item</t>
        </is>
      </c>
      <c r="D49" s="121" t="inlineStr">
        <is>
          <t>highlighted item exposes data-highlighted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Menu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Public API</t>
        </is>
      </c>
      <c r="C50" s="121" t="inlineStr">
        <is>
          <t>Item</t>
        </is>
      </c>
      <c r="D50" s="121" t="inlineStr">
        <is>
          <t>closeOnSelect overrides root close behavior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Menu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Public API</t>
        </is>
      </c>
      <c r="C51" s="121" t="inlineStr">
        <is>
          <t>Item</t>
        </is>
      </c>
      <c r="D51" s="121" t="inlineStr">
        <is>
          <t>asChild composition works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Menu playground manual verification.</t>
        </is>
      </c>
      <c r="J51" s="121" t="n"/>
      <c r="K51" s="122">
        <f>IF(AND(E51="yes",F51="yes",H51="covered"),1,IF(H51="partial",0.5,0))</f>
        <v/>
      </c>
    </row>
    <row r="52" ht="45" customHeight="1" s="58">
      <c r="A52" s="120" t="n">
        <v>44</v>
      </c>
      <c r="B52" s="121" t="inlineStr">
        <is>
          <t>Public API</t>
        </is>
      </c>
      <c r="C52" s="121" t="inlineStr">
        <is>
          <t>Item</t>
        </is>
      </c>
      <c r="D52" s="121" t="inlineStr">
        <is>
          <t>render composition works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Menu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Public API</t>
        </is>
      </c>
      <c r="C53" s="121" t="inlineStr">
        <is>
          <t>Item</t>
        </is>
      </c>
      <c r="D53" s="121" t="inlineStr">
        <is>
          <t>consumer onClick can prevent Atom behavior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Menu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Public API</t>
        </is>
      </c>
      <c r="C54" s="121" t="inlineStr">
        <is>
          <t>Item</t>
        </is>
      </c>
      <c r="D54" s="121" t="inlineStr">
        <is>
          <t>native className and data props pass through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Menu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20" t="n">
        <v>47</v>
      </c>
      <c r="B55" s="121" t="inlineStr">
        <is>
          <t>Public API</t>
        </is>
      </c>
      <c r="C55" s="121" t="inlineStr">
        <is>
          <t>Checkbox Item</t>
        </is>
      </c>
      <c r="D55" s="121" t="inlineStr">
        <is>
          <t>renders role menuitemcheckbox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Menu playground manual verification.</t>
        </is>
      </c>
      <c r="J55" s="121" t="n"/>
      <c r="K55" s="122">
        <f>IF(AND(E55="yes",F55="yes",H55="covered"),1,IF(H55="partial",0.5,0))</f>
        <v/>
      </c>
    </row>
    <row r="56" ht="30" customHeight="1" s="58">
      <c r="A56" s="120" t="n">
        <v>48</v>
      </c>
      <c r="B56" s="121" t="inlineStr">
        <is>
          <t>Public API</t>
        </is>
      </c>
      <c r="C56" s="121" t="inlineStr">
        <is>
          <t>Checkbox Item</t>
        </is>
      </c>
      <c r="D56" s="121" t="inlineStr">
        <is>
          <t>checked true exposes aria-checked true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Menu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Public API</t>
        </is>
      </c>
      <c r="C57" s="121" t="inlineStr">
        <is>
          <t>Checkbox Item</t>
        </is>
      </c>
      <c r="D57" s="121" t="inlineStr">
        <is>
          <t>checked false exposes aria-checked false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Menu playground manual verification.</t>
        </is>
      </c>
      <c r="J57" s="121" t="n"/>
      <c r="K57" s="122">
        <f>IF(AND(E57="yes",F57="yes",H57="covered"),1,IF(H57="partial",0.5,0))</f>
        <v/>
      </c>
    </row>
    <row r="58" ht="30" customHeight="1" s="58">
      <c r="A58" s="120" t="n">
        <v>50</v>
      </c>
      <c r="B58" s="121" t="inlineStr">
        <is>
          <t>Public API</t>
        </is>
      </c>
      <c r="C58" s="121" t="inlineStr">
        <is>
          <t>Checkbox Item</t>
        </is>
      </c>
      <c r="D58" s="121" t="inlineStr">
        <is>
          <t>checked true exposes data-checked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Menu playground manual verification.</t>
        </is>
      </c>
      <c r="J58" s="121" t="n"/>
      <c r="K58" s="122">
        <f>IF(AND(E58="yes",F58="yes",H58="covered"),1,IF(H58="partial",0.5,0))</f>
        <v/>
      </c>
    </row>
    <row r="59" ht="30" customHeight="1" s="58">
      <c r="A59" s="120" t="n">
        <v>51</v>
      </c>
      <c r="B59" s="121" t="inlineStr">
        <is>
          <t>Public API</t>
        </is>
      </c>
      <c r="C59" s="121" t="inlineStr">
        <is>
          <t>Checkbox Item</t>
        </is>
      </c>
      <c r="D59" s="121" t="inlineStr">
        <is>
          <t>onCheckedChange toggles checked state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Menu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Public API</t>
        </is>
      </c>
      <c r="C60" s="121" t="inlineStr">
        <is>
          <t>Checkbox Item</t>
        </is>
      </c>
      <c r="D60" s="121" t="inlineStr">
        <is>
          <t>default closeOnSelect false keeps menu open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Menu playground manual verification.</t>
        </is>
      </c>
      <c r="J60" s="121" t="n"/>
      <c r="K60" s="122">
        <f>IF(AND(E60="yes",F60="yes",H60="covered"),1,IF(H60="partial",0.5,0))</f>
        <v/>
      </c>
    </row>
    <row r="61" ht="30" customHeight="1" s="58">
      <c r="A61" s="120" t="n">
        <v>53</v>
      </c>
      <c r="B61" s="121" t="inlineStr">
        <is>
          <t>Public API</t>
        </is>
      </c>
      <c r="C61" s="121" t="inlineStr">
        <is>
          <t>Checkbox Item</t>
        </is>
      </c>
      <c r="D61" s="121" t="inlineStr">
        <is>
          <t>closeOnSelect true closes menu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Menu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Public API</t>
        </is>
      </c>
      <c r="C62" s="113" t="inlineStr">
        <is>
          <t>Checkbox Item</t>
        </is>
      </c>
      <c r="D62" s="113" t="inlineStr">
        <is>
          <t>disabled checkbox receives real keyboard focus but cannot toggle or close the menu</t>
        </is>
      </c>
      <c r="E62" s="114" t="inlineStr">
        <is>
          <t>yes</t>
        </is>
      </c>
      <c r="F62" s="115" t="inlineStr">
        <is>
          <t>no</t>
        </is>
      </c>
      <c r="G62" s="112" t="inlineStr">
        <is>
          <t>automated tests pass; manual pending</t>
        </is>
      </c>
      <c r="H62" s="116" t="inlineStr">
        <is>
          <t>untested</t>
        </is>
      </c>
      <c r="I62" s="113" t="inlineStr">
        <is>
          <t>playground/.manual-tests/menu.md (draft)</t>
        </is>
      </c>
      <c r="J62" s="113" t="inlineStr">
        <is>
          <t>Run the updated component Manual Test Protocol and named browser/device matrix.</t>
        </is>
      </c>
      <c r="K62" s="117">
        <f>IF(AND(E62="yes",F62="yes",H62="covered"),1,IF(H62="partial",0.5,0))</f>
        <v/>
      </c>
    </row>
    <row r="63" ht="30" customHeight="1" s="58">
      <c r="A63" s="120" t="n">
        <v>55</v>
      </c>
      <c r="B63" s="121" t="inlineStr">
        <is>
          <t>Public API</t>
        </is>
      </c>
      <c r="C63" s="121" t="inlineStr">
        <is>
          <t>Checkbox Item</t>
        </is>
      </c>
      <c r="D63" s="121" t="inlineStr">
        <is>
          <t>textValue is used for typeahead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Menu playground manual verification.</t>
        </is>
      </c>
      <c r="J63" s="121" t="n"/>
      <c r="K63" s="122">
        <f>IF(AND(E63="yes",F63="yes",H63="covered"),1,IF(H63="partial",0.5,0))</f>
        <v/>
      </c>
    </row>
    <row r="64" ht="30" customHeight="1" s="58">
      <c r="A64" s="120" t="n">
        <v>56</v>
      </c>
      <c r="B64" s="121" t="inlineStr">
        <is>
          <t>Public API</t>
        </is>
      </c>
      <c r="C64" s="121" t="inlineStr">
        <is>
          <t>Radio Group</t>
        </is>
      </c>
      <c r="D64" s="121" t="inlineStr">
        <is>
          <t>renders role group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Menu playground manual verification.</t>
        </is>
      </c>
      <c r="J64" s="121" t="n"/>
      <c r="K64" s="122">
        <f>IF(AND(E64="yes",F64="yes",H64="covered"),1,IF(H64="partial",0.5,0))</f>
        <v/>
      </c>
    </row>
    <row r="65" ht="30" customHeight="1" s="58">
      <c r="A65" s="120" t="n">
        <v>57</v>
      </c>
      <c r="B65" s="121" t="inlineStr">
        <is>
          <t>Public API</t>
        </is>
      </c>
      <c r="C65" s="121" t="inlineStr">
        <is>
          <t>Radio Group</t>
        </is>
      </c>
      <c r="D65" s="121" t="inlineStr">
        <is>
          <t>data-slot is menu-radio-group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Menu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Radio Group</t>
        </is>
      </c>
      <c r="D66" s="121" t="inlineStr">
        <is>
          <t>value controls checked item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Menu playground manual verification.</t>
        </is>
      </c>
      <c r="J66" s="121" t="n"/>
      <c r="K66" s="122">
        <f>IF(AND(E66="yes",F66="yes",H66="covered"),1,IF(H66="partial",0.5,0))</f>
        <v/>
      </c>
    </row>
    <row r="67" ht="45" customHeight="1" s="58">
      <c r="A67" s="120" t="n">
        <v>59</v>
      </c>
      <c r="B67" s="121" t="inlineStr">
        <is>
          <t>Public API</t>
        </is>
      </c>
      <c r="C67" s="121" t="inlineStr">
        <is>
          <t>Radio Group</t>
        </is>
      </c>
      <c r="D67" s="121" t="inlineStr">
        <is>
          <t>onValueChange fires when selecting radio item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Menu playground manual verification.</t>
        </is>
      </c>
      <c r="J67" s="121" t="n"/>
      <c r="K67" s="122">
        <f>IF(AND(E67="yes",F67="yes",H67="covered"),1,IF(H67="partial",0.5,0))</f>
        <v/>
      </c>
    </row>
    <row r="68" ht="30" customHeight="1" s="58">
      <c r="A68" s="120" t="n">
        <v>60</v>
      </c>
      <c r="B68" s="121" t="inlineStr">
        <is>
          <t>Public API</t>
        </is>
      </c>
      <c r="C68" s="121" t="inlineStr">
        <is>
          <t>Radio Group</t>
        </is>
      </c>
      <c r="D68" s="121" t="inlineStr">
        <is>
          <t>duplicate public radio values in different groups do not conflict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Menu playground manual verification.</t>
        </is>
      </c>
      <c r="J68" s="121" t="n"/>
      <c r="K68" s="122">
        <f>IF(AND(E68="yes",F68="yes",H68="covered"),1,IF(H68="partial",0.5,0))</f>
        <v/>
      </c>
    </row>
    <row r="69" ht="30" customHeight="1" s="58">
      <c r="A69" s="120" t="n">
        <v>61</v>
      </c>
      <c r="B69" s="121" t="inlineStr">
        <is>
          <t>Public API</t>
        </is>
      </c>
      <c r="C69" s="121" t="inlineStr">
        <is>
          <t>Radio Group</t>
        </is>
      </c>
      <c r="D69" s="121" t="inlineStr">
        <is>
          <t>native className and data props pass through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Menu playground manual verification.</t>
        </is>
      </c>
      <c r="J69" s="121" t="n"/>
      <c r="K69" s="122">
        <f>IF(AND(E69="yes",F69="yes",H69="covered"),1,IF(H69="partial",0.5,0))</f>
        <v/>
      </c>
    </row>
    <row r="70" ht="30" customHeight="1" s="58">
      <c r="A70" s="120" t="n">
        <v>62</v>
      </c>
      <c r="B70" s="121" t="inlineStr">
        <is>
          <t>Public API</t>
        </is>
      </c>
      <c r="C70" s="121" t="inlineStr">
        <is>
          <t>Radio Item</t>
        </is>
      </c>
      <c r="D70" s="121" t="inlineStr">
        <is>
          <t>renders role menuitemradio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Menu playground manual verification.</t>
        </is>
      </c>
      <c r="J70" s="121" t="n"/>
      <c r="K70" s="122">
        <f>IF(AND(E70="yes",F70="yes",H70="covered"),1,IF(H70="partial",0.5,0))</f>
        <v/>
      </c>
    </row>
    <row r="71" ht="30" customHeight="1" s="58">
      <c r="A71" s="120" t="n">
        <v>63</v>
      </c>
      <c r="B71" s="121" t="inlineStr">
        <is>
          <t>Public API</t>
        </is>
      </c>
      <c r="C71" s="121" t="inlineStr">
        <is>
          <t>Radio Item</t>
        </is>
      </c>
      <c r="D71" s="121" t="inlineStr">
        <is>
          <t>checked item exposes aria-checked true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Menu playground manual verification.</t>
        </is>
      </c>
      <c r="J71" s="121" t="n"/>
      <c r="K71" s="122">
        <f>IF(AND(E71="yes",F71="yes",H71="covered"),1,IF(H71="partial",0.5,0))</f>
        <v/>
      </c>
    </row>
    <row r="72" ht="30" customHeight="1" s="58">
      <c r="A72" s="120" t="n">
        <v>64</v>
      </c>
      <c r="B72" s="121" t="inlineStr">
        <is>
          <t>Public API</t>
        </is>
      </c>
      <c r="C72" s="121" t="inlineStr">
        <is>
          <t>Radio Item</t>
        </is>
      </c>
      <c r="D72" s="121" t="inlineStr">
        <is>
          <t>unchecked item exposes aria-checked false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Menu playground manual verification.</t>
        </is>
      </c>
      <c r="J72" s="121" t="n"/>
      <c r="K72" s="122">
        <f>IF(AND(E72="yes",F72="yes",H72="covered"),1,IF(H72="partial",0.5,0))</f>
        <v/>
      </c>
    </row>
    <row r="73" ht="30" customHeight="1" s="58">
      <c r="A73" s="120" t="n">
        <v>65</v>
      </c>
      <c r="B73" s="121" t="inlineStr">
        <is>
          <t>Public API</t>
        </is>
      </c>
      <c r="C73" s="121" t="inlineStr">
        <is>
          <t>Radio Item</t>
        </is>
      </c>
      <c r="D73" s="121" t="inlineStr">
        <is>
          <t>checked item exposes data-checked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Menu playground manual verification.</t>
        </is>
      </c>
      <c r="J73" s="121" t="n"/>
      <c r="K73" s="122">
        <f>IF(AND(E73="yes",F73="yes",H73="covered"),1,IF(H73="partial",0.5,0))</f>
        <v/>
      </c>
    </row>
    <row r="74" ht="30" customHeight="1" s="58">
      <c r="A74" s="120" t="n">
        <v>66</v>
      </c>
      <c r="B74" s="121" t="inlineStr">
        <is>
          <t>Public API</t>
        </is>
      </c>
      <c r="C74" s="121" t="inlineStr">
        <is>
          <t>Radio Item</t>
        </is>
      </c>
      <c r="D74" s="121" t="inlineStr">
        <is>
          <t>value appears as data-value without internal group id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Menu playground manual verification.</t>
        </is>
      </c>
      <c r="J74" s="121" t="n"/>
      <c r="K74" s="122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Public API</t>
        </is>
      </c>
      <c r="C75" s="113" t="inlineStr">
        <is>
          <t>Radio Item</t>
        </is>
      </c>
      <c r="D75" s="113" t="inlineStr">
        <is>
          <t>disabled radio item receives real keyboard focus but cannot change selection</t>
        </is>
      </c>
      <c r="E75" s="114" t="inlineStr">
        <is>
          <t>yes</t>
        </is>
      </c>
      <c r="F75" s="115" t="inlineStr">
        <is>
          <t>no</t>
        </is>
      </c>
      <c r="G75" s="112" t="inlineStr">
        <is>
          <t>automated tests pass; manual pending</t>
        </is>
      </c>
      <c r="H75" s="116" t="inlineStr">
        <is>
          <t>untested</t>
        </is>
      </c>
      <c r="I75" s="113" t="inlineStr">
        <is>
          <t>playground/.manual-tests/menu.md (draft)</t>
        </is>
      </c>
      <c r="J75" s="113" t="inlineStr">
        <is>
          <t>Run the updated component Manual Test Protocol and named browser/device matrix.</t>
        </is>
      </c>
      <c r="K75" s="117">
        <f>IF(AND(E75="yes",F75="yes",H75="covered"),1,IF(H75="partial",0.5,0))</f>
        <v/>
      </c>
    </row>
    <row r="76" ht="30" customHeight="1" s="58">
      <c r="A76" s="120" t="n">
        <v>68</v>
      </c>
      <c r="B76" s="121" t="inlineStr">
        <is>
          <t>Public API</t>
        </is>
      </c>
      <c r="C76" s="121" t="inlineStr">
        <is>
          <t>Radio Item</t>
        </is>
      </c>
      <c r="D76" s="121" t="inlineStr">
        <is>
          <t>default closeOnSelect false keeps menu open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Menu playground manual verification.</t>
        </is>
      </c>
      <c r="J76" s="121" t="n"/>
      <c r="K76" s="122">
        <f>IF(AND(E76="yes",F76="yes",H76="covered"),1,IF(H76="partial",0.5,0))</f>
        <v/>
      </c>
    </row>
    <row r="77" ht="30" customHeight="1" s="58">
      <c r="A77" s="120" t="n">
        <v>69</v>
      </c>
      <c r="B77" s="121" t="inlineStr">
        <is>
          <t>Public API</t>
        </is>
      </c>
      <c r="C77" s="121" t="inlineStr">
        <is>
          <t>Radio Item</t>
        </is>
      </c>
      <c r="D77" s="121" t="inlineStr">
        <is>
          <t>closeOnSelect true closes menu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Menu playground manual verification.</t>
        </is>
      </c>
      <c r="J77" s="121" t="n"/>
      <c r="K77" s="122">
        <f>IF(AND(E77="yes",F77="yes",H77="covered"),1,IF(H77="partial",0.5,0))</f>
        <v/>
      </c>
    </row>
    <row r="78" ht="30" customHeight="1" s="58">
      <c r="A78" s="120" t="n">
        <v>70</v>
      </c>
      <c r="B78" s="121" t="inlineStr">
        <is>
          <t>Public API</t>
        </is>
      </c>
      <c r="C78" s="121" t="inlineStr">
        <is>
          <t>Radio Item</t>
        </is>
      </c>
      <c r="D78" s="121" t="inlineStr">
        <is>
          <t>textValue is used for typeahead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Menu playground manual verification.</t>
        </is>
      </c>
      <c r="J78" s="121" t="n"/>
      <c r="K78" s="122">
        <f>IF(AND(E78="yes",F78="yes",H78="covered"),1,IF(H78="partial",0.5,0))</f>
        <v/>
      </c>
    </row>
    <row r="79" ht="45" customHeight="1" s="58">
      <c r="A79" s="120" t="n">
        <v>71</v>
      </c>
      <c r="B79" s="121" t="inlineStr">
        <is>
          <t>Public API</t>
        </is>
      </c>
      <c r="C79" s="121" t="inlineStr">
        <is>
          <t>Group</t>
        </is>
      </c>
      <c r="D79" s="121" t="inlineStr">
        <is>
          <t>renders role group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Menu playground manual verification.</t>
        </is>
      </c>
      <c r="J79" s="121" t="n"/>
      <c r="K79" s="122">
        <f>IF(AND(E79="yes",F79="yes",H79="covered"),1,IF(H79="partial",0.5,0))</f>
        <v/>
      </c>
    </row>
    <row r="80" ht="30" customHeight="1" s="58">
      <c r="A80" s="120" t="n">
        <v>72</v>
      </c>
      <c r="B80" s="121" t="inlineStr">
        <is>
          <t>Public API</t>
        </is>
      </c>
      <c r="C80" s="121" t="inlineStr">
        <is>
          <t>Group</t>
        </is>
      </c>
      <c r="D80" s="121" t="inlineStr">
        <is>
          <t>data-slot is menu-group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Menu playground manual verification.</t>
        </is>
      </c>
      <c r="J80" s="121" t="n"/>
      <c r="K80" s="122">
        <f>IF(AND(E80="yes",F80="yes",H80="covered"),1,IF(H80="partial",0.5,0))</f>
        <v/>
      </c>
    </row>
    <row r="81" ht="30" customHeight="1" s="58">
      <c r="A81" s="120" t="n">
        <v>73</v>
      </c>
      <c r="B81" s="121" t="inlineStr">
        <is>
          <t>Public API</t>
        </is>
      </c>
      <c r="C81" s="121" t="inlineStr">
        <is>
          <t>Group</t>
        </is>
      </c>
      <c r="D81" s="121" t="inlineStr">
        <is>
          <t>native className and data props pass through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20" t="n">
        <v>74</v>
      </c>
      <c r="B82" s="121" t="inlineStr">
        <is>
          <t>Public API</t>
        </is>
      </c>
      <c r="C82" s="121" t="inlineStr">
        <is>
          <t>Separator</t>
        </is>
      </c>
      <c r="D82" s="121" t="inlineStr">
        <is>
          <t>renders role separator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Menu playground manual verification.</t>
        </is>
      </c>
      <c r="J82" s="121" t="n"/>
      <c r="K82" s="122">
        <f>IF(AND(E82="yes",F82="yes",H82="covered"),1,IF(H82="partial",0.5,0))</f>
        <v/>
      </c>
    </row>
    <row r="83" ht="30" customHeight="1" s="58">
      <c r="A83" s="120" t="n">
        <v>75</v>
      </c>
      <c r="B83" s="121" t="inlineStr">
        <is>
          <t>Public API</t>
        </is>
      </c>
      <c r="C83" s="121" t="inlineStr">
        <is>
          <t>Separator</t>
        </is>
      </c>
      <c r="D83" s="121" t="inlineStr">
        <is>
          <t>aria-orientation is horizontal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Menu playground manual verification.</t>
        </is>
      </c>
      <c r="J83" s="121" t="n"/>
      <c r="K83" s="122">
        <f>IF(AND(E83="yes",F83="yes",H83="covered"),1,IF(H83="partial",0.5,0))</f>
        <v/>
      </c>
    </row>
    <row r="84" ht="30" customHeight="1" s="58">
      <c r="A84" s="120" t="n">
        <v>76</v>
      </c>
      <c r="B84" s="121" t="inlineStr">
        <is>
          <t>Public API</t>
        </is>
      </c>
      <c r="C84" s="121" t="inlineStr">
        <is>
          <t>Separator</t>
        </is>
      </c>
      <c r="D84" s="121" t="inlineStr">
        <is>
          <t>data-slot is menu-separator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Menu playground manual verification.</t>
        </is>
      </c>
      <c r="J84" s="121" t="n"/>
      <c r="K84" s="122">
        <f>IF(AND(E84="yes",F84="yes",H84="covered"),1,IF(H84="partial",0.5,0))</f>
        <v/>
      </c>
    </row>
    <row r="85" ht="30" customHeight="1" s="58">
      <c r="A85" s="120" t="n">
        <v>77</v>
      </c>
      <c r="B85" s="121" t="inlineStr">
        <is>
          <t>Public API</t>
        </is>
      </c>
      <c r="C85" s="121" t="inlineStr">
        <is>
          <t>Separator</t>
        </is>
      </c>
      <c r="D85" s="121" t="inlineStr">
        <is>
          <t>is not keyboard highlightable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Menu playground manual verification.</t>
        </is>
      </c>
      <c r="J85" s="121" t="n"/>
      <c r="K85" s="122">
        <f>IF(AND(E85="yes",F85="yes",H85="covered"),1,IF(H85="partial",0.5,0))</f>
        <v/>
      </c>
    </row>
    <row r="86" ht="30" customHeight="1" s="58">
      <c r="A86" s="120" t="n">
        <v>78</v>
      </c>
      <c r="B86" s="121" t="inlineStr">
        <is>
          <t>Public API</t>
        </is>
      </c>
      <c r="C86" s="121" t="inlineStr">
        <is>
          <t>Sub</t>
        </is>
      </c>
      <c r="D86" s="121" t="inlineStr">
        <is>
          <t>defaultOpen initializes uncontrolled submenu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Menu playground manual verification.</t>
        </is>
      </c>
      <c r="J86" s="121" t="n"/>
      <c r="K86" s="122">
        <f>IF(AND(E86="yes",F86="yes",H86="covered"),1,IF(H86="partial",0.5,0))</f>
        <v/>
      </c>
    </row>
    <row r="87" ht="30" customHeight="1" s="58">
      <c r="A87" s="120" t="n">
        <v>79</v>
      </c>
      <c r="B87" s="121" t="inlineStr">
        <is>
          <t>Public API</t>
        </is>
      </c>
      <c r="C87" s="121" t="inlineStr">
        <is>
          <t>Sub</t>
        </is>
      </c>
      <c r="D87" s="121" t="inlineStr">
        <is>
          <t>open prop controls submenu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Menu playground manual verification.</t>
        </is>
      </c>
      <c r="J87" s="121" t="n"/>
      <c r="K87" s="122">
        <f>IF(AND(E87="yes",F87="yes",H87="covered"),1,IF(H87="partial",0.5,0))</f>
        <v/>
      </c>
    </row>
    <row r="88" ht="30" customHeight="1" s="58">
      <c r="A88" s="120" t="n">
        <v>80</v>
      </c>
      <c r="B88" s="121" t="inlineStr">
        <is>
          <t>Public API</t>
        </is>
      </c>
      <c r="C88" s="121" t="inlineStr">
        <is>
          <t>Sub</t>
        </is>
      </c>
      <c r="D88" s="121" t="inlineStr">
        <is>
          <t>onOpenChange fires for controlled submenu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Menu playground manual verification.</t>
        </is>
      </c>
      <c r="J88" s="121" t="n"/>
      <c r="K88" s="122">
        <f>IF(AND(E88="yes",F88="yes",H88="covered"),1,IF(H88="partial",0.5,0))</f>
        <v/>
      </c>
    </row>
    <row r="89" ht="30" customHeight="1" s="58">
      <c r="A89" s="120" t="n">
        <v>81</v>
      </c>
      <c r="B89" s="121" t="inlineStr">
        <is>
          <t>Public API</t>
        </is>
      </c>
      <c r="C89" s="121" t="inlineStr">
        <is>
          <t>Sub</t>
        </is>
      </c>
      <c r="D89" s="121" t="inlineStr">
        <is>
          <t>only one uncontrolled submenu is open at a time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Menu playground manual verification.</t>
        </is>
      </c>
      <c r="J89" s="121" t="n"/>
      <c r="K89" s="122">
        <f>IF(AND(E89="yes",F89="yes",H89="covered"),1,IF(H89="partial",0.5,0))</f>
        <v/>
      </c>
    </row>
    <row r="90" ht="30" customHeight="1" s="58">
      <c r="A90" s="120" t="n">
        <v>82</v>
      </c>
      <c r="B90" s="121" t="inlineStr">
        <is>
          <t>Public API</t>
        </is>
      </c>
      <c r="C90" s="121" t="inlineStr">
        <is>
          <t>Sub Trigger</t>
        </is>
      </c>
      <c r="D90" s="121" t="inlineStr">
        <is>
          <t>renders role menuitem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Menu playground manual verification.</t>
        </is>
      </c>
      <c r="J90" s="121" t="n"/>
      <c r="K90" s="122">
        <f>IF(AND(E90="yes",F90="yes",H90="covered"),1,IF(H90="partial",0.5,0))</f>
        <v/>
      </c>
    </row>
    <row r="91" ht="30" customHeight="1" s="58">
      <c r="A91" s="120" t="n">
        <v>83</v>
      </c>
      <c r="B91" s="121" t="inlineStr">
        <is>
          <t>Public API</t>
        </is>
      </c>
      <c r="C91" s="121" t="inlineStr">
        <is>
          <t>Sub Trigger</t>
        </is>
      </c>
      <c r="D91" s="121" t="inlineStr">
        <is>
          <t>aria-haspopup is menu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Menu playground manual verification.</t>
        </is>
      </c>
      <c r="J91" s="121" t="n"/>
      <c r="K91" s="122">
        <f>IF(AND(E91="yes",F91="yes",H91="covered"),1,IF(H91="partial",0.5,0))</f>
        <v/>
      </c>
    </row>
    <row r="92" ht="30" customHeight="1" s="58">
      <c r="A92" s="120" t="n">
        <v>84</v>
      </c>
      <c r="B92" s="121" t="inlineStr">
        <is>
          <t>Public API</t>
        </is>
      </c>
      <c r="C92" s="121" t="inlineStr">
        <is>
          <t>Sub Trigger</t>
        </is>
      </c>
      <c r="D92" s="121" t="inlineStr">
        <is>
          <t>aria-expanded reflects submenu open state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Menu playground manual verification.</t>
        </is>
      </c>
      <c r="J92" s="121" t="n"/>
      <c r="K92" s="122">
        <f>IF(AND(E92="yes",F92="yes",H92="covered"),1,IF(H92="partial",0.5,0))</f>
        <v/>
      </c>
    </row>
    <row r="93" ht="30" customHeight="1" s="58">
      <c r="A93" s="120" t="n">
        <v>85</v>
      </c>
      <c r="B93" s="121" t="inlineStr">
        <is>
          <t>Public API</t>
        </is>
      </c>
      <c r="C93" s="121" t="inlineStr">
        <is>
          <t>Sub Trigger</t>
        </is>
      </c>
      <c r="D93" s="121" t="inlineStr">
        <is>
          <t>data-state reflects submenu state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Menu playground manual verification.</t>
        </is>
      </c>
      <c r="J93" s="121" t="n"/>
      <c r="K93" s="122">
        <f>IF(AND(E93="yes",F93="yes",H93="covered"),1,IF(H93="partial",0.5,0))</f>
        <v/>
      </c>
    </row>
    <row r="94" ht="30" customHeight="1" s="58">
      <c r="A94" s="120" t="n">
        <v>86</v>
      </c>
      <c r="B94" s="121" t="inlineStr">
        <is>
          <t>Public API</t>
        </is>
      </c>
      <c r="C94" s="121" t="inlineStr">
        <is>
          <t>Sub Trigger</t>
        </is>
      </c>
      <c r="D94" s="121" t="inlineStr">
        <is>
          <t>data-slot is menu-sub-trigger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Menu playground manual verification.</t>
        </is>
      </c>
      <c r="J94" s="121" t="n"/>
      <c r="K94" s="122">
        <f>IF(AND(E94="yes",F94="yes",H94="covered"),1,IF(H94="partial",0.5,0))</f>
        <v/>
      </c>
    </row>
    <row r="95" ht="30" customHeight="1" s="58">
      <c r="A95" s="120" t="n">
        <v>87</v>
      </c>
      <c r="B95" s="121" t="inlineStr">
        <is>
          <t>Public API</t>
        </is>
      </c>
      <c r="C95" s="121" t="inlineStr">
        <is>
          <t>Sub Trigger</t>
        </is>
      </c>
      <c r="D95" s="121" t="inlineStr">
        <is>
          <t>hover opens submenu after delay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Menu playground manual verification.</t>
        </is>
      </c>
      <c r="J95" s="121" t="n"/>
      <c r="K95" s="122">
        <f>IF(AND(E95="yes",F95="yes",H95="covered"),1,IF(H95="partial",0.5,0))</f>
        <v/>
      </c>
    </row>
    <row r="96" ht="45" customHeight="1" s="58">
      <c r="A96" s="120" t="n">
        <v>88</v>
      </c>
      <c r="B96" s="121" t="inlineStr">
        <is>
          <t>Public API</t>
        </is>
      </c>
      <c r="C96" s="121" t="inlineStr">
        <is>
          <t>Sub Trigger</t>
        </is>
      </c>
      <c r="D96" s="121" t="inlineStr">
        <is>
          <t>click toggles submenu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Menu playground manual verification.</t>
        </is>
      </c>
      <c r="J96" s="121" t="n"/>
      <c r="K96" s="122">
        <f>IF(AND(E96="yes",F96="yes",H96="covered"),1,IF(H96="partial",0.5,0))</f>
        <v/>
      </c>
    </row>
    <row r="97" ht="30" customHeight="1" s="58">
      <c r="A97" s="120" t="n">
        <v>89</v>
      </c>
      <c r="B97" s="121" t="inlineStr">
        <is>
          <t>Public API</t>
        </is>
      </c>
      <c r="C97" s="121" t="inlineStr">
        <is>
          <t>Sub Trigger</t>
        </is>
      </c>
      <c r="D97" s="121" t="inlineStr">
        <is>
          <t>ArrowRight opens submenu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Public API</t>
        </is>
      </c>
      <c r="C98" s="113" t="inlineStr">
        <is>
          <t>Sub Trigger</t>
        </is>
      </c>
      <c r="D98" s="113" t="inlineStr">
        <is>
          <t>disabled sub trigger receives real keyboard focus but cannot open its submenu</t>
        </is>
      </c>
      <c r="E98" s="114" t="inlineStr">
        <is>
          <t>yes</t>
        </is>
      </c>
      <c r="F98" s="115" t="inlineStr">
        <is>
          <t>no</t>
        </is>
      </c>
      <c r="G98" s="112" t="inlineStr">
        <is>
          <t>automated tests pass; manual pending</t>
        </is>
      </c>
      <c r="H98" s="116" t="inlineStr">
        <is>
          <t>untested</t>
        </is>
      </c>
      <c r="I98" s="113" t="inlineStr">
        <is>
          <t>playground/.manual-tests/menu.md (draft)</t>
        </is>
      </c>
      <c r="J98" s="113" t="inlineStr">
        <is>
          <t>Run the updated component Manual Test Protocol and named browser/device matrix.</t>
        </is>
      </c>
      <c r="K98" s="117">
        <f>IF(AND(E98="yes",F98="yes",H98="covered"),1,IF(H98="partial",0.5,0))</f>
        <v/>
      </c>
    </row>
    <row r="99" ht="30" customHeight="1" s="58">
      <c r="A99" s="120" t="n">
        <v>91</v>
      </c>
      <c r="B99" s="121" t="inlineStr">
        <is>
          <t>Public API</t>
        </is>
      </c>
      <c r="C99" s="121" t="inlineStr">
        <is>
          <t>Sub Trigger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Menu playground manual verification.</t>
        </is>
      </c>
      <c r="J99" s="121" t="n"/>
      <c r="K99" s="122">
        <f>IF(AND(E99="yes",F99="yes",H99="covered"),1,IF(H99="partial",0.5,0))</f>
        <v/>
      </c>
    </row>
    <row r="100" ht="30" customHeight="1" s="58">
      <c r="A100" s="120" t="n">
        <v>92</v>
      </c>
      <c r="B100" s="121" t="inlineStr">
        <is>
          <t>Public API</t>
        </is>
      </c>
      <c r="C100" s="121" t="inlineStr">
        <is>
          <t>Sub Content</t>
        </is>
      </c>
      <c r="D100" s="121" t="inlineStr">
        <is>
          <t>renders role menu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Menu playground manual verification.</t>
        </is>
      </c>
      <c r="J100" s="121" t="n"/>
      <c r="K100" s="122">
        <f>IF(AND(E100="yes",F100="yes",H100="covered"),1,IF(H100="partial",0.5,0))</f>
        <v/>
      </c>
    </row>
    <row r="101" ht="30" customHeight="1" s="58">
      <c r="A101" s="120" t="n">
        <v>93</v>
      </c>
      <c r="B101" s="121" t="inlineStr">
        <is>
          <t>Public API</t>
        </is>
      </c>
      <c r="C101" s="121" t="inlineStr">
        <is>
          <t>Sub Content</t>
        </is>
      </c>
      <c r="D101" s="121" t="inlineStr">
        <is>
          <t>aria-label prop names submenu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Menu playground manual verification.</t>
        </is>
      </c>
      <c r="J101" s="121" t="n"/>
      <c r="K101" s="122">
        <f>IF(AND(E101="yes",F101="yes",H101="covered"),1,IF(H101="partial",0.5,0))</f>
        <v/>
      </c>
    </row>
    <row r="102" ht="30" customHeight="1" s="58">
      <c r="A102" s="120" t="n">
        <v>94</v>
      </c>
      <c r="B102" s="121" t="inlineStr">
        <is>
          <t>Public API</t>
        </is>
      </c>
      <c r="C102" s="121" t="inlineStr">
        <is>
          <t>Sub Content</t>
        </is>
      </c>
      <c r="D102" s="121" t="inlineStr">
        <is>
          <t>aria-labelledby references sub trigger when ariaLabel is absent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Menu playground manual verification.</t>
        </is>
      </c>
      <c r="J102" s="121" t="n"/>
      <c r="K102" s="122">
        <f>IF(AND(E102="yes",F102="yes",H102="covered"),1,IF(H102="partial",0.5,0))</f>
        <v/>
      </c>
    </row>
    <row r="103" ht="30" customHeight="1" s="58">
      <c r="A103" s="120" t="n">
        <v>95</v>
      </c>
      <c r="B103" s="121" t="inlineStr">
        <is>
          <t>Public API</t>
        </is>
      </c>
      <c r="C103" s="121" t="inlineStr">
        <is>
          <t>Sub Content</t>
        </is>
      </c>
      <c r="D103" s="121" t="inlineStr">
        <is>
          <t>data-slot is menu-sub-content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Menu playground manual verification.</t>
        </is>
      </c>
      <c r="J103" s="121" t="n"/>
      <c r="K103" s="122">
        <f>IF(AND(E103="yes",F103="yes",H103="covered"),1,IF(H103="partial",0.5,0))</f>
        <v/>
      </c>
    </row>
    <row r="104" ht="30" customHeight="1" s="58">
      <c r="A104" s="120" t="n">
        <v>96</v>
      </c>
      <c r="B104" s="121" t="inlineStr">
        <is>
          <t>Public API</t>
        </is>
      </c>
      <c r="C104" s="121" t="inlineStr">
        <is>
          <t>Sub Content</t>
        </is>
      </c>
      <c r="D104" s="121" t="inlineStr">
        <is>
          <t>data-state is open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Menu playground manual verification.</t>
        </is>
      </c>
      <c r="J104" s="121" t="n"/>
      <c r="K104" s="122">
        <f>IF(AND(E104="yes",F104="yes",H104="covered"),1,IF(H104="partial",0.5,0))</f>
        <v/>
      </c>
    </row>
    <row r="105" ht="30" customHeight="1" s="58">
      <c r="A105" s="120" t="n">
        <v>97</v>
      </c>
      <c r="B105" s="121" t="inlineStr">
        <is>
          <t>Public API</t>
        </is>
      </c>
      <c r="C105" s="121" t="inlineStr">
        <is>
          <t>Sub Content</t>
        </is>
      </c>
      <c r="D105" s="121" t="inlineStr">
        <is>
          <t>data-side reflects final placement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Menu playground manual verification.</t>
        </is>
      </c>
      <c r="J105" s="121" t="n"/>
      <c r="K105" s="122">
        <f>IF(AND(E105="yes",F105="yes",H105="covered"),1,IF(H105="partial",0.5,0))</f>
        <v/>
      </c>
    </row>
    <row r="106" ht="30" customHeight="1" s="58">
      <c r="A106" s="120" t="n">
        <v>98</v>
      </c>
      <c r="B106" s="121" t="inlineStr">
        <is>
          <t>Public API</t>
        </is>
      </c>
      <c r="C106" s="121" t="inlineStr">
        <is>
          <t>Sub Content</t>
        </is>
      </c>
      <c r="D106" s="121" t="inlineStr">
        <is>
          <t>data-positioned appears after positioning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Menu playground manual verification.</t>
        </is>
      </c>
      <c r="J106" s="121" t="n"/>
      <c r="K106" s="122">
        <f>IF(AND(E106="yes",F106="yes",H106="covered"),1,IF(H106="partial",0.5,0))</f>
        <v/>
      </c>
    </row>
    <row r="107" ht="30" customHeight="1" s="58">
      <c r="A107" s="120" t="n">
        <v>99</v>
      </c>
      <c r="B107" s="121" t="inlineStr">
        <is>
          <t>Public API</t>
        </is>
      </c>
      <c r="C107" s="121" t="inlineStr">
        <is>
          <t>Sub Content</t>
        </is>
      </c>
      <c r="D107" s="121" t="inlineStr">
        <is>
          <t>sideOffset changes submenu distance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Menu playground manual verification.</t>
        </is>
      </c>
      <c r="J107" s="121" t="n"/>
      <c r="K107" s="122">
        <f>IF(AND(E107="yes",F107="yes",H107="covered"),1,IF(H107="partial",0.5,0))</f>
        <v/>
      </c>
    </row>
    <row r="108" ht="30" customHeight="1" s="58">
      <c r="A108" s="120" t="n">
        <v>100</v>
      </c>
      <c r="B108" s="121" t="inlineStr">
        <is>
          <t>Public API</t>
        </is>
      </c>
      <c r="C108" s="121" t="inlineStr">
        <is>
          <t>Sub Content</t>
        </is>
      </c>
      <c r="D108" s="121" t="inlineStr">
        <is>
          <t>loop prop controls submenu wrapping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Menu playground manual verification.</t>
        </is>
      </c>
      <c r="J108" s="121" t="n"/>
      <c r="K108" s="122">
        <f>IF(AND(E108="yes",F108="yes",H108="covered"),1,IF(H108="partial",0.5,0))</f>
        <v/>
      </c>
    </row>
    <row r="109" ht="30" customHeight="1" s="58">
      <c r="A109" s="120" t="n">
        <v>101</v>
      </c>
      <c r="B109" s="121" t="inlineStr">
        <is>
          <t>Interaction</t>
        </is>
      </c>
      <c r="C109" s="121" t="inlineStr">
        <is>
          <t>Open And Close</t>
        </is>
      </c>
      <c r="D109" s="121" t="inlineStr">
        <is>
          <t>open button opens menu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Menu playground manual verification.</t>
        </is>
      </c>
      <c r="J109" s="121" t="n"/>
      <c r="K109" s="122">
        <f>IF(AND(E109="yes",F109="yes",H109="covered"),1,IF(H109="partial",0.5,0))</f>
        <v/>
      </c>
    </row>
    <row r="110" ht="30" customHeight="1" s="58">
      <c r="A110" s="120" t="n">
        <v>102</v>
      </c>
      <c r="B110" s="121" t="inlineStr">
        <is>
          <t>Interaction</t>
        </is>
      </c>
      <c r="C110" s="121" t="inlineStr">
        <is>
          <t>Open And Close</t>
        </is>
      </c>
      <c r="D110" s="121" t="inlineStr">
        <is>
          <t>controlled open button opens menu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20" t="n">
        <v>103</v>
      </c>
      <c r="B111" s="121" t="inlineStr">
        <is>
          <t>Interaction</t>
        </is>
      </c>
      <c r="C111" s="121" t="inlineStr">
        <is>
          <t>Open And Close</t>
        </is>
      </c>
      <c r="D111" s="121" t="inlineStr">
        <is>
          <t>controlled close button closes menu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Menu playground manual verification.</t>
        </is>
      </c>
      <c r="J111" s="121" t="n"/>
      <c r="K111" s="122">
        <f>IF(AND(E111="yes",F111="yes",H111="covered"),1,IF(H111="partial",0.5,0))</f>
        <v/>
      </c>
    </row>
    <row r="112" ht="30" customHeight="1" s="58">
      <c r="A112" s="120" t="n">
        <v>104</v>
      </c>
      <c r="B112" s="121" t="inlineStr">
        <is>
          <t>Interaction</t>
        </is>
      </c>
      <c r="C112" s="121" t="inlineStr">
        <is>
          <t>Open And Close</t>
        </is>
      </c>
      <c r="D112" s="121" t="inlineStr">
        <is>
          <t>outside click closes root menu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Menu playground manual verification.</t>
        </is>
      </c>
      <c r="J112" s="121" t="n"/>
      <c r="K112" s="122">
        <f>IF(AND(E112="yes",F112="yes",H112="covered"),1,IF(H112="partial",0.5,0))</f>
        <v/>
      </c>
    </row>
    <row r="113" ht="30" customHeight="1" s="58">
      <c r="A113" s="120" t="n">
        <v>105</v>
      </c>
      <c r="B113" s="121" t="inlineStr">
        <is>
          <t>Interaction</t>
        </is>
      </c>
      <c r="C113" s="121" t="inlineStr">
        <is>
          <t>Open And Close</t>
        </is>
      </c>
      <c r="D113" s="121" t="inlineStr">
        <is>
          <t>outside click closes submenu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Menu playground manual verification.</t>
        </is>
      </c>
      <c r="J113" s="121" t="n"/>
      <c r="K113" s="122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Interaction</t>
        </is>
      </c>
      <c r="C114" s="113" t="inlineStr">
        <is>
          <t>Open And Close</t>
        </is>
      </c>
      <c r="D114" s="113" t="inlineStr">
        <is>
          <t>Tab closes every menu level and moves focus after the complete owner boundary</t>
        </is>
      </c>
      <c r="E114" s="114" t="inlineStr">
        <is>
          <t>yes</t>
        </is>
      </c>
      <c r="F114" s="115" t="inlineStr">
        <is>
          <t>no</t>
        </is>
      </c>
      <c r="G114" s="112" t="inlineStr">
        <is>
          <t>automated tests pass; manual pending</t>
        </is>
      </c>
      <c r="H114" s="116" t="inlineStr">
        <is>
          <t>untested</t>
        </is>
      </c>
      <c r="I114" s="113" t="inlineStr">
        <is>
          <t>playground/.manual-tests/menu.md (draft)</t>
        </is>
      </c>
      <c r="J114" s="113" t="inlineStr">
        <is>
          <t>Run the updated component Manual Test Protocol and named browser/device matrix.</t>
        </is>
      </c>
      <c r="K114" s="117">
        <f>IF(AND(E114="yes",F114="yes",H114="covered"),1,IF(H114="partial",0.5,0))</f>
        <v/>
      </c>
    </row>
    <row r="115" ht="30" customHeight="1" s="58">
      <c r="A115" s="120" t="n">
        <v>107</v>
      </c>
      <c r="B115" s="121" t="inlineStr">
        <is>
          <t>Interaction</t>
        </is>
      </c>
      <c r="C115" s="121" t="inlineStr">
        <is>
          <t>Open And Close</t>
        </is>
      </c>
      <c r="D115" s="121" t="inlineStr">
        <is>
          <t>Escape closes root menu and returns focus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Menu playground manual verification.</t>
        </is>
      </c>
      <c r="J115" s="121" t="n"/>
      <c r="K115" s="122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Interaction</t>
        </is>
      </c>
      <c r="C116" s="113" t="inlineStr">
        <is>
          <t>Open And Close</t>
        </is>
      </c>
      <c r="D116" s="113" t="inlineStr">
        <is>
          <t>Escape closes the innermost submenu first and restores real focus to its SubTrigger</t>
        </is>
      </c>
      <c r="E116" s="114" t="inlineStr">
        <is>
          <t>yes</t>
        </is>
      </c>
      <c r="F116" s="115" t="inlineStr">
        <is>
          <t>no</t>
        </is>
      </c>
      <c r="G116" s="112" t="inlineStr">
        <is>
          <t>automated tests pass; manual pending</t>
        </is>
      </c>
      <c r="H116" s="116" t="inlineStr">
        <is>
          <t>untested</t>
        </is>
      </c>
      <c r="I116" s="113" t="inlineStr">
        <is>
          <t>playground/.manual-tests/menu.md (draft)</t>
        </is>
      </c>
      <c r="J116" s="113" t="inlineStr">
        <is>
          <t>Run the updated component Manual Test Protocol and named browser/device matrix.</t>
        </is>
      </c>
      <c r="K116" s="117">
        <f>IF(AND(E116="yes",F116="yes",H116="covered"),1,IF(H116="partial",0.5,0))</f>
        <v/>
      </c>
    </row>
    <row r="117" ht="30" customHeight="1" s="58">
      <c r="A117" s="120" t="n">
        <v>109</v>
      </c>
      <c r="B117" s="121" t="inlineStr">
        <is>
          <t>Interaction</t>
        </is>
      </c>
      <c r="C117" s="121" t="inlineStr">
        <is>
          <t>Open And Close</t>
        </is>
      </c>
      <c r="D117" s="121" t="inlineStr">
        <is>
          <t>selecting action item closes menu when enabled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Menu playground manual verification.</t>
        </is>
      </c>
      <c r="J117" s="121" t="n"/>
      <c r="K117" s="122">
        <f>IF(AND(E117="yes",F117="yes",H117="covered"),1,IF(H117="partial",0.5,0))</f>
        <v/>
      </c>
    </row>
    <row r="118" ht="30" customHeight="1" s="58">
      <c r="A118" s="120" t="n">
        <v>110</v>
      </c>
      <c r="B118" s="121" t="inlineStr">
        <is>
          <t>Interaction</t>
        </is>
      </c>
      <c r="C118" s="121" t="inlineStr">
        <is>
          <t>Open And Close</t>
        </is>
      </c>
      <c r="D118" s="121" t="inlineStr">
        <is>
          <t>selecting checkbox/radio stays open by default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Menu playground manual verification.</t>
        </is>
      </c>
      <c r="J118" s="121" t="n"/>
      <c r="K118" s="122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Keyboard</t>
        </is>
      </c>
      <c r="C119" s="113" t="inlineStr">
        <is>
          <t>Navigation</t>
        </is>
      </c>
      <c r="D119" s="113" t="inlineStr">
        <is>
          <t>ArrowDown moves real focus to the next item, including disabled items</t>
        </is>
      </c>
      <c r="E119" s="114" t="inlineStr">
        <is>
          <t>yes</t>
        </is>
      </c>
      <c r="F119" s="115" t="inlineStr">
        <is>
          <t>no</t>
        </is>
      </c>
      <c r="G119" s="112" t="inlineStr">
        <is>
          <t>automated tests pass; manual pending</t>
        </is>
      </c>
      <c r="H119" s="116" t="inlineStr">
        <is>
          <t>untested</t>
        </is>
      </c>
      <c r="I119" s="113" t="inlineStr">
        <is>
          <t>playground/.manual-tests/menu.md (draft)</t>
        </is>
      </c>
      <c r="J119" s="113" t="inlineStr">
        <is>
          <t>Run the updated component Manual Test Protocol and named browser/device matrix.</t>
        </is>
      </c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Keyboard</t>
        </is>
      </c>
      <c r="C120" s="113" t="inlineStr">
        <is>
          <t>Navigation</t>
        </is>
      </c>
      <c r="D120" s="113" t="inlineStr">
        <is>
          <t>ArrowUp moves real focus to the previous item, including disabled items</t>
        </is>
      </c>
      <c r="E120" s="114" t="inlineStr">
        <is>
          <t>yes</t>
        </is>
      </c>
      <c r="F120" s="115" t="inlineStr">
        <is>
          <t>no</t>
        </is>
      </c>
      <c r="G120" s="112" t="inlineStr">
        <is>
          <t>automated tests pass; manual pending</t>
        </is>
      </c>
      <c r="H120" s="116" t="inlineStr">
        <is>
          <t>untested</t>
        </is>
      </c>
      <c r="I120" s="113" t="inlineStr">
        <is>
          <t>playground/.manual-tests/menu.md (draft)</t>
        </is>
      </c>
      <c r="J120" s="113" t="inlineStr">
        <is>
          <t>Run the updated component Manual Test Protocol and named browser/device matrix.</t>
        </is>
      </c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Keyboard</t>
        </is>
      </c>
      <c r="C121" s="113" t="inlineStr">
        <is>
          <t>Navigation</t>
        </is>
      </c>
      <c r="D121" s="113" t="inlineStr">
        <is>
          <t>Home moves real focus to the first item</t>
        </is>
      </c>
      <c r="E121" s="114" t="inlineStr">
        <is>
          <t>yes</t>
        </is>
      </c>
      <c r="F121" s="115" t="inlineStr">
        <is>
          <t>no</t>
        </is>
      </c>
      <c r="G121" s="112" t="inlineStr">
        <is>
          <t>automated tests pass; manual pending</t>
        </is>
      </c>
      <c r="H121" s="116" t="inlineStr">
        <is>
          <t>untested</t>
        </is>
      </c>
      <c r="I121" s="113" t="inlineStr">
        <is>
          <t>playground/.manual-tests/menu.md (draft)</t>
        </is>
      </c>
      <c r="J121" s="113" t="inlineStr">
        <is>
          <t>Run the updated component Manual Test Protocol and named browser/device matrix.</t>
        </is>
      </c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Keyboard</t>
        </is>
      </c>
      <c r="C122" s="113" t="inlineStr">
        <is>
          <t>Navigation</t>
        </is>
      </c>
      <c r="D122" s="113" t="inlineStr">
        <is>
          <t>End moves real focus to the last item</t>
        </is>
      </c>
      <c r="E122" s="114" t="inlineStr">
        <is>
          <t>yes</t>
        </is>
      </c>
      <c r="F122" s="115" t="inlineStr">
        <is>
          <t>no</t>
        </is>
      </c>
      <c r="G122" s="112" t="inlineStr">
        <is>
          <t>automated tests pass; manual pending</t>
        </is>
      </c>
      <c r="H122" s="116" t="inlineStr">
        <is>
          <t>untested</t>
        </is>
      </c>
      <c r="I122" s="113" t="inlineStr">
        <is>
          <t>playground/.manual-tests/menu.md (draft)</t>
        </is>
      </c>
      <c r="J122" s="113" t="inlineStr">
        <is>
          <t>Run the updated component Manual Test Protocol and named browser/device matrix.</t>
        </is>
      </c>
      <c r="K122" s="117">
        <f>IF(AND(E122="yes",F122="yes",H122="covered"),1,IF(H122="partial",0.5,0))</f>
        <v/>
      </c>
    </row>
    <row r="123" ht="30" customHeight="1" s="58">
      <c r="A123" s="120" t="n">
        <v>115</v>
      </c>
      <c r="B123" s="121" t="inlineStr">
        <is>
          <t>Keyboard</t>
        </is>
      </c>
      <c r="C123" s="121" t="inlineStr">
        <is>
          <t>Navigation</t>
        </is>
      </c>
      <c r="D123" s="121" t="inlineStr">
        <is>
          <t>loop forward wraps to first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Menu playground manual verification.</t>
        </is>
      </c>
      <c r="J123" s="121" t="n"/>
      <c r="K123" s="122">
        <f>IF(AND(E123="yes",F123="yes",H123="covered"),1,IF(H123="partial",0.5,0))</f>
        <v/>
      </c>
    </row>
    <row r="124" ht="30" customHeight="1" s="58">
      <c r="A124" s="120" t="n">
        <v>116</v>
      </c>
      <c r="B124" s="121" t="inlineStr">
        <is>
          <t>Keyboard</t>
        </is>
      </c>
      <c r="C124" s="121" t="inlineStr">
        <is>
          <t>Navigation</t>
        </is>
      </c>
      <c r="D124" s="121" t="inlineStr">
        <is>
          <t>loop backward wraps to last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Menu playground manual verification.</t>
        </is>
      </c>
      <c r="J124" s="121" t="n"/>
      <c r="K124" s="122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Keyboard</t>
        </is>
      </c>
      <c r="C125" s="113" t="inlineStr">
        <is>
          <t>Navigation</t>
        </is>
      </c>
      <c r="D125" s="113" t="inlineStr">
        <is>
          <t>disabled items participate in Arrow and typeahead focus movement but never activate</t>
        </is>
      </c>
      <c r="E125" s="114" t="inlineStr">
        <is>
          <t>yes</t>
        </is>
      </c>
      <c r="F125" s="115" t="inlineStr">
        <is>
          <t>no</t>
        </is>
      </c>
      <c r="G125" s="112" t="inlineStr">
        <is>
          <t>automated tests pass; manual pending</t>
        </is>
      </c>
      <c r="H125" s="116" t="inlineStr">
        <is>
          <t>untested</t>
        </is>
      </c>
      <c r="I125" s="113" t="inlineStr">
        <is>
          <t>playground/.manual-tests/menu.md (draft)</t>
        </is>
      </c>
      <c r="J125" s="113" t="inlineStr">
        <is>
          <t>Run the updated component Manual Test Protocol and named browser/device matrix.</t>
        </is>
      </c>
      <c r="K125" s="117">
        <f>IF(AND(E125="yes",F125="yes",H125="covered"),1,IF(H125="partial",0.5,0))</f>
        <v/>
      </c>
    </row>
    <row r="126" ht="30" customHeight="1" s="58">
      <c r="A126" s="120" t="n">
        <v>118</v>
      </c>
      <c r="B126" s="121" t="inlineStr">
        <is>
          <t>Keyboard</t>
        </is>
      </c>
      <c r="C126" s="121" t="inlineStr">
        <is>
          <t>Navigation</t>
        </is>
      </c>
      <c r="D126" s="121" t="inlineStr">
        <is>
          <t>separator is skipped by Arrow keys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Menu playground manual verification.</t>
        </is>
      </c>
      <c r="J126" s="121" t="n"/>
      <c r="K126" s="122">
        <f>IF(AND(E126="yes",F126="yes",H126="covered"),1,IF(H126="partial",0.5,0))</f>
        <v/>
      </c>
    </row>
    <row r="127" ht="30" customHeight="1" s="58">
      <c r="A127" s="120" t="n">
        <v>119</v>
      </c>
      <c r="B127" s="121" t="inlineStr">
        <is>
          <t>Keyboard</t>
        </is>
      </c>
      <c r="C127" s="121" t="inlineStr">
        <is>
          <t>Navigation</t>
        </is>
      </c>
      <c r="D127" s="121" t="inlineStr">
        <is>
          <t>Enter activates highlighted item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Menu playground manual verification.</t>
        </is>
      </c>
      <c r="J127" s="121" t="n"/>
      <c r="K127" s="122">
        <f>IF(AND(E127="yes",F127="yes",H127="covered"),1,IF(H127="partial",0.5,0))</f>
        <v/>
      </c>
    </row>
    <row r="128" ht="30" customHeight="1" s="58">
      <c r="A128" s="120" t="n">
        <v>120</v>
      </c>
      <c r="B128" s="121" t="inlineStr">
        <is>
          <t>Keyboard</t>
        </is>
      </c>
      <c r="C128" s="121" t="inlineStr">
        <is>
          <t>Navigation</t>
        </is>
      </c>
      <c r="D128" s="121" t="inlineStr">
        <is>
          <t>Space activates highlighted item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Menu playground manual verification.</t>
        </is>
      </c>
      <c r="J128" s="121" t="n"/>
      <c r="K128" s="122">
        <f>IF(AND(E128="yes",F128="yes",H128="covered"),1,IF(H128="partial",0.5,0))</f>
        <v/>
      </c>
    </row>
    <row r="129" ht="30" customHeight="1" s="58">
      <c r="A129" s="120" t="n">
        <v>121</v>
      </c>
      <c r="B129" s="121" t="inlineStr">
        <is>
          <t>Keyboard</t>
        </is>
      </c>
      <c r="C129" s="121" t="inlineStr">
        <is>
          <t>Navigation</t>
        </is>
      </c>
      <c r="D129" s="121" t="inlineStr">
        <is>
          <t>typeahead highlights matching item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Menu playground manual verification.</t>
        </is>
      </c>
      <c r="J129" s="121" t="n"/>
      <c r="K129" s="122">
        <f>IF(AND(E129="yes",F129="yes",H129="covered"),1,IF(H129="partial",0.5,0))</f>
        <v/>
      </c>
    </row>
    <row r="130" ht="30" customHeight="1" s="58">
      <c r="A130" s="120" t="n">
        <v>122</v>
      </c>
      <c r="B130" s="121" t="inlineStr">
        <is>
          <t>Keyboard</t>
        </is>
      </c>
      <c r="C130" s="121" t="inlineStr">
        <is>
          <t>Navigation</t>
        </is>
      </c>
      <c r="D130" s="121" t="inlineStr">
        <is>
          <t>typeahead uses explicit textValue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Menu playground manual verification.</t>
        </is>
      </c>
      <c r="J130" s="121" t="n"/>
      <c r="K130" s="122">
        <f>IF(AND(E130="yes",F130="yes",H130="covered"),1,IF(H130="partial",0.5,0))</f>
        <v/>
      </c>
    </row>
    <row r="131" ht="30" customHeight="1" s="58">
      <c r="A131" s="120" t="n">
        <v>123</v>
      </c>
      <c r="B131" s="121" t="inlineStr">
        <is>
          <t>Keyboard</t>
        </is>
      </c>
      <c r="C131" s="121" t="inlineStr">
        <is>
          <t>Navigation</t>
        </is>
      </c>
      <c r="D131" s="121" t="inlineStr">
        <is>
          <t>typeahead buffer resets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Menu playground manual verification.</t>
        </is>
      </c>
      <c r="J131" s="121" t="n"/>
      <c r="K131" s="122">
        <f>IF(AND(E131="yes",F131="yes",H131="covered"),1,IF(H131="partial",0.5,0))</f>
        <v/>
      </c>
    </row>
    <row r="132" ht="30" customHeight="1" s="58">
      <c r="A132" s="120" t="n">
        <v>124</v>
      </c>
      <c r="B132" s="121" t="inlineStr">
        <is>
          <t>Keyboard</t>
        </is>
      </c>
      <c r="C132" s="121" t="inlineStr">
        <is>
          <t>Navigation</t>
        </is>
      </c>
      <c r="D132" s="121" t="inlineStr">
        <is>
          <t>submenu has independent highlight state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Menu playground manual verification.</t>
        </is>
      </c>
      <c r="J132" s="121" t="n"/>
      <c r="K132" s="122">
        <f>IF(AND(E132="yes",F132="yes",H132="covered"),1,IF(H132="partial",0.5,0))</f>
        <v/>
      </c>
    </row>
    <row r="133" ht="30" customHeight="1" s="58">
      <c r="A133" s="120" t="n">
        <v>125</v>
      </c>
      <c r="B133" s="121" t="inlineStr">
        <is>
          <t>Keyboard</t>
        </is>
      </c>
      <c r="C133" s="121" t="inlineStr">
        <is>
          <t>Navigation</t>
        </is>
      </c>
      <c r="D133" s="121" t="inlineStr">
        <is>
          <t>ArrowLeft closes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20" t="n">
        <v>126</v>
      </c>
      <c r="B134" s="121" t="inlineStr">
        <is>
          <t>Keyboard</t>
        </is>
      </c>
      <c r="C134" s="121" t="inlineStr">
        <is>
          <t>Navigation</t>
        </is>
      </c>
      <c r="D134" s="121" t="inlineStr">
        <is>
          <t>ArrowRight opens nested submenu from submenu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Menu playground manual verification.</t>
        </is>
      </c>
      <c r="J134" s="121" t="n"/>
      <c r="K134" s="122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Pointer</t>
        </is>
      </c>
      <c r="C135" s="113" t="inlineStr">
        <is>
          <t>Highlight</t>
        </is>
      </c>
      <c r="D135" s="113" t="inlineStr">
        <is>
          <t>mouse pointer enter moves real focus and highlight to the item</t>
        </is>
      </c>
      <c r="E135" s="114" t="inlineStr">
        <is>
          <t>yes</t>
        </is>
      </c>
      <c r="F135" s="115" t="inlineStr">
        <is>
          <t>no</t>
        </is>
      </c>
      <c r="G135" s="112" t="inlineStr">
        <is>
          <t>automated tests pass; manual pending</t>
        </is>
      </c>
      <c r="H135" s="116" t="inlineStr">
        <is>
          <t>untested</t>
        </is>
      </c>
      <c r="I135" s="113" t="inlineStr">
        <is>
          <t>playground/.manual-tests/menu.md (draft)</t>
        </is>
      </c>
      <c r="J135" s="113" t="inlineStr">
        <is>
          <t>Run the updated component Manual Test Protocol and named browser/device matrix.</t>
        </is>
      </c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Pointer</t>
        </is>
      </c>
      <c r="C136" s="113" t="inlineStr">
        <is>
          <t>Highlight</t>
        </is>
      </c>
      <c r="D136" s="113" t="inlineStr">
        <is>
          <t>pointer leave preserves the current real item focus</t>
        </is>
      </c>
      <c r="E136" s="114" t="inlineStr">
        <is>
          <t>yes</t>
        </is>
      </c>
      <c r="F136" s="115" t="inlineStr">
        <is>
          <t>no</t>
        </is>
      </c>
      <c r="G136" s="112" t="inlineStr">
        <is>
          <t>automated tests pass; manual pending</t>
        </is>
      </c>
      <c r="H136" s="116" t="inlineStr">
        <is>
          <t>untested</t>
        </is>
      </c>
      <c r="I136" s="113" t="inlineStr">
        <is>
          <t>playground/.manual-tests/menu.md (draft)</t>
        </is>
      </c>
      <c r="J136" s="113" t="inlineStr">
        <is>
          <t>Run the updated component Manual Test Protocol and named browser/device matrix.</t>
        </is>
      </c>
      <c r="K136" s="117">
        <f>IF(AND(E136="yes",F136="yes",H136="covered"),1,IF(H136="partial",0.5,0))</f>
        <v/>
      </c>
    </row>
    <row r="137" ht="30" customHeight="1" s="58">
      <c r="A137" s="120" t="n">
        <v>129</v>
      </c>
      <c r="B137" s="121" t="inlineStr">
        <is>
          <t>Pointer</t>
        </is>
      </c>
      <c r="C137" s="121" t="inlineStr">
        <is>
          <t>Highlight</t>
        </is>
      </c>
      <c r="D137" s="121" t="inlineStr">
        <is>
          <t>hovering group labels or gaps does not reset initial highlight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Menu playground manual verification.</t>
        </is>
      </c>
      <c r="J137" s="121" t="n"/>
      <c r="K137" s="122">
        <f>IF(AND(E137="yes",F137="yes",H137="covered"),1,IF(H137="partial",0.5,0))</f>
        <v/>
      </c>
    </row>
    <row r="138" ht="30" customHeight="1" s="58">
      <c r="A138" s="120" t="n">
        <v>130</v>
      </c>
      <c r="B138" s="121" t="inlineStr">
        <is>
          <t>Pointer</t>
        </is>
      </c>
      <c r="C138" s="121" t="inlineStr">
        <is>
          <t>Highlight</t>
        </is>
      </c>
      <c r="D138" s="121" t="inlineStr">
        <is>
          <t>hovering item closes previously open submenu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Menu playground manual verification.</t>
        </is>
      </c>
      <c r="J138" s="121" t="n"/>
      <c r="K138" s="122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Pointer</t>
        </is>
      </c>
      <c r="C139" s="113" t="inlineStr">
        <is>
          <t>Highlight</t>
        </is>
      </c>
      <c r="D139" s="113" t="inlineStr">
        <is>
          <t>mouse hover may focus and highlight a disabled item without activating it</t>
        </is>
      </c>
      <c r="E139" s="114" t="inlineStr">
        <is>
          <t>yes</t>
        </is>
      </c>
      <c r="F139" s="115" t="inlineStr">
        <is>
          <t>no</t>
        </is>
      </c>
      <c r="G139" s="112" t="inlineStr">
        <is>
          <t>automated tests pass; manual pending</t>
        </is>
      </c>
      <c r="H139" s="116" t="inlineStr">
        <is>
          <t>untested</t>
        </is>
      </c>
      <c r="I139" s="113" t="inlineStr">
        <is>
          <t>playground/.manual-tests/menu.md (draft)</t>
        </is>
      </c>
      <c r="J139" s="113" t="inlineStr">
        <is>
          <t>Run the updated component Manual Test Protocol and named browser/device matrix.</t>
        </is>
      </c>
      <c r="K139" s="117">
        <f>IF(AND(E139="yes",F139="yes",H139="covered"),1,IF(H139="partial",0.5,0))</f>
        <v/>
      </c>
    </row>
    <row r="140" ht="30" customHeight="1" s="58">
      <c r="A140" s="120" t="n">
        <v>132</v>
      </c>
      <c r="B140" s="121" t="inlineStr">
        <is>
          <t>Accessibility</t>
        </is>
      </c>
      <c r="C140" s="121" t="inlineStr">
        <is>
          <t>Relationships</t>
        </is>
      </c>
      <c r="D140" s="121" t="inlineStr">
        <is>
          <t>content has accessible name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Menu playground manual verification.</t>
        </is>
      </c>
      <c r="J140" s="121" t="n"/>
      <c r="K140" s="122">
        <f>IF(AND(E140="yes",F140="yes",H140="covered"),1,IF(H140="partial",0.5,0))</f>
        <v/>
      </c>
    </row>
    <row r="141" ht="30" customHeight="1" s="58">
      <c r="A141" s="120" t="n">
        <v>133</v>
      </c>
      <c r="B141" s="121" t="inlineStr">
        <is>
          <t>Accessibility</t>
        </is>
      </c>
      <c r="C141" s="121" t="inlineStr">
        <is>
          <t>Relationships</t>
        </is>
      </c>
      <c r="D141" s="121" t="inlineStr">
        <is>
          <t>content references trigger when unnamed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Menu playground manual verification.</t>
        </is>
      </c>
      <c r="J141" s="121" t="n"/>
      <c r="K141" s="122">
        <f>IF(AND(E141="yes",F141="yes",H141="covered"),1,IF(H141="partial",0.5,0))</f>
        <v/>
      </c>
    </row>
    <row r="142" ht="30" customHeight="1" s="58">
      <c r="A142" s="120" t="n">
        <v>134</v>
      </c>
      <c r="B142" s="121" t="inlineStr">
        <is>
          <t>Accessibility</t>
        </is>
      </c>
      <c r="C142" s="121" t="inlineStr">
        <is>
          <t>Relationships</t>
        </is>
      </c>
      <c r="D142" s="121" t="inlineStr">
        <is>
          <t>sub content references sub trigger when unnamed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Menu playground manual verification.</t>
        </is>
      </c>
      <c r="J142" s="121" t="n"/>
      <c r="K142" s="122">
        <f>IF(AND(E142="yes",F142="yes",H142="covered"),1,IF(H142="partial",0.5,0))</f>
        <v/>
      </c>
    </row>
    <row r="143" ht="30" customHeight="1" s="58">
      <c r="A143" s="120" t="n">
        <v>135</v>
      </c>
      <c r="B143" s="121" t="inlineStr">
        <is>
          <t>Accessibility</t>
        </is>
      </c>
      <c r="C143" s="121" t="inlineStr">
        <is>
          <t>Relationships</t>
        </is>
      </c>
      <c r="D143" s="121" t="inlineStr">
        <is>
          <t>checked states are exposed through aria-checked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Menu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Relationships</t>
        </is>
      </c>
      <c r="D144" s="121" t="inlineStr">
        <is>
          <t>disabled states are exposed through aria-disabled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Menu playground manual verification.</t>
        </is>
      </c>
      <c r="J144" s="121" t="n"/>
      <c r="K144" s="122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Accessibility</t>
        </is>
      </c>
      <c r="C145" s="113" t="inlineStr">
        <is>
          <t>Relationships</t>
        </is>
      </c>
      <c r="D145" s="113" t="inlineStr">
        <is>
          <t>modal menu traps focus, isolates and locks the background, and keeps owned nested portals interactive</t>
        </is>
      </c>
      <c r="E145" s="114" t="inlineStr">
        <is>
          <t>yes</t>
        </is>
      </c>
      <c r="F145" s="115" t="inlineStr">
        <is>
          <t>no</t>
        </is>
      </c>
      <c r="G145" s="112" t="inlineStr">
        <is>
          <t>automated tests pass; manual pending</t>
        </is>
      </c>
      <c r="H145" s="116" t="inlineStr">
        <is>
          <t>untested</t>
        </is>
      </c>
      <c r="I145" s="113" t="inlineStr">
        <is>
          <t>playground/.manual-tests/menu.md (draft)</t>
        </is>
      </c>
      <c r="J145" s="113" t="inlineStr">
        <is>
          <t>Run the updated component Manual Test Protocol and named browser/device matrix.</t>
        </is>
      </c>
      <c r="K145" s="117">
        <f>IF(AND(E145="yes",F145="yes",H145="covered"),1,IF(H145="partial",0.5,0))</f>
        <v/>
      </c>
    </row>
    <row r="146" ht="30" customHeight="1" s="58">
      <c r="A146" s="120" t="n">
        <v>138</v>
      </c>
      <c r="B146" s="121" t="inlineStr">
        <is>
          <t>Accessibility</t>
        </is>
      </c>
      <c r="C146" s="121" t="inlineStr">
        <is>
          <t>Relationships</t>
        </is>
      </c>
      <c r="D146" s="121" t="inlineStr">
        <is>
          <t>portalled menu registers with parent modal focus scope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Menu playground manual verification.</t>
        </is>
      </c>
      <c r="J146" s="121" t="n"/>
      <c r="K146" s="122">
        <f>IF(AND(E146="yes",F146="yes",H146="covered"),1,IF(H146="partial",0.5,0))</f>
        <v/>
      </c>
    </row>
    <row r="147" ht="30" customHeight="1" s="58">
      <c r="A147" s="120" t="n">
        <v>139</v>
      </c>
      <c r="B147" s="121" t="inlineStr">
        <is>
          <t>Accessibility</t>
        </is>
      </c>
      <c r="C147" s="121" t="inlineStr">
        <is>
          <t>Relationships</t>
        </is>
      </c>
      <c r="D147" s="121" t="inlineStr">
        <is>
          <t>nested menu Escape does not close parent overlay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Menu playground manual verification.</t>
        </is>
      </c>
      <c r="J147" s="121" t="n"/>
      <c r="K147" s="122">
        <f>IF(AND(E147="yes",F147="yes",H147="covered"),1,IF(H147="partial",0.5,0))</f>
        <v/>
      </c>
    </row>
    <row r="148" ht="30" customHeight="1" s="58">
      <c r="A148" s="120" t="n">
        <v>140</v>
      </c>
      <c r="B148" s="121" t="inlineStr">
        <is>
          <t>Composition</t>
        </is>
      </c>
      <c r="C148" s="121" t="inlineStr">
        <is>
          <t>Rendering</t>
        </is>
      </c>
      <c r="D148" s="121" t="inlineStr">
        <is>
          <t>Item asChild preserves child content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Menu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Composition</t>
        </is>
      </c>
      <c r="C149" s="121" t="inlineStr">
        <is>
          <t>Rendering</t>
        </is>
      </c>
      <c r="D149" s="121" t="inlineStr">
        <is>
          <t>Item render preserves child content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Menu playground manual verification.</t>
        </is>
      </c>
      <c r="J149" s="121" t="n"/>
      <c r="K149" s="122">
        <f>IF(AND(E149="yes",F149="yes",H149="covered"),1,IF(H149="partial",0.5,0))</f>
        <v/>
      </c>
    </row>
    <row r="150" ht="45" customHeight="1" s="58">
      <c r="A150" s="120" t="n">
        <v>142</v>
      </c>
      <c r="B150" s="121" t="inlineStr">
        <is>
          <t>Composition</t>
        </is>
      </c>
      <c r="C150" s="121" t="inlineStr">
        <is>
          <t>Rendering</t>
        </is>
      </c>
      <c r="D150" s="121" t="inlineStr">
        <is>
          <t>Item consumer event can block selection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Menu playground manual verification.</t>
        </is>
      </c>
      <c r="J150" s="121" t="n"/>
      <c r="K150" s="122">
        <f>IF(AND(E150="yes",F150="yes",H150="covered"),1,IF(H150="partial",0.5,0))</f>
        <v/>
      </c>
    </row>
    <row r="151" ht="45" customHeight="1" s="58">
      <c r="A151" s="120" t="n">
        <v>143</v>
      </c>
      <c r="B151" s="121" t="inlineStr">
        <is>
          <t>Composition</t>
        </is>
      </c>
      <c r="C151" s="121" t="inlineStr">
        <is>
          <t>Rendering</t>
        </is>
      </c>
      <c r="D151" s="121" t="inlineStr">
        <is>
          <t>CheckboxItem native props pass 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Menu playground manual verification.</t>
        </is>
      </c>
      <c r="J151" s="121" t="n"/>
      <c r="K151" s="122">
        <f>IF(AND(E151="yes",F151="yes",H151="covered"),1,IF(H151="partial",0.5,0))</f>
        <v/>
      </c>
    </row>
    <row r="152" ht="45" customHeight="1" s="58">
      <c r="A152" s="120" t="n">
        <v>144</v>
      </c>
      <c r="B152" s="121" t="inlineStr">
        <is>
          <t>Composition</t>
        </is>
      </c>
      <c r="C152" s="121" t="inlineStr">
        <is>
          <t>Rendering</t>
        </is>
      </c>
      <c r="D152" s="121" t="inlineStr">
        <is>
          <t>RadioItem native props pass through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20" t="n">
        <v>145</v>
      </c>
      <c r="B153" s="121" t="inlineStr">
        <is>
          <t>Composition</t>
        </is>
      </c>
      <c r="C153" s="121" t="inlineStr">
        <is>
          <t>Rendering</t>
        </is>
      </c>
      <c r="D153" s="121" t="inlineStr">
        <is>
          <t>Content native props pass through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Menu playground manual verification.</t>
        </is>
      </c>
      <c r="J153" s="121" t="n"/>
      <c r="K153" s="122">
        <f>IF(AND(E153="yes",F153="yes",H153="covered"),1,IF(H153="partial",0.5,0))</f>
        <v/>
      </c>
    </row>
    <row r="154" ht="30" customHeight="1" s="58">
      <c r="A154" s="120" t="n">
        <v>146</v>
      </c>
      <c r="B154" s="121" t="inlineStr">
        <is>
          <t>Composition</t>
        </is>
      </c>
      <c r="C154" s="121" t="inlineStr">
        <is>
          <t>Rendering</t>
        </is>
      </c>
      <c r="D154" s="121" t="inlineStr">
        <is>
          <t>SubContent native props pass through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Menu playground manual verification.</t>
        </is>
      </c>
      <c r="J154" s="121" t="n"/>
      <c r="K154" s="122">
        <f>IF(AND(E154="yes",F154="yes",H154="covered"),1,IF(H154="partial",0.5,0))</f>
        <v/>
      </c>
    </row>
    <row r="155" ht="30" customHeight="1" s="58">
      <c r="A155" s="120" t="n">
        <v>147</v>
      </c>
      <c r="B155" s="121" t="inlineStr">
        <is>
          <t>Styling Hooks</t>
        </is>
      </c>
      <c r="C155" s="121" t="inlineStr">
        <is>
          <t>Data Attributes</t>
        </is>
      </c>
      <c r="D155" s="121" t="inlineStr">
        <is>
          <t>root open state visible through content data-state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Menu playground manual verification.</t>
        </is>
      </c>
      <c r="J155" s="121" t="n"/>
      <c r="K155" s="122">
        <f>IF(AND(E155="yes",F155="yes",H155="covered"),1,IF(H155="partial",0.5,0))</f>
        <v/>
      </c>
    </row>
    <row r="156" ht="30" customHeight="1" s="58">
      <c r="A156" s="120" t="n">
        <v>148</v>
      </c>
      <c r="B156" s="121" t="inlineStr">
        <is>
          <t>Styling Hooks</t>
        </is>
      </c>
      <c r="C156" s="121" t="inlineStr">
        <is>
          <t>Data Attributes</t>
        </is>
      </c>
      <c r="D156" s="121" t="inlineStr">
        <is>
          <t>highlighted item visible through data-highlighted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Menu playground manual verification.</t>
        </is>
      </c>
      <c r="J156" s="121" t="n"/>
      <c r="K156" s="122">
        <f>IF(AND(E156="yes",F156="yes",H156="covered"),1,IF(H156="partial",0.5,0))</f>
        <v/>
      </c>
    </row>
    <row r="157" ht="30" customHeight="1" s="58">
      <c r="A157" s="120" t="n">
        <v>149</v>
      </c>
      <c r="B157" s="121" t="inlineStr">
        <is>
          <t>Styling Hooks</t>
        </is>
      </c>
      <c r="C157" s="121" t="inlineStr">
        <is>
          <t>Data Attributes</t>
        </is>
      </c>
      <c r="D157" s="121" t="inlineStr">
        <is>
          <t>disabled item visible through data-disabled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Menu playground manual verification.</t>
        </is>
      </c>
      <c r="J157" s="121" t="n"/>
      <c r="K157" s="122">
        <f>IF(AND(E157="yes",F157="yes",H157="covered"),1,IF(H157="partial",0.5,0))</f>
        <v/>
      </c>
    </row>
    <row r="158" ht="30" customHeight="1" s="58">
      <c r="A158" s="120" t="n">
        <v>150</v>
      </c>
      <c r="B158" s="121" t="inlineStr">
        <is>
          <t>Styling Hooks</t>
        </is>
      </c>
      <c r="C158" s="121" t="inlineStr">
        <is>
          <t>Data Attributes</t>
        </is>
      </c>
      <c r="D158" s="121" t="inlineStr">
        <is>
          <t>checked item visible through data-checked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Menu playground manual verification.</t>
        </is>
      </c>
      <c r="J158" s="121" t="n"/>
      <c r="K158" s="122">
        <f>IF(AND(E158="yes",F158="yes",H158="covered"),1,IF(H158="partial",0.5,0))</f>
        <v/>
      </c>
    </row>
    <row r="159" ht="30" customHeight="1" s="58">
      <c r="A159" s="120" t="n">
        <v>151</v>
      </c>
      <c r="B159" s="121" t="inlineStr">
        <is>
          <t>Styling Hooks</t>
        </is>
      </c>
      <c r="C159" s="121" t="inlineStr">
        <is>
          <t>Data Attributes</t>
        </is>
      </c>
      <c r="D159" s="121" t="inlineStr">
        <is>
          <t>placement visible through data-side and data-align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Menu playground manual verification.</t>
        </is>
      </c>
      <c r="J159" s="121" t="n"/>
      <c r="K159" s="122">
        <f>IF(AND(E159="yes",F159="yes",H159="covered"),1,IF(H159="partial",0.5,0))</f>
        <v/>
      </c>
    </row>
    <row r="160" ht="30" customHeight="1" s="58">
      <c r="A160" s="120" t="n">
        <v>152</v>
      </c>
      <c r="B160" s="121" t="inlineStr">
        <is>
          <t>Styling Hooks</t>
        </is>
      </c>
      <c r="C160" s="121" t="inlineStr">
        <is>
          <t>Data Attributes</t>
        </is>
      </c>
      <c r="D160" s="121" t="inlineStr">
        <is>
          <t>positioned state visible through data-positioned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20" t="n">
        <v>153</v>
      </c>
      <c r="B161" s="121" t="inlineStr">
        <is>
          <t>Portal And Positioning</t>
        </is>
      </c>
      <c r="C161" s="121" t="inlineStr">
        <is>
          <t>Portal</t>
        </is>
      </c>
      <c r="D161" s="121" t="inlineStr">
        <is>
          <t>root content portals to body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Menu playground manual verification.</t>
        </is>
      </c>
      <c r="J161" s="121" t="n"/>
      <c r="K161" s="122">
        <f>IF(AND(E161="yes",F161="yes",H161="covered"),1,IF(H161="partial",0.5,0))</f>
        <v/>
      </c>
    </row>
    <row r="162" ht="30" customHeight="1" s="58">
      <c r="A162" s="120" t="n">
        <v>154</v>
      </c>
      <c r="B162" s="121" t="inlineStr">
        <is>
          <t>Portal And Positioning</t>
        </is>
      </c>
      <c r="C162" s="121" t="inlineStr">
        <is>
          <t>Portal</t>
        </is>
      </c>
      <c r="D162" s="121" t="inlineStr">
        <is>
          <t>sub content portals to body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Menu playground manual verification.</t>
        </is>
      </c>
      <c r="J162" s="121" t="n"/>
      <c r="K162" s="122">
        <f>IF(AND(E162="yes",F162="yes",H162="covered"),1,IF(H162="partial",0.5,0))</f>
        <v/>
      </c>
    </row>
    <row r="163" ht="30" customHeight="1" s="58">
      <c r="A163" s="120" t="n">
        <v>155</v>
      </c>
      <c r="B163" s="121" t="inlineStr">
        <is>
          <t>Portal And Positioning</t>
        </is>
      </c>
      <c r="C163" s="121" t="inlineStr">
        <is>
          <t>Portal</t>
        </is>
      </c>
      <c r="D163" s="121" t="inlineStr">
        <is>
          <t>anchorPoint opens at pointer location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Menu playground manual verification.</t>
        </is>
      </c>
      <c r="J163" s="121" t="n"/>
      <c r="K163" s="122">
        <f>IF(AND(E163="yes",F163="yes",H163="covered"),1,IF(H163="partial",0.5,0))</f>
        <v/>
      </c>
    </row>
    <row r="164" ht="45" customHeight="1" s="58">
      <c r="A164" s="120" t="n">
        <v>156</v>
      </c>
      <c r="B164" s="121" t="inlineStr">
        <is>
          <t>Portal And Positioning</t>
        </is>
      </c>
      <c r="C164" s="121" t="inlineStr">
        <is>
          <t>Portal</t>
        </is>
      </c>
      <c r="D164" s="121" t="inlineStr">
        <is>
          <t>placement flips or shifts near the edge of the manually tested desktop layout viewport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passed existing desktop browser/manual baseline; mobile device qualification not run</t>
        </is>
      </c>
      <c r="H164" s="120" t="inlineStr">
        <is>
          <t>covered</t>
        </is>
      </c>
      <c r="I164" s="121" t="inlineStr">
        <is>
          <t>Existing desktop browser/manual baseline; not real iOS Safari or Android Chrome evidence.</t>
        </is>
      </c>
      <c r="J164" s="121" t="n"/>
      <c r="K164" s="122">
        <f>IF(AND(E164="yes",F164="yes",H164="covered"),1,IF(H164="partial",0.5,0))</f>
        <v/>
      </c>
    </row>
    <row r="165" ht="30" customHeight="1" s="58">
      <c r="A165" s="120" t="n">
        <v>157</v>
      </c>
      <c r="B165" s="121" t="inlineStr">
        <is>
          <t>Portal And Positioning</t>
        </is>
      </c>
      <c r="C165" s="121" t="inlineStr">
        <is>
          <t>Portal</t>
        </is>
      </c>
      <c r="D165" s="121" t="inlineStr">
        <is>
          <t>scroll lock applies only when modal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Menu playground manual verification.</t>
        </is>
      </c>
      <c r="J165" s="121" t="n"/>
      <c r="K165" s="122">
        <f>IF(AND(E165="yes",F165="yes",H165="covered"),1,IF(H165="partial",0.5,0))</f>
        <v/>
      </c>
    </row>
    <row r="166" ht="30" customHeight="1" s="58">
      <c r="A166" s="120" t="n">
        <v>158</v>
      </c>
      <c r="B166" s="121" t="inlineStr">
        <is>
          <t>Portal And Positioning</t>
        </is>
      </c>
      <c r="C166" s="121" t="inlineStr">
        <is>
          <t>Portal</t>
        </is>
      </c>
      <c r="D166" s="121" t="inlineStr">
        <is>
          <t>menu works inside Dialog without focus escape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20" t="n">
        <v>159</v>
      </c>
      <c r="B167" s="121" t="inlineStr">
        <is>
          <t>Regression</t>
        </is>
      </c>
      <c r="C167" s="121" t="inlineStr">
        <is>
          <t>Recent Fixes</t>
        </is>
      </c>
      <c r="D167" s="121" t="inlineStr">
        <is>
          <t>radio groups with duplicate values highlight independently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Menu playground manual verification.</t>
        </is>
      </c>
      <c r="J167" s="121" t="n"/>
      <c r="K167" s="122">
        <f>IF(AND(E167="yes",F167="yes",H167="covered"),1,IF(H167="partial",0.5,0))</f>
        <v/>
      </c>
    </row>
    <row r="168" ht="30" customHeight="1" s="58">
      <c r="A168" s="120" t="n">
        <v>160</v>
      </c>
      <c r="B168" s="121" t="inlineStr">
        <is>
          <t>Regression</t>
        </is>
      </c>
      <c r="C168" s="121" t="inlineStr">
        <is>
          <t>Recent Fixes</t>
        </is>
      </c>
      <c r="D168" s="121" t="inlineStr">
        <is>
          <t>hovering non-item content does not reset highlight to first item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Menu playground manual verification.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Regression</t>
        </is>
      </c>
      <c r="C169" s="121" t="inlineStr">
        <is>
          <t>Recent Fixes</t>
        </is>
      </c>
      <c r="D169" s="121" t="inlineStr">
        <is>
          <t>outside click closes portalled menu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Menu playground manual verification.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Regression</t>
        </is>
      </c>
      <c r="C170" s="121" t="inlineStr">
        <is>
          <t>Recent Fixes</t>
        </is>
      </c>
      <c r="D170" s="121" t="inlineStr">
        <is>
          <t>Escape closes topmost overlay only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Menu playground manual verification.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12" t="n">
        <v>163</v>
      </c>
      <c r="B171" s="113" t="inlineStr">
        <is>
          <t>Regression</t>
        </is>
      </c>
      <c r="C171" s="113" t="inlineStr">
        <is>
          <t>Recent Fixes</t>
        </is>
      </c>
      <c r="D171" s="113" t="inlineStr">
        <is>
          <t>submenu focus returns to its immediate SubTrigger on close</t>
        </is>
      </c>
      <c r="E171" s="114" t="inlineStr">
        <is>
          <t>yes</t>
        </is>
      </c>
      <c r="F171" s="115" t="inlineStr">
        <is>
          <t>no</t>
        </is>
      </c>
      <c r="G171" s="112" t="inlineStr">
        <is>
          <t>automated tests pass; manual pending</t>
        </is>
      </c>
      <c r="H171" s="116" t="inlineStr">
        <is>
          <t>untested</t>
        </is>
      </c>
      <c r="I171" s="113" t="inlineStr">
        <is>
          <t>playground/.manual-tests/menu.md (draft)</t>
        </is>
      </c>
      <c r="J171" s="113" t="inlineStr">
        <is>
          <t>Run the updated component Manual Test Protocol and named browser/device matrix.</t>
        </is>
      </c>
      <c r="K171" s="117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Interaction</t>
        </is>
      </c>
      <c r="C172" s="121" t="inlineStr">
        <is>
          <t>Trigger</t>
        </is>
      </c>
      <c r="D172" s="121" t="inlineStr">
        <is>
          <t>pointer/click activation opens Menu in the existing desktop manual scenario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passed existing desktop browser/manual baseline; mobile device qualification not run</t>
        </is>
      </c>
      <c r="H172" s="120" t="inlineStr">
        <is>
          <t>covered</t>
        </is>
      </c>
      <c r="I172" s="121" t="inlineStr">
        <is>
          <t>Existing desktop browser/manual baseline; not real iOS Safari or Android Chrome evidence.</t>
        </is>
      </c>
      <c r="J172" s="121" t="n"/>
      <c r="K172" s="122">
        <f>IF(AND(E172="yes",F172="yes",H172="covered"),1,IF(H172="partial",0.5,0))</f>
        <v/>
      </c>
    </row>
    <row r="173" ht="15" customHeight="1" s="58">
      <c r="A173" s="120" t="n">
        <v>165</v>
      </c>
      <c r="B173" s="121" t="inlineStr">
        <is>
          <t>Interaction</t>
        </is>
      </c>
      <c r="C173" s="121" t="inlineStr">
        <is>
          <t>Item</t>
        </is>
      </c>
      <c r="D173" s="121" t="inlineStr">
        <is>
          <t>pointer/click activation selects an action item in the existing desktop manual scenario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passed existing desktop browser/manual baseline; mobile device qualification not run</t>
        </is>
      </c>
      <c r="H173" s="120" t="inlineStr">
        <is>
          <t>covered</t>
        </is>
      </c>
      <c r="I173" s="121" t="inlineStr">
        <is>
          <t>Existing desktop browser/manual baseline; not real iOS Safari or Android Chrome evidence.</t>
        </is>
      </c>
      <c r="J173" s="121" t="n"/>
      <c r="K173" s="122">
        <f>IF(AND(E173="yes",F173="yes",H173="covered"),1,IF(H173="partial",0.5,0))</f>
        <v/>
      </c>
    </row>
    <row r="174" ht="15" customHeight="1" s="58">
      <c r="A174" s="120" t="n">
        <v>166</v>
      </c>
      <c r="B174" s="121" t="inlineStr">
        <is>
          <t>Interaction</t>
        </is>
      </c>
      <c r="C174" s="121" t="inlineStr">
        <is>
          <t>Checkbox item</t>
        </is>
      </c>
      <c r="D174" s="121" t="inlineStr">
        <is>
          <t>pointer/click activation toggles a checkbox item in the existing desktop manual scenario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passed existing desktop browser/manual baseline; mobile device qualification not run</t>
        </is>
      </c>
      <c r="H174" s="120" t="inlineStr">
        <is>
          <t>covered</t>
        </is>
      </c>
      <c r="I174" s="121" t="inlineStr">
        <is>
          <t>Existing desktop browser/manual baseline; not real iOS Safari or Android Chrome evidence.</t>
        </is>
      </c>
      <c r="J174" s="121" t="n"/>
      <c r="K174" s="122">
        <f>IF(AND(E174="yes",F174="yes",H174="covered"),1,IF(H174="partial",0.5,0))</f>
        <v/>
      </c>
    </row>
    <row r="175" ht="30" customHeight="1" s="58">
      <c r="A175" s="120" t="n">
        <v>167</v>
      </c>
      <c r="B175" s="121" t="inlineStr">
        <is>
          <t>Interaction</t>
        </is>
      </c>
      <c r="C175" s="121" t="inlineStr">
        <is>
          <t>Radio item</t>
        </is>
      </c>
      <c r="D175" s="121" t="inlineStr">
        <is>
          <t>pointer/click activation selects a radio item in the existing desktop manual scenario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passed existing desktop browser/manual baseline; mobile device qualification not run</t>
        </is>
      </c>
      <c r="H175" s="120" t="inlineStr">
        <is>
          <t>covered</t>
        </is>
      </c>
      <c r="I175" s="121" t="inlineStr">
        <is>
          <t>Existing desktop browser/manual baseline; not real iOS Safari or Android Chrome evidence.</t>
        </is>
      </c>
      <c r="J175" s="121" t="n"/>
      <c r="K175" s="122">
        <f>IF(AND(E175="yes",F175="yes",H175="covered"),1,IF(H175="partial",0.5,0))</f>
        <v/>
      </c>
    </row>
    <row r="176" ht="30" customHeight="1" s="58">
      <c r="A176" s="120" t="n">
        <v>168</v>
      </c>
      <c r="B176" s="121" t="inlineStr">
        <is>
          <t>Interaction</t>
        </is>
      </c>
      <c r="C176" s="121" t="inlineStr">
        <is>
          <t>Submenu</t>
        </is>
      </c>
      <c r="D176" s="121" t="inlineStr">
        <is>
          <t>pointer/click activation opens a submenu in the existing desktop manual scenario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passed existing desktop browser/manual baseline; mobile device qualification not run</t>
        </is>
      </c>
      <c r="H176" s="120" t="inlineStr">
        <is>
          <t>covered</t>
        </is>
      </c>
      <c r="I176" s="121" t="inlineStr">
        <is>
          <t>Existing desktop browser/manual baseline; not real iOS Safari or Android Chrome evidence.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Interaction</t>
        </is>
      </c>
      <c r="C177" s="113" t="inlineStr">
        <is>
          <t>Outside interaction</t>
        </is>
      </c>
      <c r="D177" s="113" t="inlineStr">
        <is>
          <t>mouse outside press closes immediately; touch or pen outside release closes only after an uncancelled gesture</t>
        </is>
      </c>
      <c r="E177" s="114" t="inlineStr">
        <is>
          <t>yes</t>
        </is>
      </c>
      <c r="F177" s="115" t="inlineStr">
        <is>
          <t>no</t>
        </is>
      </c>
      <c r="G177" s="112" t="inlineStr">
        <is>
          <t>automated tests pass; manual pending</t>
        </is>
      </c>
      <c r="H177" s="116" t="inlineStr">
        <is>
          <t>untested</t>
        </is>
      </c>
      <c r="I177" s="113" t="inlineStr">
        <is>
          <t>playground/.manual-tests/menu.md (draft)</t>
        </is>
      </c>
      <c r="J177" s="113" t="inlineStr">
        <is>
          <t>Run the updated component Manual Test Protocol and named browser/device matrix.</t>
        </is>
      </c>
      <c r="K177" s="117">
        <f>IF(AND(E177="yes",F177="yes",H177="covered"),1,IF(H177="partial",0.5,0))</f>
        <v/>
      </c>
    </row>
    <row r="178" ht="30" customHeight="1" s="58">
      <c r="A178" s="120" t="n">
        <v>170</v>
      </c>
      <c r="B178" s="121" t="inlineStr">
        <is>
          <t>Keyboard</t>
        </is>
      </c>
      <c r="C178" s="121" t="inlineStr">
        <is>
          <t>Typeahead</t>
        </is>
      </c>
      <c r="D178" s="121" t="inlineStr">
        <is>
          <t>single-character typeahead cycles from current matching item after buffer reset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Menu playground manual verification.</t>
        </is>
      </c>
      <c r="J178" s="121" t="n"/>
      <c r="K178" s="122">
        <f>IF(AND(E178="yes",F178="yes",H178="covered"),1,IF(H178="partial",0.5,0))</f>
        <v/>
      </c>
    </row>
    <row r="179" ht="30" customHeight="1" s="58">
      <c r="A179" s="120" t="n">
        <v>171</v>
      </c>
      <c r="B179" s="121" t="inlineStr">
        <is>
          <t>Direction</t>
        </is>
      </c>
      <c r="C179" s="121" t="inlineStr">
        <is>
          <t>Submenu</t>
        </is>
      </c>
      <c r="D179" s="121" t="inlineStr">
        <is>
          <t>reads Direction.Provider context for submenu keyboard behavior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Menu playground manual verification.</t>
        </is>
      </c>
      <c r="J179" s="121" t="n"/>
      <c r="K179" s="122">
        <f>IF(AND(E179="yes",F179="yes",H179="covered"),1,IF(H179="partial",0.5,0))</f>
        <v/>
      </c>
    </row>
    <row r="180" ht="30" customHeight="1" s="58">
      <c r="A180" s="120" t="n">
        <v>172</v>
      </c>
      <c r="B180" s="121" t="inlineStr">
        <is>
          <t>Direction</t>
        </is>
      </c>
      <c r="C180" s="121" t="inlineStr">
        <is>
          <t>Submenu</t>
        </is>
      </c>
      <c r="D180" s="121" t="inlineStr">
        <is>
          <t>RTL mirrors submenu ArrowLeft and ArrowRight open/close behavior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Menu playground manual verification.</t>
        </is>
      </c>
      <c r="J180" s="121" t="n"/>
      <c r="K180" s="122">
        <f>IF(AND(E180="yes",F180="yes",H180="covered"),1,IF(H180="partial",0.5,0))</f>
        <v/>
      </c>
    </row>
    <row r="181" ht="30" customHeight="1" s="58">
      <c r="A181" s="120" t="n">
        <v>173</v>
      </c>
      <c r="B181" s="121" t="inlineStr">
        <is>
          <t>Playground</t>
        </is>
      </c>
      <c r="C181" s="121" t="inlineStr">
        <is>
          <t>Direction controls</t>
        </is>
      </c>
      <c r="D181" s="121" t="inlineStr">
        <is>
          <t>scenario exposes provider direction controls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Menu playground manual verification.</t>
        </is>
      </c>
      <c r="J181" s="121" t="n"/>
      <c r="K181" s="122">
        <f>IF(AND(E181="yes",F181="yes",H181="covered"),1,IF(H181="partial",0.5,0))</f>
        <v/>
      </c>
    </row>
    <row r="182" ht="30" customHeight="1" s="58">
      <c r="A182" s="112" t="n">
        <v>174</v>
      </c>
      <c r="B182" s="113" t="inlineStr">
        <is>
          <t>Public API</t>
        </is>
      </c>
      <c r="C182" s="113" t="inlineStr">
        <is>
          <t>Portal</t>
        </is>
      </c>
      <c r="D182" s="113" t="inlineStr">
        <is>
          <t>explicit Portal supports body, custom-container, and disabled inline emission without double portalling</t>
        </is>
      </c>
      <c r="E182" s="114" t="inlineStr">
        <is>
          <t>yes</t>
        </is>
      </c>
      <c r="F182" s="115" t="inlineStr">
        <is>
          <t>no</t>
        </is>
      </c>
      <c r="G182" s="112" t="inlineStr">
        <is>
          <t>automated tests pass; manual pending</t>
        </is>
      </c>
      <c r="H182" s="116" t="inlineStr">
        <is>
          <t>untested</t>
        </is>
      </c>
      <c r="I182" s="113" t="inlineStr">
        <is>
          <t>playground/.manual-tests/menu.md (draft)</t>
        </is>
      </c>
      <c r="J182" s="113" t="inlineStr">
        <is>
          <t>Run the updated component Manual Test Protocol and named browser/device matrix.</t>
        </is>
      </c>
      <c r="K182" s="117">
        <f>IF(AND(E182="yes",F182="yes",H182="covered"),1,IF(H182="partial",0.5,0))</f>
        <v/>
      </c>
    </row>
    <row r="183" ht="30" customHeight="1" s="58">
      <c r="A183" s="112" t="n">
        <v>175</v>
      </c>
      <c r="B183" s="113" t="inlineStr">
        <is>
          <t>Public API</t>
        </is>
      </c>
      <c r="C183" s="113" t="inlineStr">
        <is>
          <t>Arrow</t>
        </is>
      </c>
      <c r="D183" s="113" t="inlineStr">
        <is>
          <t>Arrow renders positioning geometry with menu-arrow slot and resolved side and align data</t>
        </is>
      </c>
      <c r="E183" s="114" t="inlineStr">
        <is>
          <t>yes</t>
        </is>
      </c>
      <c r="F183" s="115" t="inlineStr">
        <is>
          <t>no</t>
        </is>
      </c>
      <c r="G183" s="112" t="inlineStr">
        <is>
          <t>automated tests pass; manual pending</t>
        </is>
      </c>
      <c r="H183" s="116" t="inlineStr">
        <is>
          <t>untested</t>
        </is>
      </c>
      <c r="I183" s="113" t="inlineStr">
        <is>
          <t>playground/.manual-tests/menu.md (draft)</t>
        </is>
      </c>
      <c r="J183" s="113" t="inlineStr">
        <is>
          <t>Run the updated component Manual Test Protocol and named browser/device matrix.</t>
        </is>
      </c>
      <c r="K183" s="117">
        <f>IF(AND(E183="yes",F183="yes",H183="covered"),1,IF(H183="partial",0.5,0))</f>
        <v/>
      </c>
    </row>
    <row r="184" ht="30" customHeight="1" s="58">
      <c r="A184" s="112" t="n">
        <v>176</v>
      </c>
      <c r="B184" s="113" t="inlineStr">
        <is>
          <t>Accessibility</t>
        </is>
      </c>
      <c r="C184" s="113" t="inlineStr">
        <is>
          <t>Label</t>
        </is>
      </c>
      <c r="D184" s="113" t="inlineStr">
        <is>
          <t>a nested Label automatically names Group while explicit aria-label or aria-labelledby remains authoritative</t>
        </is>
      </c>
      <c r="E184" s="114" t="inlineStr">
        <is>
          <t>yes</t>
        </is>
      </c>
      <c r="F184" s="115" t="inlineStr">
        <is>
          <t>no</t>
        </is>
      </c>
      <c r="G184" s="112" t="inlineStr">
        <is>
          <t>automated tests pass; manual pending</t>
        </is>
      </c>
      <c r="H184" s="116" t="inlineStr">
        <is>
          <t>untested</t>
        </is>
      </c>
      <c r="I184" s="113" t="inlineStr">
        <is>
          <t>playground/.manual-tests/menu.md (draft)</t>
        </is>
      </c>
      <c r="J184" s="113" t="inlineStr">
        <is>
          <t>Run the updated component Manual Test Protocol and named browser/device matrix.</t>
        </is>
      </c>
      <c r="K184" s="117">
        <f>IF(AND(E184="yes",F184="yes",H184="covered"),1,IF(H184="partial",0.5,0))</f>
        <v/>
      </c>
    </row>
    <row r="185" ht="30" customHeight="1" s="58">
      <c r="A185" s="112" t="n">
        <v>177</v>
      </c>
      <c r="B185" s="113" t="inlineStr">
        <is>
          <t>Accessibility</t>
        </is>
      </c>
      <c r="C185" s="113" t="inlineStr">
        <is>
          <t>Label</t>
        </is>
      </c>
      <c r="D185" s="113" t="inlineStr">
        <is>
          <t>a nested Label automatically names Radio Group while explicit native naming remains authoritative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playground/.manual-tests/menu.md (draft)</t>
        </is>
      </c>
      <c r="J185" s="113" t="inlineStr">
        <is>
          <t>Run the updated component Manual Test Protocol and named browser/device matrix.</t>
        </is>
      </c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Public API</t>
        </is>
      </c>
      <c r="C186" s="113" t="inlineStr">
        <is>
          <t>Item Indicator</t>
        </is>
      </c>
      <c r="D186" s="113" t="inlineStr">
        <is>
          <t>Checkbox and Radio ItemIndicator mount only for checked or indeterminate state unless forceMount is set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playground/.manual-tests/menu.md (draft)</t>
        </is>
      </c>
      <c r="J186" s="113" t="inlineStr">
        <is>
          <t>Run the updated component Manual Test Protocol and named browser/device matrix.</t>
        </is>
      </c>
      <c r="K186" s="117">
        <f>IF(AND(E186="yes",F186="yes",H186="covered"),1,IF(H186="partial",0.5,0))</f>
        <v/>
      </c>
    </row>
    <row r="187" ht="30" customHeight="1" s="58">
      <c r="A187" s="112" t="n">
        <v>179</v>
      </c>
      <c r="B187" s="113" t="inlineStr">
        <is>
          <t>Accessibility</t>
        </is>
      </c>
      <c r="C187" s="113" t="inlineStr">
        <is>
          <t>Checkbox Item</t>
        </is>
      </c>
      <c r="D187" s="113" t="inlineStr">
        <is>
          <t>indeterminate state exposes aria-checked mixed and data-state indeterminate</t>
        </is>
      </c>
      <c r="E187" s="114" t="inlineStr">
        <is>
          <t>yes</t>
        </is>
      </c>
      <c r="F187" s="115" t="inlineStr">
        <is>
          <t>no</t>
        </is>
      </c>
      <c r="G187" s="112" t="inlineStr">
        <is>
          <t>automated tests pass; manual pending</t>
        </is>
      </c>
      <c r="H187" s="116" t="inlineStr">
        <is>
          <t>untested</t>
        </is>
      </c>
      <c r="I187" s="113" t="inlineStr">
        <is>
          <t>playground/.manual-tests/menu.md (draft)</t>
        </is>
      </c>
      <c r="J187" s="113" t="inlineStr">
        <is>
          <t>Run the updated component Manual Test Protocol and named browser/device matrix.</t>
        </is>
      </c>
      <c r="K187" s="117">
        <f>IF(AND(E187="yes",F187="yes",H187="covered"),1,IF(H187="partial",0.5,0))</f>
        <v/>
      </c>
    </row>
    <row r="188" ht="30" customHeight="1" s="58">
      <c r="A188" s="112" t="n">
        <v>180</v>
      </c>
      <c r="B188" s="113" t="inlineStr">
        <is>
          <t>Focus</t>
        </is>
      </c>
      <c r="C188" s="113" t="inlineStr">
        <is>
          <t>Content</t>
        </is>
      </c>
      <c r="D188" s="113" t="inlineStr">
        <is>
          <t>opening moves real browser focus to the requested first or last item and scrolls it into view</t>
        </is>
      </c>
      <c r="E188" s="114" t="inlineStr">
        <is>
          <t>yes</t>
        </is>
      </c>
      <c r="F188" s="115" t="inlineStr">
        <is>
          <t>no</t>
        </is>
      </c>
      <c r="G188" s="112" t="inlineStr">
        <is>
          <t>automated tests pass; manual pending</t>
        </is>
      </c>
      <c r="H188" s="116" t="inlineStr">
        <is>
          <t>untested</t>
        </is>
      </c>
      <c r="I188" s="113" t="inlineStr">
        <is>
          <t>playground/.manual-tests/menu.md (draft)</t>
        </is>
      </c>
      <c r="J188" s="113" t="inlineStr">
        <is>
          <t>Run the updated component Manual Test Protocol and named browser/device matrix.</t>
        </is>
      </c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Focus</t>
        </is>
      </c>
      <c r="C189" s="113" t="inlineStr">
        <is>
          <t>Open And Close</t>
        </is>
      </c>
      <c r="D189" s="113" t="inlineStr">
        <is>
          <t>Shift+Tab closes every menu level and moves focus before the complete owner boundary</t>
        </is>
      </c>
      <c r="E189" s="114" t="inlineStr">
        <is>
          <t>yes</t>
        </is>
      </c>
      <c r="F189" s="115" t="inlineStr">
        <is>
          <t>no</t>
        </is>
      </c>
      <c r="G189" s="112" t="inlineStr">
        <is>
          <t>automated tests pass; manual pending</t>
        </is>
      </c>
      <c r="H189" s="116" t="inlineStr">
        <is>
          <t>untested</t>
        </is>
      </c>
      <c r="I189" s="113" t="inlineStr">
        <is>
          <t>playground/.manual-tests/menu.md (draft)</t>
        </is>
      </c>
      <c r="J189" s="113" t="inlineStr">
        <is>
          <t>Run the updated component Manual Test Protocol and named browser/device matrix.</t>
        </is>
      </c>
      <c r="K189" s="117">
        <f>IF(AND(E189="yes",F189="yes",H189="covered"),1,IF(H189="partial",0.5,0))</f>
        <v/>
      </c>
    </row>
    <row r="190" ht="30" customHeight="1" s="58">
      <c r="A190" s="112" t="n">
        <v>182</v>
      </c>
      <c r="B190" s="113" t="inlineStr">
        <is>
          <t>Pointer</t>
        </is>
      </c>
      <c r="C190" s="113" t="inlineStr">
        <is>
          <t>Sub Trigger</t>
        </is>
      </c>
      <c r="D190" s="113" t="inlineStr">
        <is>
          <t>touch and pen contact cannot start mouse-hover submenu timers while click or tap remains usable</t>
        </is>
      </c>
      <c r="E190" s="114" t="inlineStr">
        <is>
          <t>yes</t>
        </is>
      </c>
      <c r="F190" s="115" t="inlineStr">
        <is>
          <t>no</t>
        </is>
      </c>
      <c r="G190" s="112" t="inlineStr">
        <is>
          <t>automated tests pass; manual pending</t>
        </is>
      </c>
      <c r="H190" s="116" t="inlineStr">
        <is>
          <t>untested</t>
        </is>
      </c>
      <c r="I190" s="113" t="inlineStr">
        <is>
          <t>playground/.manual-tests/menu.md (draft)</t>
        </is>
      </c>
      <c r="J190" s="113" t="inlineStr">
        <is>
          <t>Run the updated component Manual Test Protocol and named browser/device matrix.</t>
        </is>
      </c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Pointer</t>
        </is>
      </c>
      <c r="C191" s="113" t="inlineStr">
        <is>
          <t>Outside interaction</t>
        </is>
      </c>
      <c r="D191" s="113" t="inlineStr">
        <is>
          <t>touch and pen outside dismissal cancels on movement, scroll, pointer cancellation, or a second pointer</t>
        </is>
      </c>
      <c r="E191" s="114" t="inlineStr">
        <is>
          <t>yes</t>
        </is>
      </c>
      <c r="F191" s="115" t="inlineStr">
        <is>
          <t>no</t>
        </is>
      </c>
      <c r="G191" s="112" t="inlineStr">
        <is>
          <t>automated tests pass; manual pending</t>
        </is>
      </c>
      <c r="H191" s="116" t="inlineStr">
        <is>
          <t>untested</t>
        </is>
      </c>
      <c r="I191" s="113" t="inlineStr">
        <is>
          <t>playground/.manual-tests/menu.md (draft)</t>
        </is>
      </c>
      <c r="J191" s="113" t="inlineStr">
        <is>
          <t>Run the updated component Manual Test Protocol and named browser/device matrix.</t>
        </is>
      </c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Portal And Positioning</t>
        </is>
      </c>
      <c r="C192" s="113" t="inlineStr">
        <is>
          <t>Content</t>
        </is>
      </c>
      <c r="D192" s="113" t="inlineStr">
        <is>
          <t>Content exposes available width and height, trigger width and height, and transform-origin CSS variables</t>
        </is>
      </c>
      <c r="E192" s="114" t="inlineStr">
        <is>
          <t>yes</t>
        </is>
      </c>
      <c r="F192" s="115" t="inlineStr">
        <is>
          <t>no</t>
        </is>
      </c>
      <c r="G192" s="112" t="inlineStr">
        <is>
          <t>automated tests pass; manual pending</t>
        </is>
      </c>
      <c r="H192" s="116" t="inlineStr">
        <is>
          <t>untested</t>
        </is>
      </c>
      <c r="I192" s="113" t="inlineStr">
        <is>
          <t>playground/.manual-tests/menu.md (draft)</t>
        </is>
      </c>
      <c r="J192" s="113" t="inlineStr">
        <is>
          <t>Run the updated component Manual Test Protocol and named browser/device matrix.</t>
        </is>
      </c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Portal And Positioning</t>
        </is>
      </c>
      <c r="C193" s="113" t="inlineStr">
        <is>
          <t>Sub Content</t>
        </is>
      </c>
      <c r="D193" s="113" t="inlineStr">
        <is>
          <t>Sub Content exposes available width and height, trigger width and height, and transform-origin CSS variables</t>
        </is>
      </c>
      <c r="E193" s="114" t="inlineStr">
        <is>
          <t>yes</t>
        </is>
      </c>
      <c r="F193" s="115" t="inlineStr">
        <is>
          <t>no</t>
        </is>
      </c>
      <c r="G193" s="112" t="inlineStr">
        <is>
          <t>automated tests pass; manual pending</t>
        </is>
      </c>
      <c r="H193" s="116" t="inlineStr">
        <is>
          <t>untested</t>
        </is>
      </c>
      <c r="I193" s="113" t="inlineStr">
        <is>
          <t>playground/.manual-tests/menu.md (draft)</t>
        </is>
      </c>
      <c r="J193" s="113" t="inlineStr">
        <is>
          <t>Run the updated component Manual Test Protocol and named browser/device matrix.</t>
        </is>
      </c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Composition</t>
        </is>
      </c>
      <c r="C194" s="113" t="inlineStr">
        <is>
          <t>Rendering</t>
        </is>
      </c>
      <c r="D194" s="113" t="inlineStr">
        <is>
          <t>Content, Group, Label, Checkbox Item, Radio Group, Radio Item, Indicator, Separator, Sub Trigger, and Sub Content preserve refs and offered composition</t>
        </is>
      </c>
      <c r="E194" s="114" t="inlineStr">
        <is>
          <t>yes</t>
        </is>
      </c>
      <c r="F194" s="115" t="inlineStr">
        <is>
          <t>no</t>
        </is>
      </c>
      <c r="G194" s="112" t="inlineStr">
        <is>
          <t>automated tests pass; manual pending</t>
        </is>
      </c>
      <c r="H194" s="116" t="inlineStr">
        <is>
          <t>untested</t>
        </is>
      </c>
      <c r="I194" s="113" t="inlineStr">
        <is>
          <t>playground/.manual-tests/menu.md (draft)</t>
        </is>
      </c>
      <c r="J194" s="113" t="inlineStr">
        <is>
          <t>Run the updated component Manual Test Protocol and named browser/device matrix.</t>
        </is>
      </c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Accessibility</t>
        </is>
      </c>
      <c r="C195" s="113" t="inlineStr">
        <is>
          <t>Layers</t>
        </is>
      </c>
      <c r="D195" s="113" t="inlineStr">
        <is>
          <t>modal isolation preserves owned submenu and nested overlay portal branches</t>
        </is>
      </c>
      <c r="E195" s="114" t="inlineStr">
        <is>
          <t>yes</t>
        </is>
      </c>
      <c r="F195" s="115" t="inlineStr">
        <is>
          <t>no</t>
        </is>
      </c>
      <c r="G195" s="112" t="inlineStr">
        <is>
          <t>automated tests pass; manual pending</t>
        </is>
      </c>
      <c r="H195" s="116" t="inlineStr">
        <is>
          <t>untested</t>
        </is>
      </c>
      <c r="I195" s="113" t="inlineStr">
        <is>
          <t>playground/.manual-tests/menu.md (draft)</t>
        </is>
      </c>
      <c r="J195" s="113" t="inlineStr">
        <is>
          <t>Run the updated component Manual Test Protocol and named browser/device matrix.</t>
        </is>
      </c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Responsive</t>
        </is>
      </c>
      <c r="C196" s="113" t="inlineStr">
        <is>
          <t>Reflow</t>
        </is>
      </c>
      <c r="D196" s="113" t="inlineStr">
        <is>
          <t>real focused rows, Arrow, and long content remain reachable at 200%, 400%, and narrow viewport reflow</t>
        </is>
      </c>
      <c r="E196" s="114" t="inlineStr">
        <is>
          <t>yes</t>
        </is>
      </c>
      <c r="F196" s="115" t="inlineStr">
        <is>
          <t>no</t>
        </is>
      </c>
      <c r="G196" s="112" t="inlineStr">
        <is>
          <t>automated tests pass; manual pending</t>
        </is>
      </c>
      <c r="H196" s="116" t="inlineStr">
        <is>
          <t>untested</t>
        </is>
      </c>
      <c r="I196" s="113" t="inlineStr">
        <is>
          <t>playground/.manual-tests/menu.md (draft)</t>
        </is>
      </c>
      <c r="J196" s="113" t="inlineStr">
        <is>
          <t>Run the updated component Manual Test Protocol and named browser/device matrix.</t>
        </is>
      </c>
      <c r="K196" s="117">
        <f>IF(AND(E196="yes",F196="yes",H196="covered"),1,IF(H196="partial",0.5,0))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Step 7 Props And Slots.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representative custom data-slot override controls are available for slot-owning DOM parts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Step 7 Props And Slots.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Menubar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Step 0 Playground Smoke Check.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Menubar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Steps 0 and 8 Source / Inspector / Logs.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Menubar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Steps 0, 3, 6, and 7.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Menubar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Steps 0 and 8 Source / Inspector / Logs.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Menubar</t>
        </is>
      </c>
      <c r="D15" s="113" t="inlineStr">
        <is>
          <t>renders role="menubar" with trigger and content behavior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Steps 0, 3, and 6.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Menubar</t>
        </is>
      </c>
      <c r="D16" s="113" t="inlineStr">
        <is>
          <t>opens adjacent top-level menus with arrow keys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Steps 3 and 4.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Menubar</t>
        </is>
      </c>
      <c r="D17" s="113" t="inlineStr">
        <is>
          <t>uses shared Menu item, checkbox, radio, group, separator, and submenu behavior as integration smoke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Step 5 Shared Menu Integration Smoke.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Menubar</t>
        </is>
      </c>
      <c r="D18" s="113" t="inlineStr">
        <is>
          <t>supports controlled and uncontrolled active menu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Step 1 Root State And Direction.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Menubar</t>
        </is>
      </c>
      <c r="D19" s="113" t="inlineStr">
        <is>
          <t>supports configurable closeOnSelect, looping, and escape close per menu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Step 2 Menu Behavior.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Direction</t>
        </is>
      </c>
      <c r="C20" s="113" t="inlineStr">
        <is>
          <t>Root</t>
        </is>
      </c>
      <c r="D20" s="113" t="inlineStr">
        <is>
          <t>supports Direction.Provider and Root dir modes for horizontal menubar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Step 1 Root State And Direction.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Direction</t>
        </is>
      </c>
      <c r="C21" s="113" t="inlineStr">
        <is>
          <t>Submenu</t>
        </is>
      </c>
      <c r="D21" s="113" t="inlineStr">
        <is>
          <t>RTL mirrors submenu placement and keyboard open/close behavior in provider and root direction modes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Step 1 Root State And Direction follow-up.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Root in the documented anatomy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Steps 0 and 7.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tag, role, aria-orientation, and dir are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Steps 1 and 7.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and custom data-slot are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Step 7 Props And Slots.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Step 7 Props And Slots.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Step 1 Root State And Direction.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Step 1 Root State And Direction.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behavior is visible through current value and logs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Step 1 Root State And Direction.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 controls top-level trigger wrapping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Steps 2 and 4.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Menu</t>
        </is>
      </c>
      <c r="D30" s="113" t="inlineStr">
        <is>
          <t>non-DOM Menu part coordinates File and View menu values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Step 2 Menu Behavior.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Menu</t>
        </is>
      </c>
      <c r="D31" s="113" t="inlineStr">
        <is>
          <t>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Step 2 Menu Behavior.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Menu</t>
        </is>
      </c>
      <c r="D32" s="113" t="inlineStr">
        <is>
          <t>closeOnSelect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Step 2 Menu Behavior.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Public API</t>
        </is>
      </c>
      <c r="C33" s="113" t="inlineStr">
        <is>
          <t>Menu</t>
        </is>
      </c>
      <c r="D33" s="113" t="inlineStr">
        <is>
          <t>loop prop behavior controls item wrapping inside content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Step 2 Menu Behavior.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Menu</t>
        </is>
      </c>
      <c r="D34" s="113" t="inlineStr">
        <is>
          <t>closeOnEscape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Step 2 Menu Behavior.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File and View triggers render in the documented anatomy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Step 3 Trigger And Top-Level Focus.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and role are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Step 3 Trigger And Top-Level Focus.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aria-haspopup, aria-expanded, and aria-controls are present at the correct time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Step 3 Trigger And Top-Level Focus.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and custom data-slot are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Step 7 Props And Slots.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Step 7 Props And Slots.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Trigger</t>
        </is>
      </c>
      <c r="D40" s="113" t="inlineStr">
        <is>
          <t>data-state reflects open and closed trigger state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Step 3 Trigger And Top-Level Focus.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trigger blocks pointer and keyboard activation and exposes data-disabled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Step 3 Trigger And Top-Level Focus.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Interaction</t>
        </is>
      </c>
      <c r="C42" s="113" t="inlineStr">
        <is>
          <t>Trigger</t>
        </is>
      </c>
      <c r="D42" s="113" t="inlineStr">
        <is>
          <t>pointer activation opens and closes the focused menu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Step 3 Trigger And Top-Level Focus.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Interaction</t>
        </is>
      </c>
      <c r="C43" s="113" t="inlineStr">
        <is>
          <t>Trigger</t>
        </is>
      </c>
      <c r="D43" s="113" t="inlineStr">
        <is>
          <t>Enter key activation opens and closes the focused menu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Step 3 Trigger And Top-Level Focus.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Interaction</t>
        </is>
      </c>
      <c r="C44" s="113" t="inlineStr">
        <is>
          <t>Trigger</t>
        </is>
      </c>
      <c r="D44" s="113" t="inlineStr">
        <is>
          <t>Space key activation opens and closes the focused menu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Step 3 Trigger And Top-Level Focus.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Focus</t>
        </is>
      </c>
      <c r="C45" s="113" t="inlineStr">
        <is>
          <t>Trigger</t>
        </is>
      </c>
      <c r="D45" s="113" t="inlineStr">
        <is>
          <t>adjacent open-menu handoff moves real focus into the new content and close restores the active trigger</t>
        </is>
      </c>
      <c r="E45" s="114" t="inlineStr">
        <is>
          <t>yes</t>
        </is>
      </c>
      <c r="F45" s="115" t="inlineStr">
        <is>
          <t>no</t>
        </is>
      </c>
      <c r="G45" s="112" t="inlineStr">
        <is>
          <t>automated tests pass; manual pending</t>
        </is>
      </c>
      <c r="H45" s="116" t="inlineStr">
        <is>
          <t>untested</t>
        </is>
      </c>
      <c r="I45" s="113" t="inlineStr">
        <is>
          <t>playground/manual-tests/menubar.md</t>
        </is>
      </c>
      <c r="J45" s="113" t="inlineStr">
        <is>
          <t>Run the updated component Manual Test Protocol and named browser/device matrix.</t>
        </is>
      </c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File and View content render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Step 6 Content Accessibility And Positioning Smoke.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and role are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Step 6 Content Accessibility And Positioning Smoke.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ARIA</t>
        </is>
      </c>
      <c r="C48" s="113" t="inlineStr">
        <is>
          <t>Content</t>
        </is>
      </c>
      <c r="D48" s="113" t="inlineStr">
        <is>
          <t>ariaLabel prop adds and removes aria-label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Step 6 Content Accessibility And Positioning Smoke.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and custom data-slot are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Steps 6 and 7.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Content</t>
        </is>
      </c>
      <c r="D50" s="113" t="inlineStr">
        <is>
          <t>data-state, data-side, data-align, and data-positioned are visible for open content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Step 6 Content Accessibility And Positioning Smoke.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Step 7 Props And Slots.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Keyboard</t>
        </is>
      </c>
      <c r="C52" s="113" t="inlineStr">
        <is>
          <t>Menubar</t>
        </is>
      </c>
      <c r="D52" s="113" t="inlineStr">
        <is>
          <t>ArrowLeft and ArrowRight behavior in LTR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Step 4 Top-Level Keyboard And RTL.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Menubar</t>
        </is>
      </c>
      <c r="D53" s="113" t="inlineStr">
        <is>
          <t>Home and End navigation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Step 4 Top-Level Keyboard And RTL.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Keyboard</t>
        </is>
      </c>
      <c r="C54" s="113" t="inlineStr">
        <is>
          <t>Menubar</t>
        </is>
      </c>
      <c r="D54" s="113" t="inlineStr">
        <is>
          <t>ArrowDown and ArrowUp open content and move real focus to the requested first or last item</t>
        </is>
      </c>
      <c r="E54" s="114" t="inlineStr">
        <is>
          <t>yes</t>
        </is>
      </c>
      <c r="F54" s="115" t="inlineStr">
        <is>
          <t>no</t>
        </is>
      </c>
      <c r="G54" s="112" t="inlineStr">
        <is>
          <t>automated tests pass; manual pending</t>
        </is>
      </c>
      <c r="H54" s="116" t="inlineStr">
        <is>
          <t>untested</t>
        </is>
      </c>
      <c r="I54" s="113" t="inlineStr">
        <is>
          <t>playground/manual-tests/menubar.md</t>
        </is>
      </c>
      <c r="J54" s="113" t="inlineStr">
        <is>
          <t>Run the updated component Manual Test Protocol and named browser/device matrix.</t>
        </is>
      </c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Menubar</t>
        </is>
      </c>
      <c r="D55" s="113" t="inlineStr">
        <is>
          <t>ArrowLeft and ArrowRight behavior mirrors in RTL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Step 4 Top-Level Keyboard And RTL.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Focus</t>
        </is>
      </c>
      <c r="C56" s="113" t="inlineStr">
        <is>
          <t>Menubar</t>
        </is>
      </c>
      <c r="D56" s="113" t="inlineStr">
        <is>
          <t>roving focus state is visible in Focused inspector evidence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Step 4 Top-Level Keyboard And RTL.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Dismiss</t>
        </is>
      </c>
      <c r="C57" s="113" t="inlineStr">
        <is>
          <t>Menubar</t>
        </is>
      </c>
      <c r="D57" s="113" t="inlineStr">
        <is>
          <t>Escape closes only the topmost active menu layer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Steps 2 and 5.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Focus</t>
        </is>
      </c>
      <c r="C58" s="113" t="inlineStr">
        <is>
          <t>Menubar</t>
        </is>
      </c>
      <c r="D58" s="113" t="inlineStr">
        <is>
          <t>focus returns to the correct trigger after close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Step 3 Trigger And Top-Level Focus.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Menu Integration</t>
        </is>
      </c>
      <c r="C59" s="113" t="inlineStr">
        <is>
          <t>Item</t>
        </is>
      </c>
      <c r="D59" s="113" t="inlineStr">
        <is>
          <t>item selection logs selected value and closes according to Menu settings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Steps 2 and 5.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Menu Integration</t>
        </is>
      </c>
      <c r="C60" s="113" t="inlineStr">
        <is>
          <t>CheckboxItem</t>
        </is>
      </c>
      <c r="D60" s="113" t="inlineStr">
        <is>
          <t>checkbox item toggles checked state and exposes menuitemcheckbox semantics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Step 5 Shared Menu Integration Smoke.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Menu Integration</t>
        </is>
      </c>
      <c r="C61" s="113" t="inlineStr">
        <is>
          <t>RadioItem</t>
        </is>
      </c>
      <c r="D61" s="113" t="inlineStr">
        <is>
          <t>radio items are exclusive and expose menuitemradio semantics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Step 5 Shared Menu Integration Smoke.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Menu Integration</t>
        </is>
      </c>
      <c r="C62" s="113" t="inlineStr">
        <is>
          <t>Group and Separator</t>
        </is>
      </c>
      <c r="D62" s="113" t="inlineStr">
        <is>
          <t>group and separator render as shared Menu integration anatomy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Step 5 Shared Menu Integration Smoke.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Menu Integration</t>
        </is>
      </c>
      <c r="C63" s="113" t="inlineStr">
        <is>
          <t>SubTrigger</t>
        </is>
      </c>
      <c r="D63" s="113" t="inlineStr">
        <is>
          <t>submenu trigger opens SubContent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Step 5 Shared Menu Integration Smoke.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Menu Integration</t>
        </is>
      </c>
      <c r="C64" s="113" t="inlineStr">
        <is>
          <t>SubContent</t>
        </is>
      </c>
      <c r="D64" s="113" t="inlineStr">
        <is>
          <t>submenu content exposes role menu and closes before parent on Escape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Step 5 Shared Menu Integration Smoke.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Source</t>
        </is>
      </c>
      <c r="C65" s="113" t="inlineStr">
        <is>
          <t>Menubar</t>
        </is>
      </c>
      <c r="D65" s="113" t="inlineStr">
        <is>
          <t>Source panel shows public Atom JSX only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Step 8 Source / Inspector / Logs.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Inspector</t>
        </is>
      </c>
      <c r="C66" s="113" t="inlineStr">
        <is>
          <t>Menubar</t>
        </is>
      </c>
      <c r="D66" s="113" t="inlineStr">
        <is>
          <t>Selected and Focused tabs update independently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Step 8 Source / Inspector / Logs.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Logs</t>
        </is>
      </c>
      <c r="C67" s="113" t="inlineStr">
        <is>
          <t>Menubar</t>
        </is>
      </c>
      <c r="D67" s="113" t="inlineStr">
        <is>
          <t>logs record open, close, controlled actions, selection, and clear correctly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Step 8 Source / Inspector / Logs.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Public API</t>
        </is>
      </c>
      <c r="C68" s="113" t="inlineStr">
        <is>
          <t>Root</t>
        </is>
      </c>
      <c r="D68" s="113" t="inlineStr">
        <is>
          <t>orientation defaults horizontal and supports vertical with matching aria-orientation and data-orientation</t>
        </is>
      </c>
      <c r="E68" s="114" t="inlineStr">
        <is>
          <t>yes</t>
        </is>
      </c>
      <c r="F68" s="115" t="inlineStr">
        <is>
          <t>no</t>
        </is>
      </c>
      <c r="G68" s="112" t="inlineStr">
        <is>
          <t>automated tests pass; manual pending</t>
        </is>
      </c>
      <c r="H68" s="116" t="inlineStr">
        <is>
          <t>untested</t>
        </is>
      </c>
      <c r="I68" s="113" t="inlineStr">
        <is>
          <t>playground/manual-tests/menubar.md</t>
        </is>
      </c>
      <c r="J68" s="113" t="inlineStr">
        <is>
          <t>Run the updated component Manual Test Protocol and named browser/device matrix.</t>
        </is>
      </c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Keyboard</t>
        </is>
      </c>
      <c r="C69" s="113" t="inlineStr">
        <is>
          <t>Root</t>
        </is>
      </c>
      <c r="D69" s="113" t="inlineStr">
        <is>
          <t>vertical ArrowDown and ArrowUp move real focus across enabled top-level triggers while Home and End remain stable</t>
        </is>
      </c>
      <c r="E69" s="114" t="inlineStr">
        <is>
          <t>yes</t>
        </is>
      </c>
      <c r="F69" s="115" t="inlineStr">
        <is>
          <t>no</t>
        </is>
      </c>
      <c r="G69" s="112" t="inlineStr">
        <is>
          <t>automated tests pass; manual pending</t>
        </is>
      </c>
      <c r="H69" s="116" t="inlineStr">
        <is>
          <t>untested</t>
        </is>
      </c>
      <c r="I69" s="113" t="inlineStr">
        <is>
          <t>playground/manual-tests/menubar.md</t>
        </is>
      </c>
      <c r="J69" s="113" t="inlineStr">
        <is>
          <t>Run the updated component Manual Test Protocol and named browser/device matrix.</t>
        </is>
      </c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Focus</t>
        </is>
      </c>
      <c r="C70" s="113" t="inlineStr">
        <is>
          <t>Content</t>
        </is>
      </c>
      <c r="D70" s="113" t="inlineStr">
        <is>
          <t>opening a top-level menu moves real focus to its requested first or last item</t>
        </is>
      </c>
      <c r="E70" s="114" t="inlineStr">
        <is>
          <t>yes</t>
        </is>
      </c>
      <c r="F70" s="115" t="inlineStr">
        <is>
          <t>no</t>
        </is>
      </c>
      <c r="G70" s="112" t="inlineStr">
        <is>
          <t>automated tests pass; manual pending</t>
        </is>
      </c>
      <c r="H70" s="116" t="inlineStr">
        <is>
          <t>untested</t>
        </is>
      </c>
      <c r="I70" s="113" t="inlineStr">
        <is>
          <t>playground/manual-tests/menubar.md</t>
        </is>
      </c>
      <c r="J70" s="113" t="inlineStr">
        <is>
          <t>Run the updated component Manual Test Protocol and named browser/device matrix.</t>
        </is>
      </c>
      <c r="K70" s="117">
        <f>IF(AND(E70="yes",F70="yes",H70="covered"),1,IF(H70="partial",0.5,0))</f>
        <v/>
      </c>
    </row>
    <row r="71" ht="30" customHeight="1" s="58">
      <c r="A71" s="112" t="n">
        <v>63</v>
      </c>
      <c r="B71" s="113" t="inlineStr">
        <is>
          <t>Focus</t>
        </is>
      </c>
      <c r="C71" s="113" t="inlineStr">
        <is>
          <t>Open And Close</t>
        </is>
      </c>
      <c r="D71" s="113" t="inlineStr">
        <is>
          <t>Tab exits the complete Menubar Root instead of returning to one Trigger</t>
        </is>
      </c>
      <c r="E71" s="114" t="inlineStr">
        <is>
          <t>yes</t>
        </is>
      </c>
      <c r="F71" s="115" t="inlineStr">
        <is>
          <t>no</t>
        </is>
      </c>
      <c r="G71" s="112" t="inlineStr">
        <is>
          <t>automated tests pass; manual pending</t>
        </is>
      </c>
      <c r="H71" s="116" t="inlineStr">
        <is>
          <t>untested</t>
        </is>
      </c>
      <c r="I71" s="113" t="inlineStr">
        <is>
          <t>playground/manual-tests/menubar.md</t>
        </is>
      </c>
      <c r="J71" s="113" t="inlineStr">
        <is>
          <t>Run the updated component Manual Test Protocol and named browser/device matrix.</t>
        </is>
      </c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Trigger</t>
        </is>
      </c>
      <c r="D72" s="113" t="inlineStr">
        <is>
          <t>Trigger preserves its consumer ref and offered asChild or render composition</t>
        </is>
      </c>
      <c r="E72" s="114" t="inlineStr">
        <is>
          <t>yes</t>
        </is>
      </c>
      <c r="F72" s="115" t="inlineStr">
        <is>
          <t>no</t>
        </is>
      </c>
      <c r="G72" s="112" t="inlineStr">
        <is>
          <t>automated tests pass; manual pending</t>
        </is>
      </c>
      <c r="H72" s="116" t="inlineStr">
        <is>
          <t>untested</t>
        </is>
      </c>
      <c r="I72" s="113" t="inlineStr">
        <is>
          <t>playground/manual-tests/menubar.md</t>
        </is>
      </c>
      <c r="J72" s="113" t="inlineStr">
        <is>
          <t>Run the updated component Manual Test Protocol and named browser/device matrix.</t>
        </is>
      </c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Pointer</t>
        </is>
      </c>
      <c r="C73" s="113" t="inlineStr">
        <is>
          <t>Trigger</t>
        </is>
      </c>
      <c r="D73" s="113" t="inlineStr">
        <is>
          <t>touch tap opens or closes while touch and pen contact cannot run mouse-hover switching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playground/manual-tests/menubar.md</t>
        </is>
      </c>
      <c r="J73" s="113" t="inlineStr">
        <is>
          <t>Run the updated component Manual Test Protocol and named browser/device matrix.</t>
        </is>
      </c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Shared Menu Integration</t>
        </is>
      </c>
      <c r="C74" s="113" t="inlineStr">
        <is>
          <t>Anatomy</t>
        </is>
      </c>
      <c r="D74" s="113" t="inlineStr">
        <is>
          <t>Portal, Arrow, Label, and ItemIndicator integrate with shared Menu semantics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playground/manual-tests/menubar.md</t>
        </is>
      </c>
      <c r="J74" s="113" t="inlineStr">
        <is>
          <t>Run the updated component Manual Test Protocol and named browser/device matrix.</t>
        </is>
      </c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Shared Menu Integration</t>
        </is>
      </c>
      <c r="C75" s="113" t="inlineStr">
        <is>
          <t>Disabled Item</t>
        </is>
      </c>
      <c r="D75" s="113" t="inlineStr">
        <is>
          <t>disabled shared Menu items receive focus but never activate</t>
        </is>
      </c>
      <c r="E75" s="114" t="inlineStr">
        <is>
          <t>yes</t>
        </is>
      </c>
      <c r="F75" s="115" t="inlineStr">
        <is>
          <t>no</t>
        </is>
      </c>
      <c r="G75" s="112" t="inlineStr">
        <is>
          <t>automated tests pass; manual pending</t>
        </is>
      </c>
      <c r="H75" s="116" t="inlineStr">
        <is>
          <t>untested</t>
        </is>
      </c>
      <c r="I75" s="113" t="inlineStr">
        <is>
          <t>playground/manual-tests/menubar.md</t>
        </is>
      </c>
      <c r="J75" s="113" t="inlineStr">
        <is>
          <t>Run the updated component Manual Test Protocol and named browser/device matrix.</t>
        </is>
      </c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Responsive</t>
        </is>
      </c>
      <c r="C76" s="113" t="inlineStr">
        <is>
          <t>Reflow</t>
        </is>
      </c>
      <c r="D76" s="113" t="inlineStr">
        <is>
          <t>horizontal and vertical Menubar remain reachable at 200%, 400%, and narrow viewport reflow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playground/manual-tests/menubar.md</t>
        </is>
      </c>
      <c r="J76" s="113" t="inlineStr">
        <is>
          <t>Run the updated component Manual Test Protocol and named browser/device matrix.</t>
        </is>
      </c>
      <c r="K76" s="117">
        <f>IF(AND(E76="yes",F76="yes",H76="covered"),1,IF(H76="partial",0.5,0))</f>
        <v/>
      </c>
    </row>
    <row r="77" ht="15" customHeight="1" s="58"/>
    <row r="78" ht="15" customHeight="1" s="58"/>
    <row r="79" ht="15" customHeight="1" s="58"/>
    <row r="80" ht="15" customHeight="1" s="58"/>
    <row r="81" ht="15" customHeight="1" s="58"/>
    <row r="82" ht="30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30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30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30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30" customHeight="1" s="58"/>
    <row r="141" ht="30" customHeight="1" s="58"/>
    <row r="142" ht="30" customHeight="1" s="58"/>
    <row r="143" ht="30" customHeight="1" s="58"/>
    <row r="144" ht="30" customHeight="1" s="58"/>
    <row r="145" ht="30" customHeight="1" s="58"/>
    <row r="14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Modal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Modal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Modal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Modal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Modal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Modal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Modal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Modal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Modal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Modal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Modal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Modal</t>
        </is>
      </c>
      <c r="D16" s="113" t="inlineStr">
        <is>
          <t>Escape-key and backdrop dismissal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Modal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Modal</t>
        </is>
      </c>
      <c r="D17" s="113" t="inlineStr">
        <is>
          <t>Stack-aware Escape dismissal so nested overlays close before the parent modal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Modal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Modal</t>
        </is>
      </c>
      <c r="D18" s="113" t="inlineStr">
        <is>
          <t>Focus trap, focus restore, scroll lock, and initial focus management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Modal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Modal</t>
        </is>
      </c>
      <c r="D19" s="113" t="inlineStr">
        <is>
          <t>Optional keep-mounted content support through `useModalContent`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Modal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Modal</t>
        </is>
      </c>
      <c r="D20" s="113" t="inlineStr">
        <is>
          <t>Close reasons for action, cancel, backdrop, Escape, and close-button flows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Modal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Modal</t>
        </is>
      </c>
      <c r="D21" s="113" t="inlineStr">
        <is>
          <t>Live DOM shows Modal remains headless: no Atom-owned visual classes, icons, or animation DOM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Modal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Root provider state is represented without a fake DOM selector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Modal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Source shows Root wrapping Trigger and Portal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Modal playground scenario.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Root has no default DOM tag and Anatomy shows provider state only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Modal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has no data-slot because it renders no DOM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Modal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Root props are verified through behavior, Source, and Anatomy state rows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Modal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No Root DOM ref row is tracked because Root renders no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Modal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Modal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Modal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Modal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closeOnEscape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Modal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closeOnBackdropClick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Modal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Modal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keepMounted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Modal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Portal</t>
        </is>
      </c>
      <c r="D35" s="113" t="inlineStr">
        <is>
          <t>Portal behavior renders content/backdrop evidence under the Portal section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Modal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Source shows Portal in documented order after Trigger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Modal playground scenario.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Portal</t>
        </is>
      </c>
      <c r="D37" s="113" t="inlineStr">
        <is>
          <t>Portal has no default DOM tag; rendered content parent is verified instead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Modal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has no data-slot because it renders no own DOM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Modal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Portal</t>
        </is>
      </c>
      <c r="D39" s="113" t="inlineStr">
        <is>
          <t>Portal disabled and container props are verified through content parent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Modal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Portal</t>
        </is>
      </c>
      <c r="D40" s="113" t="inlineStr">
        <is>
          <t>No Portal DOM ref row is tracked because Portal renders no own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Modal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Positioning</t>
        </is>
      </c>
      <c r="C41" s="113" t="inlineStr">
        <is>
          <t>Portal</t>
        </is>
      </c>
      <c r="D41" s="113" t="inlineStr">
        <is>
          <t>container prop renders content into the custom container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Modal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Portal</t>
        </is>
      </c>
      <c r="D42" s="113" t="inlineStr">
        <is>
          <t>disabled prop renders content inline instead of portalling to body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Modal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Trigger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Modal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Trigger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Modal playground scenario.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Trigger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Modal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Trigger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Modal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Trigger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Modal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Trigger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Modal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Trigger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Modal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Modal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Trigger</t>
        </is>
      </c>
      <c r="D51" s="113" t="inlineStr">
        <is>
          <t>data-slot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Modal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[data-slot]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Modal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[data-state]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Modal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Trigger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Modal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Title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Modal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Title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Modal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Title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Modal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Title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Modal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Title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Modal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Title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Modal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Title</t>
        </is>
      </c>
      <c r="D61" s="113" t="inlineStr">
        <is>
          <t>as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Modal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Title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Modal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Title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Modal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Description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Modal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Description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Modal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Description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Modal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Description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Modal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Description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Modal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Description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Modal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Description</t>
        </is>
      </c>
      <c r="D70" s="113" t="inlineStr">
        <is>
          <t>data-slot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Modal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Description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Modal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Close</t>
        </is>
      </c>
      <c r="D72" s="113" t="inlineStr">
        <is>
          <t>renders correct part when expected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Modal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Anatomy</t>
        </is>
      </c>
      <c r="C73" s="113" t="inlineStr">
        <is>
          <t>Close</t>
        </is>
      </c>
      <c r="D73" s="113" t="inlineStr">
        <is>
          <t>appears in documented order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Modal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Identity</t>
        </is>
      </c>
      <c r="C74" s="113" t="inlineStr">
        <is>
          <t>Close</t>
        </is>
      </c>
      <c r="D74" s="113" t="inlineStr">
        <is>
          <t>default tag is visible in Anatomy/Inspector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Modal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Identity</t>
        </is>
      </c>
      <c r="C75" s="113" t="inlineStr">
        <is>
          <t>Close</t>
        </is>
      </c>
      <c r="D75" s="113" t="inlineStr">
        <is>
          <t>data-slot is present and correct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Modal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Props</t>
        </is>
      </c>
      <c r="C76" s="113" t="inlineStr">
        <is>
          <t>Close</t>
        </is>
      </c>
      <c r="D76" s="113" t="inlineStr">
        <is>
          <t>non-Atom native props pass through with data-prop-check marker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Modal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Refs</t>
        </is>
      </c>
      <c r="C77" s="113" t="inlineStr">
        <is>
          <t>Close</t>
        </is>
      </c>
      <c r="D77" s="113" t="inlineStr">
        <is>
          <t>consumer ref receives the rendered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Modal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Close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Modal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Close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Modal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Composition</t>
        </is>
      </c>
      <c r="C80" s="113" t="inlineStr">
        <is>
          <t>Close</t>
        </is>
      </c>
      <c r="D80" s="113" t="inlineStr">
        <is>
          <t>consumer click preventDefault blocks close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Modal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aria-controls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Modal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aria-describedby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Modal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Modal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aria-expanded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Modal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aria-haspopup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Modal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Modal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aria-labelledby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Modal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aria-modal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Modal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data-disabled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Modal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Modal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data-state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Modal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Composition</t>
        </is>
      </c>
      <c r="C92" s="113" t="inlineStr">
        <is>
          <t>Trigger</t>
        </is>
      </c>
      <c r="D92" s="113" t="inlineStr">
        <is>
          <t>asChild preserves child content without double nesting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Modal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Trigger</t>
        </is>
      </c>
      <c r="D93" s="113" t="inlineStr">
        <is>
          <t>asChild merges Atom props and consumer props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Modal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Trigger</t>
        </is>
      </c>
      <c r="D94" s="113" t="inlineStr">
        <is>
          <t>consumer click preventDefault blocks open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Modal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render prop renders custom close element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Modal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preserves refs and behavior props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Modal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controlled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Modal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uncontrolled default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Modal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state change callback fires once with correct value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Modal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mouse click or pointer activation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Modal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Trigger</t>
        </is>
      </c>
      <c r="D101" s="113" t="inlineStr">
        <is>
          <t>Enter key activation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Modal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Interaction</t>
        </is>
      </c>
      <c r="C102" s="113" t="inlineStr">
        <is>
          <t>Trigger</t>
        </is>
      </c>
      <c r="D102" s="113" t="inlineStr">
        <is>
          <t>Space key activation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Modal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Interaction</t>
        </is>
      </c>
      <c r="C103" s="113" t="inlineStr">
        <is>
          <t>Trigger</t>
        </is>
      </c>
      <c r="D103" s="113" t="inlineStr">
        <is>
          <t>disabled trigger blocks pointer and keyboard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Modal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Focus</t>
        </is>
      </c>
      <c r="C104" s="113" t="inlineStr">
        <is>
          <t>Trigger</t>
        </is>
      </c>
      <c r="D104" s="113" t="inlineStr">
        <is>
          <t>focus ring and focus restoration are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Modal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Dismiss</t>
        </is>
      </c>
      <c r="C105" s="113" t="inlineStr">
        <is>
          <t>Modal</t>
        </is>
      </c>
      <c r="D105" s="113" t="inlineStr">
        <is>
          <t>Escape closes only the topmost active layer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Modal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Dismiss</t>
        </is>
      </c>
      <c r="C106" s="113" t="inlineStr">
        <is>
          <t>Modal</t>
        </is>
      </c>
      <c r="D106" s="113" t="inlineStr">
        <is>
          <t>outside click/interact closes when enabled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Modal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Dismiss</t>
        </is>
      </c>
      <c r="C107" s="113" t="inlineStr">
        <is>
          <t>Modal</t>
        </is>
      </c>
      <c r="D107" s="113" t="inlineStr">
        <is>
          <t>outside click/interact is blocked when disabled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Modal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Modal</t>
        </is>
      </c>
      <c r="D108" s="113" t="inlineStr">
        <is>
          <t>focus returns to the correct trigger/anchor after close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Modal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Focus</t>
        </is>
      </c>
      <c r="C109" s="113" t="inlineStr">
        <is>
          <t>Modal</t>
        </is>
      </c>
      <c r="D109" s="113" t="inlineStr">
        <is>
          <t>nested overlays keep focus and Escape order correct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Modal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Responsive smoke</t>
        </is>
      </c>
      <c r="C110" s="113" t="inlineStr">
        <is>
          <t>Modal</t>
        </is>
      </c>
      <c r="D110" s="113" t="inlineStr">
        <is>
          <t>desktop browser responsive smoke covers pointer, keyboard, focus, and layout-viewport behavior only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desktop and iPhone Safari qualification; Android deferred</t>
        </is>
      </c>
      <c r="H110" s="116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inlineStr">
        <is>
          <t>Android Chrome/TalkBack deferred — no device available.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Portal</t>
        </is>
      </c>
      <c r="C111" s="113" t="inlineStr">
        <is>
          <t>Modal</t>
        </is>
      </c>
      <c r="D111" s="113" t="inlineStr">
        <is>
          <t>portal renders in body by default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Modal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Portal</t>
        </is>
      </c>
      <c r="C112" s="113" t="inlineStr">
        <is>
          <t>Modal</t>
        </is>
      </c>
      <c r="D112" s="113" t="inlineStr">
        <is>
          <t>custom/disabled portal path works where supported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Modal playground scenario.</t>
        </is>
      </c>
      <c r="J112" s="113" t="n"/>
      <c r="K112" s="117">
        <f>IF(AND(E112="yes",F112="yes",H112="covered"),1,IF(H112="partial",0.5,0))</f>
        <v/>
      </c>
    </row>
    <row r="113" ht="54" customHeight="1" s="58">
      <c r="A113" s="112" t="n">
        <v>105</v>
      </c>
      <c r="B113" s="113" t="inlineStr">
        <is>
          <t>Accessibility</t>
        </is>
      </c>
      <c r="C113" s="113" t="inlineStr">
        <is>
          <t>Content</t>
        </is>
      </c>
      <c r="D113" s="113" t="inlineStr">
        <is>
          <t>native ARIA values override ariaLabel compatibility and generated relationships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focused manual qualification</t>
        </is>
      </c>
      <c r="H113" s="116" t="inlineStr">
        <is>
          <t>covered</t>
        </is>
      </c>
      <c r="I113" s="113" t="inlineStr">
        <is>
          <t>Dialog Modal Foundation Manual Test Protocol, 2026-07-17; desktop, macOS VoiceOver, iPhone Safari, and iPhone VoiceOver.</t>
        </is>
      </c>
      <c r="J113" s="113" t="n"/>
      <c r="K113" s="117">
        <f>IF(AND(E113="yes",F113="yes",H113="covered"),1,IF(H113="partial",0.5,0))</f>
        <v/>
      </c>
    </row>
    <row r="114" ht="54" customHeight="1" s="58">
      <c r="A114" s="112" t="n">
        <v>106</v>
      </c>
      <c r="B114" s="113" t="inlineStr">
        <is>
          <t>Accessibility</t>
        </is>
      </c>
      <c r="C114" s="113" t="inlineStr">
        <is>
          <t>Description</t>
        </is>
      </c>
      <c r="D114" s="113" t="inlineStr">
        <is>
          <t>registered optional Description does not leave a dangling aria-describedby relationship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focused manual qualification</t>
        </is>
      </c>
      <c r="H114" s="116" t="inlineStr">
        <is>
          <t>covered</t>
        </is>
      </c>
      <c r="I114" s="113" t="inlineStr">
        <is>
          <t>Dialog Modal Foundation Manual Test Protocol, 2026-07-17; desktop, macOS VoiceOver, iPhone Safari, and iPhone VoiceOver.</t>
        </is>
      </c>
      <c r="J114" s="113" t="n"/>
      <c r="K114" s="117">
        <f>IF(AND(E114="yes",F114="yes",H114="covered"),1,IF(H114="partial",0.5,0))</f>
        <v/>
      </c>
    </row>
    <row r="115" ht="54" customHeight="1" s="58">
      <c r="A115" s="112" t="n">
        <v>107</v>
      </c>
      <c r="B115" s="113" t="inlineStr">
        <is>
          <t>Focus</t>
        </is>
      </c>
      <c r="C115" s="113" t="inlineStr">
        <is>
          <t>Content</t>
        </is>
      </c>
      <c r="D115" s="113" t="inlineStr">
        <is>
          <t>interaction-aware initialFocus supports Content, explicit targets, native autoFocus, and touch keyboard avoidance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focused manual qualification</t>
        </is>
      </c>
      <c r="H115" s="116" t="inlineStr">
        <is>
          <t>covered</t>
        </is>
      </c>
      <c r="I115" s="113" t="inlineStr">
        <is>
          <t>Dialog Modal Foundation Manual Test Protocol, 2026-07-17; desktop, macOS VoiceOver, iPhone Safari, and iPhone VoiceOver.</t>
        </is>
      </c>
      <c r="J115" s="113" t="n"/>
      <c r="K115" s="117">
        <f>IF(AND(E115="yes",F115="yes",H115="covered"),1,IF(H115="partial",0.5,0))</f>
        <v/>
      </c>
    </row>
    <row r="116" ht="54" customHeight="1" s="58">
      <c r="A116" s="112" t="n">
        <v>108</v>
      </c>
      <c r="B116" s="113" t="inlineStr">
        <is>
          <t>Focus</t>
        </is>
      </c>
      <c r="C116" s="113" t="inlineStr">
        <is>
          <t>Content</t>
        </is>
      </c>
      <c r="D116" s="113" t="inlineStr">
        <is>
          <t>finalFocus supports workflow targets, trigger fallback, and opt-out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focused manual qualification</t>
        </is>
      </c>
      <c r="H116" s="116" t="inlineStr">
        <is>
          <t>covered</t>
        </is>
      </c>
      <c r="I116" s="113" t="inlineStr">
        <is>
          <t>Dialog Modal Foundation Manual Test Protocol, 2026-07-17; desktop, macOS VoiceOver, iPhone Safari, and iPhone VoiceOver.</t>
        </is>
      </c>
      <c r="J116" s="113" t="n"/>
      <c r="K116" s="117">
        <f>IF(AND(E116="yes",F116="yes",H116="covered"),1,IF(H116="partial",0.5,0))</f>
        <v/>
      </c>
    </row>
    <row r="117" ht="54" customHeight="1" s="58">
      <c r="A117" s="112" t="n">
        <v>109</v>
      </c>
      <c r="B117" s="113" t="inlineStr">
        <is>
          <t>Isolation</t>
        </is>
      </c>
      <c r="C117" s="113" t="inlineStr">
        <is>
          <t>Modal</t>
        </is>
      </c>
      <c r="D117" s="113" t="inlineStr">
        <is>
          <t>owned branches remain operable while background isolation and cleanup preserve author state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focused manual qualification</t>
        </is>
      </c>
      <c r="H117" s="116" t="inlineStr">
        <is>
          <t>covered</t>
        </is>
      </c>
      <c r="I117" s="113" t="inlineStr">
        <is>
          <t>Dialog Modal Foundation Manual Test Protocol, 2026-07-17; desktop, macOS VoiceOver, iPhone Safari, and iPhone VoiceOver.</t>
        </is>
      </c>
      <c r="J117" s="113" t="n"/>
      <c r="K117" s="117">
        <f>IF(AND(E117="yes",F117="yes",H117="covered"),1,IF(H117="partial",0.5,0))</f>
        <v/>
      </c>
    </row>
    <row r="118" ht="54" customHeight="1" s="58">
      <c r="A118" s="112" t="n">
        <v>110</v>
      </c>
      <c r="B118" s="113" t="inlineStr">
        <is>
          <t>Portal</t>
        </is>
      </c>
      <c r="C118" s="113" t="inlineStr">
        <is>
          <t>Modal.Branch</t>
        </is>
      </c>
      <c r="D118" s="113" t="inlineStr">
        <is>
          <t>public Branch registers a consumer-owned portal for focus containment and allowed scrolling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focused manual qualification</t>
        </is>
      </c>
      <c r="H118" s="116" t="inlineStr">
        <is>
          <t>covered</t>
        </is>
      </c>
      <c r="I118" s="113" t="inlineStr">
        <is>
          <t>Dialog Modal Foundation Manual Test Protocol, 2026-07-17; desktop, macOS VoiceOver, iPhone Safari, and iPhone VoiceOver.</t>
        </is>
      </c>
      <c r="J118" s="113" t="n"/>
      <c r="K118" s="117">
        <f>IF(AND(E118="yes",F118="yes",H118="covered"),1,IF(H118="partial",0.5,0))</f>
        <v/>
      </c>
    </row>
    <row r="119" ht="54" customHeight="1" s="58">
      <c r="A119" s="112" t="n">
        <v>111</v>
      </c>
      <c r="B119" s="113" t="inlineStr">
        <is>
          <t>Portal</t>
        </is>
      </c>
      <c r="C119" s="113" t="inlineStr">
        <is>
          <t>Select</t>
        </is>
      </c>
      <c r="D119" s="113" t="inlineStr">
        <is>
          <t>registered Select portal preserves delegated keyboard behavior without focus escape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focused manual qualification</t>
        </is>
      </c>
      <c r="H119" s="116" t="inlineStr">
        <is>
          <t>covered</t>
        </is>
      </c>
      <c r="I119" s="113" t="inlineStr">
        <is>
          <t>Dialog Modal Foundation Manual Test Protocol, 2026-07-17; desktop, macOS VoiceOver, iPhone Safari, and iPhone VoiceOver.</t>
        </is>
      </c>
      <c r="J119" s="113" t="n"/>
      <c r="K119" s="117">
        <f>IF(AND(E119="yes",F119="yes",H119="covered"),1,IF(H119="partial",0.5,0))</f>
        <v/>
      </c>
    </row>
    <row r="120" ht="54" customHeight="1" s="58">
      <c r="A120" s="112" t="n">
        <v>112</v>
      </c>
      <c r="B120" s="113" t="inlineStr">
        <is>
          <t>Layering</t>
        </is>
      </c>
      <c r="C120" s="113" t="inlineStr">
        <is>
          <t>Modal</t>
        </is>
      </c>
      <c r="D120" s="113" t="inlineStr">
        <is>
          <t>nested ownership hands off focus, dismissal, isolation, and scroll lock one layer at a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focused manual qualification</t>
        </is>
      </c>
      <c r="H120" s="116" t="inlineStr">
        <is>
          <t>covered</t>
        </is>
      </c>
      <c r="I120" s="113" t="inlineStr">
        <is>
          <t>Dialog Modal Foundation Manual Test Protocol, 2026-07-17; desktop, macOS VoiceOver, iPhone Safari, and iPhone VoiceOver.</t>
        </is>
      </c>
      <c r="J120" s="113" t="n"/>
      <c r="K120" s="117">
        <f>IF(AND(E120="yes",F120="yes",H120="covered"),1,IF(H120="partial",0.5,0))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K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manual-tests/navlist.md Step 0, Step 10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manual-tests/navlist.md part steps and Step 10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NavList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manual-tests/navlist.md Step 0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NavList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manual-tests/navlist.md Step 10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NavList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manual-tests/navlist.md Steps 2-9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NavList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manual-tests/navlist.md Step 11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NavList</t>
        </is>
      </c>
      <c r="D15" s="113" t="inlineStr">
        <is>
          <t>renders native nav, section, list, listitem, and anchor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manual-tests/navlist.md Steps 0, 2-9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NavList</t>
        </is>
      </c>
      <c r="D16" s="113" t="inlineStr">
        <is>
          <t>supports active/current link state with data-active, data-current, and aria-current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manual-tests/navlist.md Step 1 and Step 9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NavList</t>
        </is>
      </c>
      <c r="D17" s="113" t="inlineStr">
        <is>
          <t>supports collapsible sections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manual-tests/navlist.md Step 1, Step 5, Step 6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NavList</t>
        </is>
      </c>
      <c r="D18" s="113" t="inlineStr">
        <is>
          <t>supports controlled section open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manual-tests/navlist.md Step 1 and Step 6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NavList</t>
        </is>
      </c>
      <c r="D19" s="113" t="inlineStr">
        <is>
          <t>supports uncontrolled defaultOpen section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manual-tests/navlist.md Step 1 and Step 3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NavList</t>
        </is>
      </c>
      <c r="D20" s="113" t="inlineStr">
        <is>
          <t>supports vertical and horizontal orientation metadata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manual-tests/navlist.md Step 1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NavList</t>
        </is>
      </c>
      <c r="D21" s="113" t="inlineStr">
        <is>
          <t>horizontal orientation has minimal visual row styling driven by data-orientation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manual-tests/navlist.md Step 1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NavList</t>
        </is>
      </c>
      <c r="D22" s="113" t="inlineStr">
        <is>
          <t>keeps route behavior in consumer links while Atom owns ARIA and data attributes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manual-tests/navlist.md Step 9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NavList</t>
        </is>
      </c>
      <c r="D23" s="113" t="inlineStr">
        <is>
          <t>uses native Tab focus, not tree/menu roving focus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manual-tests/navlist.md Step 12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public anatomy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manual-tests/navlist.md Step 0 and Step 2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nav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manual-tests/navlist.md Step 2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defaults to nav-list and custom slot override works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manual-tests/navlist.md Step 2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Data</t>
        </is>
      </c>
      <c r="C27" s="113" t="inlineStr">
        <is>
          <t>Root</t>
        </is>
      </c>
      <c r="D27" s="113" t="inlineStr">
        <is>
          <t>data-orientation reflects vertical and horizontal modes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manual-tests/navlist.md Step 1 and Step 2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manual-tests/navlist.md Step 2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manual-tests/navlist.md Step 2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default, asChild, and render composition work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manual-tests/navlist.md Step 2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Section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manual-tests/navlist.md Step 0 and Step 3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Section</t>
        </is>
      </c>
      <c r="D32" s="113" t="inlineStr">
        <is>
          <t>default tag is section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manual-tests/navlist.md Step 3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Section</t>
        </is>
      </c>
      <c r="D33" s="113" t="inlineStr">
        <is>
          <t>data-slot defaults to nav-list-section and custom slot override works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manual-tests/navlist.md Step 3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Section</t>
        </is>
      </c>
      <c r="D34" s="113" t="inlineStr">
        <is>
          <t>data-state and data-collapsible reflect open/closed collapsible state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manual-tests/navlist.md Step 1 and Step 3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Section</t>
        </is>
      </c>
      <c r="D35" s="113" t="inlineStr">
        <is>
          <t>controlled open prop behavior works through toolbar Open and Close actions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manual-tests/navlist.md Step 1 and Step 6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Section</t>
        </is>
      </c>
      <c r="D36" s="113" t="inlineStr">
        <is>
          <t>defaultOpen uncontrolled behavior works through Default Open remount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manual-tests/navlist.md Step 1 and Step 3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Section</t>
        </is>
      </c>
      <c r="D37" s="113" t="inlineStr">
        <is>
          <t>onOpenChange logs section opened/closed changes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manual-tests/navlist.md Step 1, Step 5, Step 11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Section</t>
        </is>
      </c>
      <c r="D38" s="113" t="inlineStr">
        <is>
          <t>disabled section disables the Project trigger and exposes disabled data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manual-tests/navlist.md Step 1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Props</t>
        </is>
      </c>
      <c r="C39" s="113" t="inlineStr">
        <is>
          <t>Section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manual-tests/navlist.md Step 3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Section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manual-tests/navlist.md Step 3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Section</t>
        </is>
      </c>
      <c r="D41" s="113" t="inlineStr">
        <is>
          <t>default, asChild, and render composition work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manual-tests/navlist.md Step 3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SectionLabel</t>
        </is>
      </c>
      <c r="D42" s="113" t="inlineStr">
        <is>
          <t>appears before SectionTrigger in public anatomy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manual-tests/navlist.md Step 0 and Step 4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SectionLabel</t>
        </is>
      </c>
      <c r="D43" s="113" t="inlineStr">
        <is>
          <t>default scenario tag is h3 and composed tag can change to h4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manual-tests/navlist.md Step 4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SectionLabel</t>
        </is>
      </c>
      <c r="D44" s="113" t="inlineStr">
        <is>
          <t>data-slot defaults to nav-list-section-label and custom slot override works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manual-tests/navlist.md Step 4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SectionLabel</t>
        </is>
      </c>
      <c r="D45" s="113" t="inlineStr">
        <is>
          <t>SectionContent aria-labelledby can reference the label id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manual-tests/navlist.md Step 4 and Step 6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Props</t>
        </is>
      </c>
      <c r="C46" s="113" t="inlineStr">
        <is>
          <t>SectionLabel</t>
        </is>
      </c>
      <c r="D46" s="113" t="inlineStr">
        <is>
          <t>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manual-tests/navlist.md Step 4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SectionLabel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manual-tests/navlist.md Step 4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SectionLabel</t>
        </is>
      </c>
      <c r="D48" s="113" t="inlineStr">
        <is>
          <t>default, asChild, and render composition work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manual-tests/navlist.md Step 4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SectionTrigger</t>
        </is>
      </c>
      <c r="D49" s="113" t="inlineStr">
        <is>
          <t>appears after SectionLabel in public anatomy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manual-tests/navlist.md Step 0 and Step 5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SectionTrigger</t>
        </is>
      </c>
      <c r="D50" s="113" t="inlineStr">
        <is>
          <t>default tag is button with type button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manual-tests/navlist.md Step 5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SectionTrigger</t>
        </is>
      </c>
      <c r="D51" s="113" t="inlineStr">
        <is>
          <t>data-slot defaults to nav-list-section-trigger and custom slot override works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manual-tests/navlist.md Step 5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SectionTrigger</t>
        </is>
      </c>
      <c r="D52" s="113" t="inlineStr">
        <is>
          <t>data-state, data-collapsible, and data-disabled reflect section state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manual-tests/navlist.md Step 1 and Step 5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SectionTrigger</t>
        </is>
      </c>
      <c r="D53" s="113" t="inlineStr">
        <is>
          <t>aria-expanded and aria-controls reflect collapsible content state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manual-tests/navlist.md Step 1 and Step 5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SectionTrigger</t>
        </is>
      </c>
      <c r="D54" s="113" t="inlineStr">
        <is>
          <t>Space and Enter toggle the section when enabled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manual-tests/navlist.md Step 5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SectionTrigger</t>
        </is>
      </c>
      <c r="D55" s="113" t="inlineStr">
        <is>
          <t>disabled trigger cannot toggle the section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manual-tests/navlist.md Step 1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SectionTrigger</t>
        </is>
      </c>
      <c r="D56" s="113" t="inlineStr">
        <is>
          <t>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manual-tests/navlist.md Step 5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SectionTrigger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manual-tests/navlist.md Step 5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Composition</t>
        </is>
      </c>
      <c r="C58" s="113" t="inlineStr">
        <is>
          <t>SectionTrigger</t>
        </is>
      </c>
      <c r="D58" s="113" t="inlineStr">
        <is>
          <t>default, asChild, and render composition work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manual-tests/navlist.md Step 5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SectionContent</t>
        </is>
      </c>
      <c r="D59" s="113" t="inlineStr">
        <is>
          <t>appears after SectionTrigger in public anatomy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manual-tests/navlist.md Step 0 and Step 6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SectionContent</t>
        </is>
      </c>
      <c r="D60" s="113" t="inlineStr">
        <is>
          <t>default tag is div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manual-tests/navlist.md Step 6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SectionContent</t>
        </is>
      </c>
      <c r="D61" s="113" t="inlineStr">
        <is>
          <t>data-slot defaults to nav-list-section-content and custom slot override works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manual-tests/navlist.md Step 6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SectionContent</t>
        </is>
      </c>
      <c r="D62" s="113" t="inlineStr">
        <is>
          <t>data-state reflects open and closed states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manual-tests/navlist.md Step 6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SectionContent</t>
        </is>
      </c>
      <c r="D63" s="113" t="inlineStr">
        <is>
          <t>aria-labelledby matches SectionLabel id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manual-tests/navlist.md Step 6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State</t>
        </is>
      </c>
      <c r="C64" s="113" t="inlineStr">
        <is>
          <t>SectionContent</t>
        </is>
      </c>
      <c r="D64" s="113" t="inlineStr">
        <is>
          <t>closed uncontrolled content unmounts when forceMount is off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manual-tests/navlist.md Step 6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SectionContent</t>
        </is>
      </c>
      <c r="D65" s="113" t="inlineStr">
        <is>
          <t>forceMount keeps closed content mounted with hidden attribute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manual-tests/navlist.md Step 1 and Step 6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SectionContent</t>
        </is>
      </c>
      <c r="D66" s="113" t="inlineStr">
        <is>
          <t>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manual-tests/navlist.md Step 6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SectionContent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manual-tests/navlist.md Step 6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SectionContent</t>
        </is>
      </c>
      <c r="D68" s="113" t="inlineStr">
        <is>
          <t>default, asChild, and render composition work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manual-tests/navlist.md Step 6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List</t>
        </is>
      </c>
      <c r="D69" s="113" t="inlineStr">
        <is>
          <t>appears inside SectionContent in public anatomy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manual-tests/navlist.md Step 0 and Step 7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List</t>
        </is>
      </c>
      <c r="D70" s="113" t="inlineStr">
        <is>
          <t>default tag is ul and ordered tag is ol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manual-tests/navlist.md Step 7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List</t>
        </is>
      </c>
      <c r="D71" s="113" t="inlineStr">
        <is>
          <t>data-slot defaults to nav-list-list and custom slot override works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manual-tests/navlist.md Step 7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List</t>
        </is>
      </c>
      <c r="D72" s="113" t="inlineStr">
        <is>
          <t>data-orientation and data-ordered reflect toolbar state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manual-tests/navlist.md Step 1 and Step 7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Props</t>
        </is>
      </c>
      <c r="C73" s="113" t="inlineStr">
        <is>
          <t>List</t>
        </is>
      </c>
      <c r="D73" s="113" t="inlineStr">
        <is>
          <t>native props pass through with data-prop-check marker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manual-tests/navlist.md Step 7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Refs</t>
        </is>
      </c>
      <c r="C74" s="113" t="inlineStr">
        <is>
          <t>List</t>
        </is>
      </c>
      <c r="D74" s="113" t="inlineStr">
        <is>
          <t>consumer ref receives the rendered element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manual-tests/navlist.md Step 7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List</t>
        </is>
      </c>
      <c r="D75" s="113" t="inlineStr">
        <is>
          <t>default, asChild, and render composition work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manual-tests/navlist.md Step 7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Anatomy</t>
        </is>
      </c>
      <c r="C76" s="113" t="inlineStr">
        <is>
          <t>Item</t>
        </is>
      </c>
      <c r="D76" s="113" t="inlineStr">
        <is>
          <t>each Item is immediately followed by its child Link in Anatomy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manual-tests/navlist.md Step 0 and Step 8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Item</t>
        </is>
      </c>
      <c r="D77" s="113" t="inlineStr">
        <is>
          <t>default tag is li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manual-tests/navlist.md Step 8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Item</t>
        </is>
      </c>
      <c r="D78" s="113" t="inlineStr">
        <is>
          <t>data-slot defaults to nav-list-item and custom slot override works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manual-tests/navlist.md Step 8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Item</t>
        </is>
      </c>
      <c r="D79" s="113" t="inlineStr">
        <is>
          <t>data-orientation and data-disabled reflect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manual-tests/navlist.md Step 1 and Step 8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Item</t>
        </is>
      </c>
      <c r="D80" s="113" t="inlineStr">
        <is>
          <t>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manual-tests/navlist.md Step 8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Item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manual-tests/navlist.md Step 8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Item</t>
        </is>
      </c>
      <c r="D82" s="113" t="inlineStr">
        <is>
          <t>default, asChild, and render composition work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manual-tests/navlist.md Step 8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Link</t>
        </is>
      </c>
      <c r="D83" s="113" t="inlineStr">
        <is>
          <t>each Link appears immediately after its parent Item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manual-tests/navlist.md Step 0 and Step 9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Link</t>
        </is>
      </c>
      <c r="D84" s="113" t="inlineStr">
        <is>
          <t>default tag is a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manual-tests/navlist.md Step 9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Link</t>
        </is>
      </c>
      <c r="D85" s="113" t="inlineStr">
        <is>
          <t>href is visible for enabled links and removed for disabled links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manual-tests/navlist.md Step 9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Link</t>
        </is>
      </c>
      <c r="D86" s="113" t="inlineStr">
        <is>
          <t>data-slot defaults to nav-list-link and custom slot override works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manual-tests/navlist.md Step 9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Link</t>
        </is>
      </c>
      <c r="D87" s="113" t="inlineStr">
        <is>
          <t>active link exposes data-active and data-current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manual-tests/navlist.md Step 1 and Step 9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ARIA</t>
        </is>
      </c>
      <c r="C88" s="113" t="inlineStr">
        <is>
          <t>Link</t>
        </is>
      </c>
      <c r="D88" s="113" t="inlineStr">
        <is>
          <t>active link exposes aria-current page, step, or location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manual-tests/navlist.md Step 1 and Step 9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Link</t>
        </is>
      </c>
      <c r="D89" s="113" t="inlineStr">
        <is>
          <t>disabled link exposes aria-disabled true and tabindex -1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manual-tests/navlist.md Step 1 and Step 9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Link</t>
        </is>
      </c>
      <c r="D90" s="113" t="inlineStr">
        <is>
          <t>disabled link cannot become active and does not log active-link change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manual-tests/navlist.md Step 1 and Step 11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Props</t>
        </is>
      </c>
      <c r="C91" s="113" t="inlineStr">
        <is>
          <t>Link</t>
        </is>
      </c>
      <c r="D91" s="113" t="inlineStr">
        <is>
          <t>native props pass through with data-prop-check marker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manual-tests/navlist.md Step 9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Link</t>
        </is>
      </c>
      <c r="D92" s="113" t="inlineStr">
        <is>
          <t>consumer ref receives the rendered element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manual-tests/navlist.md Step 9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Link</t>
        </is>
      </c>
      <c r="D93" s="113" t="inlineStr">
        <is>
          <t>default, asChild, and render composition work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manual-tests/navlist.md Step 9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Source</t>
        </is>
      </c>
      <c r="C94" s="113" t="inlineStr">
        <is>
          <t>NavList</t>
        </is>
      </c>
      <c r="D94" s="113" t="inlineStr">
        <is>
          <t>Source omits playground-only refs, classes, logs, and helper components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manual-tests/navlist.md Step 10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Inspector</t>
        </is>
      </c>
      <c r="C95" s="113" t="inlineStr">
        <is>
          <t>NavList</t>
        </is>
      </c>
      <c r="D95" s="113" t="inlineStr">
        <is>
          <t>Selected and Focused evidence update independently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manual-tests/navlist.md Step 11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Logs</t>
        </is>
      </c>
      <c r="C96" s="113" t="inlineStr">
        <is>
          <t>NavList</t>
        </is>
      </c>
      <c r="D96" s="113" t="inlineStr">
        <is>
          <t>logs record active-link and section open changes only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manual-tests/navlist.md Step 11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/>
      <c r="B97" s="113" t="n"/>
      <c r="C97" s="113" t="n"/>
      <c r="D97" s="113" t="n"/>
      <c r="E97" s="114" t="n"/>
      <c r="F97" s="115" t="n"/>
      <c r="G97" s="112" t="n"/>
      <c r="H97" s="116" t="n"/>
      <c r="I97" s="113" t="n"/>
      <c r="J97" s="113" t="n"/>
      <c r="K97" s="117" t="n"/>
    </row>
    <row r="98" ht="15" customHeight="1" s="58">
      <c r="A98" s="112" t="n"/>
      <c r="B98" s="113" t="n"/>
      <c r="C98" s="113" t="n"/>
      <c r="D98" s="113" t="n"/>
      <c r="E98" s="114" t="n"/>
      <c r="F98" s="115" t="n"/>
      <c r="G98" s="112" t="n"/>
      <c r="H98" s="116" t="n"/>
      <c r="I98" s="113" t="n"/>
      <c r="J98" s="113" t="n"/>
      <c r="K98" s="117" t="n"/>
    </row>
    <row r="99" ht="15" customHeight="1" s="58">
      <c r="A99" s="112" t="n"/>
      <c r="B99" s="113" t="n"/>
      <c r="C99" s="113" t="n"/>
      <c r="D99" s="113" t="n"/>
      <c r="E99" s="114" t="n"/>
      <c r="F99" s="115" t="n"/>
      <c r="G99" s="112" t="n"/>
      <c r="H99" s="116" t="n"/>
      <c r="I99" s="113" t="n"/>
      <c r="J99" s="113" t="n"/>
      <c r="K99" s="117" t="n"/>
    </row>
    <row r="100" ht="30" customHeight="1" s="58">
      <c r="A100" s="112" t="n"/>
      <c r="B100" s="113" t="n"/>
      <c r="C100" s="113" t="n"/>
      <c r="D100" s="113" t="n"/>
      <c r="E100" s="114" t="n"/>
      <c r="F100" s="115" t="n"/>
      <c r="G100" s="112" t="n"/>
      <c r="H100" s="116" t="n"/>
      <c r="I100" s="113" t="n"/>
      <c r="J100" s="113" t="n"/>
      <c r="K100" s="117" t="n"/>
    </row>
    <row r="101" ht="15" customHeight="1" s="58">
      <c r="A101" s="112" t="n"/>
      <c r="B101" s="113" t="n"/>
      <c r="C101" s="113" t="n"/>
      <c r="D101" s="113" t="n"/>
      <c r="E101" s="114" t="n"/>
      <c r="F101" s="115" t="n"/>
      <c r="G101" s="112" t="n"/>
      <c r="H101" s="116" t="n"/>
      <c r="I101" s="113" t="n"/>
      <c r="J101" s="113" t="n"/>
      <c r="K101" s="117" t="n"/>
    </row>
    <row r="102" ht="15" customHeight="1" s="58">
      <c r="A102" s="112" t="n"/>
      <c r="B102" s="113" t="n"/>
      <c r="C102" s="113" t="n"/>
      <c r="D102" s="113" t="n"/>
      <c r="E102" s="114" t="n"/>
      <c r="F102" s="115" t="n"/>
      <c r="G102" s="112" t="n"/>
      <c r="H102" s="116" t="n"/>
      <c r="I102" s="113" t="n"/>
      <c r="J102" s="113" t="n"/>
      <c r="K102" s="117" t="n"/>
    </row>
    <row r="103" ht="15" customHeight="1" s="58">
      <c r="A103" s="112" t="n"/>
      <c r="B103" s="113" t="n"/>
      <c r="C103" s="113" t="n"/>
      <c r="D103" s="113" t="n"/>
      <c r="E103" s="114" t="n"/>
      <c r="F103" s="115" t="n"/>
      <c r="G103" s="112" t="n"/>
      <c r="H103" s="116" t="n"/>
      <c r="I103" s="113" t="n"/>
      <c r="J103" s="113" t="n"/>
      <c r="K103" s="117" t="n"/>
    </row>
    <row r="104" ht="15" customHeight="1" s="58">
      <c r="A104" s="112" t="n"/>
      <c r="B104" s="113" t="n"/>
      <c r="C104" s="113" t="n"/>
      <c r="D104" s="113" t="n"/>
      <c r="E104" s="114" t="n"/>
      <c r="F104" s="115" t="n"/>
      <c r="G104" s="112" t="n"/>
      <c r="H104" s="116" t="n"/>
      <c r="I104" s="113" t="n"/>
      <c r="J104" s="113" t="n"/>
      <c r="K104" s="117" t="n"/>
    </row>
    <row r="105" ht="15" customHeight="1" s="58">
      <c r="A105" s="112" t="n"/>
      <c r="B105" s="113" t="n"/>
      <c r="C105" s="113" t="n"/>
      <c r="D105" s="113" t="n"/>
      <c r="E105" s="114" t="n"/>
      <c r="F105" s="115" t="n"/>
      <c r="G105" s="112" t="n"/>
      <c r="H105" s="116" t="n"/>
      <c r="I105" s="113" t="n"/>
      <c r="J105" s="113" t="n"/>
      <c r="K105" s="117" t="n"/>
    </row>
    <row r="106" ht="15" customHeight="1" s="58">
      <c r="A106" s="112" t="n"/>
      <c r="B106" s="113" t="n"/>
      <c r="C106" s="113" t="n"/>
      <c r="D106" s="113" t="n"/>
      <c r="E106" s="114" t="n"/>
      <c r="F106" s="115" t="n"/>
      <c r="G106" s="112" t="n"/>
      <c r="H106" s="116" t="n"/>
      <c r="I106" s="113" t="n"/>
      <c r="J106" s="113" t="n"/>
      <c r="K106" s="117" t="n"/>
    </row>
    <row r="107" ht="15" customHeight="1" s="58">
      <c r="A107" s="112" t="n"/>
      <c r="B107" s="113" t="n"/>
      <c r="C107" s="113" t="n"/>
      <c r="D107" s="113" t="n"/>
      <c r="E107" s="114" t="n"/>
      <c r="F107" s="115" t="n"/>
      <c r="G107" s="112" t="n"/>
      <c r="H107" s="116" t="n"/>
      <c r="I107" s="113" t="n"/>
      <c r="J107" s="113" t="n"/>
      <c r="K107" s="117" t="n"/>
    </row>
    <row r="108" ht="15" customHeight="1" s="58">
      <c r="A108" s="112" t="n"/>
      <c r="B108" s="113" t="n"/>
      <c r="C108" s="113" t="n"/>
      <c r="D108" s="113" t="n"/>
      <c r="E108" s="114" t="n"/>
      <c r="F108" s="115" t="n"/>
      <c r="G108" s="112" t="n"/>
      <c r="H108" s="116" t="n"/>
      <c r="I108" s="113" t="n"/>
      <c r="J108" s="113" t="n"/>
      <c r="K108" s="117" t="n"/>
    </row>
    <row r="109" ht="15" customHeight="1" s="58">
      <c r="A109" s="112" t="n"/>
      <c r="B109" s="113" t="n"/>
      <c r="C109" s="113" t="n"/>
      <c r="D109" s="113" t="n"/>
      <c r="E109" s="114" t="n"/>
      <c r="F109" s="115" t="n"/>
      <c r="G109" s="112" t="n"/>
      <c r="H109" s="116" t="n"/>
      <c r="I109" s="113" t="n"/>
      <c r="J109" s="113" t="n"/>
      <c r="K109" s="117" t="n"/>
    </row>
    <row r="110" ht="30" customHeight="1" s="58">
      <c r="A110" s="112" t="n"/>
      <c r="B110" s="113" t="n"/>
      <c r="C110" s="113" t="n"/>
      <c r="D110" s="113" t="n"/>
      <c r="E110" s="114" t="n"/>
      <c r="F110" s="115" t="n"/>
      <c r="G110" s="112" t="n"/>
      <c r="H110" s="116" t="n"/>
      <c r="I110" s="113" t="n"/>
      <c r="J110" s="113" t="n"/>
      <c r="K110" s="117" t="n"/>
    </row>
    <row r="111" ht="15" customHeight="1" s="58">
      <c r="A111" s="112" t="n"/>
      <c r="B111" s="113" t="n"/>
      <c r="C111" s="113" t="n"/>
      <c r="D111" s="113" t="n"/>
      <c r="E111" s="114" t="n"/>
      <c r="F111" s="115" t="n"/>
      <c r="G111" s="112" t="n"/>
      <c r="H111" s="116" t="n"/>
      <c r="I111" s="113" t="n"/>
      <c r="J111" s="113" t="n"/>
      <c r="K111" s="117" t="n"/>
    </row>
    <row r="112" ht="15" customHeight="1" s="58">
      <c r="A112" s="112" t="n"/>
      <c r="B112" s="113" t="n"/>
      <c r="C112" s="113" t="n"/>
      <c r="D112" s="113" t="n"/>
      <c r="E112" s="114" t="n"/>
      <c r="F112" s="115" t="n"/>
      <c r="G112" s="112" t="n"/>
      <c r="H112" s="116" t="n"/>
      <c r="I112" s="113" t="n"/>
      <c r="J112" s="113" t="n"/>
      <c r="K112" s="117" t="n"/>
    </row>
    <row r="113" ht="15" customHeight="1" s="58">
      <c r="A113" s="112" t="n"/>
      <c r="B113" s="113" t="n"/>
      <c r="C113" s="113" t="n"/>
      <c r="D113" s="113" t="n"/>
      <c r="E113" s="114" t="n"/>
      <c r="F113" s="115" t="n"/>
      <c r="G113" s="112" t="n"/>
      <c r="H113" s="116" t="n"/>
      <c r="I113" s="113" t="n"/>
      <c r="J113" s="113" t="n"/>
      <c r="K113" s="117" t="n"/>
    </row>
    <row r="114" ht="15" customHeight="1" s="58">
      <c r="A114" s="112" t="n"/>
      <c r="B114" s="113" t="n"/>
      <c r="C114" s="113" t="n"/>
      <c r="D114" s="113" t="n"/>
      <c r="E114" s="114" t="n"/>
      <c r="F114" s="115" t="n"/>
      <c r="G114" s="112" t="n"/>
      <c r="H114" s="116" t="n"/>
      <c r="I114" s="113" t="n"/>
      <c r="J114" s="113" t="n"/>
      <c r="K114" s="117" t="n"/>
    </row>
    <row r="115" ht="15" customHeight="1" s="58">
      <c r="A115" s="112" t="n"/>
      <c r="B115" s="113" t="n"/>
      <c r="C115" s="113" t="n"/>
      <c r="D115" s="113" t="n"/>
      <c r="E115" s="114" t="n"/>
      <c r="F115" s="115" t="n"/>
      <c r="G115" s="112" t="n"/>
      <c r="H115" s="116" t="n"/>
      <c r="I115" s="113" t="n"/>
      <c r="J115" s="113" t="n"/>
      <c r="K115" s="117" t="n"/>
    </row>
    <row r="116" ht="15" customHeight="1" s="58">
      <c r="A116" s="112" t="n"/>
      <c r="B116" s="113" t="n"/>
      <c r="C116" s="113" t="n"/>
      <c r="D116" s="113" t="n"/>
      <c r="E116" s="114" t="n"/>
      <c r="F116" s="115" t="n"/>
      <c r="G116" s="112" t="n"/>
      <c r="H116" s="116" t="n"/>
      <c r="I116" s="113" t="n"/>
      <c r="J116" s="113" t="n"/>
      <c r="K116" s="117" t="n"/>
    </row>
    <row r="117" ht="30" customHeight="1" s="58">
      <c r="A117" s="112" t="n"/>
      <c r="B117" s="113" t="n"/>
      <c r="C117" s="113" t="n"/>
      <c r="D117" s="113" t="n"/>
      <c r="E117" s="114" t="n"/>
      <c r="F117" s="115" t="n"/>
      <c r="G117" s="112" t="n"/>
      <c r="H117" s="116" t="n"/>
      <c r="I117" s="113" t="n"/>
      <c r="J117" s="113" t="n"/>
      <c r="K117" s="117" t="n"/>
    </row>
    <row r="118" ht="15" customHeight="1" s="58">
      <c r="A118" s="112" t="n"/>
      <c r="B118" s="113" t="n"/>
      <c r="C118" s="113" t="n"/>
      <c r="D118" s="113" t="n"/>
      <c r="E118" s="114" t="n"/>
      <c r="F118" s="115" t="n"/>
      <c r="G118" s="112" t="n"/>
      <c r="H118" s="116" t="n"/>
      <c r="I118" s="113" t="n"/>
      <c r="J118" s="113" t="n"/>
      <c r="K118" s="117" t="n"/>
    </row>
    <row r="119" ht="15" customHeight="1" s="58">
      <c r="A119" s="112" t="n"/>
      <c r="B119" s="113" t="n"/>
      <c r="C119" s="113" t="n"/>
      <c r="D119" s="113" t="n"/>
      <c r="E119" s="114" t="n"/>
      <c r="F119" s="115" t="n"/>
      <c r="G119" s="112" t="n"/>
      <c r="H119" s="116" t="n"/>
      <c r="I119" s="113" t="n"/>
      <c r="J119" s="113" t="n"/>
      <c r="K119" s="117" t="n"/>
    </row>
    <row r="120" ht="15" customHeight="1" s="58">
      <c r="A120" s="112" t="n"/>
      <c r="B120" s="113" t="n"/>
      <c r="C120" s="113" t="n"/>
      <c r="D120" s="113" t="n"/>
      <c r="E120" s="114" t="n"/>
      <c r="F120" s="115" t="n"/>
      <c r="G120" s="112" t="n"/>
      <c r="H120" s="116" t="n"/>
      <c r="I120" s="113" t="n"/>
      <c r="J120" s="113" t="n"/>
      <c r="K120" s="117" t="n"/>
    </row>
    <row r="121" ht="15" customHeight="1" s="58">
      <c r="A121" s="112" t="n"/>
      <c r="B121" s="113" t="n"/>
      <c r="C121" s="113" t="n"/>
      <c r="D121" s="113" t="n"/>
      <c r="E121" s="114" t="n"/>
      <c r="F121" s="115" t="n"/>
      <c r="G121" s="112" t="n"/>
      <c r="H121" s="116" t="n"/>
      <c r="I121" s="113" t="n"/>
      <c r="J121" s="113" t="n"/>
      <c r="K121" s="117" t="n"/>
    </row>
    <row r="122" ht="15" customHeight="1" s="58">
      <c r="A122" s="112" t="n"/>
      <c r="B122" s="113" t="n"/>
      <c r="C122" s="113" t="n"/>
      <c r="D122" s="113" t="n"/>
      <c r="E122" s="114" t="n"/>
      <c r="F122" s="115" t="n"/>
      <c r="G122" s="112" t="n"/>
      <c r="H122" s="116" t="n"/>
      <c r="I122" s="113" t="n"/>
      <c r="J122" s="113" t="n"/>
      <c r="K122" s="117" t="n"/>
    </row>
    <row r="123" ht="15" customHeight="1" s="58">
      <c r="A123" s="112" t="n"/>
      <c r="B123" s="113" t="n"/>
      <c r="C123" s="113" t="n"/>
      <c r="D123" s="113" t="n"/>
      <c r="E123" s="114" t="n"/>
      <c r="F123" s="115" t="n"/>
      <c r="G123" s="112" t="n"/>
      <c r="H123" s="116" t="n"/>
      <c r="I123" s="113" t="n"/>
      <c r="J123" s="113" t="n"/>
      <c r="K123" s="117" t="n"/>
    </row>
    <row r="124" ht="30" customHeight="1" s="58">
      <c r="A124" s="112" t="n"/>
      <c r="B124" s="113" t="n"/>
      <c r="C124" s="113" t="n"/>
      <c r="D124" s="113" t="n"/>
      <c r="E124" s="114" t="n"/>
      <c r="F124" s="115" t="n"/>
      <c r="G124" s="112" t="n"/>
      <c r="H124" s="116" t="n"/>
      <c r="I124" s="113" t="n"/>
      <c r="J124" s="113" t="n"/>
      <c r="K124" s="117" t="n"/>
    </row>
    <row r="125" ht="15" customHeight="1" s="58">
      <c r="A125" s="112" t="n"/>
      <c r="B125" s="113" t="n"/>
      <c r="C125" s="113" t="n"/>
      <c r="D125" s="113" t="n"/>
      <c r="E125" s="114" t="n"/>
      <c r="F125" s="115" t="n"/>
      <c r="G125" s="112" t="n"/>
      <c r="H125" s="116" t="n"/>
      <c r="I125" s="113" t="n"/>
      <c r="J125" s="113" t="n"/>
      <c r="K125" s="117" t="n"/>
    </row>
    <row r="126" ht="15" customHeight="1" s="58">
      <c r="A126" s="112" t="n"/>
      <c r="B126" s="113" t="n"/>
      <c r="C126" s="113" t="n"/>
      <c r="D126" s="113" t="n"/>
      <c r="E126" s="114" t="n"/>
      <c r="F126" s="115" t="n"/>
      <c r="G126" s="112" t="n"/>
      <c r="H126" s="116" t="n"/>
      <c r="I126" s="113" t="n"/>
      <c r="J126" s="113" t="n"/>
      <c r="K126" s="117" t="n"/>
    </row>
    <row r="127" ht="15" customHeight="1" s="58">
      <c r="A127" s="112" t="n"/>
      <c r="B127" s="113" t="n"/>
      <c r="C127" s="113" t="n"/>
      <c r="D127" s="113" t="n"/>
      <c r="E127" s="114" t="n"/>
      <c r="F127" s="115" t="n"/>
      <c r="G127" s="112" t="n"/>
      <c r="H127" s="116" t="n"/>
      <c r="I127" s="113" t="n"/>
      <c r="J127" s="113" t="n"/>
      <c r="K127" s="117" t="n"/>
    </row>
    <row r="128" ht="15" customHeight="1" s="58">
      <c r="A128" s="112" t="n"/>
      <c r="B128" s="113" t="n"/>
      <c r="C128" s="113" t="n"/>
      <c r="D128" s="113" t="n"/>
      <c r="E128" s="114" t="n"/>
      <c r="F128" s="115" t="n"/>
      <c r="G128" s="112" t="n"/>
      <c r="H128" s="116" t="n"/>
      <c r="I128" s="113" t="n"/>
      <c r="J128" s="113" t="n"/>
      <c r="K128" s="117" t="n"/>
    </row>
    <row r="129" ht="15" customHeight="1" s="58">
      <c r="A129" s="112" t="n"/>
      <c r="B129" s="113" t="n"/>
      <c r="C129" s="113" t="n"/>
      <c r="D129" s="113" t="n"/>
      <c r="E129" s="114" t="n"/>
      <c r="F129" s="115" t="n"/>
      <c r="G129" s="112" t="n"/>
      <c r="H129" s="116" t="n"/>
      <c r="I129" s="113" t="n"/>
      <c r="J129" s="113" t="n"/>
      <c r="K129" s="117" t="n"/>
    </row>
    <row r="130" ht="15" customHeight="1" s="58">
      <c r="A130" s="112" t="n"/>
      <c r="B130" s="113" t="n"/>
      <c r="C130" s="113" t="n"/>
      <c r="D130" s="113" t="n"/>
      <c r="E130" s="114" t="n"/>
      <c r="F130" s="115" t="n"/>
      <c r="G130" s="112" t="n"/>
      <c r="H130" s="116" t="n"/>
      <c r="I130" s="113" t="n"/>
      <c r="J130" s="113" t="n"/>
      <c r="K130" s="117" t="n"/>
    </row>
    <row r="131" ht="15" customHeight="1" s="58">
      <c r="A131" s="112" t="n"/>
      <c r="B131" s="113" t="n"/>
      <c r="C131" s="113" t="n"/>
      <c r="D131" s="113" t="n"/>
      <c r="E131" s="114" t="n"/>
      <c r="F131" s="115" t="n"/>
      <c r="G131" s="112" t="n"/>
      <c r="H131" s="116" t="n"/>
      <c r="I131" s="113" t="n"/>
      <c r="J131" s="113" t="n"/>
      <c r="K131" s="117" t="n"/>
    </row>
    <row r="132" ht="15" customHeight="1" s="58">
      <c r="A132" s="112" t="n"/>
      <c r="B132" s="113" t="n"/>
      <c r="C132" s="113" t="n"/>
      <c r="D132" s="113" t="n"/>
      <c r="E132" s="114" t="n"/>
      <c r="F132" s="115" t="n"/>
      <c r="G132" s="112" t="n"/>
      <c r="H132" s="116" t="n"/>
      <c r="I132" s="113" t="n"/>
      <c r="J132" s="113" t="n"/>
      <c r="K132" s="117" t="n"/>
    </row>
    <row r="133" ht="15" customHeight="1" s="58">
      <c r="A133" s="112" t="n"/>
      <c r="B133" s="113" t="n"/>
      <c r="C133" s="113" t="n"/>
      <c r="D133" s="113" t="n"/>
      <c r="E133" s="114" t="n"/>
      <c r="F133" s="115" t="n"/>
      <c r="G133" s="112" t="n"/>
      <c r="H133" s="116" t="n"/>
      <c r="I133" s="113" t="n"/>
      <c r="J133" s="113" t="n"/>
      <c r="K133" s="117" t="n"/>
    </row>
    <row r="134" ht="15" customHeight="1" s="58">
      <c r="A134" s="112" t="n"/>
      <c r="B134" s="113" t="n"/>
      <c r="C134" s="113" t="n"/>
      <c r="D134" s="113" t="n"/>
      <c r="E134" s="114" t="n"/>
      <c r="F134" s="115" t="n"/>
      <c r="G134" s="112" t="n"/>
      <c r="H134" s="116" t="n"/>
      <c r="I134" s="113" t="n"/>
      <c r="J134" s="113" t="n"/>
      <c r="K134" s="117" t="n"/>
    </row>
    <row r="135" ht="15" customHeight="1" s="58">
      <c r="A135" s="112" t="n"/>
      <c r="B135" s="113" t="n"/>
      <c r="C135" s="113" t="n"/>
      <c r="D135" s="113" t="n"/>
      <c r="E135" s="114" t="n"/>
      <c r="F135" s="115" t="n"/>
      <c r="G135" s="112" t="n"/>
      <c r="H135" s="116" t="n"/>
      <c r="I135" s="113" t="n"/>
      <c r="J135" s="113" t="n"/>
      <c r="K135" s="117" t="n"/>
    </row>
    <row r="136" ht="15" customHeight="1" s="58">
      <c r="A136" s="112" t="n"/>
      <c r="B136" s="113" t="n"/>
      <c r="C136" s="113" t="n"/>
      <c r="D136" s="113" t="n"/>
      <c r="E136" s="114" t="n"/>
      <c r="F136" s="115" t="n"/>
      <c r="G136" s="112" t="n"/>
      <c r="H136" s="116" t="n"/>
      <c r="I136" s="113" t="n"/>
      <c r="J136" s="113" t="n"/>
      <c r="K136" s="117" t="n"/>
    </row>
    <row r="137" ht="15" customHeight="1" s="58">
      <c r="A137" s="112" t="n"/>
      <c r="B137" s="113" t="n"/>
      <c r="C137" s="113" t="n"/>
      <c r="D137" s="113" t="n"/>
      <c r="E137" s="114" t="n"/>
      <c r="F137" s="115" t="n"/>
      <c r="G137" s="112" t="n"/>
      <c r="H137" s="116" t="n"/>
      <c r="I137" s="113" t="n"/>
      <c r="J137" s="113" t="n"/>
      <c r="K137" s="117" t="n"/>
    </row>
    <row r="138" ht="15" customHeight="1" s="58">
      <c r="A138" s="112" t="n"/>
      <c r="B138" s="113" t="n"/>
      <c r="C138" s="113" t="n"/>
      <c r="D138" s="113" t="n"/>
      <c r="E138" s="114" t="n"/>
      <c r="F138" s="115" t="n"/>
      <c r="G138" s="112" t="n"/>
      <c r="H138" s="116" t="n"/>
      <c r="I138" s="113" t="n"/>
      <c r="J138" s="113" t="n"/>
      <c r="K138" s="117" t="n"/>
    </row>
    <row r="139" ht="15" customHeight="1" s="58">
      <c r="A139" s="112" t="n"/>
      <c r="B139" s="113" t="n"/>
      <c r="C139" s="113" t="n"/>
      <c r="D139" s="113" t="n"/>
      <c r="E139" s="114" t="n"/>
      <c r="F139" s="115" t="n"/>
      <c r="G139" s="112" t="n"/>
      <c r="H139" s="116" t="n"/>
      <c r="I139" s="113" t="n"/>
      <c r="J139" s="113" t="n"/>
      <c r="K139" s="117" t="n"/>
    </row>
    <row r="140" ht="15" customHeight="1" s="58">
      <c r="A140" s="112" t="n"/>
      <c r="B140" s="113" t="n"/>
      <c r="C140" s="113" t="n"/>
      <c r="D140" s="113" t="n"/>
      <c r="E140" s="114" t="n"/>
      <c r="F140" s="115" t="n"/>
      <c r="G140" s="112" t="n"/>
      <c r="H140" s="116" t="n"/>
      <c r="I140" s="113" t="n"/>
      <c r="J140" s="113" t="n"/>
      <c r="K140" s="117" t="n"/>
    </row>
    <row r="141" ht="15" customHeight="1" s="58">
      <c r="A141" s="112" t="n"/>
      <c r="B141" s="113" t="n"/>
      <c r="C141" s="113" t="n"/>
      <c r="D141" s="113" t="n"/>
      <c r="E141" s="114" t="n"/>
      <c r="F141" s="115" t="n"/>
      <c r="G141" s="112" t="n"/>
      <c r="H141" s="116" t="n"/>
      <c r="I141" s="113" t="n"/>
      <c r="J141" s="113" t="n"/>
      <c r="K141" s="117" t="n"/>
    </row>
    <row r="142" ht="15" customHeight="1" s="58">
      <c r="A142" s="112" t="n"/>
      <c r="B142" s="113" t="n"/>
      <c r="C142" s="113" t="n"/>
      <c r="D142" s="113" t="n"/>
      <c r="E142" s="114" t="n"/>
      <c r="F142" s="115" t="n"/>
      <c r="G142" s="112" t="n"/>
      <c r="H142" s="116" t="n"/>
      <c r="I142" s="113" t="n"/>
      <c r="J142" s="113" t="n"/>
      <c r="K142" s="117" t="n"/>
    </row>
    <row r="143" ht="30" customHeight="1" s="58">
      <c r="A143" s="112" t="n"/>
      <c r="B143" s="113" t="n"/>
      <c r="C143" s="113" t="n"/>
      <c r="D143" s="113" t="n"/>
      <c r="E143" s="114" t="n"/>
      <c r="F143" s="115" t="n"/>
      <c r="G143" s="112" t="n"/>
      <c r="H143" s="116" t="n"/>
      <c r="I143" s="113" t="n"/>
      <c r="J143" s="113" t="n"/>
      <c r="K143" s="117" t="n"/>
    </row>
    <row r="144" ht="15" customHeight="1" s="58">
      <c r="A144" s="112" t="n"/>
      <c r="B144" s="113" t="n"/>
      <c r="C144" s="113" t="n"/>
      <c r="D144" s="113" t="n"/>
      <c r="E144" s="114" t="n"/>
      <c r="F144" s="115" t="n"/>
      <c r="G144" s="112" t="n"/>
      <c r="H144" s="116" t="n"/>
      <c r="I144" s="113" t="n"/>
      <c r="J144" s="113" t="n"/>
      <c r="K144" s="117" t="n"/>
    </row>
    <row r="145" ht="15" customHeight="1" s="58">
      <c r="A145" s="112" t="n"/>
      <c r="B145" s="113" t="n"/>
      <c r="C145" s="113" t="n"/>
      <c r="D145" s="113" t="n"/>
      <c r="E145" s="114" t="n"/>
      <c r="F145" s="115" t="n"/>
      <c r="G145" s="112" t="n"/>
      <c r="H145" s="116" t="n"/>
      <c r="I145" s="113" t="n"/>
      <c r="J145" s="113" t="n"/>
      <c r="K145" s="117" t="n"/>
    </row>
    <row r="146" ht="15" customHeight="1" s="58">
      <c r="A146" s="112" t="n"/>
      <c r="B146" s="113" t="n"/>
      <c r="C146" s="113" t="n"/>
      <c r="D146" s="113" t="n"/>
      <c r="E146" s="114" t="n"/>
      <c r="F146" s="115" t="n"/>
      <c r="G146" s="112" t="n"/>
      <c r="H146" s="116" t="n"/>
      <c r="I146" s="113" t="n"/>
      <c r="J146" s="113" t="n"/>
      <c r="K146" s="117" t="n"/>
    </row>
    <row r="147" ht="15" customHeight="1" s="58">
      <c r="A147" s="112" t="n"/>
      <c r="B147" s="113" t="n"/>
      <c r="C147" s="113" t="n"/>
      <c r="D147" s="113" t="n"/>
      <c r="E147" s="114" t="n"/>
      <c r="F147" s="115" t="n"/>
      <c r="G147" s="112" t="n"/>
      <c r="H147" s="116" t="n"/>
      <c r="I147" s="113" t="n"/>
      <c r="J147" s="113" t="n"/>
      <c r="K147" s="117" t="n"/>
    </row>
    <row r="148" ht="15" customHeight="1" s="58">
      <c r="A148" s="112" t="n"/>
      <c r="B148" s="113" t="n"/>
      <c r="C148" s="113" t="n"/>
      <c r="D148" s="113" t="n"/>
      <c r="E148" s="114" t="n"/>
      <c r="F148" s="115" t="n"/>
      <c r="G148" s="112" t="n"/>
      <c r="H148" s="116" t="n"/>
      <c r="I148" s="113" t="n"/>
      <c r="J148" s="113" t="n"/>
      <c r="K148" s="117" t="n"/>
    </row>
    <row r="149" ht="15" customHeight="1" s="58">
      <c r="A149" s="112" t="n"/>
      <c r="B149" s="113" t="n"/>
      <c r="C149" s="113" t="n"/>
      <c r="D149" s="113" t="n"/>
      <c r="E149" s="114" t="n"/>
      <c r="F149" s="115" t="n"/>
      <c r="G149" s="112" t="n"/>
      <c r="H149" s="116" t="n"/>
      <c r="I149" s="113" t="n"/>
      <c r="J149" s="113" t="n"/>
      <c r="K149" s="117" t="n"/>
    </row>
    <row r="150" ht="15" customHeight="1" s="58">
      <c r="A150" s="112" t="n"/>
      <c r="B150" s="113" t="n"/>
      <c r="C150" s="113" t="n"/>
      <c r="D150" s="113" t="n"/>
      <c r="E150" s="114" t="n"/>
      <c r="F150" s="115" t="n"/>
      <c r="G150" s="112" t="n"/>
      <c r="H150" s="116" t="n"/>
      <c r="I150" s="113" t="n"/>
      <c r="J150" s="113" t="n"/>
      <c r="K150" s="117" t="n"/>
    </row>
    <row r="151" ht="15" customHeight="1" s="58">
      <c r="A151" s="112" t="n"/>
      <c r="B151" s="113" t="n"/>
      <c r="C151" s="113" t="n"/>
      <c r="D151" s="113" t="n"/>
      <c r="E151" s="114" t="n"/>
      <c r="F151" s="115" t="n"/>
      <c r="G151" s="112" t="n"/>
      <c r="H151" s="116" t="n"/>
      <c r="I151" s="113" t="n"/>
      <c r="J151" s="113" t="n"/>
      <c r="K151" s="117" t="n"/>
    </row>
    <row r="152" ht="15" customHeight="1" s="58">
      <c r="A152" s="112" t="n"/>
      <c r="B152" s="113" t="n"/>
      <c r="C152" s="113" t="n"/>
      <c r="D152" s="113" t="n"/>
      <c r="E152" s="114" t="n"/>
      <c r="F152" s="115" t="n"/>
      <c r="G152" s="112" t="n"/>
      <c r="H152" s="116" t="n"/>
      <c r="I152" s="113" t="n"/>
      <c r="J152" s="113" t="n"/>
      <c r="K152" s="117" t="n"/>
    </row>
    <row r="153" ht="15" customHeight="1" s="58">
      <c r="A153" s="112" t="n"/>
      <c r="B153" s="113" t="n"/>
      <c r="C153" s="113" t="n"/>
      <c r="D153" s="113" t="n"/>
      <c r="E153" s="114" t="n"/>
      <c r="F153" s="115" t="n"/>
      <c r="G153" s="112" t="n"/>
      <c r="H153" s="116" t="n"/>
      <c r="I153" s="113" t="n"/>
      <c r="J153" s="113" t="n"/>
      <c r="K153" s="117" t="n"/>
    </row>
    <row r="154" ht="15" customHeight="1" s="58">
      <c r="A154" s="112" t="n"/>
      <c r="B154" s="113" t="n"/>
      <c r="C154" s="113" t="n"/>
      <c r="D154" s="113" t="n"/>
      <c r="E154" s="114" t="n"/>
      <c r="F154" s="115" t="n"/>
      <c r="G154" s="112" t="n"/>
      <c r="H154" s="116" t="n"/>
      <c r="I154" s="113" t="n"/>
      <c r="J154" s="113" t="n"/>
      <c r="K154" s="117" t="n"/>
    </row>
    <row r="155" ht="15" customHeight="1" s="58">
      <c r="A155" s="112" t="n"/>
      <c r="B155" s="113" t="n"/>
      <c r="C155" s="113" t="n"/>
      <c r="D155" s="113" t="n"/>
      <c r="E155" s="114" t="n"/>
      <c r="F155" s="115" t="n"/>
      <c r="G155" s="112" t="n"/>
      <c r="H155" s="116" t="n"/>
      <c r="I155" s="113" t="n"/>
      <c r="J155" s="113" t="n"/>
      <c r="K15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K1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NavigationMenu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NavigationMenu</t>
        </is>
      </c>
      <c r="D9" s="113" t="inlineStr">
        <is>
          <t>scenario is reachable from the Navigation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NavigationMenu playground; manual-tests/navigation-menu.md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NavigationMenu</t>
        </is>
      </c>
      <c r="D10" s="113" t="inlineStr">
        <is>
          <t>default Canvas and Source show the simplest valid uncontrolled closed usage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NavigationMenu playground; manual-tests/navigation-menu.md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Source</t>
        </is>
      </c>
      <c r="D11" s="113" t="inlineStr">
        <is>
          <t>Source updates for state, direction, nesting, composition, force mount, and prop checks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NavigationMenu playground; manual-tests/navigation-menu.md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Anatomy</t>
        </is>
      </c>
      <c r="D12" s="113" t="inlineStr">
        <is>
          <t>public parts appear in documented order with repeated targets named separately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NavigationMenu playground; manual-tests/navigation-menu.md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Anatomy</t>
        </is>
      </c>
      <c r="D13" s="113" t="inlineStr">
        <is>
          <t>live Attributes, ARIA, and Data groups expose rendered DOM evidence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NavigationMenu playground; manual-tests/navigation-menu.md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Inspector / Logs</t>
        </is>
      </c>
      <c r="D14" s="113" t="inlineStr">
        <is>
          <t>Selected, Focused, and Logs expose real interaction evidence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NavigationMenu playground; manual-tests/navigation-menu.md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Playground</t>
        </is>
      </c>
      <c r="C15" s="113" t="inlineStr">
        <is>
          <t>Props</t>
        </is>
      </c>
      <c r="D15" s="113" t="inlineStr">
        <is>
          <t>Prop Check is off by default and adds data-prop-check only when enabled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NavigationMenu playground; manual-tests/navigation-menu.md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NavigationMenu</t>
        </is>
      </c>
      <c r="D16" s="113" t="inlineStr">
        <is>
          <t>controlled and uncontrolled root value paths are available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NavigationMenu playground; manual-tests/navigation-menu.md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NavigationMenu</t>
        </is>
      </c>
      <c r="D17" s="113" t="inlineStr">
        <is>
          <t>defaultValue remounts and initializes the uncontrolled active panel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NavigationMenu playground; manual-tests/navigation-menu.md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NavigationMenu</t>
        </is>
      </c>
      <c r="D18" s="113" t="inlineStr">
        <is>
          <t>200 ms open delay and 300 ms skip-delay defaults can be compared with instant timing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NavigationMenu playground; manual-tests/navigation-menu.md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NavigationMenu</t>
        </is>
      </c>
      <c r="D19" s="113" t="inlineStr">
        <is>
          <t>pointer hover, click, Enter, and Space open or close trigger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NavigationMenu playground; manual-tests/navigation-menu.md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NavigationMenu</t>
        </is>
      </c>
      <c r="D20" s="113" t="inlineStr">
        <is>
          <t>horizontal and vertical orientation are testable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NavigationMenu playground; manual-tests/navigation-menu.md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NavigationMenu</t>
        </is>
      </c>
      <c r="D21" s="113" t="inlineStr">
        <is>
          <t>Default, Provider RTL, Local LTR, and Local RTL direction cases are testable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NavigationMenu playground; manual-tests/navigation-menu.md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NavigationMenu</t>
        </is>
      </c>
      <c r="D22" s="113" t="inlineStr">
        <is>
          <t>shared Viewport emits only the active Content and adapts to its size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NavigationMenu playground; manual-tests/navigation-menu.md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NavigationMenu</t>
        </is>
      </c>
      <c r="D23" s="113" t="inlineStr">
        <is>
          <t>optional Indicator tracks the active trigger geometry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NavigationMenu playground; manual-tests/navigation-menu.md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Feature</t>
        </is>
      </c>
      <c r="C24" s="113" t="inlineStr">
        <is>
          <t>NavigationMenu</t>
        </is>
      </c>
      <c r="D24" s="113" t="inlineStr">
        <is>
          <t>active links and aria-current are testable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NavigationMenu playground; manual-tests/navigation-menu.md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Feature</t>
        </is>
      </c>
      <c r="C25" s="113" t="inlineStr">
        <is>
          <t>NavigationMenu</t>
        </is>
      </c>
      <c r="D25" s="113" t="inlineStr">
        <is>
          <t>nested Sub scope supports independent controlled and uncontrolled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NavigationMenu playground; manual-tests/navigation-menu.md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nav with data-slot="navigation-menu"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NavigationMenu playground; manual-tests/navigation-menu.md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Accessibility</t>
        </is>
      </c>
      <c r="C27" s="113" t="inlineStr">
        <is>
          <t>Root</t>
        </is>
      </c>
      <c r="D27" s="113" t="inlineStr">
        <is>
          <t>default aria-label is "Main" and custom native aria-label passes through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NavigationMenu playground; manual-tests/navigation-menu.md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Data</t>
        </is>
      </c>
      <c r="C28" s="113" t="inlineStr">
        <is>
          <t>Root</t>
        </is>
      </c>
      <c r="D28" s="113" t="inlineStr">
        <is>
          <t>data-orientation defaults to horizontal and updates to vertical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NavigationMenu playground; manual-tests/navigation-menu.md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Direction</t>
        </is>
      </c>
      <c r="C29" s="113" t="inlineStr">
        <is>
          <t>Root</t>
        </is>
      </c>
      <c r="D29" s="113" t="inlineStr">
        <is>
          <t>rendered dir resolves local prop before Direction.Provider before ltr default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NavigationMenu playground; manual-tests/navigation-menu.md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controls active panel in controlled mode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NavigationMenu playground; manual-tests/navigation-menu.md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initializes active panel in uncontrolled mode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NavigationMenu playground; manual-tests/navigation-menu.md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Events</t>
        </is>
      </c>
      <c r="C32" s="113" t="inlineStr">
        <is>
          <t>Root</t>
        </is>
      </c>
      <c r="D32" s="113" t="inlineStr">
        <is>
          <t>onValueChange logs each open, switch, and close value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NavigationMenu playground; manual-tests/navigation-menu.md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Props</t>
        </is>
      </c>
      <c r="C33" s="113" t="inlineStr">
        <is>
          <t>Root</t>
        </is>
      </c>
      <c r="D33" s="113" t="inlineStr">
        <is>
          <t>data-slot override survives default, asChild, and render composition on Root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NavigationMenu playground; manual-tests/navigation-menu.md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Refs</t>
        </is>
      </c>
      <c r="C34" s="113" t="inlineStr">
        <is>
          <t>Root</t>
        </is>
      </c>
      <c r="D34" s="113" t="inlineStr">
        <is>
          <t>consumer ref receives nav or composed render element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NavigationMenu playground; manual-tests/navigation-menu.md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replaces the default nav while preserving behavior props and ref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NavigationMenu playground; manual-tests/navigation-menu.md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List</t>
        </is>
      </c>
      <c r="D36" s="113" t="inlineStr">
        <is>
          <t>default tag is ul with role="list" and data-slot="navigation-menu-list"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NavigationMenu playground; manual-tests/navigation-menu.md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List</t>
        </is>
      </c>
      <c r="D37" s="113" t="inlineStr">
        <is>
          <t>data-orientation follows Root orientation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NavigationMenu playground; manual-tests/navigation-menu.md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List</t>
        </is>
      </c>
      <c r="D38" s="113" t="inlineStr">
        <is>
          <t>data-slot override survives default, asChild, and render composition on List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NavigationMenu playground; manual-tests/navigation-menu.md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List</t>
        </is>
      </c>
      <c r="D39" s="113" t="inlineStr">
        <is>
          <t>consumer ref receives the ul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NavigationMenu playground; manual-tests/navigation-menu.md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Item: Learn</t>
        </is>
      </c>
      <c r="D40" s="113" t="inlineStr">
        <is>
          <t>default tag is li with data-slot="navigation-menu-item"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NavigationMenu playground; manual-tests/navigation-menu.md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Item: Learn</t>
        </is>
      </c>
      <c r="D41" s="113" t="inlineStr">
        <is>
          <t>value scopes its Trigger and Content pair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NavigationMenu playground; manual-tests/navigation-menu.md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Item: Learn</t>
        </is>
      </c>
      <c r="D42" s="113" t="inlineStr">
        <is>
          <t>data-slot override survives default, asChild, and render composition on Item: Learn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NavigationMenu playground; manual-tests/navigation-menu.md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Item: Learn</t>
        </is>
      </c>
      <c r="D43" s="113" t="inlineStr">
        <is>
          <t>consumer ref receives the li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NavigationMenu playground; manual-tests/navigation-menu.md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Trigger: Learn</t>
        </is>
      </c>
      <c r="D44" s="113" t="inlineStr">
        <is>
          <t>default tag is button with type="button" and data-slot="navigation-menu-trigger"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NavigationMenu playground; manual-tests/navigation-menu.md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Trigger: Learn</t>
        </is>
      </c>
      <c r="D45" s="113" t="inlineStr">
        <is>
          <t>aria-expanded and data-state move between false/closed and true/open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NavigationMenu playground; manual-tests/navigation-menu.md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ARIA</t>
        </is>
      </c>
      <c r="C46" s="113" t="inlineStr">
        <is>
          <t>Trigger: Learn</t>
        </is>
      </c>
      <c r="D46" s="113" t="inlineStr">
        <is>
          <t>aria-controls stays present while closed and matches active Content id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NavigationMenu playground; manual-tests/navigation-menu.md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Trigger: Overview</t>
        </is>
      </c>
      <c r="D47" s="113" t="inlineStr">
        <is>
          <t>disabled emits disabled, aria-disabled="true", and data-disabled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NavigationMenu playground; manual-tests/navigation-menu.md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Interaction</t>
        </is>
      </c>
      <c r="C48" s="113" t="inlineStr">
        <is>
          <t>Trigger: Overview</t>
        </is>
      </c>
      <c r="D48" s="113" t="inlineStr">
        <is>
          <t>disabled blocks pointer and keyboard activation and is absent from roving registry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NavigationMenu playground; manual-tests/navigation-menu.md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Interaction</t>
        </is>
      </c>
      <c r="C49" s="113" t="inlineStr">
        <is>
          <t>Trigger: Learn</t>
        </is>
      </c>
      <c r="D49" s="113" t="inlineStr">
        <is>
          <t>consumer preventDefault blocks Atom click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NavigationMenu playground; manual-tests/navigation-menu.md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Trigger: Learn</t>
        </is>
      </c>
      <c r="D50" s="113" t="inlineStr">
        <is>
          <t>data-slot override survives default, asChild, and render composition on Trigger: Learn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NavigationMenu playground; manual-tests/navigation-menu.md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Trigger: Learn</t>
        </is>
      </c>
      <c r="D51" s="113" t="inlineStr">
        <is>
          <t>consumer ref receives the rendered trigger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NavigationMenu playground; manual-tests/navigation-menu.md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Trigger: Learn</t>
        </is>
      </c>
      <c r="D52" s="113" t="inlineStr">
        <is>
          <t>asChild preserves one button and merges behavior props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NavigationMenu playground; manual-tests/navigation-menu.md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Trigger: Learn</t>
        </is>
      </c>
      <c r="D53" s="113" t="inlineStr">
        <is>
          <t>render prop produces one button and preserves behavior props and ref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NavigationMenu playground; manual-tests/navigation-menu.md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Content: Learn</t>
        </is>
      </c>
      <c r="D54" s="113" t="inlineStr">
        <is>
          <t>Content registers and Viewport emits a div with data-slot="navigation-menu-content"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NavigationMenu playground; manual-tests/navigation-menu.md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Content: Learn</t>
        </is>
      </c>
      <c r="D55" s="113" t="inlineStr">
        <is>
          <t>active content has data-state="open" and tabIndex=-1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NavigationMenu playground; manual-tests/navigation-menu.md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Motion</t>
        </is>
      </c>
      <c r="C56" s="113" t="inlineStr">
        <is>
          <t>Content</t>
        </is>
      </c>
      <c r="D56" s="113" t="inlineStr">
        <is>
          <t>data-motion reports from-start or from-end when panels change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NavigationMenu playground; manual-tests/navigation-menu.md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Content</t>
        </is>
      </c>
      <c r="D57" s="113" t="inlineStr">
        <is>
          <t>generated id matches the owning Trigger aria-controls relationship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NavigationMenu playground; manual-tests/navigation-menu.md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Content: Learn</t>
        </is>
      </c>
      <c r="D58" s="113" t="inlineStr">
        <is>
          <t>data-slot override survives default, asChild, and render composition on Content: Learn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NavigationMenu playground; manual-tests/navigation-menu.md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Link: Atom UI</t>
        </is>
      </c>
      <c r="D59" s="113" t="inlineStr">
        <is>
          <t>default tag is a with href and data-slot="navigation-menu-link"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NavigationMenu playground; manual-tests/navigation-menu.md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Link: GitHub</t>
        </is>
      </c>
      <c r="D60" s="113" t="inlineStr">
        <is>
          <t>active emits data-active and aria-current="page"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NavigationMenu playground; manual-tests/navigation-menu.md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Events</t>
        </is>
      </c>
      <c r="C61" s="113" t="inlineStr">
        <is>
          <t>Link</t>
        </is>
      </c>
      <c r="D61" s="113" t="inlineStr">
        <is>
          <t>onSelect logs selection and closes an active root panel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NavigationMenu playground; manual-tests/navigation-menu.md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Link: Atom UI</t>
        </is>
      </c>
      <c r="D62" s="113" t="inlineStr">
        <is>
          <t>data-slot override survives default, asChild, and render composition on Link: Atom UI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NavigationMenu playground; manual-tests/navigation-menu.md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Link: Atom UI</t>
        </is>
      </c>
      <c r="D63" s="113" t="inlineStr">
        <is>
          <t>consumer ref receives the rendered anchor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NavigationMenu playground; manual-tests/navigation-menu.md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Link: Atom UI</t>
        </is>
      </c>
      <c r="D64" s="113" t="inlineStr">
        <is>
          <t>asChild preserves one anchor and uses the child href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NavigationMenu playground; manual-tests/navigation-menu.md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Presence</t>
        </is>
      </c>
      <c r="C65" s="113" t="inlineStr">
        <is>
          <t>Indicator</t>
        </is>
      </c>
      <c r="D65" s="113" t="inlineStr">
        <is>
          <t>optional Indicator is absent by default and appears when enabled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NavigationMenu playground; manual-tests/navigation-menu.md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Indicator</t>
        </is>
      </c>
      <c r="D66" s="113" t="inlineStr">
        <is>
          <t>default tag is div with data-slot="navigation-menu-indicator"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NavigationMenu playground; manual-tests/navigation-menu.md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Indicator</t>
        </is>
      </c>
      <c r="D67" s="113" t="inlineStr">
        <is>
          <t>aria-hidden="true" is always present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NavigationMenu playground; manual-tests/navigation-menu.md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Indicator</t>
        </is>
      </c>
      <c r="D68" s="113" t="inlineStr">
        <is>
          <t>data-state is visible for an active value and hidden when force-mounted closed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NavigationMenu playground; manual-tests/navigation-menu.md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Indicator</t>
        </is>
      </c>
      <c r="D69" s="113" t="inlineStr">
        <is>
          <t>data-orientation follows Root orientation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NavigationMenu playground; manual-tests/navigation-menu.md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Geometry</t>
        </is>
      </c>
      <c r="C70" s="113" t="inlineStr">
        <is>
          <t>Indicator</t>
        </is>
      </c>
      <c r="D70" s="113" t="inlineStr">
        <is>
          <t>trigger left, top, width, height, center-x, and center-y CSS variables are emitted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NavigationMenu playground; manual-tests/navigation-menu.md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Indicator</t>
        </is>
      </c>
      <c r="D71" s="113" t="inlineStr">
        <is>
          <t>data-slot override survives default, asChild, and render composition on Indicator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NavigationMenu playground; manual-tests/navigation-menu.md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Indicator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NavigationMenu playground; manual-tests/navigation-menu.md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Indicator</t>
        </is>
      </c>
      <c r="D73" s="113" t="inlineStr">
        <is>
          <t>asChild preserves one element and geometry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NavigationMenu playground; manual-tests/navigation-menu.md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Indicator</t>
        </is>
      </c>
      <c r="D74" s="113" t="inlineStr">
        <is>
          <t>render prop replaces the default div and preserves geometry behavior and ref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NavigationMenu playground; manual-tests/navigation-menu.md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Presence</t>
        </is>
      </c>
      <c r="C75" s="113" t="inlineStr">
        <is>
          <t>Viewport</t>
        </is>
      </c>
      <c r="D75" s="113" t="inlineStr">
        <is>
          <t>Viewport is absent while closed by default and forceMount keeps an empty closed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NavigationMenu playground; manual-tests/navigation-menu.md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Identity</t>
        </is>
      </c>
      <c r="C76" s="113" t="inlineStr">
        <is>
          <t>Viewport</t>
        </is>
      </c>
      <c r="D76" s="113" t="inlineStr">
        <is>
          <t>default tag is div with data-slot="navigation-menu-viewport"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NavigationMenu playground; manual-tests/navigation-menu.md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Viewport</t>
        </is>
      </c>
      <c r="D77" s="113" t="inlineStr">
        <is>
          <t>data-state is open with active content and closed when force-mounted empty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NavigationMenu playground; manual-tests/navigation-menu.md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Viewport</t>
        </is>
      </c>
      <c r="D78" s="113" t="inlineStr">
        <is>
          <t>data-orientation follows Root orientation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NavigationMenu playground; manual-tests/navigation-menu.md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Geometry</t>
        </is>
      </c>
      <c r="C79" s="113" t="inlineStr">
        <is>
          <t>Viewport</t>
        </is>
      </c>
      <c r="D79" s="113" t="inlineStr">
        <is>
          <t>viewport width and height CSS variables match active content measurements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NavigationMenu playground; manual-tests/navigation-menu.md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Interaction</t>
        </is>
      </c>
      <c r="C80" s="113" t="inlineStr">
        <is>
          <t>Viewport</t>
        </is>
      </c>
      <c r="D80" s="113" t="inlineStr">
        <is>
          <t>pointer enter cancels delayed close and pointer leave restarts it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NavigationMenu playground; manual-tests/navigation-menu.md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Viewport</t>
        </is>
      </c>
      <c r="D81" s="113" t="inlineStr">
        <is>
          <t>data-slot override survives default, asChild, and render composition on Viewport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NavigationMenu playground; manual-tests/navigation-menu.md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Viewport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NavigationMenu playground; manual-tests/navigation-menu.md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Viewport</t>
        </is>
      </c>
      <c r="D83" s="113" t="inlineStr">
        <is>
          <t>render prop replaces the default div and preserves state, content, and ref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NavigationMenu playground; manual-tests/navigation-menu.md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Presence</t>
        </is>
      </c>
      <c r="C84" s="113" t="inlineStr">
        <is>
          <t>Sub</t>
        </is>
      </c>
      <c r="D84" s="113" t="inlineStr">
        <is>
          <t>Sub is optional and renders only in the nested scenario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NavigationMenu playground; manual-tests/navigation-menu.md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Sub</t>
        </is>
      </c>
      <c r="D85" s="113" t="inlineStr">
        <is>
          <t>default tag is div with data-slot="navigation-menu-sub"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NavigationMenu playground; manual-tests/navigation-menu.md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Sub</t>
        </is>
      </c>
      <c r="D86" s="113" t="inlineStr">
        <is>
          <t>value and onValueChange control nested active content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NavigationMenu playground; manual-tests/navigation-menu.md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Sub</t>
        </is>
      </c>
      <c r="D87" s="113" t="inlineStr">
        <is>
          <t>defaultValue initializes nested uncontrolled active content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NavigationMenu playground; manual-tests/navigation-menu.md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Sub</t>
        </is>
      </c>
      <c r="D88" s="113" t="inlineStr">
        <is>
          <t>data-orientation and dir inherit the parent scope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NavigationMenu playground; manual-tests/navigation-menu.md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Props</t>
        </is>
      </c>
      <c r="C89" s="113" t="inlineStr">
        <is>
          <t>Sub</t>
        </is>
      </c>
      <c r="D89" s="113" t="inlineStr">
        <is>
          <t>data-slot override survives default, asChild, and render composition on Sub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NavigationMenu playground; manual-tests/navigation-menu.md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Refs</t>
        </is>
      </c>
      <c r="C90" s="113" t="inlineStr">
        <is>
          <t>Sub</t>
        </is>
      </c>
      <c r="D90" s="113" t="inlineStr">
        <is>
          <t>consumer ref receives the rendered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NavigationMenu playground; manual-tests/navigation-menu.md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Sub</t>
        </is>
      </c>
      <c r="D91" s="113" t="inlineStr">
        <is>
          <t>asChild preserves one section and nested scope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NavigationMenu playground; manual-tests/navigation-menu.md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Sub</t>
        </is>
      </c>
      <c r="D92" s="113" t="inlineStr">
        <is>
          <t>render prop replaces the default div and preserves nested scope behavior and ref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NavigationMenu playground; manual-tests/navigation-menu.md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Keyboard</t>
        </is>
      </c>
      <c r="C93" s="113" t="inlineStr">
        <is>
          <t>NavigationMenu</t>
        </is>
      </c>
      <c r="D93" s="113" t="inlineStr">
        <is>
          <t>ArrowRight and ArrowLeft move horizontal top-level focus across triggers and direct links and hand off an open panel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NavigationMenu playground; manual-tests/navigation-menu.md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Keyboard</t>
        </is>
      </c>
      <c r="C94" s="113" t="inlineStr">
        <is>
          <t>NavigationMenu</t>
        </is>
      </c>
      <c r="D94" s="113" t="inlineStr">
        <is>
          <t>RTL mirrors ArrowRight and ArrowLeft trigger movement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NavigationMenu playground; manual-tests/navigation-menu.md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Keyboard</t>
        </is>
      </c>
      <c r="C95" s="113" t="inlineStr">
        <is>
          <t>NavigationMenu</t>
        </is>
      </c>
      <c r="D95" s="113" t="inlineStr">
        <is>
          <t>Home and End focus the first and last enabled horizontal top-level control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NavigationMenu playground; manual-tests/navigation-menu.md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NavigationMenu</t>
        </is>
      </c>
      <c r="D96" s="113" t="inlineStr">
        <is>
          <t>ArrowDown opens and focuses the first focusable content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NavigationMenu playground; manual-tests/navigation-menu.md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NavigationMenu</t>
        </is>
      </c>
      <c r="D97" s="113" t="inlineStr">
        <is>
          <t>ArrowUp opens and focuses the last focusable content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NavigationMenu playground; manual-tests/navigation-menu.md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Dismiss</t>
        </is>
      </c>
      <c r="C98" s="113" t="inlineStr">
        <is>
          <t>NavigationMenu</t>
        </is>
      </c>
      <c r="D98" s="113" t="inlineStr">
        <is>
          <t>Escape closes the root panel and restores focus to its trigger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NavigationMenu playground; manual-tests/navigation-menu.md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Dismiss</t>
        </is>
      </c>
      <c r="C99" s="113" t="inlineStr">
        <is>
          <t>NavigationMenu</t>
        </is>
      </c>
      <c r="D99" s="113" t="inlineStr">
        <is>
          <t>Escape closes nested Sub before the active root panel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NavigationMenu playground; manual-tests/navigation-menu.md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Pointer</t>
        </is>
      </c>
      <c r="C100" s="113" t="inlineStr">
        <is>
          <t>NavigationMenu</t>
        </is>
      </c>
      <c r="D100" s="113" t="inlineStr">
        <is>
          <t>first hover respects delayDuration and active-panel hover switches immediately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NavigationMenu playground; manual-tests/navigation-menu.md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Pointer</t>
        </is>
      </c>
      <c r="C101" s="113" t="inlineStr">
        <is>
          <t>NavigationMenu</t>
        </is>
      </c>
      <c r="D101" s="113" t="inlineStr">
        <is>
          <t>pointer leave closes after delay and skipDelayDuration accelerates reopen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NavigationMenu playground; manual-tests/navigation-menu.md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Props</t>
        </is>
      </c>
      <c r="C102" s="113" t="inlineStr">
        <is>
          <t>Root</t>
        </is>
      </c>
      <c r="D102" s="113" t="inlineStr">
        <is>
          <t>data-slot override survives default, asChild, and render composition on Root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NavigationMenu playground; manual-tests/navigation-menu.md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List</t>
        </is>
      </c>
      <c r="D103" s="113" t="inlineStr">
        <is>
          <t>data-slot override survives default, asChild, and render composition on List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NavigationMenu playground; manual-tests/navigation-menu.md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Item: Learn</t>
        </is>
      </c>
      <c r="D104" s="113" t="inlineStr">
        <is>
          <t>data-slot override survives default, asChild, and render composition on Item: Learn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NavigationMenu playground; manual-tests/navigation-menu.md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Trigger: Learn</t>
        </is>
      </c>
      <c r="D105" s="113" t="inlineStr">
        <is>
          <t>data-slot override survives default, asChild, and render composition on Trigger: Learn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NavigationMenu playground; manual-tests/navigation-menu.md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Props</t>
        </is>
      </c>
      <c r="C106" s="113" t="inlineStr">
        <is>
          <t>Content: Learn</t>
        </is>
      </c>
      <c r="D106" s="113" t="inlineStr">
        <is>
          <t>data-slot override survives default, asChild, and render composition on Content: Learn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NavigationMenu playground; manual-tests/navigation-menu.md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Props</t>
        </is>
      </c>
      <c r="C107" s="113" t="inlineStr">
        <is>
          <t>Link: Atom UI</t>
        </is>
      </c>
      <c r="D107" s="113" t="inlineStr">
        <is>
          <t>data-slot override survives default, asChild, and render composition on Link: Atom UI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NavigationMenu playground; manual-tests/navigation-menu.md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Props</t>
        </is>
      </c>
      <c r="C108" s="113" t="inlineStr">
        <is>
          <t>Indicator</t>
        </is>
      </c>
      <c r="D108" s="113" t="inlineStr">
        <is>
          <t>data-slot override survives default, asChild, and render composition on Indicator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NavigationMenu playground; manual-tests/navigation-menu.md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Props</t>
        </is>
      </c>
      <c r="C109" s="113" t="inlineStr">
        <is>
          <t>Viewport</t>
        </is>
      </c>
      <c r="D109" s="113" t="inlineStr">
        <is>
          <t>data-slot override survives default, asChild, and render composition on Viewport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NavigationMenu playground; manual-tests/navigation-menu.md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Props</t>
        </is>
      </c>
      <c r="C110" s="113" t="inlineStr">
        <is>
          <t>Sub</t>
        </is>
      </c>
      <c r="D110" s="113" t="inlineStr">
        <is>
          <t>data-slot override survives default, asChild, and render composition on Sub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NavigationMenu playground; manual-tests/navigation-menu.md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Root</t>
        </is>
      </c>
      <c r="D111" s="113" t="inlineStr">
        <is>
          <t>asChild preserves one section and Root behavior props and ref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NavigationMenu playground; manual-tests/navigation-menu.md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List</t>
        </is>
      </c>
      <c r="D112" s="113" t="inlineStr">
        <is>
          <t>asChild preserves one list element, list semantics, children, and ref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NavigationMenu playground; manual-tests/navigation-menu.md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List</t>
        </is>
      </c>
      <c r="D113" s="113" t="inlineStr">
        <is>
          <t>render prop replaces the default ul and preserves list semantics, children, and ref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NavigationMenu playground; manual-tests/navigation-menu.md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Composition</t>
        </is>
      </c>
      <c r="C114" s="113" t="inlineStr">
        <is>
          <t>Item: Learn</t>
        </is>
      </c>
      <c r="D114" s="113" t="inlineStr">
        <is>
          <t>asChild preserves one list item and its NavigationMenu item scope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NavigationMenu playground; manual-tests/navigation-menu.md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Item: Learn</t>
        </is>
      </c>
      <c r="D115" s="113" t="inlineStr">
        <is>
          <t>render prop preserves one list item and its NavigationMenu item scope and ref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NavigationMenu playground; manual-tests/navigation-menu.md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Content: Learn</t>
        </is>
      </c>
      <c r="D116" s="113" t="inlineStr">
        <is>
          <t>asChild customizes the Content wrapper emitted through Viewport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NavigationMenu playground; manual-tests/navigation-menu.md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Content: Learn</t>
        </is>
      </c>
      <c r="D117" s="113" t="inlineStr">
        <is>
          <t>render prop customizes the Content wrapper emitted through Viewport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NavigationMenu playground; manual-tests/navigation-menu.md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Link: Atom UI</t>
        </is>
      </c>
      <c r="D118" s="113" t="inlineStr">
        <is>
          <t>render prop preserves one anchor, href, selection behavior, and ref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NavigationMenu playground; manual-tests/navigation-menu.md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Viewport</t>
        </is>
      </c>
      <c r="D119" s="113" t="inlineStr">
        <is>
          <t>asChild preserves one viewport element, active Content, sizing behavior, and ref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NavigationMenu playground; manual-tests/navigation-menu.md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Props</t>
        </is>
      </c>
      <c r="C120" s="113" t="inlineStr">
        <is>
          <t>Root</t>
        </is>
      </c>
      <c r="D120" s="113" t="inlineStr">
        <is>
          <t>Root loop defaults true and loop={false} is exposed by the playground source and Root anatomy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NavigationMenu playground; manual-tests/navigation-menu.md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Content</t>
        </is>
      </c>
      <c r="D121" s="113" t="inlineStr">
        <is>
          <t>ArrowDown and ArrowUp move through visible content focusables in DOM order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NavigationMenu playground; manual-tests/navigation-menu.md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Content</t>
        </is>
      </c>
      <c r="D122" s="113" t="inlineStr">
        <is>
          <t>Home and End focus the first and last visible content focusable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NavigationMenu playground; manual-tests/navigation-menu.md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Keyboard</t>
        </is>
      </c>
      <c r="C123" s="113" t="inlineStr">
        <is>
          <t>Root</t>
        </is>
      </c>
      <c r="D123" s="113" t="inlineStr">
        <is>
          <t>loop=true wraps top-level Trigger and direct Link navigation at both boundaries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NavigationMenu playground; manual-tests/navigation-menu.md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Keyboard</t>
        </is>
      </c>
      <c r="C124" s="113" t="inlineStr">
        <is>
          <t>Root</t>
        </is>
      </c>
      <c r="D124" s="113" t="inlineStr">
        <is>
          <t>loop=false stops top-level Trigger and direct Link navigation at both boundaries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NavigationMenu playground; manual-tests/navigation-menu.md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Focus</t>
        </is>
      </c>
      <c r="C125" s="113" t="inlineStr">
        <is>
          <t>NavigationMenu</t>
        </is>
      </c>
      <c r="D125" s="113" t="inlineStr">
        <is>
          <t>Shift+Tab from the first content focusable returns focus to its trigger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NavigationMenu playground; manual-tests/navigation-menu.md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Focus</t>
        </is>
      </c>
      <c r="C126" s="113" t="inlineStr">
        <is>
          <t>NavigationMenu</t>
        </is>
      </c>
      <c r="D126" s="113" t="inlineStr">
        <is>
          <t>Tab from the last content focusable closes the panel and focuses the next top-level control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NavigationMenu playground; manual-tests/navigation-menu.md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Dismiss</t>
        </is>
      </c>
      <c r="C127" s="113" t="inlineStr">
        <is>
          <t>NavigationMenu</t>
        </is>
      </c>
      <c r="D127" s="113" t="inlineStr">
        <is>
          <t>moving focus outside the root closes the active panel without trapping focus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NavigationMenu playground; manual-tests/navigation-menu.md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Keyboard</t>
        </is>
      </c>
      <c r="C128" s="113" t="inlineStr">
        <is>
          <t>NavigationMenu</t>
        </is>
      </c>
      <c r="D128" s="113" t="inlineStr">
        <is>
          <t>vertical ArrowDown and ArrowUp move across enabled top-level controls including direct links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NavigationMenu playground; manual-tests/navigation-menu.md</t>
        </is>
      </c>
      <c r="J128" s="113" t="n"/>
      <c r="K128" s="117">
        <f>IF(AND(E128="yes",F128="yes",H128="covered"),1,IF(H128="partial",0.5,0))</f>
        <v/>
      </c>
    </row>
    <row r="129" ht="30" customHeight="1" s="58">
      <c r="A129" s="112" t="n">
        <v>121</v>
      </c>
      <c r="B129" s="113" t="inlineStr">
        <is>
          <t>Keyboard</t>
        </is>
      </c>
      <c r="C129" s="113" t="inlineStr">
        <is>
          <t>NavigationMenu</t>
        </is>
      </c>
      <c r="D129" s="113" t="inlineStr">
        <is>
          <t>vertical ArrowRight in LTR and ArrowLeft in RTL open content and focus its first item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NavigationMenu playground; manual-tests/navigation-menu.md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Trigger</t>
        </is>
      </c>
      <c r="D130" s="113" t="inlineStr">
        <is>
          <t>Enter and Space toggle a trigger while retaining trigger focus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NavigationMenu playground; manual-tests/navigation-menu.md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Props</t>
        </is>
      </c>
      <c r="C131" s="113" t="inlineStr">
        <is>
          <t>Content: Learn</t>
        </is>
      </c>
      <c r="D131" s="113" t="inlineStr">
        <is>
          <t>omitted Content loop inherits Root and the playground exposes loop mode and effective value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NavigationMenu playground; manual-tests/navigation-menu.md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Content: Learn</t>
        </is>
      </c>
      <c r="D132" s="113" t="inlineStr">
        <is>
          <t>loop=false overrides Root loop=true and stops Content navigation at both boundaries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NavigationMenu playground; manual-tests/navigation-menu.md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Content: Learn</t>
        </is>
      </c>
      <c r="D133" s="113" t="inlineStr">
        <is>
          <t>loop=true overrides Root loop=false and wraps Content navigation at both boundaries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NavigationMenu playground; manual-tests/navigation-menu.md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Pointer</t>
        </is>
      </c>
      <c r="C134" s="113" t="inlineStr">
        <is>
          <t>Trigger</t>
        </is>
      </c>
      <c r="D134" s="113" t="inlineStr">
        <is>
          <t>touch and pen contact cannot start mouse-hover open or close timers</t>
        </is>
      </c>
      <c r="E134" s="114" t="inlineStr">
        <is>
          <t>yes</t>
        </is>
      </c>
      <c r="F134" s="115" t="inlineStr">
        <is>
          <t>no</t>
        </is>
      </c>
      <c r="G134" s="112" t="inlineStr">
        <is>
          <t>automated tests pass; manual pending</t>
        </is>
      </c>
      <c r="H134" s="116" t="inlineStr">
        <is>
          <t>untested</t>
        </is>
      </c>
      <c r="I134" s="113" t="inlineStr">
        <is>
          <t>playground/manual-tests/navigation-menu.md</t>
        </is>
      </c>
      <c r="J134" s="113" t="inlineStr">
        <is>
          <t>Run the updated component Manual Test Protocol and named browser/device matrix.</t>
        </is>
      </c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Pointer</t>
        </is>
      </c>
      <c r="C135" s="113" t="inlineStr">
        <is>
          <t>Trigger</t>
        </is>
      </c>
      <c r="D135" s="113" t="inlineStr">
        <is>
          <t>a completed touch or pen tap still toggles the disclosure</t>
        </is>
      </c>
      <c r="E135" s="114" t="inlineStr">
        <is>
          <t>yes</t>
        </is>
      </c>
      <c r="F135" s="115" t="inlineStr">
        <is>
          <t>no</t>
        </is>
      </c>
      <c r="G135" s="112" t="inlineStr">
        <is>
          <t>automated tests pass; manual pending</t>
        </is>
      </c>
      <c r="H135" s="116" t="inlineStr">
        <is>
          <t>untested</t>
        </is>
      </c>
      <c r="I135" s="113" t="inlineStr">
        <is>
          <t>playground/manual-tests/navigation-menu.md</t>
        </is>
      </c>
      <c r="J135" s="113" t="inlineStr">
        <is>
          <t>Run the updated component Manual Test Protocol and named browser/device matrix.</t>
        </is>
      </c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Accessibility</t>
        </is>
      </c>
      <c r="C136" s="113" t="inlineStr">
        <is>
          <t>Link</t>
        </is>
      </c>
      <c r="D136" s="113" t="inlineStr">
        <is>
          <t>direct links remain native links in normal Tab order during touch and pen use</t>
        </is>
      </c>
      <c r="E136" s="114" t="inlineStr">
        <is>
          <t>yes</t>
        </is>
      </c>
      <c r="F136" s="115" t="inlineStr">
        <is>
          <t>no</t>
        </is>
      </c>
      <c r="G136" s="112" t="inlineStr">
        <is>
          <t>automated tests pass; manual pending</t>
        </is>
      </c>
      <c r="H136" s="116" t="inlineStr">
        <is>
          <t>untested</t>
        </is>
      </c>
      <c r="I136" s="113" t="inlineStr">
        <is>
          <t>playground/manual-tests/navigation-menu.md</t>
        </is>
      </c>
      <c r="J136" s="113" t="inlineStr">
        <is>
          <t>Run the updated component Manual Test Protocol and named browser/device matrix.</t>
        </is>
      </c>
      <c r="K136" s="117">
        <f>IF(AND(E136="yes",F136="yes",H136="covered"),1,IF(H136="partial",0.5,0))</f>
        <v/>
      </c>
    </row>
    <row r="137" ht="15" customHeight="1" s="58"/>
    <row r="138" ht="15" customHeight="1" s="58"/>
    <row r="139" ht="15" customHeight="1" s="58"/>
    <row r="140" ht="15" customHeight="1" s="58"/>
    <row r="141" ht="30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30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30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30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30" customHeight="1" s="58"/>
    <row r="202" ht="30" customHeight="1" s="58"/>
    <row r="203" ht="30" customHeight="1" s="58"/>
    <row r="204" ht="30" customHeight="1" s="58"/>
    <row r="205" ht="30" customHeight="1" s="58"/>
    <row r="206" ht="30" customHeight="1" s="58"/>
  </sheetData>
  <autoFilter ref="A8:K136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K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NumberInput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NumberInput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NumberInput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NumberInput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NumberInput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NumberInput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NumberInput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NumberInput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NumberInput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NumberInput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NumberInput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NumberInput</t>
        </is>
      </c>
      <c r="D15" s="113" t="inlineStr">
        <is>
          <t>Renders an editable text input with `role="spinbutton"`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NumberInput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NumberInput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NumberInput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NumberInput</t>
        </is>
      </c>
      <c r="D17" s="113" t="inlineStr">
        <is>
          <t>Supports `min`, `max`, `step`, `largeStep`, and precision formatting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NumberInput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NumberInput</t>
        </is>
      </c>
      <c r="D18" s="113" t="inlineStr">
        <is>
          <t>Supports keyboard stepping with arrows, Page Up/Down, Home, and End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NumberInput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NumberInput</t>
        </is>
      </c>
      <c r="D19" s="113" t="inlineStr">
        <is>
          <t>Supports custom parser and formatter functions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NumberInput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NumberInput</t>
        </is>
      </c>
      <c r="D20" s="113" t="inlineStr">
        <is>
          <t>Renders a hidden input for native form submission when named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NumberInput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NumberInput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NumberInput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NumberInput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NumberInput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NumberInput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NumberInput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NumberInput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NumberInput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NumberInput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NumberInput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NumberInput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NumberInput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NumberInput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precision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NumberInput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clampOnBlur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NumberInput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formatter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NumberInput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parser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NumberInput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NumberInput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NumberInput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NumberInput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NumberInput playground manual verification.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name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NumberInput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form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NumberInput playground manual verification.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Accessibility</t>
        </is>
      </c>
      <c r="C44" s="113" t="inlineStr">
        <is>
          <t>Root</t>
        </is>
      </c>
      <c r="D44" s="113" t="inlineStr">
        <is>
          <t>aria-label prop behavior</t>
        </is>
      </c>
      <c r="E44" s="114" t="inlineStr">
        <is>
          <t>yes</t>
        </is>
      </c>
      <c r="F44" s="115" t="inlineStr">
        <is>
          <t>no</t>
        </is>
      </c>
      <c r="G44" s="112" t="inlineStr">
        <is>
          <t>automated tests pass; manual pending</t>
        </is>
      </c>
      <c r="H44" s="116" t="inlineStr">
        <is>
          <t>untested</t>
        </is>
      </c>
      <c r="I44" s="113" t="inlineStr">
        <is>
          <t>Form &gt; Control: Foundation plus the component scenario and automated package tests.</t>
        </is>
      </c>
      <c r="J44" s="113" t="inlineStr">
        <is>
          <t>Run the form-foundation manual protocol.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Accessibility</t>
        </is>
      </c>
      <c r="C45" s="113" t="inlineStr">
        <is>
          <t>Root</t>
        </is>
      </c>
      <c r="D45" s="113" t="inlineStr">
        <is>
          <t>ariaValueText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NumberInput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Accessibility</t>
        </is>
      </c>
      <c r="C46" s="113" t="inlineStr">
        <is>
          <t>Root</t>
        </is>
      </c>
      <c r="D46" s="113" t="inlineStr">
        <is>
          <t>aria-describedby prop behavior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Form &gt; Control: Foundation plus the component scenario and automated package tests.</t>
        </is>
      </c>
      <c r="J46" s="113" t="inlineStr">
        <is>
          <t>Run the form-foundation manual protocol.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Root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NumberInput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[data-disabled]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NumberInput playground manual verification.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[data-readonly]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NumberInput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Root</t>
        </is>
      </c>
      <c r="D50" s="113" t="inlineStr">
        <is>
          <t>[data-invalid]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NumberInput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ARIA</t>
        </is>
      </c>
      <c r="C51" s="113" t="inlineStr">
        <is>
          <t>Live DOM</t>
        </is>
      </c>
      <c r="D51" s="113" t="inlineStr">
        <is>
          <t>aria-describedby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NumberInput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ARIA</t>
        </is>
      </c>
      <c r="C52" s="113" t="inlineStr">
        <is>
          <t>Live DOM</t>
        </is>
      </c>
      <c r="D52" s="113" t="inlineStr">
        <is>
          <t>aria-invalid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NumberInput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aria-label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NumberInput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aria-readonly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NumberInput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aria-required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NumberInput playground manual verification.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aria-valuemax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NumberInput playground manual verification.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aria-valuemin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NumberInput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aria-valuenow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NumberInput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aria-valuetext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NumberInput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NumberInput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data-invalid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NumberInput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data-readonly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NumberInput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NumberInput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Root</t>
        </is>
      </c>
      <c r="D64" s="113" t="inlineStr">
        <is>
          <t>controlled state path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NumberInput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State</t>
        </is>
      </c>
      <c r="C65" s="113" t="inlineStr">
        <is>
          <t>Root</t>
        </is>
      </c>
      <c r="D65" s="113" t="inlineStr">
        <is>
          <t>uncontrolled default state path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NumberInput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NumberInput playground manual verification.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State</t>
        </is>
      </c>
      <c r="C67" s="113" t="inlineStr">
        <is>
          <t>NumberInput</t>
        </is>
      </c>
      <c r="D67" s="113" t="inlineStr">
        <is>
          <t>disabled state blocks or exposes behavior correctly where supported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NumberInput playground manual verification.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NumberInput</t>
        </is>
      </c>
      <c r="D68" s="113" t="inlineStr">
        <is>
          <t>readonly/readOnly state blocks or exposes behavior correctly where supported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NumberInput playground manual verification.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NumberInput</t>
        </is>
      </c>
      <c r="D69" s="113" t="inlineStr">
        <is>
          <t>required state blocks or exposes behavior correctly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NumberInput playground manual verification.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State</t>
        </is>
      </c>
      <c r="C70" s="113" t="inlineStr">
        <is>
          <t>NumberInput</t>
        </is>
      </c>
      <c r="D70" s="113" t="inlineStr">
        <is>
          <t>invalid state blocks or exposes behavior correctly where supported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NumberInput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Forms</t>
        </is>
      </c>
      <c r="C71" s="113" t="inlineStr">
        <is>
          <t>NumberInput</t>
        </is>
      </c>
      <c r="D71" s="113" t="inlineStr">
        <is>
          <t>form value participates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NumberInput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Forms</t>
        </is>
      </c>
      <c r="C72" s="113" t="inlineStr">
        <is>
          <t>NumberInput</t>
        </is>
      </c>
      <c r="D72" s="113" t="inlineStr">
        <is>
          <t>hidden input mirrors value/checked/disabled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NumberInput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Forms</t>
        </is>
      </c>
      <c r="C73" s="113" t="inlineStr">
        <is>
          <t>Root</t>
        </is>
      </c>
      <c r="D73" s="113" t="inlineStr">
        <is>
          <t>Field inheritance, native ARIA precedence, form association, and uncontrolled reset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Form &gt; Control: Foundation plus the component scenario and automated package tests.</t>
        </is>
      </c>
      <c r="J73" s="113" t="inlineStr">
        <is>
          <t>Run and review the form-foundation manual protocol.</t>
        </is>
      </c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Validation</t>
        </is>
      </c>
      <c r="C74" s="113" t="inlineStr">
        <is>
          <t>Root</t>
        </is>
      </c>
      <c r="D74" s="113" t="inlineStr">
        <is>
          <t>validationBehavior mirrors attempted numeric validity to NumberInput, Field, and Form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Form &gt; Control: Foundation and automated Atom validation tests.</t>
        </is>
      </c>
      <c r="J74" s="113" t="inlineStr">
        <is>
          <t>Run and review the updated form-foundation validation steps.</t>
        </is>
      </c>
      <c r="K74" s="117">
        <f>IF(AND(E74="yes",F74="yes",H74="covered"),1,IF(H74="partial",0.5,0))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OTPField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yes</t>
        </is>
      </c>
      <c r="F8" s="88" t="inlineStr">
        <is>
          <t>yes</t>
        </is>
      </c>
      <c r="G8" s="88" t="inlineStr">
        <is>
          <t>Result</t>
        </is>
      </c>
      <c r="H8" s="88" t="inlineStr">
        <is>
          <t>covered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OTPField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OTPField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OTPField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OTPField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OTPField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OTPField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OTPField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OTPField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OTPField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OTPField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OTPField</t>
        </is>
      </c>
      <c r="D15" s="113" t="inlineStr">
        <is>
          <t>Controlled and uncontrolled full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OTPField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OTPField</t>
        </is>
      </c>
      <c r="D16" s="113" t="inlineStr">
        <is>
          <t>Auto-generated input cells based on `length`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OTPField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OTPField</t>
        </is>
      </c>
      <c r="D17" s="113" t="inlineStr">
        <is>
          <t>Optional explicit input indexes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OTPField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OTPField</t>
        </is>
      </c>
      <c r="D18" s="113" t="inlineStr">
        <is>
          <t>Roving tab stop so the field behaves as one logical control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OTPField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OTPField</t>
        </is>
      </c>
      <c r="D19" s="113" t="inlineStr">
        <is>
          <t>Paste distribution across cells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OTPField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OTPField</t>
        </is>
      </c>
      <c r="D20" s="113" t="inlineStr">
        <is>
          <t>Arrow, Backspace, Delete, Home, and End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OTPField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OTPField</t>
        </is>
      </c>
      <c r="D21" s="113" t="inlineStr">
        <is>
          <t>Numeric, alphabetic, alphanumeric, or custom pattern filtering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OTPField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OTPField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OTPField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OTPField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OTPField playground scenario.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OTPField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OTPField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OTPField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OTPField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OTPField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OTPField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OTPField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length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OTPField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type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OTPField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pattern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OTPField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name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OTPField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OTPField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autoFocus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OTPField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OTPField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OTPField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OTPField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OTPField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Accessibility</t>
        </is>
      </c>
      <c r="C42" s="113" t="inlineStr">
        <is>
          <t>Root</t>
        </is>
      </c>
      <c r="D42" s="113" t="inlineStr">
        <is>
          <t>aria-label prop behavior</t>
        </is>
      </c>
      <c r="E42" s="114" t="inlineStr">
        <is>
          <t>yes</t>
        </is>
      </c>
      <c r="F42" s="115" t="inlineStr">
        <is>
          <t>no</t>
        </is>
      </c>
      <c r="G42" s="112" t="inlineStr">
        <is>
          <t>automated tests pass; manual pending</t>
        </is>
      </c>
      <c r="H42" s="116" t="inlineStr">
        <is>
          <t>untested</t>
        </is>
      </c>
      <c r="I42" s="113" t="inlineStr">
        <is>
          <t>Form &gt; Control: Foundation plus the component scenario and automated package tests.</t>
        </is>
      </c>
      <c r="J42" s="113" t="inlineStr">
        <is>
          <t>Run the form-foundation manual protocol.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OTPField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OTPField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[data-filled]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OTPField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OTPField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[data-readonly]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OTPField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[data-required]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OTPField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[data-invalid]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OTPField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Input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OTPField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Input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OTPField playground scenario.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Input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OTPField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Input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OTPField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Input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OTPField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Input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OTPField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Input</t>
        </is>
      </c>
      <c r="D56" s="113" t="inlineStr">
        <is>
          <t>index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OTPField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Input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OTPField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Input</t>
        </is>
      </c>
      <c r="D58" s="113" t="inlineStr">
        <is>
          <t>data-slot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OTPField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Input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OTPField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Input</t>
        </is>
      </c>
      <c r="D60" s="113" t="inlineStr">
        <is>
          <t>[data-index]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OTPField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Input</t>
        </is>
      </c>
      <c r="D61" s="113" t="inlineStr">
        <is>
          <t>[data-filled]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OTPField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Input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OTPField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Input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OTPField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Input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OTPField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Input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OTPField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Separator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OTPField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Separator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OTPField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Separator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OTPField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Separator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OTPField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Separator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OTPField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Separator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OTPField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Separator</t>
        </is>
      </c>
      <c r="D72" s="113" t="inlineStr">
        <is>
          <t>data-slot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OTPField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Separator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OTPField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aria-describedby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OTPField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aria-hidden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OTPField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aria-invalid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OTPField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OTPField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aria-labelledby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OTPField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OTPField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OTPField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OTPField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data-index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OTPField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data-invalid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OTPField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data-readonly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OTPField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data-required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OTPField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data-slot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OTPField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Root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OTPField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Root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OTPField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Root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OTPField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Root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OTPField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OTPField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6" t="inlineStr">
        <is>
          <t>covered</t>
        </is>
      </c>
      <c r="I92" s="113" t="inlineStr">
        <is>
          <t>OTPField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6" t="inlineStr">
        <is>
          <t>covered</t>
        </is>
      </c>
      <c r="I93" s="113" t="inlineStr">
        <is>
          <t>OTPField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OTPField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6" t="inlineStr">
        <is>
          <t>covered</t>
        </is>
      </c>
      <c r="I94" s="113" t="inlineStr">
        <is>
          <t>OTPField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OTPField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ready for manual test</t>
        </is>
      </c>
      <c r="H95" s="116" t="inlineStr">
        <is>
          <t>covered</t>
        </is>
      </c>
      <c r="I95" s="113" t="inlineStr">
        <is>
          <t>OTPField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OTPField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ready for manual test</t>
        </is>
      </c>
      <c r="H96" s="116" t="inlineStr">
        <is>
          <t>covered</t>
        </is>
      </c>
      <c r="I96" s="113" t="inlineStr">
        <is>
          <t>OTPField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OTPField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6" t="inlineStr">
        <is>
          <t>covered</t>
        </is>
      </c>
      <c r="I97" s="113" t="inlineStr">
        <is>
          <t>OTPField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OTPField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6" t="inlineStr">
        <is>
          <t>covered</t>
        </is>
      </c>
      <c r="I98" s="113" t="inlineStr">
        <is>
          <t>OTPField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Forms</t>
        </is>
      </c>
      <c r="C99" s="113" t="inlineStr">
        <is>
          <t>OTPField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6" t="inlineStr">
        <is>
          <t>covered</t>
        </is>
      </c>
      <c r="I99" s="113" t="inlineStr">
        <is>
          <t>OTPField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Forms</t>
        </is>
      </c>
      <c r="C100" s="113" t="inlineStr">
        <is>
          <t>Root</t>
        </is>
      </c>
      <c r="D100" s="113" t="inlineStr">
        <is>
          <t>Field inheritance, combined required value, native ARIA, external form ownership, and reset</t>
        </is>
      </c>
      <c r="E100" s="114" t="inlineStr">
        <is>
          <t>yes</t>
        </is>
      </c>
      <c r="F100" s="115" t="inlineStr">
        <is>
          <t>no</t>
        </is>
      </c>
      <c r="G100" s="112" t="inlineStr">
        <is>
          <t>automated tests pass; manual pending</t>
        </is>
      </c>
      <c r="H100" s="116" t="inlineStr">
        <is>
          <t>untested</t>
        </is>
      </c>
      <c r="I100" s="113" t="inlineStr">
        <is>
          <t>Form &gt; Control: Foundation plus the component scenario and automated package tests.</t>
        </is>
      </c>
      <c r="J100" s="113" t="inlineStr">
        <is>
          <t>Run and review the form-foundation manual protocol.</t>
        </is>
      </c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Validation</t>
        </is>
      </c>
      <c r="C101" s="113" t="inlineStr">
        <is>
          <t>Root/Input</t>
        </is>
      </c>
      <c r="D101" s="113" t="inlineStr">
        <is>
          <t>logical-field invalidity mirrors across visible OTP cells, Field, Error, and Form</t>
        </is>
      </c>
      <c r="E101" s="114" t="inlineStr">
        <is>
          <t>yes</t>
        </is>
      </c>
      <c r="F101" s="115" t="inlineStr">
        <is>
          <t>no</t>
        </is>
      </c>
      <c r="G101" s="112" t="inlineStr">
        <is>
          <t>automated tests pass; manual pending</t>
        </is>
      </c>
      <c r="H101" s="116" t="inlineStr">
        <is>
          <t>untested</t>
        </is>
      </c>
      <c r="I101" s="113" t="inlineStr">
        <is>
          <t>Form &gt; Control: Foundation and automated Atom validation tests.</t>
        </is>
      </c>
      <c r="J101" s="113" t="inlineStr">
        <is>
          <t>Run and review the updated form-foundation validation steps.</t>
        </is>
      </c>
      <c r="K101" s="117">
        <f>IF(AND(E101="yes",F101="yes",H101="covered"),1,IF(H101="partial",0.5,0))</f>
        <v/>
      </c>
    </row>
    <row r="102" ht="15" customHeight="1" s="58"/>
    <row r="103" ht="15" customHeight="1" s="58"/>
    <row r="104" ht="15" customHeight="1" s="58"/>
    <row r="105" ht="30" customHeight="1" s="58"/>
    <row r="106" ht="30" customHeight="1" s="58"/>
    <row r="107" ht="30" customHeight="1" s="58"/>
    <row r="108" ht="30" customHeight="1" s="58"/>
    <row r="109" ht="15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K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Pagination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manual-tests/pagination.md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manual-tests/pagination.md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Pagination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manual-tests/pagination.md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Pagination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manual-tests/pagination.md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Pagination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manual-tests/pagination.md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Pagination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manual-tests/pagination.md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Pagination</t>
        </is>
      </c>
      <c r="D15" s="113" t="inlineStr">
        <is>
          <t>Renders a navigation landmark and ordered page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manual-tests/pagination.md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Pagination</t>
        </is>
      </c>
      <c r="D16" s="113" t="inlineStr">
        <is>
          <t>Supports controlled and uncontrolled current page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manual-tests/pagination.md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Pagination</t>
        </is>
      </c>
      <c r="D17" s="113" t="inlineStr">
        <is>
          <t>Generates stable-length page ranges to reduce layout shift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manual-tests/pagination.md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Pagination</t>
        </is>
      </c>
      <c r="D18" s="113" t="inlineStr">
        <is>
          <t>Supports sibling and boundary page counts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manual-tests/pagination.md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Pagination</t>
        </is>
      </c>
      <c r="D19" s="113" t="inlineStr">
        <is>
          <t>Supports previous, next, page item, and decorative ellipsis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manual-tests/pagination.md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Pagination</t>
        </is>
      </c>
      <c r="D20" s="113" t="inlineStr">
        <is>
          <t>Allows localized page labels through native `aria-label`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manual-tests/pagination.md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manual-tests/pagination.md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manual-tests/pagination.md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manual-tests/pagination.md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manual-tests/pagination.md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manual-tests/pagination.md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manual-tests/pagination.md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totalPages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manual-tests/pagination.md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page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manual-tests/pagination.md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defaultPage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manual-tests/pagination.md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onPageChange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manual-tests/pagination.md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siblingCount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manual-tests/pagination.md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boundaryCount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manual-tests/pagination.md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manual-tests/pagination.md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manual-tests/pagination.md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manual-tests/pagination.md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[data-slot]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manual-tests/pagination.md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manual-tests/pagination.md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List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manual-tests/pagination.md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List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manual-tests/pagination.md</t>
        </is>
      </c>
      <c r="J39" s="113" t="n"/>
      <c r="K39" s="117">
        <f>IF(AND(E39="yes",F39="yes",H39="covered"),1,IF(H39="partial",0.5,0))</f>
        <v/>
      </c>
    </row>
    <row r="40" ht="30" customHeight="1" s="58">
      <c r="A40" s="112" t="n">
        <v>32</v>
      </c>
      <c r="B40" s="113" t="inlineStr">
        <is>
          <t>Identity</t>
        </is>
      </c>
      <c r="C40" s="113" t="inlineStr">
        <is>
          <t>List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manual-tests/pagination.md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Identity</t>
        </is>
      </c>
      <c r="C41" s="113" t="inlineStr">
        <is>
          <t>List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manual-tests/pagination.md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List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manual-tests/pagination.md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List</t>
        </is>
      </c>
      <c r="D43" s="113" t="inlineStr">
        <is>
          <t>consumer ref receives the rendered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manual-tests/pagination.md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List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manual-tests/pagination.md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List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manual-tests/pagination.md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List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manual-tests/pagination.md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manual-tests/pagination.md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manual-tests/pagination.md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manual-tests/pagination.md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manual-tests/pagination.md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manual-tests/pagination.md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manual-tests/pagination.md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Item</t>
        </is>
      </c>
      <c r="D53" s="113" t="inlineStr">
        <is>
          <t>page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manual-tests/pagination.md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Accessibility</t>
        </is>
      </c>
      <c r="C54" s="113" t="inlineStr">
        <is>
          <t>Item</t>
        </is>
      </c>
      <c r="D54" s="113" t="inlineStr">
        <is>
          <t>aria-label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manual-tests/pagination.md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Item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manual-tests/pagination.md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Item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manual-tests/pagination.md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manual-tests/pagination.md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Item</t>
        </is>
      </c>
      <c r="D58" s="113" t="inlineStr">
        <is>
          <t>[data-state]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manual-tests/pagination.md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[data-page]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manual-tests/pagination.md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Item</t>
        </is>
      </c>
      <c r="D60" s="113" t="inlineStr">
        <is>
          <t>[data-disabled]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manual-tests/pagination.md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Anatomy</t>
        </is>
      </c>
      <c r="C61" s="113" t="inlineStr">
        <is>
          <t>Previous</t>
        </is>
      </c>
      <c r="D61" s="113" t="inlineStr">
        <is>
          <t>owns generated outer list item wrapper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manual-tests/pagination.md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Previous</t>
        </is>
      </c>
      <c r="D62" s="113" t="inlineStr">
        <is>
          <t>generated outer wrapper has data-slot="pagination-list-item"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manual-tests/pagination.md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Anatomy</t>
        </is>
      </c>
      <c r="C63" s="113" t="inlineStr">
        <is>
          <t>Item</t>
        </is>
      </c>
      <c r="D63" s="113" t="inlineStr">
        <is>
          <t>owns generated outer list item wrapper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manual-tests/pagination.md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Identity</t>
        </is>
      </c>
      <c r="C64" s="113" t="inlineStr">
        <is>
          <t>Item</t>
        </is>
      </c>
      <c r="D64" s="113" t="inlineStr">
        <is>
          <t>generated outer wrapper has data-slot="pagination-list-item"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manual-tests/pagination.md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Ellipsis</t>
        </is>
      </c>
      <c r="D65" s="113" t="inlineStr">
        <is>
          <t>owns generated outer list item wrapper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manual-tests/pagination.md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Ellipsis</t>
        </is>
      </c>
      <c r="D66" s="113" t="inlineStr">
        <is>
          <t>generated outer wrapper has data-slot="pagination-list-item"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manual-tests/pagination.md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Ellipsis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manual-tests/pagination.md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Ellipsis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manual-tests/pagination.md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Ellipsis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manual-tests/pagination.md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Ellipsis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manual-tests/pagination.md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Ellipsis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manual-tests/pagination.md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Ellipsis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manual-tests/pagination.md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Ellipsis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manual-tests/pagination.md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Ellipsis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manual-tests/pagination.md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Ellipsis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manual-tests/pagination.md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Next</t>
        </is>
      </c>
      <c r="D76" s="113" t="inlineStr">
        <is>
          <t>renders correct part when expected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manual-tests/pagination.md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Next</t>
        </is>
      </c>
      <c r="D77" s="113" t="inlineStr">
        <is>
          <t>appears in documented order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manual-tests/pagination.md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Identity</t>
        </is>
      </c>
      <c r="C78" s="113" t="inlineStr">
        <is>
          <t>Next</t>
        </is>
      </c>
      <c r="D78" s="113" t="inlineStr">
        <is>
          <t>default tag is visible in Anatomy/Inspector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manual-tests/pagination.md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Next</t>
        </is>
      </c>
      <c r="D79" s="113" t="inlineStr">
        <is>
          <t>data-slot is present and correct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manual-tests/pagination.md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Next</t>
        </is>
      </c>
      <c r="D80" s="113" t="inlineStr">
        <is>
          <t>non-Atom 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manual-tests/pagination.md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Next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manual-tests/pagination.md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Accessibility</t>
        </is>
      </c>
      <c r="C82" s="113" t="inlineStr">
        <is>
          <t>Next</t>
        </is>
      </c>
      <c r="D82" s="113" t="inlineStr">
        <is>
          <t>aria-label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manual-tests/pagination.md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Next</t>
        </is>
      </c>
      <c r="D83" s="113" t="inlineStr">
        <is>
          <t>asChild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manual-tests/pagination.md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Next</t>
        </is>
      </c>
      <c r="D84" s="113" t="inlineStr">
        <is>
          <t>render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manual-tests/pagination.md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Next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manual-tests/pagination.md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Next</t>
        </is>
      </c>
      <c r="D86" s="113" t="inlineStr">
        <is>
          <t>[data-direction]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manual-tests/pagination.md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Next</t>
        </is>
      </c>
      <c r="D87" s="113" t="inlineStr">
        <is>
          <t>[data-disabled]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manual-tests/pagination.md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Anatomy</t>
        </is>
      </c>
      <c r="C88" s="113" t="inlineStr">
        <is>
          <t>Previous</t>
        </is>
      </c>
      <c r="D88" s="113" t="inlineStr">
        <is>
          <t>renders correct part when expected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manual-tests/pagination.md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Previous</t>
        </is>
      </c>
      <c r="D89" s="113" t="inlineStr">
        <is>
          <t>appears in documented order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manual-tests/pagination.md</t>
        </is>
      </c>
      <c r="J89" s="113" t="n"/>
      <c r="K89" s="117">
        <f>IF(AND(E89="yes",F89="yes",H89="covered"),1,IF(H89="partial",0.5,0))</f>
        <v/>
      </c>
    </row>
    <row r="90" ht="30" customHeight="1" s="58">
      <c r="A90" s="112" t="n">
        <v>82</v>
      </c>
      <c r="B90" s="113" t="inlineStr">
        <is>
          <t>Identity</t>
        </is>
      </c>
      <c r="C90" s="113" t="inlineStr">
        <is>
          <t>Previous</t>
        </is>
      </c>
      <c r="D90" s="113" t="inlineStr">
        <is>
          <t>default tag is visible in Anatomy/Inspector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manual-tests/pagination.md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Previous</t>
        </is>
      </c>
      <c r="D91" s="113" t="inlineStr">
        <is>
          <t>data-slot is present and correct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manual-tests/pagination.md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Props</t>
        </is>
      </c>
      <c r="C92" s="113" t="inlineStr">
        <is>
          <t>Previous</t>
        </is>
      </c>
      <c r="D92" s="113" t="inlineStr">
        <is>
          <t>non-Atom native props pass through with data-prop-check marker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manual-tests/pagination.md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Refs</t>
        </is>
      </c>
      <c r="C93" s="113" t="inlineStr">
        <is>
          <t>Previous</t>
        </is>
      </c>
      <c r="D93" s="113" t="inlineStr">
        <is>
          <t>consumer ref receives the rendered element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manual-tests/pagination.md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Accessibility</t>
        </is>
      </c>
      <c r="C94" s="113" t="inlineStr">
        <is>
          <t>Previous</t>
        </is>
      </c>
      <c r="D94" s="113" t="inlineStr">
        <is>
          <t>aria-label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manual-tests/pagination.md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Previous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manual-tests/pagination.md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Previous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manual-tests/pagination.md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Previous</t>
        </is>
      </c>
      <c r="D97" s="113" t="inlineStr">
        <is>
          <t>[data-slot]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manual-tests/pagination.md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Previous</t>
        </is>
      </c>
      <c r="D98" s="113" t="inlineStr">
        <is>
          <t>[data-direction]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manual-tests/pagination.md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Previous</t>
        </is>
      </c>
      <c r="D99" s="113" t="inlineStr">
        <is>
          <t>[data-disabled]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manual-tests/pagination.md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Next</t>
        </is>
      </c>
      <c r="D100" s="113" t="inlineStr">
        <is>
          <t>owns generated outer list item wrapper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manual-tests/pagination.md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Next</t>
        </is>
      </c>
      <c r="D101" s="113" t="inlineStr">
        <is>
          <t>generated outer wrapper has data-slot="pagination-list-item"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manual-tests/pagination.md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aria-current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manual-tests/pagination.md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aria-hidden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manual-tests/pagination.md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aria-label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manual-tests/pagination.md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data-direction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manual-tests/pagination.md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manual-tests/pagination.md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Data</t>
        </is>
      </c>
      <c r="C107" s="113" t="inlineStr">
        <is>
          <t>Live DOM</t>
        </is>
      </c>
      <c r="D107" s="113" t="inlineStr">
        <is>
          <t>data-page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manual-tests/pagination.md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Data</t>
        </is>
      </c>
      <c r="C108" s="113" t="inlineStr">
        <is>
          <t>Live DOM</t>
        </is>
      </c>
      <c r="D108" s="113" t="inlineStr">
        <is>
          <t>data-slot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manual-tests/pagination.md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data-state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manual-tests/pagination.md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Pagination</t>
        </is>
      </c>
      <c r="D110" s="113" t="inlineStr">
        <is>
          <t>asChild preserves child content without double nesting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manual-tests/pagination.md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Pagination</t>
        </is>
      </c>
      <c r="D111" s="113" t="inlineStr">
        <is>
          <t>asChild merges Atom props and consumer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manual-tests/pagination.md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Pagination</t>
        </is>
      </c>
      <c r="D112" s="113" t="inlineStr">
        <is>
          <t>render prop renders custom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manual-tests/pagination.md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Pagination</t>
        </is>
      </c>
      <c r="D113" s="113" t="inlineStr">
        <is>
          <t>render prop preserves refs and behavior props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manual-tests/pagination.md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controlled state path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manual-tests/pagination.md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State</t>
        </is>
      </c>
      <c r="C115" s="113" t="inlineStr">
        <is>
          <t>Root</t>
        </is>
      </c>
      <c r="D115" s="113" t="inlineStr">
        <is>
          <t>uncontrolled default state path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manual-tests/pagination.md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State</t>
        </is>
      </c>
      <c r="C116" s="113" t="inlineStr">
        <is>
          <t>Root</t>
        </is>
      </c>
      <c r="D116" s="113" t="inlineStr">
        <is>
          <t>state change callback fires once with correct value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manual-tests/pagination.md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Keyboard</t>
        </is>
      </c>
      <c r="C117" s="113" t="inlineStr">
        <is>
          <t>Pagination</t>
        </is>
      </c>
      <c r="D117" s="113" t="inlineStr">
        <is>
          <t>normal Tab order skips disabled pagination buttons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manual-tests/pagination.md</t>
        </is>
      </c>
      <c r="J117" s="113" t="n"/>
      <c r="K117" s="117">
        <f>IF(AND(E117="yes",F117="yes",H117="covered"),1,IF(H117="partial",0.5,0))</f>
        <v/>
      </c>
    </row>
    <row r="118" ht="15" customHeight="1" s="58"/>
    <row r="119" ht="15" customHeight="1" s="58"/>
    <row r="12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PasswordToggleField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PasswordToggleField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PasswordToggleField playground scenario.</t>
        </is>
      </c>
      <c r="J10" s="113" t="n"/>
      <c r="K10" s="117" t="n">
        <v>0</v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PasswordToggleField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PasswordToggleField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PasswordToggleField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PasswordToggleField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PasswordToggleField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PasswordToggleField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PasswordToggleField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PasswordToggleField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PasswordToggleField</t>
        </is>
      </c>
      <c r="D15" s="113" t="inlineStr">
        <is>
          <t>Controlled and uncontrolled password visibility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PasswordToggleField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PasswordToggleField</t>
        </is>
      </c>
      <c r="D16" s="113" t="inlineStr">
        <is>
          <t>Native password input type switching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PasswordToggleField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PasswordToggleField</t>
        </is>
      </c>
      <c r="D17" s="113" t="inlineStr">
        <is>
          <t>Toggle button with dynamic accessible label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PasswordToggleField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PasswordToggleField</t>
        </is>
      </c>
      <c r="D18" s="113" t="inlineStr">
        <is>
          <t>Optional icon part that switches visible/hidden content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PasswordToggleField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PasswordToggleField</t>
        </is>
      </c>
      <c r="D19" s="113" t="inlineStr">
        <is>
          <t>Disabled, read-only, required, and invalid state propagation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PasswordToggleField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PasswordToggleField</t>
        </is>
      </c>
      <c r="D20" s="113" t="inlineStr">
        <is>
          <t>Headless only: no icon, layout, or visual affordance is included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PasswordToggleField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PasswordToggleField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PasswordToggleField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visible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PasswordToggleField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defaultVisible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PasswordToggleField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onVisibleChange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PasswordToggleField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PasswordToggleField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readOnly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PasswordToggleField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PasswordToggleField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invalid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PasswordToggleField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Icon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PasswordToggleField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Icon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PasswordToggleField form-field playground page exposes this part/prop in Anatomy, Inspector, Source, or toolbar controls.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Icon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PasswordToggleField playground scenario.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Identity</t>
        </is>
      </c>
      <c r="C33" s="113" t="inlineStr">
        <is>
          <t>Icon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PasswordToggleField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Icon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PasswordToggleField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Icon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PasswordToggleField playground scenario.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Public API</t>
        </is>
      </c>
      <c r="C36" s="113" t="inlineStr">
        <is>
          <t>Icon</t>
        </is>
      </c>
      <c r="D36" s="113" t="inlineStr">
        <is>
          <t>visible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PasswordToggleField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Icon</t>
        </is>
      </c>
      <c r="D37" s="113" t="inlineStr">
        <is>
          <t>hidden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PasswordToggleField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Icon</t>
        </is>
      </c>
      <c r="D38" s="113" t="inlineStr">
        <is>
          <t>data-slot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PasswordToggleField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Icon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PasswordToggleField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Icon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PasswordToggleField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Input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PasswordToggleField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Input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PasswordToggleField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Input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PasswordToggleField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Identity</t>
        </is>
      </c>
      <c r="C44" s="113" t="inlineStr">
        <is>
          <t>Input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PasswordToggleField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Input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PasswordToggleField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Input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PasswordToggleField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Input</t>
        </is>
      </c>
      <c r="D47" s="113" t="inlineStr">
        <is>
          <t>asChild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PasswordToggleField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Input</t>
        </is>
      </c>
      <c r="D48" s="113" t="inlineStr">
        <is>
          <t>render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PasswordToggleField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Input</t>
        </is>
      </c>
      <c r="D49" s="113" t="inlineStr">
        <is>
          <t>data-slot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PasswordToggleField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Input</t>
        </is>
      </c>
      <c r="D50" s="113" t="inlineStr">
        <is>
          <t>[data-slot]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PasswordToggleField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Input</t>
        </is>
      </c>
      <c r="D51" s="113" t="inlineStr">
        <is>
          <t>[data-state]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PasswordToggleField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Input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PasswordToggleField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Input</t>
        </is>
      </c>
      <c r="D53" s="113" t="inlineStr">
        <is>
          <t>[data-readonly]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PasswordToggleField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Input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PasswordToggleField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Input</t>
        </is>
      </c>
      <c r="D55" s="113" t="inlineStr">
        <is>
          <t>[data-invalid]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PasswordToggleField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Toggle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PasswordToggleField playground scenario.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Anatomy</t>
        </is>
      </c>
      <c r="C57" s="113" t="inlineStr">
        <is>
          <t>Toggle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PasswordToggleField form-field playground page exposes this part/prop in Anatomy, Inspector, Source, or toolbar controls.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Toggle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PasswordToggleField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Toggle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PasswordToggleField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Props</t>
        </is>
      </c>
      <c r="C60" s="113" t="inlineStr">
        <is>
          <t>Toggle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PasswordToggleField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Toggle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PasswordToggleField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Toggle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PasswordToggleField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Toggle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PasswordToggleField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Toggle</t>
        </is>
      </c>
      <c r="D64" s="113" t="inlineStr">
        <is>
          <t>data-slot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PasswordToggleField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Toggle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PasswordToggleField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Toggle</t>
        </is>
      </c>
      <c r="D66" s="113" t="inlineStr">
        <is>
          <t>[data-state]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PasswordToggleField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Toggle</t>
        </is>
      </c>
      <c r="D67" s="113" t="inlineStr">
        <is>
          <t>[data-disabled]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PasswordToggleField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Toggle</t>
        </is>
      </c>
      <c r="D68" s="113" t="inlineStr">
        <is>
          <t>[data-readonly]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PasswordToggleField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Toggle</t>
        </is>
      </c>
      <c r="D69" s="113" t="inlineStr">
        <is>
          <t>[data-required]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PasswordToggleField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PasswordToggleField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aria-hidden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PasswordToggleField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PasswordToggleField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aria-label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PasswordToggleField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PasswordToggleField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PasswordToggleField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PasswordToggleField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data-invalid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PasswordToggleField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data-readonly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PasswordToggleField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PasswordToggleField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PasswordToggleField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PasswordToggleField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controlled state path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PasswordToggleField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Root</t>
        </is>
      </c>
      <c r="D83" s="113" t="inlineStr">
        <is>
          <t>uncontrolled default state path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PasswordToggleField playground scenario.</t>
        </is>
      </c>
      <c r="J83" s="113" t="n"/>
      <c r="K83" s="117">
        <f>IF(AND(E83="yes",F83="yes",H83="covered"),1,IF(H83="partial",0.5,0))</f>
        <v/>
      </c>
    </row>
    <row r="84" ht="45" customHeight="1" s="58">
      <c r="A84" s="112" t="n">
        <v>76</v>
      </c>
      <c r="B84" s="113" t="inlineStr">
        <is>
          <t>State</t>
        </is>
      </c>
      <c r="C84" s="113" t="inlineStr">
        <is>
          <t>Root</t>
        </is>
      </c>
      <c r="D84" s="113" t="inlineStr">
        <is>
          <t>state change callback fires once with correct value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PasswordToggleField form-field playground page exposes this part/prop in Anatomy, Inspector, Source, or toolbar controls.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PasswordToggleField</t>
        </is>
      </c>
      <c r="D85" s="113" t="inlineStr">
        <is>
          <t>disabled state blocks or exposes behavior correctly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PasswordToggleField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PasswordToggleField</t>
        </is>
      </c>
      <c r="D86" s="113" t="inlineStr">
        <is>
          <t>readonly/readOnly state blocks or exposes behavior correctly where supported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PasswordToggleField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State</t>
        </is>
      </c>
      <c r="C87" s="113" t="inlineStr">
        <is>
          <t>PasswordToggleField</t>
        </is>
      </c>
      <c r="D87" s="113" t="inlineStr">
        <is>
          <t>required state blocks or exposes behavior correctly where supported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PasswordToggleField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PasswordToggleField</t>
        </is>
      </c>
      <c r="D88" s="113" t="inlineStr">
        <is>
          <t>invalid state blocks or exposes behavior correctly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PasswordToggleField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Validation</t>
        </is>
      </c>
      <c r="C89" s="113" t="inlineStr">
        <is>
          <t>Root/Input/Toggle</t>
        </is>
      </c>
      <c r="D89" s="113" t="inlineStr">
        <is>
          <t>validationBehavior keeps native invalid state synchronized across visible parts, Field, and Form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Form &gt; Control: Foundation and automated Atom validation tests.</t>
        </is>
      </c>
      <c r="J89" s="113" t="inlineStr">
        <is>
          <t>Run and review the updated form-foundation validation steps.</t>
        </is>
      </c>
      <c r="K89" s="117">
        <f>IF(AND(E89="yes",F89="yes",H89="covered"),1,IF(H89="partial",0.5,0))</f>
        <v/>
      </c>
    </row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30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30" customHeight="1" s="58"/>
    <row r="109" ht="30" customHeight="1" s="58"/>
    <row r="110" ht="30" customHeight="1" s="58"/>
    <row r="111" ht="30" customHeight="1" s="58"/>
    <row r="112" ht="45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K1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Popover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Popover manual protocol and live playground evidence.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Popover manual protocol and live playground evidence.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Popover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Popover manual protocol and live playground evidence.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Popover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Popover manual protocol and live playground evidence.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Popover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Popover manual protocol and live playground evidence.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Popover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Popover manual protocol and live playground evidence.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Popover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Popover manual protocol and live playground evidence.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Popover</t>
        </is>
      </c>
      <c r="D16" s="113" t="inlineStr">
        <is>
          <t>Click or hover trigger mode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Popover manual protocol and live playground evidence.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Popover</t>
        </is>
      </c>
      <c r="D17" s="113" t="inlineStr">
        <is>
          <t>Optional anchor separate from the trigger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Popover manual protocol and live playground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Popover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Popover manual protocol and live playground evidence.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Popover</t>
        </is>
      </c>
      <c r="D19" s="113" t="inlineStr">
        <is>
          <t>Modal mode with focus trap and scroll lock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Popover manual protocol and live playground evidence.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Popover</t>
        </is>
      </c>
      <c r="D20" s="113" t="inlineStr">
        <is>
          <t>Non-modal focus guards and outside interaction dismissal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Popover manual protocol and live playground evidence.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Popover</t>
        </is>
      </c>
      <c r="D21" s="113" t="inlineStr">
        <is>
          <t>Stack-aware Escape dismissal for nested overlays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Popover manual protocol and live playground evidence.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Popover</t>
        </is>
      </c>
      <c r="D22" s="113" t="inlineStr">
        <is>
          <t>Close button part and portal support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Popover manual protocol and live playground evidence.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Popover manual protocol and live playground evidence.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Popover manual protocol and live playground evidence.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is behavior-only and renders no DOM tag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test; Root has state rows only and no raw DOM element</t>
        </is>
      </c>
      <c r="H25" s="116" t="inlineStr">
        <is>
          <t>covered</t>
        </is>
      </c>
      <c r="I25" s="113" t="inlineStr">
        <is>
          <t>Root Anatomy state rows; Root has no Attributes, ARIA, or Data groups.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Root has no data-slot because it renders no DOM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test; data-slot is not applicable to Root</t>
        </is>
      </c>
      <c r="H26" s="116" t="inlineStr">
        <is>
          <t>covered</t>
        </is>
      </c>
      <c r="I26" s="113" t="inlineStr">
        <is>
          <t>Root Anatomy confirms behavior-only context with no DOM slot.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Root native DOM prop passthrough is not applicable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test; Root exposes behavior through child DOM parts</t>
        </is>
      </c>
      <c r="H27" s="116" t="inlineStr">
        <is>
          <t>covered</t>
        </is>
      </c>
      <c r="I27" s="113" t="inlineStr">
        <is>
          <t>Root is non-DOM; prop checks apply to Anchor, Trigger, Content, Arrow, and Close.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Root consumer DOM ref is not applicable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test; Root has no rendered element for a DOM ref</t>
        </is>
      </c>
      <c r="H28" s="116" t="inlineStr">
        <is>
          <t>covered</t>
        </is>
      </c>
      <c r="I28" s="113" t="inlineStr">
        <is>
          <t>Root renders context only; refs are verified on DOM parts where applicable.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Popover manual protocol and live playground evidence.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defaultOpen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Popover manual protocol and live playground evidence.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onOpenChange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Popover manual protocol and live playground evidence.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Positioning</t>
        </is>
      </c>
      <c r="C32" s="113" t="inlineStr">
        <is>
          <t>Root</t>
        </is>
      </c>
      <c r="D32" s="113" t="inlineStr">
        <is>
          <t>modal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Popover manual protocol and live playground evidence.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triggerMode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Popover manual protocol and live playground evidence.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Positioning</t>
        </is>
      </c>
      <c r="C34" s="113" t="inlineStr">
        <is>
          <t>Root</t>
        </is>
      </c>
      <c r="D34" s="113" t="inlineStr">
        <is>
          <t>closeOnInteractOutside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Popover manual protocol and live playground evidence.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Popover manual protocol and live playground evidence.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Popover manual protocol and live playground evidence.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Popover manual protocol and live playground evidence.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wrapper has no default DOM tag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test; portal behavior verified through content parent evidence</t>
        </is>
      </c>
      <c r="H38" s="116" t="inlineStr">
        <is>
          <t>covered</t>
        </is>
      </c>
      <c r="I38" s="113" t="inlineStr">
        <is>
          <t>Portal Anatomy shows body, custom container, and disabled inline placement through Content parent rows.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Identity</t>
        </is>
      </c>
      <c r="C39" s="113" t="inlineStr">
        <is>
          <t>Portal</t>
        </is>
      </c>
      <c r="D39" s="113" t="inlineStr">
        <is>
          <t>Portal has no data-slot because it renders no Atom DOM part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test; data-slot is not applicable to Portal</t>
        </is>
      </c>
      <c r="H39" s="116" t="inlineStr">
        <is>
          <t>covered</t>
        </is>
      </c>
      <c r="I39" s="113" t="inlineStr">
        <is>
          <t>Portal behavior is verified through Content parent and Source portal props.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Props</t>
        </is>
      </c>
      <c r="C40" s="113" t="inlineStr">
        <is>
          <t>Portal</t>
        </is>
      </c>
      <c r="D40" s="113" t="inlineStr">
        <is>
          <t>Portal native DOM prop passthrough is not applicable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test; Portal exposes portal utility props instead of DOM props</t>
        </is>
      </c>
      <c r="H40" s="116" t="inlineStr">
        <is>
          <t>covered</t>
        </is>
      </c>
      <c r="I40" s="113" t="inlineStr">
        <is>
          <t>Portal rows verify body, container, and disabled portal behavior.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Refs</t>
        </is>
      </c>
      <c r="C41" s="113" t="inlineStr">
        <is>
          <t>Portal</t>
        </is>
      </c>
      <c r="D41" s="113" t="inlineStr">
        <is>
          <t>Portal consumer DOM ref is not applicable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test; Portal has no rendered element for a DOM ref</t>
        </is>
      </c>
      <c r="H41" s="116" t="inlineStr">
        <is>
          <t>covered</t>
        </is>
      </c>
      <c r="I41" s="113" t="inlineStr">
        <is>
          <t>Portal behavior is verified through rendered Content placement evidence.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Positioning</t>
        </is>
      </c>
      <c r="C42" s="113" t="inlineStr">
        <is>
          <t>Portal</t>
        </is>
      </c>
      <c r="D42" s="113" t="inlineStr">
        <is>
          <t>container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Popover manual protocol and live playground evidence.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Portal</t>
        </is>
      </c>
      <c r="D43" s="113" t="inlineStr">
        <is>
          <t>disabled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Popover manual protocol and live playground evidence.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Anchor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Popover manual protocol and live playground evidence.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Anchor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Popover manual protocol and live playground evidence.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Anchor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Popover manual protocol and live playground evidence.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Anchor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Popover manual protocol and live playground evidence.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Anchor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Popover manual protocol and live playground evidence.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Anchor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Popover manual protocol and live playground evidence.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Anchor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Popover manual protocol and live playground evidence.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Anchor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Popover manual protocol and live playground evidence.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Anchor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Popover manual protocol and live playground evidence.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Anchor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Popover manual protocol and live playground evidence.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Trigger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Popover manual protocol and live playground evidence.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Trigger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Popover manual protocol and live playground evidence.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Trigger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Popover manual protocol and live playground evidence.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Identity</t>
        </is>
      </c>
      <c r="C57" s="113" t="inlineStr">
        <is>
          <t>Trigger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Popover manual protocol and live playground evidence.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Trigger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Popover manual protocol and live playground evidence.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Trigger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Popover manual protocol and live playground evidence.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Trigger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Popover manual protocol and live playground evidence.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Trigger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Popover manual protocol and live playground evidence.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Trigger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Popover manual protocol and live playground evidence.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Trigger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Popover manual protocol and live playground evidence.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Trigger</t>
        </is>
      </c>
      <c r="D64" s="113" t="inlineStr">
        <is>
          <t>[data-state]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Popover manual protocol and live playground evidence.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Trigger</t>
        </is>
      </c>
      <c r="D65" s="113" t="inlineStr">
        <is>
          <t>[data-trigger-mode]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Popover manual protocol and live playground evidence.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Trigger</t>
        </is>
      </c>
      <c r="D66" s="113" t="inlineStr">
        <is>
          <t>[data-disabled]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Popover manual protocol and live playground evidence.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Content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Popover manual protocol and live playground evidence.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Content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Popover manual protocol and live playground evidence.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Content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Popover manual protocol and live playground evidence.</t>
        </is>
      </c>
      <c r="J69" s="113" t="n"/>
      <c r="K69" s="117">
        <f>IF(AND(E69="yes",F69="yes",H69="covered"),1,IF(H69="partial",0.5,0))</f>
        <v/>
      </c>
    </row>
    <row r="70" ht="45" customHeight="1" s="58">
      <c r="A70" s="112" t="n">
        <v>62</v>
      </c>
      <c r="B70" s="113" t="inlineStr">
        <is>
          <t>Identity</t>
        </is>
      </c>
      <c r="C70" s="113" t="inlineStr">
        <is>
          <t>Content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Popover manual protocol and live playground evidence.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Content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Popover manual protocol and live playground evidence.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Content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Popover manual protocol and live playground evidence.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Positioning</t>
        </is>
      </c>
      <c r="C73" s="113" t="inlineStr">
        <is>
          <t>Content</t>
        </is>
      </c>
      <c r="D73" s="113" t="inlineStr">
        <is>
          <t>side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Popover manual protocol and live playground evidence.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Positioning</t>
        </is>
      </c>
      <c r="C74" s="113" t="inlineStr">
        <is>
          <t>Content</t>
        </is>
      </c>
      <c r="D74" s="113" t="inlineStr">
        <is>
          <t>align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Popover manual protocol and live playground evidence.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Positioning</t>
        </is>
      </c>
      <c r="C75" s="113" t="inlineStr">
        <is>
          <t>Content</t>
        </is>
      </c>
      <c r="D75" s="113" t="inlineStr">
        <is>
          <t>sideOffset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Popover manual protocol and live playground evidence.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Content</t>
        </is>
      </c>
      <c r="D76" s="113" t="inlineStr">
        <is>
          <t>ariaLabel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Popover manual protocol and live playground evidence.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Content</t>
        </is>
      </c>
      <c r="D77" s="113" t="inlineStr">
        <is>
          <t>data-slot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Popover manual protocol and live playground evidence.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Content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Popover manual protocol and live playground evidence.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Content</t>
        </is>
      </c>
      <c r="D79" s="113" t="inlineStr">
        <is>
          <t>[data-state]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Popover manual protocol and live playground evidence.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Positioning</t>
        </is>
      </c>
      <c r="C80" s="113" t="inlineStr">
        <is>
          <t>Content</t>
        </is>
      </c>
      <c r="D80" s="113" t="inlineStr">
        <is>
          <t>[data-side]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Popover manual protocol and live playground evidence.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Content</t>
        </is>
      </c>
      <c r="D81" s="113" t="inlineStr">
        <is>
          <t>[data-positioned]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Popover manual protocol and live playground evidence.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Arrow</t>
        </is>
      </c>
      <c r="D82" s="113" t="inlineStr">
        <is>
          <t>renders correct part when expected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Popover manual protocol and live playground evidence.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Arrow</t>
        </is>
      </c>
      <c r="D83" s="113" t="inlineStr">
        <is>
          <t>appears in documented order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Popover manual protocol and live playground evidence.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Identity</t>
        </is>
      </c>
      <c r="C84" s="113" t="inlineStr">
        <is>
          <t>Arrow</t>
        </is>
      </c>
      <c r="D84" s="113" t="inlineStr">
        <is>
          <t>default tag is visible in Anatomy/Inspector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Popover manual protocol and live playground evidence.</t>
        </is>
      </c>
      <c r="J84" s="113" t="n"/>
      <c r="K84" s="117">
        <f>IF(AND(E84="yes",F84="yes",H84="covered"),1,IF(H84="partial",0.5,0))</f>
        <v/>
      </c>
    </row>
    <row r="85" ht="45" customHeight="1" s="58">
      <c r="A85" s="112" t="n">
        <v>77</v>
      </c>
      <c r="B85" s="113" t="inlineStr">
        <is>
          <t>Identity</t>
        </is>
      </c>
      <c r="C85" s="113" t="inlineStr">
        <is>
          <t>Arrow</t>
        </is>
      </c>
      <c r="D85" s="113" t="inlineStr">
        <is>
          <t>data-slot is present and correct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Popover manual protocol and live playground evidence.</t>
        </is>
      </c>
      <c r="J85" s="113" t="n"/>
      <c r="K85" s="117">
        <f>IF(AND(E85="yes",F85="yes",H85="covered"),1,IF(H85="partial",0.5,0))</f>
        <v/>
      </c>
    </row>
    <row r="86" ht="45" customHeight="1" s="58">
      <c r="A86" s="112" t="n">
        <v>78</v>
      </c>
      <c r="B86" s="113" t="inlineStr">
        <is>
          <t>Props</t>
        </is>
      </c>
      <c r="C86" s="113" t="inlineStr">
        <is>
          <t>Arrow</t>
        </is>
      </c>
      <c r="D86" s="113" t="inlineStr">
        <is>
          <t>non-Atom native props pass through with data-prop-check marker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Popover manual protocol and live playground evidence.</t>
        </is>
      </c>
      <c r="J86" s="113" t="n"/>
      <c r="K86" s="117">
        <f>IF(AND(E86="yes",F86="yes",H86="covered"),1,IF(H86="partial",0.5,0))</f>
        <v/>
      </c>
    </row>
    <row r="87" ht="45" customHeight="1" s="58">
      <c r="A87" s="112" t="n">
        <v>79</v>
      </c>
      <c r="B87" s="113" t="inlineStr">
        <is>
          <t>Refs</t>
        </is>
      </c>
      <c r="C87" s="113" t="inlineStr">
        <is>
          <t>Arrow</t>
        </is>
      </c>
      <c r="D87" s="113" t="inlineStr">
        <is>
          <t>consumer ref receives the rendered element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Popover manual protocol and live playground evidence.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Arrow</t>
        </is>
      </c>
      <c r="D88" s="113" t="inlineStr">
        <is>
          <t>width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test; default Arrow width/height verified as 10 by 5</t>
        </is>
      </c>
      <c r="H88" s="116" t="inlineStr">
        <is>
          <t>covered</t>
        </is>
      </c>
      <c r="I88" s="113" t="inlineStr">
        <is>
          <t>Arrow Anatomy width/height rows and package geometry tests.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Arrow</t>
        </is>
      </c>
      <c r="D89" s="113" t="inlineStr">
        <is>
          <t>height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test; wide Arrow width/height verified as 16 by 8</t>
        </is>
      </c>
      <c r="H89" s="116" t="inlineStr">
        <is>
          <t>covered</t>
        </is>
      </c>
      <c r="I89" s="113" t="inlineStr">
        <is>
          <t>Arrow Size toolbar option, Arrow Anatomy rows, and package geometry tests.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Arrow</t>
        </is>
      </c>
      <c r="D90" s="113" t="inlineStr">
        <is>
          <t>data-slot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Popover manual protocol and live playground evidence.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Arrow</t>
        </is>
      </c>
      <c r="D91" s="113" t="inlineStr">
        <is>
          <t>[data-slot]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Popover manual protocol and live playground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Arrow</t>
        </is>
      </c>
      <c r="D92" s="113" t="inlineStr">
        <is>
          <t>[data-side]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Popover manual protocol and live playground evidence.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Close</t>
        </is>
      </c>
      <c r="D93" s="113" t="inlineStr">
        <is>
          <t>renders correct part when expected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Popover manual protocol and live playground evidence.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Anatomy</t>
        </is>
      </c>
      <c r="C94" s="113" t="inlineStr">
        <is>
          <t>Close</t>
        </is>
      </c>
      <c r="D94" s="113" t="inlineStr">
        <is>
          <t>appears in documented order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Popover manual protocol and live playground evidence.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Identity</t>
        </is>
      </c>
      <c r="C95" s="113" t="inlineStr">
        <is>
          <t>Close</t>
        </is>
      </c>
      <c r="D95" s="113" t="inlineStr">
        <is>
          <t>default tag is visible in Anatomy/Inspector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Popover manual protocol and live playground evidence.</t>
        </is>
      </c>
      <c r="J95" s="113" t="n"/>
      <c r="K95" s="117">
        <f>IF(AND(E95="yes",F95="yes",H95="covered"),1,IF(H95="partial",0.5,0))</f>
        <v/>
      </c>
    </row>
    <row r="96" ht="45" customHeight="1" s="58">
      <c r="A96" s="112" t="n">
        <v>88</v>
      </c>
      <c r="B96" s="113" t="inlineStr">
        <is>
          <t>Identity</t>
        </is>
      </c>
      <c r="C96" s="113" t="inlineStr">
        <is>
          <t>Close</t>
        </is>
      </c>
      <c r="D96" s="113" t="inlineStr">
        <is>
          <t>data-slot is present and correct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Popover manual protocol and live playground evidence.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Props</t>
        </is>
      </c>
      <c r="C97" s="113" t="inlineStr">
        <is>
          <t>Close</t>
        </is>
      </c>
      <c r="D97" s="113" t="inlineStr">
        <is>
          <t>non-Atom native props pass through with data-prop-check marker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Popover manual protocol and live playground evidence.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Refs</t>
        </is>
      </c>
      <c r="C98" s="113" t="inlineStr">
        <is>
          <t>Close</t>
        </is>
      </c>
      <c r="D98" s="113" t="inlineStr">
        <is>
          <t>consumer ref receives the rendered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Popover manual protocol and live playground evidence.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Close</t>
        </is>
      </c>
      <c r="D99" s="113" t="inlineStr">
        <is>
          <t>asChild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Popover manual protocol and live playground evidence.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Composition</t>
        </is>
      </c>
      <c r="C100" s="113" t="inlineStr">
        <is>
          <t>Close</t>
        </is>
      </c>
      <c r="D100" s="113" t="inlineStr">
        <is>
          <t>render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Popover manual protocol and live playground evidence.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Close</t>
        </is>
      </c>
      <c r="D101" s="113" t="inlineStr">
        <is>
          <t>data-slot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Popover manual protocol and live playground evidence.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aria-controls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Popover manual protocol and live playground evidence.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aria-disabled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Popover manual protocol and live playground evidence.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aria-expanded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Popover manual protocol and live playground evidence.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aria-haspopup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Popover manual protocol and live playground evidence.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aria-hidden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Popover manual protocol and live playground evidence.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aria-label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Popover manual protocol and live playground evidence.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aria-modal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Popover manual protocol and live playground evidence.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data-disabled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Popover manual protocol and live playground evidence.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Data</t>
        </is>
      </c>
      <c r="C110" s="113" t="inlineStr">
        <is>
          <t>Live DOM</t>
        </is>
      </c>
      <c r="D110" s="113" t="inlineStr">
        <is>
          <t>data-positioned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Popover manual protocol and live playground evidence.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Data</t>
        </is>
      </c>
      <c r="C111" s="113" t="inlineStr">
        <is>
          <t>Live DOM</t>
        </is>
      </c>
      <c r="D111" s="113" t="inlineStr">
        <is>
          <t>data-side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Popover manual protocol and live playground evidence.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Data</t>
        </is>
      </c>
      <c r="C112" s="113" t="inlineStr">
        <is>
          <t>Live DOM</t>
        </is>
      </c>
      <c r="D112" s="113" t="inlineStr">
        <is>
          <t>data-slot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Popover manual protocol and live playground evidence.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data-state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Popover manual protocol and live playground evidence.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data-trigger-mode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Popover manual protocol and live playground evidence.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Popover</t>
        </is>
      </c>
      <c r="D115" s="113" t="inlineStr">
        <is>
          <t>asChild preserves child content without double nesting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Popover manual protocol and live playground evidence.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Popover</t>
        </is>
      </c>
      <c r="D116" s="113" t="inlineStr">
        <is>
          <t>asChild merges Atom props and consumer props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Popover manual protocol and live playground evidence.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Popover</t>
        </is>
      </c>
      <c r="D117" s="113" t="inlineStr">
        <is>
          <t>asChild lets preventDefault block Atom behavior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Popover manual protocol and live playground evidence.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Popover</t>
        </is>
      </c>
      <c r="D118" s="113" t="inlineStr">
        <is>
          <t>render prop renders custom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Popover manual protocol and live playground evidence.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Popover</t>
        </is>
      </c>
      <c r="D119" s="113" t="inlineStr">
        <is>
          <t>render prop preserves refs and behavior props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Popover manual protocol and live playground evidence.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Root</t>
        </is>
      </c>
      <c r="D120" s="113" t="inlineStr">
        <is>
          <t>controlled state path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Popover manual protocol and live playground evidence.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Root</t>
        </is>
      </c>
      <c r="D121" s="113" t="inlineStr">
        <is>
          <t>uncontrolled default state path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Popover manual protocol and live playground evidence.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State</t>
        </is>
      </c>
      <c r="C122" s="113" t="inlineStr">
        <is>
          <t>Root</t>
        </is>
      </c>
      <c r="D122" s="113" t="inlineStr">
        <is>
          <t>state change callback fires once with correct value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Popover manual protocol and live playground evidence.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Trigger</t>
        </is>
      </c>
      <c r="D123" s="113" t="inlineStr">
        <is>
          <t>mouse click or pointer activation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Popover manual protocol and live playground evidence.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Interaction</t>
        </is>
      </c>
      <c r="C124" s="113" t="inlineStr">
        <is>
          <t>Trigger</t>
        </is>
      </c>
      <c r="D124" s="113" t="inlineStr">
        <is>
          <t>Enter key activation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Popover manual protocol and live playground evidence.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Trigger</t>
        </is>
      </c>
      <c r="D125" s="113" t="inlineStr">
        <is>
          <t>Space key activation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Popover manual protocol and live playground evidence.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Trigger</t>
        </is>
      </c>
      <c r="D126" s="113" t="inlineStr">
        <is>
          <t>disabled trigger blocks pointer and keyboard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Popover manual protocol and live playground evidence.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Focus</t>
        </is>
      </c>
      <c r="C127" s="113" t="inlineStr">
        <is>
          <t>Trigger</t>
        </is>
      </c>
      <c r="D127" s="113" t="inlineStr">
        <is>
          <t>focus ring and focus restoration are correct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Popover manual protocol and live playground evidence.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Dismiss</t>
        </is>
      </c>
      <c r="C128" s="113" t="inlineStr">
        <is>
          <t>Popover</t>
        </is>
      </c>
      <c r="D128" s="113" t="inlineStr">
        <is>
          <t>Escape closes only the topmost active layer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test; Escape closes nested layer before parent Popover</t>
        </is>
      </c>
      <c r="H128" s="116" t="inlineStr">
        <is>
          <t>covered</t>
        </is>
      </c>
      <c r="I128" s="113" t="inlineStr">
        <is>
          <t>Nested Popover manual protocol and package dismissable layer behavior.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Dismiss</t>
        </is>
      </c>
      <c r="C129" s="113" t="inlineStr">
        <is>
          <t>Popover</t>
        </is>
      </c>
      <c r="D129" s="113" t="inlineStr">
        <is>
          <t>outside click/interact closes when enabled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Popover manual protocol and live playground evidence.</t>
        </is>
      </c>
      <c r="J129" s="113" t="n"/>
      <c r="K129" s="117">
        <f>IF(AND(E129="yes",F129="yes",H129="covered"),1,IF(H129="partial",0.5,0))</f>
        <v/>
      </c>
    </row>
    <row r="130" ht="45" customHeight="1" s="58">
      <c r="A130" s="112" t="n">
        <v>122</v>
      </c>
      <c r="B130" s="113" t="inlineStr">
        <is>
          <t>Dismiss</t>
        </is>
      </c>
      <c r="C130" s="113" t="inlineStr">
        <is>
          <t>Popover</t>
        </is>
      </c>
      <c r="D130" s="113" t="inlineStr">
        <is>
          <t>outside click/interact is blocked when disabled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Popover manual protocol and live playground evidence.</t>
        </is>
      </c>
      <c r="J130" s="113" t="n"/>
      <c r="K130" s="117">
        <f>IF(AND(E130="yes",F130="yes",H130="covered"),1,IF(H130="partial",0.5,0))</f>
        <v/>
      </c>
    </row>
    <row r="131" ht="45" customHeight="1" s="58">
      <c r="A131" s="112" t="n">
        <v>123</v>
      </c>
      <c r="B131" s="113" t="inlineStr">
        <is>
          <t>Focus</t>
        </is>
      </c>
      <c r="C131" s="113" t="inlineStr">
        <is>
          <t>Popover</t>
        </is>
      </c>
      <c r="D131" s="113" t="inlineStr">
        <is>
          <t>focus returns to the correct trigger/anchor after close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Popover manual protocol and live playground evidence.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Focus</t>
        </is>
      </c>
      <c r="C132" s="113" t="inlineStr">
        <is>
          <t>Popover</t>
        </is>
      </c>
      <c r="D132" s="113" t="inlineStr">
        <is>
          <t>nested overlays keep focus and Escape order correct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test; nested portalled Popover interaction stays inside parent layer</t>
        </is>
      </c>
      <c r="H132" s="116" t="inlineStr">
        <is>
          <t>covered</t>
        </is>
      </c>
      <c r="I132" s="113" t="inlineStr">
        <is>
          <t>Nested Popover manual protocol; package click-away ignores descendant portalled layers controlled inside parent content.</t>
        </is>
      </c>
      <c r="J132" s="113" t="n"/>
      <c r="K132" s="117">
        <f>IF(AND(E132="yes",F132="yes",H132="covered"),1,IF(H132="partial",0.5,0))</f>
        <v/>
      </c>
    </row>
    <row r="133" ht="45" customHeight="1" s="58">
      <c r="A133" s="112" t="n">
        <v>125</v>
      </c>
      <c r="B133" s="113" t="inlineStr">
        <is>
          <t>Responsive smoke</t>
        </is>
      </c>
      <c r="C133" s="113" t="inlineStr">
        <is>
          <t>Popover</t>
        </is>
      </c>
      <c r="D133" s="113" t="inlineStr">
        <is>
          <t>desktop browser manual workflow covers pointer and keyboard; responsive mode is smoke only and is not mobile-device evidence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existing desktop browser/manual baseline; mobile device qualification not run</t>
        </is>
      </c>
      <c r="H133" s="116" t="inlineStr">
        <is>
          <t>covered</t>
        </is>
      </c>
      <c r="I133" s="113" t="inlineStr">
        <is>
          <t>Existing desktop browser/manual baseline; not real iOS Safari or Android Chrome evidence.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Portal</t>
        </is>
      </c>
      <c r="C134" s="113" t="inlineStr">
        <is>
          <t>Popover</t>
        </is>
      </c>
      <c r="D134" s="113" t="inlineStr">
        <is>
          <t>portal renders in body by default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Popover manual protocol and live playground evidence.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Portal</t>
        </is>
      </c>
      <c r="C135" s="113" t="inlineStr">
        <is>
          <t>Popover</t>
        </is>
      </c>
      <c r="D135" s="113" t="inlineStr">
        <is>
          <t>custom/disabled portal path works where supported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test; body, custom container, and disabled portal paths verified</t>
        </is>
      </c>
      <c r="H135" s="116" t="inlineStr">
        <is>
          <t>covered</t>
        </is>
      </c>
      <c r="I135" s="113" t="inlineStr">
        <is>
          <t>Portal toolbar mode, Portal Anatomy rows, and Source output.</t>
        </is>
      </c>
      <c r="J135" s="113" t="n"/>
      <c r="K135" s="117">
        <f>IF(AND(E135="yes",F135="yes",H135="covered"),1,IF(H135="partial",0.5,0))</f>
        <v/>
      </c>
    </row>
    <row r="136" ht="45" customHeight="1" s="58">
      <c r="A136" s="112" t="n">
        <v>128</v>
      </c>
      <c r="B136" s="113" t="inlineStr">
        <is>
          <t>Positioning</t>
        </is>
      </c>
      <c r="C136" s="113" t="inlineStr">
        <is>
          <t>Popover</t>
        </is>
      </c>
      <c r="D136" s="113" t="inlineStr">
        <is>
          <t>side options position content correctly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Popover manual protocol and live playground evidence.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Positioning</t>
        </is>
      </c>
      <c r="C137" s="113" t="inlineStr">
        <is>
          <t>Popover</t>
        </is>
      </c>
      <c r="D137" s="113" t="inlineStr">
        <is>
          <t>align options position content correctly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Popover manual protocol and live playground evidence.</t>
        </is>
      </c>
      <c r="J137" s="113" t="n"/>
      <c r="K137" s="117">
        <f>IF(AND(E137="yes",F137="yes",H137="covered"),1,IF(H137="partial",0.5,0))</f>
        <v/>
      </c>
    </row>
    <row r="138" ht="45" customHeight="1" s="58">
      <c r="A138" s="112" t="n">
        <v>130</v>
      </c>
      <c r="B138" s="113" t="inlineStr">
        <is>
          <t>Positioning</t>
        </is>
      </c>
      <c r="C138" s="113" t="inlineStr">
        <is>
          <t>Popover</t>
        </is>
      </c>
      <c r="D138" s="113" t="inlineStr">
        <is>
          <t>collision, flip, and shift stay within the manually tested desktop layout viewport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existing desktop browser/manual baseline; mobile device qualification not run</t>
        </is>
      </c>
      <c r="H138" s="116" t="inlineStr">
        <is>
          <t>covered</t>
        </is>
      </c>
      <c r="I138" s="113" t="inlineStr">
        <is>
          <t>Existing desktop browser/manual baseline; not real iOS Safari or Android Chrome evidence.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Positioning</t>
        </is>
      </c>
      <c r="C139" s="113" t="inlineStr">
        <is>
          <t>Popover</t>
        </is>
      </c>
      <c r="D139" s="113" t="inlineStr">
        <is>
          <t>arrow or anchor geometry matches content where supported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test; Arrow geometry and default Anchor child reference behavior verified</t>
        </is>
      </c>
      <c r="H139" s="116" t="inlineStr">
        <is>
          <t>covered</t>
        </is>
      </c>
      <c r="I139" s="113" t="inlineStr">
        <is>
          <t>Anchor positioning manual test, Arrow Anatomy rows, and package PopoverContent reference tests.</t>
        </is>
      </c>
      <c r="J139" s="113" t="n"/>
      <c r="K139" s="117">
        <f>IF(AND(E139="yes",F139="yes",H139="covered"),1,IF(H139="partial",0.5,0))</f>
        <v/>
      </c>
    </row>
    <row r="140" ht="45" customHeight="1" s="58">
      <c r="A140" s="112" t="n">
        <v>132</v>
      </c>
      <c r="B140" s="113" t="inlineStr">
        <is>
          <t>Feature</t>
        </is>
      </c>
      <c r="C140" s="113" t="inlineStr">
        <is>
          <t>Popover</t>
        </is>
      </c>
      <c r="D140" s="113" t="inlineStr">
        <is>
          <t>Visible Title and Description provide the default accessible name and description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owner manual protocol</t>
        </is>
      </c>
      <c r="H140" s="116" t="inlineStr">
        <is>
          <t>covered</t>
        </is>
      </c>
      <c r="I140" s="113" t="inlineStr">
        <is>
          <t>Popover manual protocol Step 12 owner evidence and focused automated package regression.</t>
        </is>
      </c>
      <c r="J140" s="113" t="n"/>
      <c r="K140" s="117">
        <f>IF(AND(E140="yes",F140="yes",H140="covered"),1,IF(H140="partial",0.5,0))</f>
        <v/>
      </c>
    </row>
    <row r="141" ht="45" customHeight="1" s="58">
      <c r="A141" s="112" t="n">
        <v>133</v>
      </c>
      <c r="B141" s="113" t="inlineStr">
        <is>
          <t>Anatomy</t>
        </is>
      </c>
      <c r="C141" s="113" t="inlineStr">
        <is>
          <t>Title</t>
        </is>
      </c>
      <c r="D141" s="113" t="inlineStr">
        <is>
          <t>renders the visible Title part in documented order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owner manual protocol</t>
        </is>
      </c>
      <c r="H141" s="116" t="inlineStr">
        <is>
          <t>covered</t>
        </is>
      </c>
      <c r="I141" s="113" t="inlineStr">
        <is>
          <t>Popover manual protocol Step 12 owner evidence and focused automated package regression.</t>
        </is>
      </c>
      <c r="J141" s="113" t="n"/>
      <c r="K141" s="117">
        <f>IF(AND(E141="yes",F141="yes",H141="covered"),1,IF(H141="partial",0.5,0))</f>
        <v/>
      </c>
    </row>
    <row r="142" ht="45" customHeight="1" s="58">
      <c r="A142" s="112" t="n">
        <v>134</v>
      </c>
      <c r="B142" s="113" t="inlineStr">
        <is>
          <t>Identity</t>
        </is>
      </c>
      <c r="C142" s="113" t="inlineStr">
        <is>
          <t>Title</t>
        </is>
      </c>
      <c r="D142" s="113" t="inlineStr">
        <is>
          <t>default h2 tag, stable ID, and data-slot are visible in Anatomy/Inspector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owner manual protocol</t>
        </is>
      </c>
      <c r="H142" s="116" t="inlineStr">
        <is>
          <t>covered</t>
        </is>
      </c>
      <c r="I142" s="113" t="inlineStr">
        <is>
          <t>Popover manual protocol Step 12 owner evidence and focused automated package regression.</t>
        </is>
      </c>
      <c r="J142" s="113" t="n"/>
      <c r="K142" s="117">
        <f>IF(AND(E142="yes",F142="yes",H142="covered"),1,IF(H142="partial",0.5,0))</f>
        <v/>
      </c>
    </row>
    <row r="143" ht="45" customHeight="1" s="58">
      <c r="A143" s="112" t="n">
        <v>135</v>
      </c>
      <c r="B143" s="113" t="inlineStr">
        <is>
          <t>Anatomy</t>
        </is>
      </c>
      <c r="C143" s="113" t="inlineStr">
        <is>
          <t>Description</t>
        </is>
      </c>
      <c r="D143" s="113" t="inlineStr">
        <is>
          <t>renders the visible Description part in documented order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owner manual protocol</t>
        </is>
      </c>
      <c r="H143" s="116" t="inlineStr">
        <is>
          <t>covered</t>
        </is>
      </c>
      <c r="I143" s="113" t="inlineStr">
        <is>
          <t>Popover manual protocol Step 12 owner evidence and focused automated package regression.</t>
        </is>
      </c>
      <c r="J143" s="113" t="n"/>
      <c r="K143" s="117">
        <f>IF(AND(E143="yes",F143="yes",H143="covered"),1,IF(H143="partial",0.5,0))</f>
        <v/>
      </c>
    </row>
    <row r="144" ht="45" customHeight="1" s="58">
      <c r="A144" s="112" t="n">
        <v>136</v>
      </c>
      <c r="B144" s="113" t="inlineStr">
        <is>
          <t>Identity</t>
        </is>
      </c>
      <c r="C144" s="113" t="inlineStr">
        <is>
          <t>Description</t>
        </is>
      </c>
      <c r="D144" s="113" t="inlineStr">
        <is>
          <t>default p tag, stable ID, and data-slot are visible in Anatomy/Inspector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owner manual protocol</t>
        </is>
      </c>
      <c r="H144" s="116" t="inlineStr">
        <is>
          <t>covered</t>
        </is>
      </c>
      <c r="I144" s="113" t="inlineStr">
        <is>
          <t>Popover manual protocol Step 12 owner evidence and focused automated package regression.</t>
        </is>
      </c>
      <c r="J144" s="113" t="n"/>
      <c r="K144" s="117">
        <f>IF(AND(E144="yes",F144="yes",H144="covered"),1,IF(H144="partial",0.5,0))</f>
        <v/>
      </c>
    </row>
    <row r="145" ht="45" customHeight="1" s="58">
      <c r="A145" s="112" t="n">
        <v>137</v>
      </c>
      <c r="B145" s="113" t="inlineStr">
        <is>
          <t>ARIA</t>
        </is>
      </c>
      <c r="C145" s="113" t="inlineStr">
        <is>
          <t>Content</t>
        </is>
      </c>
      <c r="D145" s="113" t="inlineStr">
        <is>
          <t>generated aria-labelledby and aria-describedby reference the exact visible part IDs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owner manual protocol</t>
        </is>
      </c>
      <c r="H145" s="116" t="inlineStr">
        <is>
          <t>covered</t>
        </is>
      </c>
      <c r="I145" s="113" t="inlineStr">
        <is>
          <t>Popover manual protocol Step 12 owner evidence and focused automated package regression.</t>
        </is>
      </c>
      <c r="J145" s="113" t="n"/>
      <c r="K145" s="117">
        <f>IF(AND(E145="yes",F145="yes",H145="covered"),1,IF(H145="partial",0.5,0))</f>
        <v/>
      </c>
    </row>
    <row r="146" ht="45" customHeight="1" s="58">
      <c r="A146" s="112" t="n">
        <v>138</v>
      </c>
      <c r="B146" s="113" t="inlineStr">
        <is>
          <t>Accessibility</t>
        </is>
      </c>
      <c r="C146" s="113" t="inlineStr">
        <is>
          <t>Content</t>
        </is>
      </c>
      <c r="D146" s="113" t="inlineStr">
        <is>
          <t>native aria-label supplies the explicit name without a custom camel-case alias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owner manual protocol</t>
        </is>
      </c>
      <c r="H146" s="116" t="inlineStr">
        <is>
          <t>covered</t>
        </is>
      </c>
      <c r="I146" s="113" t="inlineStr">
        <is>
          <t>Popover manual protocol Step 12 owner evidence and focused automated package regression.</t>
        </is>
      </c>
      <c r="J146" s="113" t="n"/>
      <c r="K146" s="117">
        <f>IF(AND(E146="yes",F146="yes",H146="covered"),1,IF(H146="partial",0.5,0))</f>
        <v/>
      </c>
    </row>
    <row r="147" ht="45" customHeight="1" s="58">
      <c r="A147" s="112" t="n">
        <v>139</v>
      </c>
      <c r="B147" s="113" t="inlineStr">
        <is>
          <t>Focus</t>
        </is>
      </c>
      <c r="C147" s="113" t="inlineStr">
        <is>
          <t>Content</t>
        </is>
      </c>
      <c r="D147" s="113" t="inlineStr">
        <is>
          <t>mouse activation moves initial focus to the first intended descendant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owner manual protocol</t>
        </is>
      </c>
      <c r="H147" s="116" t="inlineStr">
        <is>
          <t>covered</t>
        </is>
      </c>
      <c r="I147" s="113" t="inlineStr">
        <is>
          <t>Popover manual protocol Step 12 owner evidence and focused automated package regression.</t>
        </is>
      </c>
      <c r="J147" s="113" t="n"/>
      <c r="K147" s="117">
        <f>IF(AND(E147="yes",F147="yes",H147="covered"),1,IF(H147="partial",0.5,0))</f>
        <v/>
      </c>
    </row>
    <row r="148" ht="45" customHeight="1" s="58">
      <c r="A148" s="112" t="n">
        <v>140</v>
      </c>
      <c r="B148" s="113" t="inlineStr">
        <is>
          <t>Focus</t>
        </is>
      </c>
      <c r="C148" s="113" t="inlineStr">
        <is>
          <t>Content</t>
        </is>
      </c>
      <c r="D148" s="113" t="inlineStr">
        <is>
          <t>keyboard activation moves initial focus and Escape restores Trigger focus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owner manual protocol</t>
        </is>
      </c>
      <c r="H148" s="116" t="inlineStr">
        <is>
          <t>covered</t>
        </is>
      </c>
      <c r="I148" s="113" t="inlineStr">
        <is>
          <t>Popover manual protocol Step 12 owner evidence and focused automated package regression.</t>
        </is>
      </c>
      <c r="J148" s="113" t="n"/>
      <c r="K148" s="117">
        <f>IF(AND(E148="yes",F148="yes",H148="covered"),1,IF(H148="partial",0.5,0))</f>
        <v/>
      </c>
    </row>
    <row r="149" ht="45" customHeight="1" s="58">
      <c r="A149" s="112" t="n">
        <v>141</v>
      </c>
      <c r="B149" s="113" t="inlineStr">
        <is>
          <t>Focus</t>
        </is>
      </c>
      <c r="C149" s="113" t="inlineStr">
        <is>
          <t>Content</t>
        </is>
      </c>
      <c r="D149" s="113" t="inlineStr">
        <is>
          <t>explicit initialFocus and finalFocus targets are honored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owner manual protocol</t>
        </is>
      </c>
      <c r="H149" s="116" t="inlineStr">
        <is>
          <t>covered</t>
        </is>
      </c>
      <c r="I149" s="113" t="inlineStr">
        <is>
          <t>Popover manual protocol Step 12 owner evidence and focused automated package regression.</t>
        </is>
      </c>
      <c r="J149" s="113" t="n"/>
      <c r="K149" s="117">
        <f>IF(AND(E149="yes",F149="yes",H149="covered"),1,IF(H149="partial",0.5,0))</f>
        <v/>
      </c>
    </row>
    <row r="150" ht="45" customHeight="1" s="58">
      <c r="A150" s="112" t="n">
        <v>142</v>
      </c>
      <c r="B150" s="113" t="inlineStr">
        <is>
          <t>Focus</t>
        </is>
      </c>
      <c r="C150" s="113" t="inlineStr">
        <is>
          <t>Content</t>
        </is>
      </c>
      <c r="D150" s="113" t="inlineStr">
        <is>
          <t>Close and Escape restoration use the correct dismissal reason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owner manual protocol</t>
        </is>
      </c>
      <c r="H150" s="116" t="inlineStr">
        <is>
          <t>covered</t>
        </is>
      </c>
      <c r="I150" s="113" t="inlineStr">
        <is>
          <t>Popover manual protocol Step 12 owner evidence and focused automated package regression.</t>
        </is>
      </c>
      <c r="J150" s="113" t="n"/>
      <c r="K150" s="117">
        <f>IF(AND(E150="yes",F150="yes",H150="covered"),1,IF(H150="partial",0.5,0))</f>
        <v/>
      </c>
    </row>
    <row r="151" ht="45" customHeight="1" s="58">
      <c r="A151" s="112" t="n">
        <v>143</v>
      </c>
      <c r="B151" s="113" t="inlineStr">
        <is>
          <t>Focus</t>
        </is>
      </c>
      <c r="C151" s="113" t="inlineStr">
        <is>
          <t>Content</t>
        </is>
      </c>
      <c r="D151" s="113" t="inlineStr">
        <is>
          <t>hover opening never steals focus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owner manual protocol</t>
        </is>
      </c>
      <c r="H151" s="116" t="inlineStr">
        <is>
          <t>covered</t>
        </is>
      </c>
      <c r="I151" s="113" t="inlineStr">
        <is>
          <t>Popover manual protocol Step 12 owner evidence and focused automated package regression.</t>
        </is>
      </c>
      <c r="J151" s="113" t="n"/>
      <c r="K151" s="117">
        <f>IF(AND(E151="yes",F151="yes",H151="covered"),1,IF(H151="partial",0.5,0))</f>
        <v/>
      </c>
    </row>
    <row r="152" ht="45" customHeight="1" s="58">
      <c r="A152" s="112" t="n">
        <v>144</v>
      </c>
      <c r="B152" s="113" t="inlineStr">
        <is>
          <t>Focus</t>
        </is>
      </c>
      <c r="C152" s="113" t="inlineStr">
        <is>
          <t>Content</t>
        </is>
      </c>
      <c r="D152" s="113" t="inlineStr">
        <is>
          <t>outside pointer dismissal preserves the outside destination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owner manual protocol</t>
        </is>
      </c>
      <c r="H152" s="116" t="inlineStr">
        <is>
          <t>covered</t>
        </is>
      </c>
      <c r="I152" s="113" t="inlineStr">
        <is>
          <t>Popover manual protocol Step 12 owner evidence and focused automated package regression.</t>
        </is>
      </c>
      <c r="J152" s="113" t="n"/>
      <c r="K152" s="117">
        <f>IF(AND(E152="yes",F152="yes",H152="covered"),1,IF(H152="partial",0.5,0))</f>
        <v/>
      </c>
    </row>
    <row r="153" ht="45" customHeight="1" s="58">
      <c r="A153" s="112" t="n">
        <v>145</v>
      </c>
      <c r="B153" s="113" t="inlineStr">
        <is>
          <t>Touch</t>
        </is>
      </c>
      <c r="C153" s="113" t="inlineStr">
        <is>
          <t>Content</t>
        </is>
      </c>
      <c r="D153" s="113" t="inlineStr">
        <is>
          <t>touch activation focuses Content without opening the first input or virtual keyboard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owner manual protocol</t>
        </is>
      </c>
      <c r="H153" s="116" t="inlineStr">
        <is>
          <t>covered</t>
        </is>
      </c>
      <c r="I153" s="113" t="inlineStr">
        <is>
          <t>Popover manual protocol Step 12 owner evidence and focused automated package regression.</t>
        </is>
      </c>
      <c r="J153" s="113" t="n"/>
      <c r="K153" s="117">
        <f>IF(AND(E153="yes",F153="yes",H153="covered"),1,IF(H153="partial",0.5,0))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Portal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Portal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Portal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Portal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Portal playground manual verification.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Portal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Portal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Portal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Portal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Portal</t>
        </is>
      </c>
      <c r="D15" s="106" t="inlineStr">
        <is>
          <t>Portals to `document.body` after mount by default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Portal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Portal</t>
        </is>
      </c>
      <c r="D16" s="106" t="inlineStr">
        <is>
          <t>Accepts a custom container element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Portal playground manual verification.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Portal</t>
        </is>
      </c>
      <c r="D17" s="106" t="inlineStr">
        <is>
          <t>Can be disabled to render children in place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Portal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Portal</t>
        </is>
      </c>
      <c r="D18" s="106" t="inlineStr">
        <is>
          <t>Returns `null` before a client-side target exists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Portal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Portal</t>
        </is>
      </c>
      <c r="D19" s="106" t="inlineStr">
        <is>
          <t>shows Portal behavioral state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Portal playground manual verification.</t>
        </is>
      </c>
      <c r="J19" s="106" t="n"/>
      <c r="K19" s="107">
        <f>IF(H19="covered",1,IF(H19="partial",0.5,0))</f>
        <v/>
      </c>
    </row>
    <row r="20" ht="30" customHeight="1" s="58">
      <c r="A20" s="105" t="n">
        <v>12</v>
      </c>
      <c r="B20" s="106" t="inlineStr">
        <is>
          <t>Anatomy</t>
        </is>
      </c>
      <c r="C20" s="106" t="inlineStr">
        <is>
          <t>Portal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Portal playground manual verification.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Portal</t>
        </is>
      </c>
      <c r="D21" s="106" t="inlineStr">
        <is>
          <t>documents that Portal renders no DOM tag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Portal playground manual verification.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Portal</t>
        </is>
      </c>
      <c r="D22" s="106" t="inlineStr">
        <is>
          <t>documents that Portal exposes no data-slot because it renders no wrapper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Portal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Portaled child</t>
        </is>
      </c>
      <c r="D23" s="106" t="inlineStr">
        <is>
          <t>child content can carry native props/data-prop-check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Portal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Portaled child</t>
        </is>
      </c>
      <c r="D24" s="106" t="inlineStr">
        <is>
          <t>child content can be inspected when mounted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Portal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Portaled child</t>
        </is>
      </c>
      <c r="D25" s="106" t="inlineStr">
        <is>
          <t>child inspection is separate from Portal behavior anatomy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Portal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Portaled child</t>
        </is>
      </c>
      <c r="D26" s="106" t="inlineStr">
        <is>
          <t>child default tag is visible in 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Portal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Portaled child</t>
        </is>
      </c>
      <c r="D27" s="106" t="inlineStr">
        <is>
          <t>child data attributes are visible in Inspector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Portal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Portaled child</t>
        </is>
      </c>
      <c r="D28" s="106" t="inlineStr">
        <is>
          <t>child non-Atom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Portal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Portal</t>
        </is>
      </c>
      <c r="D29" s="106" t="inlineStr">
        <is>
          <t>default container is document.body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Portal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Portal</t>
        </is>
      </c>
      <c r="D30" s="106" t="inlineStr">
        <is>
          <t>custom container receives children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Portal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Portal</t>
        </is>
      </c>
      <c r="D31" s="106" t="inlineStr">
        <is>
          <t>disabled portal renders in place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Portal playground manual verification.</t>
        </is>
      </c>
      <c r="J31" s="106" t="n"/>
      <c r="K31" s="107">
        <f>IF(H31="covered",1,IF(H31="partial",0.5,0))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Pressable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Pressable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Pressable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Pressable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Pressable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Pressable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Pressable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Pressable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Pressable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Pressable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Pressable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Feature</t>
        </is>
      </c>
      <c r="C15" s="121" t="inlineStr">
        <is>
          <t>Pressable</t>
        </is>
      </c>
      <c r="D15" s="121" t="inlineStr">
        <is>
          <t>Renders a native `&lt;button&gt;`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Pressable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Pressable</t>
        </is>
      </c>
      <c r="D16" s="121" t="inlineStr">
        <is>
          <t>Adds button semantics for custom non-native renders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Pressable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Feature</t>
        </is>
      </c>
      <c r="C17" s="121" t="inlineStr">
        <is>
          <t>Pressable</t>
        </is>
      </c>
      <c r="D17" s="121" t="inlineStr">
        <is>
          <t>Supports pointer press state through `data-pressed`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Pressable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Feature</t>
        </is>
      </c>
      <c r="C18" s="121" t="inlineStr">
        <is>
          <t>Pressable</t>
        </is>
      </c>
      <c r="D18" s="121" t="inlineStr">
        <is>
          <t>Supports disabled state and press cancellation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Pressable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Pressable</t>
        </is>
      </c>
      <c r="D19" s="121" t="inlineStr">
        <is>
          <t>Fires `onPress` for pointer and keyboard activation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Pressable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Pressable</t>
        </is>
      </c>
      <c r="D20" s="121" t="inlineStr">
        <is>
          <t>Handles Space activation on keyup for ARIA button parity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Pressable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Anatomy</t>
        </is>
      </c>
      <c r="C21" s="121" t="inlineStr">
        <is>
          <t>Root</t>
        </is>
      </c>
      <c r="D21" s="121" t="inlineStr">
        <is>
          <t>renders correct part when expected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Pressable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Anatomy</t>
        </is>
      </c>
      <c r="C22" s="121" t="inlineStr">
        <is>
          <t>Root</t>
        </is>
      </c>
      <c r="D22" s="121" t="inlineStr">
        <is>
          <t>appears in documented order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Pressable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Identity</t>
        </is>
      </c>
      <c r="C23" s="121" t="inlineStr">
        <is>
          <t>Root</t>
        </is>
      </c>
      <c r="D23" s="121" t="inlineStr">
        <is>
          <t>default tag is visible in Anatomy/Inspector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Pressable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Identity</t>
        </is>
      </c>
      <c r="C24" s="121" t="inlineStr">
        <is>
          <t>Root</t>
        </is>
      </c>
      <c r="D24" s="121" t="inlineStr">
        <is>
          <t>data-slot is present and correct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Pressable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Props</t>
        </is>
      </c>
      <c r="C25" s="121" t="inlineStr">
        <is>
          <t>Root</t>
        </is>
      </c>
      <c r="D25" s="121" t="inlineStr">
        <is>
          <t>non-Atom native props pass through with data-prop-check marker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Pressable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Refs</t>
        </is>
      </c>
      <c r="C26" s="121" t="inlineStr">
        <is>
          <t>Root</t>
        </is>
      </c>
      <c r="D26" s="121" t="inlineStr">
        <is>
          <t>consumer ref receives the rendered element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Pressable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disabled prop behavior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Pressable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onPress prop behavior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Pressable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onClick prop behavior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Pressable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onKeyDown prop behavior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Pressable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State</t>
        </is>
      </c>
      <c r="C31" s="121" t="inlineStr">
        <is>
          <t>Root</t>
        </is>
      </c>
      <c r="D31" s="121" t="inlineStr">
        <is>
          <t>onKeyUp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Pressable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State</t>
        </is>
      </c>
      <c r="C32" s="121" t="inlineStr">
        <is>
          <t>Root</t>
        </is>
      </c>
      <c r="D32" s="121" t="inlineStr">
        <is>
          <t>onPointerDown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Pressable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State</t>
        </is>
      </c>
      <c r="C33" s="121" t="inlineStr">
        <is>
          <t>Root</t>
        </is>
      </c>
      <c r="D33" s="121" t="inlineStr">
        <is>
          <t>onPointerUp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Pressable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State</t>
        </is>
      </c>
      <c r="C34" s="121" t="inlineStr">
        <is>
          <t>Root</t>
        </is>
      </c>
      <c r="D34" s="121" t="inlineStr">
        <is>
          <t>onPointerCancel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Pressable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State</t>
        </is>
      </c>
      <c r="C35" s="121" t="inlineStr">
        <is>
          <t>Root</t>
        </is>
      </c>
      <c r="D35" s="121" t="inlineStr">
        <is>
          <t>onLostPointerCapture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Pressable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Composition</t>
        </is>
      </c>
      <c r="C36" s="121" t="inlineStr">
        <is>
          <t>Root</t>
        </is>
      </c>
      <c r="D36" s="121" t="inlineStr">
        <is>
          <t>asChild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Pressable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render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Pressable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[data-slot]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Pressable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State</t>
        </is>
      </c>
      <c r="C39" s="121" t="inlineStr">
        <is>
          <t>Root</t>
        </is>
      </c>
      <c r="D39" s="121" t="inlineStr">
        <is>
          <t>[data-disabled]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Pressable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Public API</t>
        </is>
      </c>
      <c r="C40" s="121" t="inlineStr">
        <is>
          <t>Root</t>
        </is>
      </c>
      <c r="D40" s="121" t="inlineStr">
        <is>
          <t>[data-pressed]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Pressable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ARIA</t>
        </is>
      </c>
      <c r="C41" s="121" t="inlineStr">
        <is>
          <t>Live DOM</t>
        </is>
      </c>
      <c r="D41" s="121" t="inlineStr">
        <is>
          <t>aria-disabled is present at the correct time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Pressable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Data</t>
        </is>
      </c>
      <c r="C42" s="121" t="inlineStr">
        <is>
          <t>Live DOM</t>
        </is>
      </c>
      <c r="D42" s="121" t="inlineStr">
        <is>
          <t>data-disabled is present at the correct time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Pressable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Data</t>
        </is>
      </c>
      <c r="C43" s="121" t="inlineStr">
        <is>
          <t>Live DOM</t>
        </is>
      </c>
      <c r="D43" s="121" t="inlineStr">
        <is>
          <t>data-pressed is present at the correct time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Pressable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Data</t>
        </is>
      </c>
      <c r="C44" s="121" t="inlineStr">
        <is>
          <t>Live DOM</t>
        </is>
      </c>
      <c r="D44" s="121" t="inlineStr">
        <is>
          <t>data-slot is present at the correct time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Pressable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Composition</t>
        </is>
      </c>
      <c r="C45" s="121" t="inlineStr">
        <is>
          <t>Pressable</t>
        </is>
      </c>
      <c r="D45" s="121" t="inlineStr">
        <is>
          <t>asChild preserves child content without double nesting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Pressable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Composition</t>
        </is>
      </c>
      <c r="C46" s="121" t="inlineStr">
        <is>
          <t>Pressable</t>
        </is>
      </c>
      <c r="D46" s="121" t="inlineStr">
        <is>
          <t>asChild merges Atom props and consumer props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Pressable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Composition</t>
        </is>
      </c>
      <c r="C47" s="121" t="inlineStr">
        <is>
          <t>Pressable</t>
        </is>
      </c>
      <c r="D47" s="121" t="inlineStr">
        <is>
          <t>asChild lets preventDefault block Atom behavior where supported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Pressable playground manual verification.</t>
        </is>
      </c>
      <c r="J47" s="121" t="n"/>
      <c r="K47" s="122">
        <f>IF(AND(E47="yes",F47="yes",H47="covered"),1,IF(H47="partial",0.5,0))</f>
        <v/>
      </c>
    </row>
    <row r="48" ht="60" customHeight="1" s="58">
      <c r="A48" s="120" t="n">
        <v>40</v>
      </c>
      <c r="B48" s="121" t="inlineStr">
        <is>
          <t>Composition</t>
        </is>
      </c>
      <c r="C48" s="121" t="inlineStr">
        <is>
          <t>Pressable</t>
        </is>
      </c>
      <c r="D48" s="121" t="inlineStr">
        <is>
          <t>render prop renders custom element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Pressable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Composition</t>
        </is>
      </c>
      <c r="C49" s="121" t="inlineStr">
        <is>
          <t>Pressable</t>
        </is>
      </c>
      <c r="D49" s="121" t="inlineStr">
        <is>
          <t>render prop preserves refs and behavior props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Pressable playground manual verification.</t>
        </is>
      </c>
      <c r="J49" s="121" t="n"/>
      <c r="K49" s="122">
        <f>IF(AND(E49="yes",F49="yes",H49="covered"),1,IF(H49="partial",0.5,0))</f>
        <v/>
      </c>
    </row>
    <row r="50" ht="60" customHeight="1" s="58">
      <c r="A50" s="120" t="n">
        <v>42</v>
      </c>
      <c r="B50" s="121" t="inlineStr">
        <is>
          <t>Pointer</t>
        </is>
      </c>
      <c r="C50" s="121" t="inlineStr">
        <is>
          <t>Root composition</t>
        </is>
      </c>
      <c r="D50" s="121" t="inlineStr">
        <is>
          <t>custom render/asChild pointer down then release outside does not fire press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Pressable playground manual verification.</t>
        </is>
      </c>
      <c r="J50" s="121" t="n"/>
      <c r="K50" s="122">
        <f>IF(AND(E50="yes",F50="yes",H50="covered"),1,IF(H50="partial",0.5,0))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Progress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IFERROR(SUM(K9:K67)/COUNTA(A9:A67),0)</f>
        <v/>
      </c>
      <c r="C4" s="86" t="inlineStr">
        <is>
          <t>Covered</t>
        </is>
      </c>
      <c r="D4" s="98">
        <f>COUNTIF(H9:H67,"covered")</f>
        <v/>
      </c>
      <c r="E4" s="86" t="inlineStr">
        <is>
          <t>Partial</t>
        </is>
      </c>
      <c r="F4" s="98">
        <f>COUNTIF(H9:H67,"partial")</f>
        <v/>
      </c>
      <c r="G4" s="86" t="inlineStr">
        <is>
          <t>Missing</t>
        </is>
      </c>
      <c r="H4" s="98">
        <f>COUNTIF(H9:H67,"missing")</f>
        <v/>
      </c>
      <c r="I4" s="86" t="inlineStr">
        <is>
          <t>Untested</t>
        </is>
      </c>
      <c r="J4" s="98">
        <f>COUNTIF(F9:F67,"no")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Progress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Progress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Progress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Progress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Progress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Progress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Progress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Progress playground manual pass.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Progress</t>
        </is>
      </c>
      <c r="D15" s="113" t="inlineStr">
        <is>
          <t>Implements `role="progressbar"`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Progress playground manual pass.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Progress</t>
        </is>
      </c>
      <c r="D16" s="113" t="inlineStr">
        <is>
          <t>Supports determinate values and indeterminate progress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Progress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Progress</t>
        </is>
      </c>
      <c r="D17" s="113" t="inlineStr">
        <is>
          <t>Normalizes invalid `min`/`max` ranges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Progress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Progress</t>
        </is>
      </c>
      <c r="D18" s="113" t="inlineStr">
        <is>
          <t>Exposes progress state, value, min, max, and percent through data attributes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Progress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Progress</t>
        </is>
      </c>
      <c r="D19" s="113" t="inlineStr">
        <is>
          <t>Supports custom assistive value text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Progress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Progress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Progress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Progress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Progress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Progress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Progress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Progress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Progress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Progress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min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Progress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max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Progress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Accessibility</t>
        </is>
      </c>
      <c r="C31" s="113" t="inlineStr">
        <is>
          <t>Root</t>
        </is>
      </c>
      <c r="D31" s="113" t="inlineStr">
        <is>
          <t>aria-valuetext prop behavior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Progress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getValueLabel prop behavior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Progress playground manual pass.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Progress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Progress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[data-min] prop behavior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Progress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[data-max] prop behavior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Progress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[data-value]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Progress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[data-percent]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Progress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Indicator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Progress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Indicator</t>
        </is>
      </c>
      <c r="D40" s="113" t="inlineStr">
        <is>
          <t>appears in documented order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Progress playground manual pass.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Indicator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Progress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Indicator</t>
        </is>
      </c>
      <c r="D42" s="113" t="inlineStr">
        <is>
          <t>data-slot is present and correct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Progress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Indicator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Progress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Indicator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Progress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Indicator</t>
        </is>
      </c>
      <c r="D45" s="113" t="inlineStr">
        <is>
          <t>asChild prop behavior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Progress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Indicator</t>
        </is>
      </c>
      <c r="D46" s="113" t="inlineStr">
        <is>
          <t>render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Progress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Indicator</t>
        </is>
      </c>
      <c r="D47" s="113" t="inlineStr">
        <is>
          <t>[data-slot]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Progress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Indicator</t>
        </is>
      </c>
      <c r="D48" s="113" t="inlineStr">
        <is>
          <t>[data-state]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Progress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Indicator</t>
        </is>
      </c>
      <c r="D49" s="113" t="inlineStr">
        <is>
          <t>[data-min]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Progress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[data-max] prop behavior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Progress playground manual pass.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Indicator</t>
        </is>
      </c>
      <c r="D51" s="113" t="inlineStr">
        <is>
          <t>[data-value] prop behavior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Progress playground manual pass.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Indicator</t>
        </is>
      </c>
      <c r="D52" s="113" t="inlineStr">
        <is>
          <t>[data-percent] prop behavior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Progress playground manual pass.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aria-hidden is present at the correct time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Progress playground manual pass.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aria-valuemax is present at the correct time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Progress playground manual pass.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aria-valuemin is present at the correct time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Progress playground manual pass.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aria-valuenow is present at the correct time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Progress playground manual pass.</t>
        </is>
      </c>
      <c r="J56" s="113" t="n"/>
      <c r="K56" s="117">
        <f>IF(AND(E56="yes",F56="yes",H56="covered"),1,IF(AND(E56="yes",H56="partial"),0.5,0))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aria-valuetext is present at the correct time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Progress playground manual pass.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data-max is present at the correct time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Progress playground manual pass.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data-min is present at the correct time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Progress playground manual pass.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data-percent is present at the correct time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Progress playground manual pass.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Progress playground manual pass.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data-state is present at the correct time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Progress playground manual pass.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data-value is present at the correct time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Progress playground manual pass.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Progress</t>
        </is>
      </c>
      <c r="D64" s="113" t="inlineStr">
        <is>
          <t>asChild preserves child content without double nesting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Progress playground manual pass.</t>
        </is>
      </c>
      <c r="J64" s="113" t="n"/>
      <c r="K64" s="117">
        <f>IF(AND(E64="yes",F64="yes",H64="covered"),1,IF(AND(E64="yes",H64="partial"),0.5,0))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Progress</t>
        </is>
      </c>
      <c r="D65" s="113" t="inlineStr">
        <is>
          <t>asChild merges Atom props and consumer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Progress playground manual pass.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Progress</t>
        </is>
      </c>
      <c r="D66" s="113" t="inlineStr">
        <is>
          <t>render prop renders custom element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Progress playground manual pass.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Progress</t>
        </is>
      </c>
      <c r="D67" s="113" t="inlineStr">
        <is>
          <t>render prop preserves refs and behavior props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</t>
        </is>
      </c>
      <c r="H67" s="108" t="inlineStr">
        <is>
          <t>covered</t>
        </is>
      </c>
      <c r="I67" s="113" t="inlineStr">
        <is>
          <t>Progress playground manual pass.</t>
        </is>
      </c>
      <c r="J67" s="113" t="n"/>
      <c r="K67" s="117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K10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RadioGroup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RadioGroup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RadioGroup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RadioGroup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RadioGroup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RadioGroup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RadioGroup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RadioGroup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RadioGroup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RadioGroup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RadioGroup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RadioGroup</t>
        </is>
      </c>
      <c r="D15" s="113" t="inlineStr">
        <is>
          <t>Manages one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RadioGroup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RadioGroup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RadioGroup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RadioGroup</t>
        </is>
      </c>
      <c r="D17" s="113" t="inlineStr">
        <is>
          <t>Supports horizontal and vertical keyboard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RadioGroup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RadioGroup</t>
        </is>
      </c>
      <c r="D18" s="113" t="inlineStr">
        <is>
          <t>Supports optional looping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RadioGroup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RadioGroup</t>
        </is>
      </c>
      <c r="D19" s="113" t="inlineStr">
        <is>
          <t>Renders hidden native radio inputs for form submission when named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RadioGroup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RadioGroup</t>
        </is>
      </c>
      <c r="D20" s="113" t="inlineStr">
        <is>
          <t>Keeps only the selected or first enabled item in the tab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RadioGroup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RadioGroup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RadioGroup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RadioGroup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RadioGroup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RadioGroup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Package tests/source review verify consumer ref plumbing for RadioGroup; playground manual pass can inspect rendered DOM behavior.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RadioGroup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RadioGroup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RadioGroup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name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RadioGroup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form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RadioGroup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RadioGroup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RadioGroup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RadioGroup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RadioGroup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RadioGroup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RadioGroup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RadioGroup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RadioGroup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[data-orientation]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RadioGroup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RadioGroup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RadioGroup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RadioGroup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RadioGroup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RadioGroup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RadioGroup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RadioGroup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Package tests/source review verify consumer ref plumbing for RadioGroup;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RadioGroup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RadioGroup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Accessibility</t>
        </is>
      </c>
      <c r="C52" s="113" t="inlineStr">
        <is>
          <t>Item</t>
        </is>
      </c>
      <c r="D52" s="113" t="inlineStr">
        <is>
          <t>aria-label prop behavior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automated tests pass; manual pending</t>
        </is>
      </c>
      <c r="H52" s="116" t="inlineStr">
        <is>
          <t>untested</t>
        </is>
      </c>
      <c r="I52" s="113" t="inlineStr">
        <is>
          <t>Form &gt; Control: Foundation plus the component scenario and automated package tests.</t>
        </is>
      </c>
      <c r="J52" s="113" t="inlineStr">
        <is>
          <t>Run the form-foundation manual protocol.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Item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RadioGroup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Item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RadioGroup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RadioGroup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Item</t>
        </is>
      </c>
      <c r="D56" s="113" t="inlineStr">
        <is>
          <t>[data-value]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RadioGroup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RadioGroup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Item</t>
        </is>
      </c>
      <c r="D58" s="113" t="inlineStr">
        <is>
          <t>[data-disabled]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RadioGroup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Item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RadioGroup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RadioGroup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aria-disabled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RadioGroup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aria-hidden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RadioGroup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RadioGroup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aria-label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RadioGroup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aria-orientation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RadioGroup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ARIA</t>
        </is>
      </c>
      <c r="C66" s="113" t="inlineStr">
        <is>
          <t>Live DOM</t>
        </is>
      </c>
      <c r="D66" s="113" t="inlineStr">
        <is>
          <t>aria-required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RadioGroup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data-disabled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RadioGroup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data-invalid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RadioGroup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data-orientation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RadioGroup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RadioGroup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RadioGroup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data-value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RadioGroup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Composition</t>
        </is>
      </c>
      <c r="C73" s="113" t="inlineStr">
        <is>
          <t>RadioGroup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RadioGroup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RadioGroup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RadioGroup playground scenario.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Composition</t>
        </is>
      </c>
      <c r="C75" s="113" t="inlineStr">
        <is>
          <t>RadioGroup</t>
        </is>
      </c>
      <c r="D75" s="113" t="inlineStr">
        <is>
          <t>asChild lets preventDefault block Atom behavior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RadioGroup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RadioGroup</t>
        </is>
      </c>
      <c r="D76" s="113" t="inlineStr">
        <is>
          <t>render prop renders custom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RadioGroup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RadioGroup</t>
        </is>
      </c>
      <c r="D77" s="113" t="inlineStr">
        <is>
          <t>render prop preserves refs and behavior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Composition controls/package tests cover render/asChild behavior for RadioGroup; ready for manual verification where exposed.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controlled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RadioGroup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uncontrolled default state path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RadioGroup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state change callback fires once with correct value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RadioGroup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RadioGroup</t>
        </is>
      </c>
      <c r="D81" s="113" t="inlineStr">
        <is>
          <t>disabled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RadioGroup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State</t>
        </is>
      </c>
      <c r="C82" s="113" t="inlineStr">
        <is>
          <t>RadioGroup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RadioGroup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RadioGroup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RadioGroup playground scenario.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Forms</t>
        </is>
      </c>
      <c r="C84" s="113" t="inlineStr">
        <is>
          <t>RadioGroup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RadioGroup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Forms</t>
        </is>
      </c>
      <c r="C85" s="113" t="inlineStr">
        <is>
          <t>RadioGroup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RadioGroup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Keyboard</t>
        </is>
      </c>
      <c r="C86" s="113" t="inlineStr">
        <is>
          <t>RadioGroup</t>
        </is>
      </c>
      <c r="D86" s="113" t="inlineStr">
        <is>
          <t>End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RadioGroup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Keyboard</t>
        </is>
      </c>
      <c r="C87" s="113" t="inlineStr">
        <is>
          <t>RadioGroup</t>
        </is>
      </c>
      <c r="D87" s="113" t="inlineStr">
        <is>
          <t>Home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RadioGroup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Keyboard</t>
        </is>
      </c>
      <c r="C88" s="113" t="inlineStr">
        <is>
          <t>RadioGroup</t>
        </is>
      </c>
      <c r="D88" s="113" t="inlineStr">
        <is>
          <t>Arrow key navigation follows documented orientation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RadioGroup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Keyboard</t>
        </is>
      </c>
      <c r="C89" s="113" t="inlineStr">
        <is>
          <t>RadioGroup</t>
        </is>
      </c>
      <c r="D89" s="113" t="inlineStr">
        <is>
          <t>Home and End navigation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RadioGroup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Keyboard</t>
        </is>
      </c>
      <c r="C90" s="113" t="inlineStr">
        <is>
          <t>RadioGroup</t>
        </is>
      </c>
      <c r="D90" s="113" t="inlineStr">
        <is>
          <t>disabled items are skipped or exposed according to pattern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RadioGroup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Focus</t>
        </is>
      </c>
      <c r="C91" s="113" t="inlineStr">
        <is>
          <t>RadioGroup</t>
        </is>
      </c>
      <c r="D91" s="113" t="inlineStr">
        <is>
          <t>roving focus or active descendant state is visible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RadioGroup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Direction</t>
        </is>
      </c>
      <c r="C92" s="113" t="inlineStr">
        <is>
          <t>Root</t>
        </is>
      </c>
      <c r="D92" s="113" t="inlineStr">
        <is>
          <t>reads Direction.Provider context for horizontal keyboard navigation</t>
        </is>
      </c>
      <c r="E92" s="119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9" t="inlineStr">
        <is>
          <t>covered</t>
        </is>
      </c>
      <c r="I92" s="113" t="inlineStr">
        <is>
          <t>RadioGroup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Direction</t>
        </is>
      </c>
      <c r="C93" s="113" t="inlineStr">
        <is>
          <t>Root</t>
        </is>
      </c>
      <c r="D93" s="113" t="inlineStr">
        <is>
          <t>RTL mirrors horizontal ArrowLeft and ArrowRight navigation</t>
        </is>
      </c>
      <c r="E93" s="119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9" t="inlineStr">
        <is>
          <t>covered</t>
        </is>
      </c>
      <c r="I93" s="113" t="inlineStr">
        <is>
          <t>RadioGroup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Playground</t>
        </is>
      </c>
      <c r="C94" s="113" t="inlineStr">
        <is>
          <t>Direction controls</t>
        </is>
      </c>
      <c r="D94" s="113" t="inlineStr">
        <is>
          <t>scenario exposes provider direction controls</t>
        </is>
      </c>
      <c r="E94" s="119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9" t="inlineStr">
        <is>
          <t>covered</t>
        </is>
      </c>
      <c r="I94" s="113" t="inlineStr">
        <is>
          <t>RadioGroup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Forms</t>
        </is>
      </c>
      <c r="C95" s="113" t="inlineStr">
        <is>
          <t>Root</t>
        </is>
      </c>
      <c r="D95" s="113" t="inlineStr">
        <is>
          <t>Fieldset inheritance, single-value FormData, required validity, and uncontrolled reset</t>
        </is>
      </c>
      <c r="E95" s="119" t="inlineStr">
        <is>
          <t>yes</t>
        </is>
      </c>
      <c r="F95" s="115" t="inlineStr">
        <is>
          <t>no</t>
        </is>
      </c>
      <c r="G95" s="112" t="inlineStr">
        <is>
          <t>automated tests pass; manual pending</t>
        </is>
      </c>
      <c r="H95" s="119" t="inlineStr">
        <is>
          <t>untested</t>
        </is>
      </c>
      <c r="I95" s="113" t="inlineStr">
        <is>
          <t>Form &gt; Control: Foundation plus the component scenario and automated package tests.</t>
        </is>
      </c>
      <c r="J95" s="113" t="inlineStr">
        <is>
          <t>Run and review the form-foundation manual protocol.</t>
        </is>
      </c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Validation</t>
        </is>
      </c>
      <c r="C96" s="113" t="inlineStr">
        <is>
          <t>Root/Radios</t>
        </is>
      </c>
      <c r="D96" s="113" t="inlineStr">
        <is>
          <t>missing required selection produces one group error and first-enabled-radio focus</t>
        </is>
      </c>
      <c r="E96" s="119" t="inlineStr">
        <is>
          <t>yes</t>
        </is>
      </c>
      <c r="F96" s="115" t="inlineStr">
        <is>
          <t>no</t>
        </is>
      </c>
      <c r="G96" s="112" t="inlineStr">
        <is>
          <t>automated tests pass; manual pending</t>
        </is>
      </c>
      <c r="H96" s="119" t="inlineStr">
        <is>
          <t>untested</t>
        </is>
      </c>
      <c r="I96" s="113" t="inlineStr">
        <is>
          <t>Form &gt; Control: Foundation and automated Atom validation tests.</t>
        </is>
      </c>
      <c r="J96" s="113" t="inlineStr">
        <is>
          <t>Run and review the updated form-foundation validation steps.</t>
        </is>
      </c>
      <c r="K96" s="117">
        <f>IF(AND(E96="yes",F96="yes",H96="covered"),1,IF(H96="partial",0.5,0))</f>
        <v/>
      </c>
    </row>
    <row r="97" ht="30" customHeight="1" s="58">
      <c r="A97" s="112" t="n">
        <v>88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read-only state preserves focus and locks pointer selection</t>
        </is>
      </c>
      <c r="E97" s="119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9" t="inlineStr">
        <is>
          <t>covered</t>
        </is>
      </c>
      <c r="I97" s="113" t="inlineStr">
        <is>
          <t>Atom RadioGroup read-only playground control, Anatomy, Source, and package tests.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89</v>
      </c>
      <c r="B98" s="113" t="inlineStr">
        <is>
          <t>ARIA</t>
        </is>
      </c>
      <c r="C98" s="113" t="inlineStr">
        <is>
          <t>Root</t>
        </is>
      </c>
      <c r="D98" s="113" t="inlineStr">
        <is>
          <t>aria-readonly is present only while the group is read-only</t>
        </is>
      </c>
      <c r="E98" s="119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9" t="inlineStr">
        <is>
          <t>covered</t>
        </is>
      </c>
      <c r="I98" s="113" t="inlineStr">
        <is>
          <t>Live RadioGroup root ARIA inspection and package render test.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90</v>
      </c>
      <c r="B99" s="113" t="inlineStr">
        <is>
          <t>Data</t>
        </is>
      </c>
      <c r="C99" s="113" t="inlineStr">
        <is>
          <t>Root/Radio</t>
        </is>
      </c>
      <c r="D99" s="113" t="inlineStr">
        <is>
          <t>data-readonly is exposed on Root and every Radio while locked</t>
        </is>
      </c>
      <c r="E99" s="119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9" t="inlineStr">
        <is>
          <t>covered</t>
        </is>
      </c>
      <c r="I99" s="113" t="inlineStr">
        <is>
          <t>Live RadioGroup Data inspection and package render test.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91</v>
      </c>
      <c r="B100" s="113" t="inlineStr">
        <is>
          <t>Keyboard</t>
        </is>
      </c>
      <c r="C100" s="113" t="inlineStr">
        <is>
          <t>RadioGroup</t>
        </is>
      </c>
      <c r="D100" s="113" t="inlineStr">
        <is>
          <t>read-only arrows, Home, and End move focus without changing value</t>
        </is>
      </c>
      <c r="E100" s="119" t="inlineStr">
        <is>
          <t>yes</t>
        </is>
      </c>
      <c r="F100" s="115" t="inlineStr">
        <is>
          <t>yes</t>
        </is>
      </c>
      <c r="G100" s="112" t="inlineStr">
        <is>
          <t>ready for manual test</t>
        </is>
      </c>
      <c r="H100" s="119" t="inlineStr">
        <is>
          <t>covered</t>
        </is>
      </c>
      <c r="I100" s="113" t="inlineStr">
        <is>
          <t>RadioGroup source lock assertions plus live read-only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92</v>
      </c>
      <c r="B101" s="113" t="inlineStr">
        <is>
          <t>Forms</t>
        </is>
      </c>
      <c r="C101" s="113" t="inlineStr">
        <is>
          <t>RadioGroup</t>
        </is>
      </c>
      <c r="D101" s="113" t="inlineStr">
        <is>
          <t>read-only selected value remains submitted and enabled</t>
        </is>
      </c>
      <c r="E101" s="119" t="inlineStr">
        <is>
          <t>yes</t>
        </is>
      </c>
      <c r="F101" s="115" t="inlineStr">
        <is>
          <t>yes</t>
        </is>
      </c>
      <c r="G101" s="112" t="inlineStr">
        <is>
          <t>ready for manual test</t>
        </is>
      </c>
      <c r="H101" s="119" t="inlineStr">
        <is>
          <t>covered</t>
        </is>
      </c>
      <c r="I101" s="113" t="inlineStr">
        <is>
          <t>Generated hidden radio inspection and package render test.</t>
        </is>
      </c>
      <c r="J101" s="113" t="n"/>
      <c r="K101" s="117">
        <f>IF(AND(E101="yes",F101="yes",H101="covered"),1,IF(H101="partial",0.5,0))</f>
        <v/>
      </c>
    </row>
    <row r="102">
      <c r="A102" s="112" t="n">
        <v>93</v>
      </c>
      <c r="B102" s="113" t="inlineStr">
        <is>
          <t>Direction</t>
        </is>
      </c>
      <c r="C102" s="113" t="inlineStr">
        <is>
          <t>Root</t>
        </is>
      </c>
      <c r="D102" s="113" t="inlineStr">
        <is>
          <t>explicit dir overrides Direction context and mirrors horizontal arrow navigation</t>
        </is>
      </c>
      <c r="E102" s="119" t="inlineStr">
        <is>
          <t>yes</t>
        </is>
      </c>
      <c r="F102" s="115" t="inlineStr">
        <is>
          <t>yes</t>
        </is>
      </c>
      <c r="G102" s="112" t="inlineStr">
        <is>
          <t>ready for manual test</t>
        </is>
      </c>
      <c r="H102" s="119" t="inlineStr">
        <is>
          <t>covered</t>
        </is>
      </c>
      <c r="I102" s="113" t="inlineStr">
        <is>
          <t>RadioGroup direction control now renders explicit Root dir; package runtime test proves RTL ArrowLeft selection.</t>
        </is>
      </c>
      <c r="J102" s="113" t="n"/>
      <c r="K102" s="117">
        <f>IF(AND(E102="yes",F102="yes",H102="covered"),1,IF(H102="partial",0.5,0))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Rating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</t>
        </is>
      </c>
      <c r="H9" s="116" t="inlineStr">
        <is>
          <t>covered</t>
        </is>
      </c>
      <c r="I9" s="113" t="inlineStr">
        <is>
          <t>Rating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</t>
        </is>
      </c>
      <c r="H10" s="116" t="inlineStr">
        <is>
          <t>covered</t>
        </is>
      </c>
      <c r="I10" s="113" t="inlineStr">
        <is>
          <t>Rating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Rating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Rating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Rating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Rating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Rating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Rating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Rating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Rating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Rating</t>
        </is>
      </c>
      <c r="D15" s="113" t="inlineStr">
        <is>
          <t>Implements rating as a WAI-ARIA slider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Rating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Rating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Rating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Rating</t>
        </is>
      </c>
      <c r="D17" s="113" t="inlineStr">
        <is>
          <t>Supports fractional values with configurable `step`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Rating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Rating</t>
        </is>
      </c>
      <c r="D18" s="113" t="inlineStr">
        <is>
          <t>Supports pointer selection, drag updates, keyboard control, and click-to-clear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Rating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Rating</t>
        </is>
      </c>
      <c r="D19" s="113" t="inlineStr">
        <is>
          <t>Supports disabled, read-only, invalid, and required states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Rating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Rating</t>
        </is>
      </c>
      <c r="D20" s="113" t="inlineStr">
        <is>
          <t>Renders an optional hidden input for form submission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Rating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Rating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Rating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Rating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Rating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Rating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Rating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Rating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Rating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Rating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Rating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Rating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Rating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Rating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Rating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Rating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Rating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required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Rating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Rating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formValue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Rating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form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Rating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aria-valuetext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Rating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getValueLabel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Rating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tabIndex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Rating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Rating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Rating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Rating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[data-value]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Rating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[data-min]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</t>
        </is>
      </c>
      <c r="H48" s="116" t="inlineStr">
        <is>
          <t>covered</t>
        </is>
      </c>
      <c r="I48" s="113" t="inlineStr">
        <is>
          <t>Rating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[data-max]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</t>
        </is>
      </c>
      <c r="H49" s="116" t="inlineStr">
        <is>
          <t>covered</t>
        </is>
      </c>
      <c r="I49" s="113" t="inlineStr">
        <is>
          <t>Rating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[data-step]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</t>
        </is>
      </c>
      <c r="H50" s="116" t="inlineStr">
        <is>
          <t>covered</t>
        </is>
      </c>
      <c r="I50" s="113" t="inlineStr">
        <is>
          <t>Rating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Root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</t>
        </is>
      </c>
      <c r="H51" s="116" t="inlineStr">
        <is>
          <t>covered</t>
        </is>
      </c>
      <c r="I51" s="113" t="inlineStr">
        <is>
          <t>Rating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Root</t>
        </is>
      </c>
      <c r="D52" s="113" t="inlineStr">
        <is>
          <t>[data-readonly]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</t>
        </is>
      </c>
      <c r="H52" s="116" t="inlineStr">
        <is>
          <t>covered</t>
        </is>
      </c>
      <c r="I52" s="113" t="inlineStr">
        <is>
          <t>Rating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Root</t>
        </is>
      </c>
      <c r="D53" s="113" t="inlineStr">
        <is>
          <t>[data-invalid]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</t>
        </is>
      </c>
      <c r="H53" s="116" t="inlineStr">
        <is>
          <t>covered</t>
        </is>
      </c>
      <c r="I53" s="113" t="inlineStr">
        <is>
          <t>Rating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</t>
        </is>
      </c>
      <c r="H54" s="116" t="inlineStr">
        <is>
          <t>covered</t>
        </is>
      </c>
      <c r="I54" s="113" t="inlineStr">
        <is>
          <t>Rating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Item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</t>
        </is>
      </c>
      <c r="H55" s="116" t="inlineStr">
        <is>
          <t>covered</t>
        </is>
      </c>
      <c r="I55" s="113" t="inlineStr">
        <is>
          <t>Rating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Item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</t>
        </is>
      </c>
      <c r="H56" s="116" t="inlineStr">
        <is>
          <t>covered</t>
        </is>
      </c>
      <c r="I56" s="113" t="inlineStr">
        <is>
          <t>Rating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Item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</t>
        </is>
      </c>
      <c r="H57" s="116" t="inlineStr">
        <is>
          <t>covered</t>
        </is>
      </c>
      <c r="I57" s="113" t="inlineStr">
        <is>
          <t>Rating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Item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</t>
        </is>
      </c>
      <c r="H58" s="116" t="inlineStr">
        <is>
          <t>covered</t>
        </is>
      </c>
      <c r="I58" s="113" t="inlineStr">
        <is>
          <t>Rating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Item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</t>
        </is>
      </c>
      <c r="H59" s="116" t="inlineStr">
        <is>
          <t>covered</t>
        </is>
      </c>
      <c r="I59" s="113" t="inlineStr">
        <is>
          <t>Rating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Item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</t>
        </is>
      </c>
      <c r="H60" s="116" t="inlineStr">
        <is>
          <t>covered</t>
        </is>
      </c>
      <c r="I60" s="113" t="inlineStr">
        <is>
          <t>Rating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value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</t>
        </is>
      </c>
      <c r="H61" s="116" t="inlineStr">
        <is>
          <t>covered</t>
        </is>
      </c>
      <c r="I61" s="113" t="inlineStr">
        <is>
          <t>Rating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Item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</t>
        </is>
      </c>
      <c r="H62" s="116" t="inlineStr">
        <is>
          <t>covered</t>
        </is>
      </c>
      <c r="I62" s="113" t="inlineStr">
        <is>
          <t>Rating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</t>
        </is>
      </c>
      <c r="H63" s="116" t="inlineStr">
        <is>
          <t>covered</t>
        </is>
      </c>
      <c r="I63" s="113" t="inlineStr">
        <is>
          <t>Rating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</t>
        </is>
      </c>
      <c r="H64" s="116" t="inlineStr">
        <is>
          <t>covered</t>
        </is>
      </c>
      <c r="I64" s="113" t="inlineStr">
        <is>
          <t>Rating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</t>
        </is>
      </c>
      <c r="H65" s="116" t="inlineStr">
        <is>
          <t>covered</t>
        </is>
      </c>
      <c r="I65" s="113" t="inlineStr">
        <is>
          <t>Rating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[data-fill]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</t>
        </is>
      </c>
      <c r="H66" s="116" t="inlineStr">
        <is>
          <t>covered</t>
        </is>
      </c>
      <c r="I66" s="113" t="inlineStr">
        <is>
          <t>Rating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[data-state]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</t>
        </is>
      </c>
      <c r="H67" s="116" t="inlineStr">
        <is>
          <t>covered</t>
        </is>
      </c>
      <c r="I67" s="113" t="inlineStr">
        <is>
          <t>Rating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Item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</t>
        </is>
      </c>
      <c r="H68" s="116" t="inlineStr">
        <is>
          <t>covered</t>
        </is>
      </c>
      <c r="I68" s="113" t="inlineStr">
        <is>
          <t>Rating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</t>
        </is>
      </c>
      <c r="H69" s="116" t="inlineStr">
        <is>
          <t>covered</t>
        </is>
      </c>
      <c r="I69" s="113" t="inlineStr">
        <is>
          <t>Rating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Item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</t>
        </is>
      </c>
      <c r="H70" s="116" t="inlineStr">
        <is>
          <t>covered</t>
        </is>
      </c>
      <c r="I70" s="113" t="inlineStr">
        <is>
          <t>Rating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</t>
        </is>
      </c>
      <c r="H71" s="116" t="inlineStr">
        <is>
          <t>covered</t>
        </is>
      </c>
      <c r="I71" s="113" t="inlineStr">
        <is>
          <t>Rating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aria-hidden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</t>
        </is>
      </c>
      <c r="H72" s="116" t="inlineStr">
        <is>
          <t>covered</t>
        </is>
      </c>
      <c r="I72" s="113" t="inlineStr">
        <is>
          <t>Rating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aria-invalid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</t>
        </is>
      </c>
      <c r="H73" s="116" t="inlineStr">
        <is>
          <t>covered</t>
        </is>
      </c>
      <c r="I73" s="113" t="inlineStr">
        <is>
          <t>Rating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</t>
        </is>
      </c>
      <c r="H74" s="116" t="inlineStr">
        <is>
          <t>covered</t>
        </is>
      </c>
      <c r="I74" s="113" t="inlineStr">
        <is>
          <t>Rating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</t>
        </is>
      </c>
      <c r="H75" s="116" t="inlineStr">
        <is>
          <t>covered</t>
        </is>
      </c>
      <c r="I75" s="113" t="inlineStr">
        <is>
          <t>Rating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aria-valuemax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</t>
        </is>
      </c>
      <c r="H76" s="116" t="inlineStr">
        <is>
          <t>covered</t>
        </is>
      </c>
      <c r="I76" s="113" t="inlineStr">
        <is>
          <t>Rating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aria-valuemin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</t>
        </is>
      </c>
      <c r="H77" s="116" t="inlineStr">
        <is>
          <t>covered</t>
        </is>
      </c>
      <c r="I77" s="113" t="inlineStr">
        <is>
          <t>Rating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aria-valuenow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</t>
        </is>
      </c>
      <c r="H78" s="116" t="inlineStr">
        <is>
          <t>covered</t>
        </is>
      </c>
      <c r="I78" s="113" t="inlineStr">
        <is>
          <t>Rating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aria-valuetext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</t>
        </is>
      </c>
      <c r="H79" s="116" t="inlineStr">
        <is>
          <t>covered</t>
        </is>
      </c>
      <c r="I79" s="113" t="inlineStr">
        <is>
          <t>Rating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</t>
        </is>
      </c>
      <c r="H80" s="116" t="inlineStr">
        <is>
          <t>covered</t>
        </is>
      </c>
      <c r="I80" s="113" t="inlineStr">
        <is>
          <t>Rating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</t>
        </is>
      </c>
      <c r="H81" s="116" t="inlineStr">
        <is>
          <t>covered</t>
        </is>
      </c>
      <c r="I81" s="113" t="inlineStr">
        <is>
          <t>Rating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data-invalid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</t>
        </is>
      </c>
      <c r="H82" s="116" t="inlineStr">
        <is>
          <t>covered</t>
        </is>
      </c>
      <c r="I82" s="113" t="inlineStr">
        <is>
          <t>Rating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data-max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</t>
        </is>
      </c>
      <c r="H83" s="116" t="inlineStr">
        <is>
          <t>covered</t>
        </is>
      </c>
      <c r="I83" s="113" t="inlineStr">
        <is>
          <t>Rating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data-min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</t>
        </is>
      </c>
      <c r="H84" s="116" t="inlineStr">
        <is>
          <t>covered</t>
        </is>
      </c>
      <c r="I84" s="113" t="inlineStr">
        <is>
          <t>Rating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data-readonly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</t>
        </is>
      </c>
      <c r="H85" s="116" t="inlineStr">
        <is>
          <t>covered</t>
        </is>
      </c>
      <c r="I85" s="113" t="inlineStr">
        <is>
          <t>Rating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data-required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</t>
        </is>
      </c>
      <c r="H86" s="116" t="inlineStr">
        <is>
          <t>covered</t>
        </is>
      </c>
      <c r="I86" s="113" t="inlineStr">
        <is>
          <t>Rating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</t>
        </is>
      </c>
      <c r="H87" s="116" t="inlineStr">
        <is>
          <t>covered</t>
        </is>
      </c>
      <c r="I87" s="113" t="inlineStr">
        <is>
          <t>Rating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data-state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</t>
        </is>
      </c>
      <c r="H88" s="116" t="inlineStr">
        <is>
          <t>covered</t>
        </is>
      </c>
      <c r="I88" s="113" t="inlineStr">
        <is>
          <t>Rating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data-step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</t>
        </is>
      </c>
      <c r="H89" s="116" t="inlineStr">
        <is>
          <t>covered</t>
        </is>
      </c>
      <c r="I89" s="113" t="inlineStr">
        <is>
          <t>Rating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data-value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</t>
        </is>
      </c>
      <c r="H90" s="116" t="inlineStr">
        <is>
          <t>covered</t>
        </is>
      </c>
      <c r="I90" s="113" t="inlineStr">
        <is>
          <t>Rating playground scenario.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Composition</t>
        </is>
      </c>
      <c r="C91" s="113" t="inlineStr">
        <is>
          <t>Rating</t>
        </is>
      </c>
      <c r="D91" s="113" t="inlineStr">
        <is>
          <t>asChild preserves child content without double nesting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</t>
        </is>
      </c>
      <c r="H91" s="116" t="inlineStr">
        <is>
          <t>covered</t>
        </is>
      </c>
      <c r="I91" s="113" t="inlineStr">
        <is>
          <t>Rating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Rating</t>
        </is>
      </c>
      <c r="D92" s="113" t="inlineStr">
        <is>
          <t>asChild merges Atom props and consumer props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</t>
        </is>
      </c>
      <c r="H92" s="116" t="inlineStr">
        <is>
          <t>covered</t>
        </is>
      </c>
      <c r="I92" s="113" t="inlineStr">
        <is>
          <t>Rating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Rating</t>
        </is>
      </c>
      <c r="D93" s="113" t="inlineStr">
        <is>
          <t>asChild lets preventDefault block Atom behavior where supported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</t>
        </is>
      </c>
      <c r="H93" s="116" t="inlineStr">
        <is>
          <t>covered</t>
        </is>
      </c>
      <c r="I93" s="113" t="inlineStr">
        <is>
          <t>Rating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Rating</t>
        </is>
      </c>
      <c r="D94" s="113" t="inlineStr">
        <is>
          <t>render prop renders custom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</t>
        </is>
      </c>
      <c r="H94" s="116" t="inlineStr">
        <is>
          <t>covered</t>
        </is>
      </c>
      <c r="I94" s="113" t="inlineStr">
        <is>
          <t>Rating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Rating</t>
        </is>
      </c>
      <c r="D95" s="113" t="inlineStr">
        <is>
          <t>render prop preserves refs and behavior props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</t>
        </is>
      </c>
      <c r="H95" s="116" t="inlineStr">
        <is>
          <t>covered</t>
        </is>
      </c>
      <c r="I95" s="113" t="inlineStr">
        <is>
          <t>Rating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controlled state path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</t>
        </is>
      </c>
      <c r="H96" s="116" t="inlineStr">
        <is>
          <t>covered</t>
        </is>
      </c>
      <c r="I96" s="113" t="inlineStr">
        <is>
          <t>Rating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uncontrolled default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</t>
        </is>
      </c>
      <c r="H97" s="116" t="inlineStr">
        <is>
          <t>covered</t>
        </is>
      </c>
      <c r="I97" s="113" t="inlineStr">
        <is>
          <t>Rating playground scenario.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state change callback fires once with correct value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</t>
        </is>
      </c>
      <c r="H98" s="116" t="inlineStr">
        <is>
          <t>covered</t>
        </is>
      </c>
      <c r="I98" s="113" t="inlineStr">
        <is>
          <t>Rating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Rating</t>
        </is>
      </c>
      <c r="D99" s="113" t="inlineStr">
        <is>
          <t>disabled state blocks or exposes behavior correctly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</t>
        </is>
      </c>
      <c r="H99" s="116" t="inlineStr">
        <is>
          <t>covered</t>
        </is>
      </c>
      <c r="I99" s="113" t="inlineStr">
        <is>
          <t>Rating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Rating</t>
        </is>
      </c>
      <c r="D100" s="113" t="inlineStr">
        <is>
          <t>readonly/readOnly state blocks or exposes behavior correctly where supported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</t>
        </is>
      </c>
      <c r="H100" s="116" t="inlineStr">
        <is>
          <t>covered</t>
        </is>
      </c>
      <c r="I100" s="113" t="inlineStr">
        <is>
          <t>Rating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Rating</t>
        </is>
      </c>
      <c r="D101" s="113" t="inlineStr">
        <is>
          <t>required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</t>
        </is>
      </c>
      <c r="H101" s="116" t="inlineStr">
        <is>
          <t>covered</t>
        </is>
      </c>
      <c r="I101" s="113" t="inlineStr">
        <is>
          <t>Rating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Rating</t>
        </is>
      </c>
      <c r="D102" s="113" t="inlineStr">
        <is>
          <t>invalid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</t>
        </is>
      </c>
      <c r="H102" s="116" t="inlineStr">
        <is>
          <t>covered</t>
        </is>
      </c>
      <c r="I102" s="113" t="inlineStr">
        <is>
          <t>Rating playground scenario.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Forms</t>
        </is>
      </c>
      <c r="C103" s="113" t="inlineStr">
        <is>
          <t>Rating</t>
        </is>
      </c>
      <c r="D103" s="113" t="inlineStr">
        <is>
          <t>form value participates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</t>
        </is>
      </c>
      <c r="H103" s="116" t="inlineStr">
        <is>
          <t>covered</t>
        </is>
      </c>
      <c r="I103" s="113" t="inlineStr">
        <is>
          <t>Rating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Forms</t>
        </is>
      </c>
      <c r="C104" s="113" t="inlineStr">
        <is>
          <t>Rating</t>
        </is>
      </c>
      <c r="D104" s="113" t="inlineStr">
        <is>
          <t>hidden input mirrors value/checked/disabled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</t>
        </is>
      </c>
      <c r="H104" s="116" t="inlineStr">
        <is>
          <t>covered</t>
        </is>
      </c>
      <c r="I104" s="113" t="inlineStr">
        <is>
          <t>Rating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Direction</t>
        </is>
      </c>
      <c r="C105" s="113" t="inlineStr">
        <is>
          <t>Root</t>
        </is>
      </c>
      <c r="D105" s="113" t="inlineStr">
        <is>
          <t>reads Direction.Provider context for horizontal rating movement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</t>
        </is>
      </c>
      <c r="H105" s="119" t="inlineStr">
        <is>
          <t>covered</t>
        </is>
      </c>
      <c r="I105" s="113" t="inlineStr">
        <is>
          <t>Rating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RTL mirrors ArrowLeft and ArrowRight rating changes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</t>
        </is>
      </c>
      <c r="H106" s="119" t="inlineStr">
        <is>
          <t>covered</t>
        </is>
      </c>
      <c r="I106" s="113" t="inlineStr">
        <is>
          <t>Rating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Playground</t>
        </is>
      </c>
      <c r="C107" s="113" t="inlineStr">
        <is>
          <t>Direction controls</t>
        </is>
      </c>
      <c r="D107" s="113" t="inlineStr">
        <is>
          <t>scenario exposes provider direction controls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</t>
        </is>
      </c>
      <c r="H107" s="119" t="inlineStr">
        <is>
          <t>covered</t>
        </is>
      </c>
      <c r="I107" s="113" t="inlineStr">
        <is>
          <t>Rating playground scenario.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Forms</t>
        </is>
      </c>
      <c r="C108" s="113" t="inlineStr">
        <is>
          <t>Root</t>
        </is>
      </c>
      <c r="D108" s="113" t="inlineStr">
        <is>
          <t>Field inheritance, required non-empty value, submission, and uncontrolled reset</t>
        </is>
      </c>
      <c r="E108" s="119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9" t="inlineStr">
        <is>
          <t>untested</t>
        </is>
      </c>
      <c r="I108" s="113" t="inlineStr">
        <is>
          <t>Form &gt; Control: Foundation plus the component scenario and automated package tests.</t>
        </is>
      </c>
      <c r="J108" s="113" t="inlineStr">
        <is>
          <t>Run and review the form-foundation manual protocol.</t>
        </is>
      </c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Validation</t>
        </is>
      </c>
      <c r="C109" s="113" t="inlineStr">
        <is>
          <t>Root</t>
        </is>
      </c>
      <c r="D109" s="113" t="inlineStr">
        <is>
          <t>required-proxy invalidity mirrors to Rating, Field, Error, and Form</t>
        </is>
      </c>
      <c r="E109" s="119" t="inlineStr">
        <is>
          <t>yes</t>
        </is>
      </c>
      <c r="F109" s="115" t="inlineStr">
        <is>
          <t>no</t>
        </is>
      </c>
      <c r="G109" s="112" t="inlineStr">
        <is>
          <t>automated tests pass; manual pending</t>
        </is>
      </c>
      <c r="H109" s="119" t="inlineStr">
        <is>
          <t>untested</t>
        </is>
      </c>
      <c r="I109" s="113" t="inlineStr">
        <is>
          <t>Form &gt; Control: Foundation and automated Atom validation tests.</t>
        </is>
      </c>
      <c r="J109" s="113" t="inlineStr">
        <is>
          <t>Run and review the updated form-foundation validation steps.</t>
        </is>
      </c>
      <c r="K109" s="117">
        <f>IF(AND(E109="yes",F109="yes",H109="covered"),1,IF(H109="partial",0.5,0))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ScrollArea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IFERROR(SUM(K9:K54)/COUNTA(A9:A54),0)</f>
        <v/>
      </c>
      <c r="C4" s="86" t="inlineStr">
        <is>
          <t>Covered</t>
        </is>
      </c>
      <c r="D4" s="98">
        <f>COUNTIF(H9:H54,"covered")</f>
        <v/>
      </c>
      <c r="E4" s="86" t="inlineStr">
        <is>
          <t>Partial</t>
        </is>
      </c>
      <c r="F4" s="98">
        <f>COUNTIF(H9:H54,"partial")</f>
        <v/>
      </c>
      <c r="G4" s="86" t="inlineStr">
        <is>
          <t>Missing</t>
        </is>
      </c>
      <c r="H4" s="98">
        <f>COUNTIF(H9:H54,"missing")</f>
        <v/>
      </c>
      <c r="I4" s="86" t="inlineStr">
        <is>
          <t>Untested</t>
        </is>
      </c>
      <c r="J4" s="98">
        <f>COUNTIF(F9:F54,"no")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ScrollArea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ScrollArea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ScrollArea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ScrollArea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ScrollArea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ScrollArea playground scenario.</t>
        </is>
      </c>
      <c r="J13" s="106" t="n"/>
      <c r="K13" s="107">
        <f>IF(H13="covered",1,IF(H13="partial",0.5,0))</f>
        <v/>
      </c>
    </row>
    <row r="14" ht="30" customHeight="1" s="58">
      <c r="A14" s="105" t="n">
        <v>6</v>
      </c>
      <c r="B14" s="106" t="inlineStr">
        <is>
          <t>Playground</t>
        </is>
      </c>
      <c r="C14" s="106" t="inlineStr">
        <is>
          <t>ScrollArea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ScrollArea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ScrollArea</t>
        </is>
      </c>
      <c r="D15" s="106" t="inlineStr">
        <is>
          <t>Provides root and viewport parts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ScrollArea playground scenario.</t>
        </is>
      </c>
      <c r="J15" s="106" t="n"/>
      <c r="K15" s="107">
        <f>IF(H15="covered",1,IF(H15="partial",0.5,0))</f>
        <v/>
      </c>
    </row>
    <row r="16" ht="30" customHeight="1" s="58">
      <c r="A16" s="105" t="n">
        <v>8</v>
      </c>
      <c r="B16" s="106" t="inlineStr">
        <is>
          <t>Feature</t>
        </is>
      </c>
      <c r="C16" s="106" t="inlineStr">
        <is>
          <t>ScrollArea</t>
        </is>
      </c>
      <c r="D16" s="106" t="inlineStr">
        <is>
          <t>Supports vertical, horizontal, and both-axis orientation metadata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ScrollArea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ScrollArea</t>
        </is>
      </c>
      <c r="D17" s="106" t="inlineStr">
        <is>
          <t>Keeps the viewport out of the Tab order by default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ScrollArea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ScrollArea</t>
        </is>
      </c>
      <c r="D18" s="106" t="inlineStr">
        <is>
          <t>Adds `role="region"` only when the viewport has an accessible name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ScrollArea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ScrollArea</t>
        </is>
      </c>
      <c r="D19" s="106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ScrollArea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ScrollArea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ScrollArea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ScrollArea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ScrollArea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ScrollArea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ScrollArea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ScrollArea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ScrollArea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orientation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ScrollArea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ScrollArea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Public API</t>
        </is>
      </c>
      <c r="C30" s="106" t="inlineStr">
        <is>
          <t>Root</t>
        </is>
      </c>
      <c r="D30" s="106" t="inlineStr">
        <is>
          <t>[data-orientation]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ScrollArea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Anatomy</t>
        </is>
      </c>
      <c r="C31" s="106" t="inlineStr">
        <is>
          <t>Viewport</t>
        </is>
      </c>
      <c r="D31" s="106" t="inlineStr">
        <is>
          <t>renders correct part when expected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ScrollArea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Viewport</t>
        </is>
      </c>
      <c r="D32" s="106" t="inlineStr">
        <is>
          <t>appears in documented order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ScrollArea playground scenario.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Identity</t>
        </is>
      </c>
      <c r="C33" s="106" t="inlineStr">
        <is>
          <t>Viewport</t>
        </is>
      </c>
      <c r="D33" s="106" t="inlineStr">
        <is>
          <t>default tag is visible in Anatomy/Inspector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ScrollArea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Identity</t>
        </is>
      </c>
      <c r="C34" s="106" t="inlineStr">
        <is>
          <t>Viewport</t>
        </is>
      </c>
      <c r="D34" s="106" t="inlineStr">
        <is>
          <t>data-slot is present and correct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ScrollArea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Props</t>
        </is>
      </c>
      <c r="C35" s="106" t="inlineStr">
        <is>
          <t>Viewport</t>
        </is>
      </c>
      <c r="D35" s="106" t="inlineStr">
        <is>
          <t>non-Atom native props pass through with data-prop-check marker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ScrollArea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Refs</t>
        </is>
      </c>
      <c r="C36" s="106" t="inlineStr">
        <is>
          <t>Viewport</t>
        </is>
      </c>
      <c r="D36" s="106" t="inlineStr">
        <is>
          <t>consumer ref receives the rendered element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ScrollArea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Composition</t>
        </is>
      </c>
      <c r="C37" s="106" t="inlineStr">
        <is>
          <t>Viewport</t>
        </is>
      </c>
      <c r="D37" s="106" t="inlineStr">
        <is>
          <t>asChild prop behavior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ScrollArea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Viewport</t>
        </is>
      </c>
      <c r="D38" s="106" t="inlineStr">
        <is>
          <t>render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ScrollArea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Public API</t>
        </is>
      </c>
      <c r="C39" s="106" t="inlineStr">
        <is>
          <t>Viewport</t>
        </is>
      </c>
      <c r="D39" s="106" t="inlineStr">
        <is>
          <t>focusable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ScrollArea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Viewport</t>
        </is>
      </c>
      <c r="D40" s="106" t="inlineStr">
        <is>
          <t>role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ScrollArea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Accessibility</t>
        </is>
      </c>
      <c r="C41" s="106" t="inlineStr">
        <is>
          <t>Viewport</t>
        </is>
      </c>
      <c r="D41" s="106" t="inlineStr">
        <is>
          <t>aria-label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ScrollArea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Accessibility</t>
        </is>
      </c>
      <c r="C42" s="106" t="inlineStr">
        <is>
          <t>Viewport</t>
        </is>
      </c>
      <c r="D42" s="106" t="inlineStr">
        <is>
          <t>aria-labelledby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ScrollArea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Public API</t>
        </is>
      </c>
      <c r="C43" s="106" t="inlineStr">
        <is>
          <t>Viewport</t>
        </is>
      </c>
      <c r="D43" s="106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ScrollArea playground scenario.</t>
        </is>
      </c>
      <c r="J43" s="106" t="n"/>
      <c r="K43" s="107">
        <f>IF(H43="covered",1,IF(H43="partial",0.5,0))</f>
        <v/>
      </c>
    </row>
    <row r="44" ht="15" customHeight="1" s="58">
      <c r="A44" s="105" t="n">
        <v>36</v>
      </c>
      <c r="B44" s="106" t="inlineStr">
        <is>
          <t>Public API</t>
        </is>
      </c>
      <c r="C44" s="106" t="inlineStr">
        <is>
          <t>Viewport</t>
        </is>
      </c>
      <c r="D44" s="106" t="inlineStr">
        <is>
          <t>[data-orientation]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ScrollArea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ARIA</t>
        </is>
      </c>
      <c r="C45" s="106" t="inlineStr">
        <is>
          <t>Live DOM</t>
        </is>
      </c>
      <c r="D45" s="106" t="inlineStr">
        <is>
          <t>aria-label is present at the correct time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ScrollArea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ARIA</t>
        </is>
      </c>
      <c r="C46" s="106" t="inlineStr">
        <is>
          <t>Live DOM</t>
        </is>
      </c>
      <c r="D46" s="106" t="inlineStr">
        <is>
          <t>aria-labelledby is present at the correct time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ScrollArea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Data</t>
        </is>
      </c>
      <c r="C47" s="106" t="inlineStr">
        <is>
          <t>Live DOM</t>
        </is>
      </c>
      <c r="D47" s="106" t="inlineStr">
        <is>
          <t>data-orientation is present at the correct time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ScrollArea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Data</t>
        </is>
      </c>
      <c r="C48" s="106" t="inlineStr">
        <is>
          <t>Live DOM</t>
        </is>
      </c>
      <c r="D48" s="106" t="inlineStr">
        <is>
          <t>data-slot is present at the correct time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ScrollArea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Composition</t>
        </is>
      </c>
      <c r="C49" s="106" t="inlineStr">
        <is>
          <t>ScrollArea</t>
        </is>
      </c>
      <c r="D49" s="106" t="inlineStr">
        <is>
          <t>asChild preserves child content without double nesting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ScrollArea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Composition</t>
        </is>
      </c>
      <c r="C50" s="106" t="inlineStr">
        <is>
          <t>ScrollArea</t>
        </is>
      </c>
      <c r="D50" s="106" t="inlineStr">
        <is>
          <t>asChild merges Atom props and consumer props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ScrollArea playground scenario.</t>
        </is>
      </c>
      <c r="J50" s="106" t="n"/>
      <c r="K50" s="107">
        <f>IF(H50="covered",1,IF(H50="partial",0.5,0))</f>
        <v/>
      </c>
    </row>
    <row r="51" ht="15" customHeight="1" s="58">
      <c r="A51" s="105" t="n">
        <v>43</v>
      </c>
      <c r="B51" s="106" t="inlineStr">
        <is>
          <t>Composition</t>
        </is>
      </c>
      <c r="C51" s="106" t="inlineStr">
        <is>
          <t>ScrollArea</t>
        </is>
      </c>
      <c r="D51" s="106" t="inlineStr">
        <is>
          <t>render prop renders custom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ScrollArea playground scenario.</t>
        </is>
      </c>
      <c r="J51" s="106" t="n"/>
      <c r="K51" s="107">
        <f>IF(H51="covered",1,IF(H51="partial",0.5,0))</f>
        <v/>
      </c>
    </row>
    <row r="52" ht="15" customHeight="1" s="58">
      <c r="A52" s="105" t="n">
        <v>44</v>
      </c>
      <c r="B52" s="106" t="inlineStr">
        <is>
          <t>Composition</t>
        </is>
      </c>
      <c r="C52" s="106" t="inlineStr">
        <is>
          <t>ScrollArea</t>
        </is>
      </c>
      <c r="D52" s="106" t="inlineStr">
        <is>
          <t>render prop preserves refs and behavior props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ScrollArea playground scenario.</t>
        </is>
      </c>
      <c r="J52" s="106" t="n"/>
      <c r="K52" s="107">
        <f>IF(H52="covered",1,IF(H52="partial",0.5,0))</f>
        <v/>
      </c>
    </row>
    <row r="53" ht="15" customHeight="1" s="58">
      <c r="A53" s="105" t="n">
        <v>45</v>
      </c>
      <c r="B53" s="106" t="inlineStr">
        <is>
          <t>Utility</t>
        </is>
      </c>
      <c r="C53" s="106" t="inlineStr">
        <is>
          <t>ScrollArea</t>
        </is>
      </c>
      <c r="D53" s="106" t="inlineStr">
        <is>
          <t>viewport keyboard accessibility is opt-in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ScrollArea playground scenario.</t>
        </is>
      </c>
      <c r="J53" s="106" t="n"/>
      <c r="K53" s="107">
        <f>IF(H53="covered",1,IF(H53="partial",0.5,0))</f>
        <v/>
      </c>
    </row>
    <row r="54" ht="15" customHeight="1" s="58">
      <c r="A54" s="105" t="n">
        <v>46</v>
      </c>
      <c r="B54" s="106" t="inlineStr">
        <is>
          <t>Utility</t>
        </is>
      </c>
      <c r="C54" s="106" t="inlineStr">
        <is>
          <t>ScrollArea</t>
        </is>
      </c>
      <c r="D54" s="106" t="inlineStr">
        <is>
          <t>named region semantics only appear when labelled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ScrollArea playground scenario.</t>
        </is>
      </c>
      <c r="J54" s="106" t="n"/>
      <c r="K54" s="107">
        <f>IF(H54="covered",1,IF(H54="partial",0.5,0))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K1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Select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Select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controlled value prop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Select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defaultValue / uncontrolled value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Select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onValueChange callback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Select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controlled open prop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Select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defaultOpen / uncontrolled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Select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onOpenChange callback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Select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disabled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Select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required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Select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name hidden input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Select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form hidden input association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Select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Field integration</t>
        </is>
      </c>
      <c r="C21" s="121" t="inlineStr">
        <is>
          <t>Root</t>
        </is>
      </c>
      <c r="D21" s="121" t="inlineStr">
        <is>
          <t>inherits Field disabled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Select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Field integration</t>
        </is>
      </c>
      <c r="C22" s="121" t="inlineStr">
        <is>
          <t>Root</t>
        </is>
      </c>
      <c r="D22" s="121" t="inlineStr">
        <is>
          <t>inherits Field required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Select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Field integration</t>
        </is>
      </c>
      <c r="C23" s="121" t="inlineStr">
        <is>
          <t>Trigger</t>
        </is>
      </c>
      <c r="D23" s="121" t="inlineStr">
        <is>
          <t>inherits Field control id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Select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Field integration</t>
        </is>
      </c>
      <c r="C24" s="121" t="inlineStr">
        <is>
          <t>Trigger</t>
        </is>
      </c>
      <c r="D24" s="121" t="inlineStr">
        <is>
          <t>inherits Field label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Select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Field integration</t>
        </is>
      </c>
      <c r="C25" s="121" t="inlineStr">
        <is>
          <t>Trigger</t>
        </is>
      </c>
      <c r="D25" s="121" t="inlineStr">
        <is>
          <t>inherits Field description/error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Select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Field integration</t>
        </is>
      </c>
      <c r="C26" s="121" t="inlineStr">
        <is>
          <t>Trigger</t>
        </is>
      </c>
      <c r="D26" s="121" t="inlineStr">
        <is>
          <t>explicit aria-label overrides Field label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Select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click opens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Select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click closes when open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Select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disabled blocks click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Select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role combobox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Select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type button on default render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Select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aria-expanded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Select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aria-haspopup listbox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Select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aria-controls matches listbox id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Select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aria-activedescendant tracks highlight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Select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aria-disabled / disabled attribute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Select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data-state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Select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data-disabled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Select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Trigger</t>
        </is>
      </c>
      <c r="D39" s="121" t="inlineStr">
        <is>
          <t>asChild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Select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Trigger</t>
        </is>
      </c>
      <c r="D40" s="121" t="inlineStr">
        <is>
          <t>render prop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Select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Trigger</t>
        </is>
      </c>
      <c r="D41" s="121" t="inlineStr">
        <is>
          <t>merged onClick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Select playground manual verification.</t>
        </is>
      </c>
      <c r="J41" s="121" t="n"/>
      <c r="K41" s="122">
        <f>IF(AND(E41="yes",F41="yes",H41="covered"),1,IF(H41="partial",0.5,0))</f>
        <v/>
      </c>
    </row>
    <row r="42" ht="45" customHeight="1" s="58">
      <c r="A42" s="120" t="n">
        <v>34</v>
      </c>
      <c r="B42" s="121" t="inlineStr">
        <is>
          <t>Composition</t>
        </is>
      </c>
      <c r="C42" s="121" t="inlineStr">
        <is>
          <t>Trigger</t>
        </is>
      </c>
      <c r="D42" s="121" t="inlineStr">
        <is>
          <t>merged onKeyDown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Select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Refs</t>
        </is>
      </c>
      <c r="C43" s="121" t="inlineStr">
        <is>
          <t>Trigger</t>
        </is>
      </c>
      <c r="D43" s="121" t="inlineStr">
        <is>
          <t>ref receives element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Select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Props</t>
        </is>
      </c>
      <c r="C44" s="121" t="inlineStr">
        <is>
          <t>Trigger</t>
        </is>
      </c>
      <c r="D44" s="121" t="inlineStr">
        <is>
          <t>native button props passthrough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Select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Styling hooks</t>
        </is>
      </c>
      <c r="C45" s="121" t="inlineStr">
        <is>
          <t>Trigger</t>
        </is>
      </c>
      <c r="D45" s="121" t="inlineStr">
        <is>
          <t>className passthrough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Select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Styling hooks</t>
        </is>
      </c>
      <c r="C46" s="121" t="inlineStr">
        <is>
          <t>Trigger</t>
        </is>
      </c>
      <c r="D46" s="121" t="inlineStr">
        <is>
          <t>data-slot override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Select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Keyboard</t>
        </is>
      </c>
      <c r="C47" s="121" t="inlineStr">
        <is>
          <t>Trigger</t>
        </is>
      </c>
      <c r="D47" s="121" t="inlineStr">
        <is>
          <t>ArrowDown opens and highlights first enabled item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Select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Keyboard</t>
        </is>
      </c>
      <c r="C48" s="121" t="inlineStr">
        <is>
          <t>Trigger</t>
        </is>
      </c>
      <c r="D48" s="121" t="inlineStr">
        <is>
          <t>ArrowUp opens and highlights last enabled item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Select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Keyboard</t>
        </is>
      </c>
      <c r="C49" s="121" t="inlineStr">
        <is>
          <t>Trigger</t>
        </is>
      </c>
      <c r="D49" s="121" t="inlineStr">
        <is>
          <t>ArrowDown moves to next enabled item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Select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Keyboard</t>
        </is>
      </c>
      <c r="C50" s="121" t="inlineStr">
        <is>
          <t>Trigger</t>
        </is>
      </c>
      <c r="D50" s="121" t="inlineStr">
        <is>
          <t>ArrowUp moves to previous enabled 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Select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Keyboard</t>
        </is>
      </c>
      <c r="C51" s="121" t="inlineStr">
        <is>
          <t>Trigger</t>
        </is>
      </c>
      <c r="D51" s="121" t="inlineStr">
        <is>
          <t>arrow navigation wraps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Select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Keyboard</t>
        </is>
      </c>
      <c r="C52" s="121" t="inlineStr">
        <is>
          <t>Trigger</t>
        </is>
      </c>
      <c r="D52" s="121" t="inlineStr">
        <is>
          <t>disabled items are skipped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Select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Keyboard</t>
        </is>
      </c>
      <c r="C53" s="121" t="inlineStr">
        <is>
          <t>Trigger</t>
        </is>
      </c>
      <c r="D53" s="121" t="inlineStr">
        <is>
          <t>Enter opens when closed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Select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Keyboard</t>
        </is>
      </c>
      <c r="C54" s="121" t="inlineStr">
        <is>
          <t>Trigger</t>
        </is>
      </c>
      <c r="D54" s="121" t="inlineStr">
        <is>
          <t>Enter selects highlighted item when open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Select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Keyboard</t>
        </is>
      </c>
      <c r="C55" s="121" t="inlineStr">
        <is>
          <t>Trigger</t>
        </is>
      </c>
      <c r="D55" s="121" t="inlineStr">
        <is>
          <t>Space opens when closed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Select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Keyboard</t>
        </is>
      </c>
      <c r="C56" s="121" t="inlineStr">
        <is>
          <t>Trigger</t>
        </is>
      </c>
      <c r="D56" s="121" t="inlineStr">
        <is>
          <t>Space selects highlighted item when open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Select playground manual verification.</t>
        </is>
      </c>
      <c r="J56" s="121" t="n"/>
      <c r="K56" s="122">
        <f>IF(AND(E56="yes",F56="yes",H56="covered"),1,IF(H56="partial",0.5,0))</f>
        <v/>
      </c>
    </row>
    <row r="57" ht="15" customHeight="1" s="58">
      <c r="A57" s="120" t="n">
        <v>49</v>
      </c>
      <c r="B57" s="121" t="inlineStr">
        <is>
          <t>Keyboard</t>
        </is>
      </c>
      <c r="C57" s="121" t="inlineStr">
        <is>
          <t>Trigger</t>
        </is>
      </c>
      <c r="D57" s="121" t="inlineStr">
        <is>
          <t>Home highlights first enabled item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Select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Trigger</t>
        </is>
      </c>
      <c r="D58" s="121" t="inlineStr">
        <is>
          <t>End highlights last enabled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Select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Trigger</t>
        </is>
      </c>
      <c r="D59" s="121" t="inlineStr">
        <is>
          <t>Escape closes and keeps focus on trigger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Select playground manual verification.</t>
        </is>
      </c>
      <c r="J59" s="121" t="n"/>
      <c r="K59" s="122">
        <f>IF(AND(E59="yes",F59="yes",H59="covered"),1,IF(H59="partial",0.5,0))</f>
        <v/>
      </c>
    </row>
    <row r="60" ht="15" customHeight="1" s="58">
      <c r="A60" s="120" t="n">
        <v>52</v>
      </c>
      <c r="B60" s="121" t="inlineStr">
        <is>
          <t>Keyboard</t>
        </is>
      </c>
      <c r="C60" s="121" t="inlineStr">
        <is>
          <t>Trigger</t>
        </is>
      </c>
      <c r="D60" s="121" t="inlineStr">
        <is>
          <t>Tab closes and moves focus normally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Select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Keyboard</t>
        </is>
      </c>
      <c r="C61" s="121" t="inlineStr">
        <is>
          <t>Trigger</t>
        </is>
      </c>
      <c r="D61" s="121" t="inlineStr">
        <is>
          <t>typeahead opens and highlights match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Select playground manual verification.</t>
        </is>
      </c>
      <c r="J61" s="121" t="n"/>
      <c r="K61" s="122">
        <f>IF(AND(E61="yes",F61="yes",H61="covered"),1,IF(H61="partial",0.5,0))</f>
        <v/>
      </c>
    </row>
    <row r="62" ht="15" customHeight="1" s="58">
      <c r="A62" s="120" t="n">
        <v>54</v>
      </c>
      <c r="B62" s="121" t="inlineStr">
        <is>
          <t>Keyboard</t>
        </is>
      </c>
      <c r="C62" s="121" t="inlineStr">
        <is>
          <t>Trigger</t>
        </is>
      </c>
      <c r="D62" s="121" t="inlineStr">
        <is>
          <t>typeahead buffer resets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Select playground manual verification.</t>
        </is>
      </c>
      <c r="J62" s="121" t="n"/>
      <c r="K62" s="122">
        <f>IF(AND(E62="yes",F62="yes",H62="covered"),1,IF(H62="partial",0.5,0))</f>
        <v/>
      </c>
    </row>
    <row r="63" ht="15" customHeight="1" s="58">
      <c r="A63" s="120" t="n">
        <v>55</v>
      </c>
      <c r="B63" s="121" t="inlineStr">
        <is>
          <t>Public API</t>
        </is>
      </c>
      <c r="C63" s="121" t="inlineStr">
        <is>
          <t>Value</t>
        </is>
      </c>
      <c r="D63" s="121" t="inlineStr">
        <is>
          <t>renders selected item label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Select playground manual verification.</t>
        </is>
      </c>
      <c r="J63" s="121" t="n"/>
      <c r="K63" s="122">
        <f>IF(AND(E63="yes",F63="yes",H63="covered"),1,IF(H63="partial",0.5,0))</f>
        <v/>
      </c>
    </row>
    <row r="64" ht="15" customHeight="1" s="58">
      <c r="A64" s="120" t="n">
        <v>56</v>
      </c>
      <c r="B64" s="121" t="inlineStr">
        <is>
          <t>Public API</t>
        </is>
      </c>
      <c r="C64" s="121" t="inlineStr">
        <is>
          <t>Value</t>
        </is>
      </c>
      <c r="D64" s="121" t="inlineStr">
        <is>
          <t>renders placeholder with no value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Select playground manual verification.</t>
        </is>
      </c>
      <c r="J64" s="121" t="n"/>
      <c r="K64" s="122">
        <f>IF(AND(E64="yes",F64="yes",H64="covered"),1,IF(H64="partial",0.5,0))</f>
        <v/>
      </c>
    </row>
    <row r="65" ht="15" customHeight="1" s="58">
      <c r="A65" s="120" t="n">
        <v>57</v>
      </c>
      <c r="B65" s="121" t="inlineStr">
        <is>
          <t>Public API</t>
        </is>
      </c>
      <c r="C65" s="121" t="inlineStr">
        <is>
          <t>Value</t>
        </is>
      </c>
      <c r="D65" s="121" t="inlineStr">
        <is>
          <t>children override displayed text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Select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Value</t>
        </is>
      </c>
      <c r="D66" s="121" t="inlineStr">
        <is>
          <t>data-placeholder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Select playground manual verification.</t>
        </is>
      </c>
      <c r="J66" s="121" t="n"/>
      <c r="K66" s="122">
        <f>IF(AND(E66="yes",F66="yes",H66="covered"),1,IF(H66="partial",0.5,0))</f>
        <v/>
      </c>
    </row>
    <row r="67" ht="15" customHeight="1" s="58">
      <c r="A67" s="120" t="n">
        <v>59</v>
      </c>
      <c r="B67" s="121" t="inlineStr">
        <is>
          <t>Refs</t>
        </is>
      </c>
      <c r="C67" s="121" t="inlineStr">
        <is>
          <t>Value</t>
        </is>
      </c>
      <c r="D67" s="121" t="inlineStr">
        <is>
          <t>ref receives span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Select playground manual verification.</t>
        </is>
      </c>
      <c r="J67" s="121" t="n"/>
      <c r="K67" s="122">
        <f>IF(AND(E67="yes",F67="yes",H67="covered"),1,IF(H67="partial",0.5,0))</f>
        <v/>
      </c>
    </row>
    <row r="68" ht="15" customHeight="1" s="58">
      <c r="A68" s="120" t="n">
        <v>60</v>
      </c>
      <c r="B68" s="121" t="inlineStr">
        <is>
          <t>Props</t>
        </is>
      </c>
      <c r="C68" s="121" t="inlineStr">
        <is>
          <t>Value</t>
        </is>
      </c>
      <c r="D68" s="121" t="inlineStr">
        <is>
          <t>native span props passthrough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Select playground manual verification.</t>
        </is>
      </c>
      <c r="J68" s="121" t="n"/>
      <c r="K68" s="122">
        <f>IF(AND(E68="yes",F68="yes",H68="covered"),1,IF(H68="partial",0.5,0))</f>
        <v/>
      </c>
    </row>
    <row r="69" ht="15" customHeight="1" s="58">
      <c r="A69" s="120" t="n">
        <v>61</v>
      </c>
      <c r="B69" s="121" t="inlineStr">
        <is>
          <t>Styling hooks</t>
        </is>
      </c>
      <c r="C69" s="121" t="inlineStr">
        <is>
          <t>Value</t>
        </is>
      </c>
      <c r="D69" s="121" t="inlineStr">
        <is>
          <t>data-slot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Select playground manual verification.</t>
        </is>
      </c>
      <c r="J69" s="121" t="n"/>
      <c r="K69" s="122">
        <f>IF(AND(E69="yes",F69="yes",H69="covered"),1,IF(H69="partial",0.5,0))</f>
        <v/>
      </c>
    </row>
    <row r="70" ht="15" customHeight="1" s="58">
      <c r="A70" s="120" t="n">
        <v>62</v>
      </c>
      <c r="B70" s="121" t="inlineStr">
        <is>
          <t>Public API</t>
        </is>
      </c>
      <c r="C70" s="121" t="inlineStr">
        <is>
          <t>Icon</t>
        </is>
      </c>
      <c r="D70" s="121" t="inlineStr">
        <is>
          <t>renders decorative icon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Select playground manual verification.</t>
        </is>
      </c>
      <c r="J70" s="121" t="n"/>
      <c r="K70" s="122">
        <f>IF(AND(E70="yes",F70="yes",H70="covered"),1,IF(H70="partial",0.5,0))</f>
        <v/>
      </c>
    </row>
    <row r="71" ht="45" customHeight="1" s="58">
      <c r="A71" s="120" t="n">
        <v>63</v>
      </c>
      <c r="B71" s="121" t="inlineStr">
        <is>
          <t>Accessibility</t>
        </is>
      </c>
      <c r="C71" s="121" t="inlineStr">
        <is>
          <t>Icon</t>
        </is>
      </c>
      <c r="D71" s="121" t="inlineStr">
        <is>
          <t>aria-hidden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Select playground manual verification.</t>
        </is>
      </c>
      <c r="J71" s="121" t="n"/>
      <c r="K71" s="122">
        <f>IF(AND(E71="yes",F71="yes",H71="covered"),1,IF(H71="partial",0.5,0))</f>
        <v/>
      </c>
    </row>
    <row r="72" ht="15" customHeight="1" s="58">
      <c r="A72" s="120" t="n">
        <v>64</v>
      </c>
      <c r="B72" s="121" t="inlineStr">
        <is>
          <t>Refs</t>
        </is>
      </c>
      <c r="C72" s="121" t="inlineStr">
        <is>
          <t>Icon</t>
        </is>
      </c>
      <c r="D72" s="121" t="inlineStr">
        <is>
          <t>ref receives span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Select playground manual verification.</t>
        </is>
      </c>
      <c r="J72" s="121" t="n"/>
      <c r="K72" s="122">
        <f>IF(AND(E72="yes",F72="yes",H72="covered"),1,IF(H72="partial",0.5,0))</f>
        <v/>
      </c>
    </row>
    <row r="73" ht="15" customHeight="1" s="58">
      <c r="A73" s="120" t="n">
        <v>65</v>
      </c>
      <c r="B73" s="121" t="inlineStr">
        <is>
          <t>Props</t>
        </is>
      </c>
      <c r="C73" s="121" t="inlineStr">
        <is>
          <t>Icon</t>
        </is>
      </c>
      <c r="D73" s="121" t="inlineStr">
        <is>
          <t>native span props passthrough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Select playground manual verification.</t>
        </is>
      </c>
      <c r="J73" s="121" t="n"/>
      <c r="K73" s="122">
        <f>IF(AND(E73="yes",F73="yes",H73="covered"),1,IF(H73="partial",0.5,0))</f>
        <v/>
      </c>
    </row>
    <row r="74" ht="15" customHeight="1" s="58">
      <c r="A74" s="120" t="n">
        <v>66</v>
      </c>
      <c r="B74" s="121" t="inlineStr">
        <is>
          <t>Styling hooks</t>
        </is>
      </c>
      <c r="C74" s="121" t="inlineStr">
        <is>
          <t>Icon</t>
        </is>
      </c>
      <c r="D74" s="121" t="inlineStr">
        <is>
          <t>data-slot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Select playground manual verification.</t>
        </is>
      </c>
      <c r="J74" s="121" t="n"/>
      <c r="K74" s="122">
        <f>IF(AND(E74="yes",F74="yes",H74="covered"),1,IF(H74="partial",0.5,0))</f>
        <v/>
      </c>
    </row>
    <row r="75" ht="15" customHeight="1" s="58">
      <c r="A75" s="120" t="n">
        <v>67</v>
      </c>
      <c r="B75" s="121" t="inlineStr">
        <is>
          <t>Public API</t>
        </is>
      </c>
      <c r="C75" s="121" t="inlineStr">
        <is>
          <t>Portal</t>
        </is>
      </c>
      <c r="D75" s="121" t="inlineStr">
        <is>
          <t>content mounts in body by default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Select playground manual verification.</t>
        </is>
      </c>
      <c r="J75" s="121" t="n"/>
      <c r="K75" s="122">
        <f>IF(AND(E75="yes",F75="yes",H75="covered"),1,IF(H75="partial",0.5,0))</f>
        <v/>
      </c>
    </row>
    <row r="76" ht="15" customHeight="1" s="58">
      <c r="A76" s="120" t="n">
        <v>68</v>
      </c>
      <c r="B76" s="121" t="inlineStr">
        <is>
          <t>Public API</t>
        </is>
      </c>
      <c r="C76" s="121" t="inlineStr">
        <is>
          <t>Portal</t>
        </is>
      </c>
      <c r="D76" s="121" t="inlineStr">
        <is>
          <t>disabled keeps content inline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Select playground manual verification.</t>
        </is>
      </c>
      <c r="J76" s="121" t="n"/>
      <c r="K76" s="122">
        <f>IF(AND(E76="yes",F76="yes",H76="covered"),1,IF(H76="partial",0.5,0))</f>
        <v/>
      </c>
    </row>
    <row r="77" ht="15" customHeight="1" s="58">
      <c r="A77" s="120" t="n">
        <v>69</v>
      </c>
      <c r="B77" s="121" t="inlineStr">
        <is>
          <t>Public API</t>
        </is>
      </c>
      <c r="C77" s="121" t="inlineStr">
        <is>
          <t>Portal</t>
        </is>
      </c>
      <c r="D77" s="121" t="inlineStr">
        <is>
          <t>container prop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Select playground manual verification.</t>
        </is>
      </c>
      <c r="J77" s="121" t="n"/>
      <c r="K77" s="122">
        <f>IF(AND(E77="yes",F77="yes",H77="covered"),1,IF(H77="partial",0.5,0))</f>
        <v/>
      </c>
    </row>
    <row r="78" ht="15" customHeight="1" s="58">
      <c r="A78" s="120" t="n">
        <v>70</v>
      </c>
      <c r="B78" s="121" t="inlineStr">
        <is>
          <t>Focus scope</t>
        </is>
      </c>
      <c r="C78" s="121" t="inlineStr">
        <is>
          <t>Portal</t>
        </is>
      </c>
      <c r="D78" s="121" t="inlineStr">
        <is>
          <t>registers with parent modal focus scope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Select playground manual verification.</t>
        </is>
      </c>
      <c r="J78" s="121" t="n"/>
      <c r="K78" s="122">
        <f>IF(AND(E78="yes",F78="yes",H78="covered"),1,IF(H78="partial",0.5,0))</f>
        <v/>
      </c>
    </row>
    <row r="79" ht="15" customHeight="1" s="58">
      <c r="A79" s="120" t="n">
        <v>71</v>
      </c>
      <c r="B79" s="121" t="inlineStr">
        <is>
          <t>Public API</t>
        </is>
      </c>
      <c r="C79" s="121" t="inlineStr">
        <is>
          <t>Content/Listbox</t>
        </is>
      </c>
      <c r="D79" s="121" t="inlineStr">
        <is>
          <t>Content alias renders listbox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Select playground manual verification.</t>
        </is>
      </c>
      <c r="J79" s="121" t="n"/>
      <c r="K79" s="122">
        <f>IF(AND(E79="yes",F79="yes",H79="covered"),1,IF(H79="partial",0.5,0))</f>
        <v/>
      </c>
    </row>
    <row r="80" ht="15" customHeight="1" s="58">
      <c r="A80" s="120" t="n">
        <v>72</v>
      </c>
      <c r="B80" s="121" t="inlineStr">
        <is>
          <t>Public API</t>
        </is>
      </c>
      <c r="C80" s="121" t="inlineStr">
        <is>
          <t>Content/Listbox</t>
        </is>
      </c>
      <c r="D80" s="121" t="inlineStr">
        <is>
          <t>Listbox part renders directly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Select playground manual verification.</t>
        </is>
      </c>
      <c r="J80" s="121" t="n"/>
      <c r="K80" s="122">
        <f>IF(AND(E80="yes",F80="yes",H80="covered"),1,IF(H80="partial",0.5,0))</f>
        <v/>
      </c>
    </row>
    <row r="81" ht="15" customHeight="1" s="58">
      <c r="A81" s="120" t="n">
        <v>73</v>
      </c>
      <c r="B81" s="121" t="inlineStr">
        <is>
          <t>Public API</t>
        </is>
      </c>
      <c r="C81" s="121" t="inlineStr">
        <is>
          <t>Content/Listbox</t>
        </is>
      </c>
      <c r="D81" s="121" t="inlineStr">
        <is>
          <t>renders only when open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Select playground manual verification.</t>
        </is>
      </c>
      <c r="J81" s="121" t="n"/>
      <c r="K81" s="122">
        <f>IF(AND(E81="yes",F81="yes",H81="covered"),1,IF(H81="partial",0.5,0))</f>
        <v/>
      </c>
    </row>
    <row r="82" ht="15" customHeight="1" s="58">
      <c r="A82" s="120" t="n">
        <v>74</v>
      </c>
      <c r="B82" s="121" t="inlineStr">
        <is>
          <t>Public API</t>
        </is>
      </c>
      <c r="C82" s="121" t="inlineStr">
        <is>
          <t>Content/Listbox</t>
        </is>
      </c>
      <c r="D82" s="121" t="inlineStr">
        <is>
          <t>disablePortal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Select playground manual verification.</t>
        </is>
      </c>
      <c r="J82" s="121" t="n"/>
      <c r="K82" s="122">
        <f>IF(AND(E82="yes",F82="yes",H82="covered"),1,IF(H82="partial",0.5,0))</f>
        <v/>
      </c>
    </row>
    <row r="83" ht="15" customHeight="1" s="58">
      <c r="A83" s="120" t="n">
        <v>75</v>
      </c>
      <c r="B83" s="121" t="inlineStr">
        <is>
          <t>Public API</t>
        </is>
      </c>
      <c r="C83" s="121" t="inlineStr">
        <is>
          <t>Content/Listbox</t>
        </is>
      </c>
      <c r="D83" s="121" t="inlineStr">
        <is>
          <t>container prop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Select playground manual verification.</t>
        </is>
      </c>
      <c r="J83" s="121" t="n"/>
      <c r="K83" s="122">
        <f>IF(AND(E83="yes",F83="yes",H83="covered"),1,IF(H83="partial",0.5,0))</f>
        <v/>
      </c>
    </row>
    <row r="84" ht="15" customHeight="1" s="58">
      <c r="A84" s="120" t="n">
        <v>76</v>
      </c>
      <c r="B84" s="121" t="inlineStr">
        <is>
          <t>Public API</t>
        </is>
      </c>
      <c r="C84" s="121" t="inlineStr">
        <is>
          <t>Content/Listbox</t>
        </is>
      </c>
      <c r="D84" s="121" t="inlineStr">
        <is>
          <t>role listbox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Select playground manual verification.</t>
        </is>
      </c>
      <c r="J84" s="121" t="n"/>
      <c r="K84" s="122">
        <f>IF(AND(E84="yes",F84="yes",H84="covered"),1,IF(H84="partial",0.5,0))</f>
        <v/>
      </c>
    </row>
    <row r="85" ht="15" customHeight="1" s="58">
      <c r="A85" s="120" t="n">
        <v>77</v>
      </c>
      <c r="B85" s="121" t="inlineStr">
        <is>
          <t>Public API</t>
        </is>
      </c>
      <c r="C85" s="121" t="inlineStr">
        <is>
          <t>Content/Listbox</t>
        </is>
      </c>
      <c r="D85" s="121" t="inlineStr">
        <is>
          <t>aria-label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Select playground manual verification.</t>
        </is>
      </c>
      <c r="J85" s="121" t="n"/>
      <c r="K85" s="122">
        <f>IF(AND(E85="yes",F85="yes",H85="covered"),1,IF(H85="partial",0.5,0))</f>
        <v/>
      </c>
    </row>
    <row r="86" ht="15" customHeight="1" s="58">
      <c r="A86" s="120" t="n">
        <v>78</v>
      </c>
      <c r="B86" s="121" t="inlineStr">
        <is>
          <t>Public API</t>
        </is>
      </c>
      <c r="C86" s="121" t="inlineStr">
        <is>
          <t>Content/Listbox</t>
        </is>
      </c>
      <c r="D86" s="121" t="inlineStr">
        <is>
          <t>tabIndex -1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Select playground manual verification.</t>
        </is>
      </c>
      <c r="J86" s="121" t="n"/>
      <c r="K86" s="122">
        <f>IF(AND(E86="yes",F86="yes",H86="covered"),1,IF(H86="partial",0.5,0))</f>
        <v/>
      </c>
    </row>
    <row r="87" ht="15" customHeight="1" s="58">
      <c r="A87" s="120" t="n">
        <v>79</v>
      </c>
      <c r="B87" s="121" t="inlineStr">
        <is>
          <t>Public API</t>
        </is>
      </c>
      <c r="C87" s="121" t="inlineStr">
        <is>
          <t>Content/Listbox</t>
        </is>
      </c>
      <c r="D87" s="121" t="inlineStr">
        <is>
          <t>data-state open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Select playground manual verification.</t>
        </is>
      </c>
      <c r="J87" s="121" t="n"/>
      <c r="K87" s="122">
        <f>IF(AND(E87="yes",F87="yes",H87="covered"),1,IF(H87="partial",0.5,0))</f>
        <v/>
      </c>
    </row>
    <row r="88" ht="15" customHeight="1" s="58">
      <c r="A88" s="120" t="n">
        <v>80</v>
      </c>
      <c r="B88" s="121" t="inlineStr">
        <is>
          <t>Public API</t>
        </is>
      </c>
      <c r="C88" s="121" t="inlineStr">
        <is>
          <t>Content/Listbox</t>
        </is>
      </c>
      <c r="D88" s="121" t="inlineStr">
        <is>
          <t>data-positioned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Select playground manual verification.</t>
        </is>
      </c>
      <c r="J88" s="121" t="n"/>
      <c r="K88" s="122">
        <f>IF(AND(E88="yes",F88="yes",H88="covered"),1,IF(H88="partial",0.5,0))</f>
        <v/>
      </c>
    </row>
    <row r="89" ht="15" customHeight="1" s="58">
      <c r="A89" s="120" t="n">
        <v>81</v>
      </c>
      <c r="B89" s="121" t="inlineStr">
        <is>
          <t>Positioning</t>
        </is>
      </c>
      <c r="C89" s="121" t="inlineStr">
        <is>
          <t>Content/Listbox</t>
        </is>
      </c>
      <c r="D89" s="121" t="inlineStr">
        <is>
          <t>min width matches trigger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Select playground manual verification.</t>
        </is>
      </c>
      <c r="J89" s="121" t="n"/>
      <c r="K89" s="122">
        <f>IF(AND(E89="yes",F89="yes",H89="covered"),1,IF(H89="partial",0.5,0))</f>
        <v/>
      </c>
    </row>
    <row r="90" ht="15" customHeight="1" s="58">
      <c r="A90" s="120" t="n">
        <v>82</v>
      </c>
      <c r="B90" s="121" t="inlineStr">
        <is>
          <t>Positioning</t>
        </is>
      </c>
      <c r="C90" s="121" t="inlineStr">
        <is>
          <t>Content/Listbox</t>
        </is>
      </c>
      <c r="D90" s="121" t="inlineStr">
        <is>
          <t>flips and shifts near the edge of the manually tested desktop layout viewport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passed existing desktop browser/manual baseline; mobile device qualification not run</t>
        </is>
      </c>
      <c r="H90" s="120" t="inlineStr">
        <is>
          <t>covered</t>
        </is>
      </c>
      <c r="I90" s="121" t="inlineStr">
        <is>
          <t>Existing desktop browser/manual baseline; not real iOS Safari or Android Chrome evidence.</t>
        </is>
      </c>
      <c r="J90" s="121" t="n"/>
      <c r="K90" s="122">
        <f>IF(AND(E90="yes",F90="yes",H90="covered"),1,IF(H90="partial",0.5,0))</f>
        <v/>
      </c>
    </row>
    <row r="91" ht="15" customHeight="1" s="58">
      <c r="A91" s="120" t="n">
        <v>83</v>
      </c>
      <c r="B91" s="121" t="inlineStr">
        <is>
          <t>Interaction</t>
        </is>
      </c>
      <c r="C91" s="121" t="inlineStr">
        <is>
          <t>Content/Listbox</t>
        </is>
      </c>
      <c r="D91" s="121" t="inlineStr">
        <is>
          <t>outside pointer closes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Select playground manual verification.</t>
        </is>
      </c>
      <c r="J91" s="121" t="n"/>
      <c r="K91" s="122">
        <f>IF(AND(E91="yes",F91="yes",H91="covered"),1,IF(H91="partial",0.5,0))</f>
        <v/>
      </c>
    </row>
    <row r="92" ht="15" customHeight="1" s="58">
      <c r="A92" s="120" t="n">
        <v>84</v>
      </c>
      <c r="B92" s="121" t="inlineStr">
        <is>
          <t>Interaction</t>
        </is>
      </c>
      <c r="C92" s="121" t="inlineStr">
        <is>
          <t>Content/Listbox</t>
        </is>
      </c>
      <c r="D92" s="121" t="inlineStr">
        <is>
          <t>inside click does not close unless selecting item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Select playground manual verification.</t>
        </is>
      </c>
      <c r="J92" s="121" t="n"/>
      <c r="K92" s="122">
        <f>IF(AND(E92="yes",F92="yes",H92="covered"),1,IF(H92="partial",0.5,0))</f>
        <v/>
      </c>
    </row>
    <row r="93" ht="15" customHeight="1" s="58">
      <c r="A93" s="120" t="n">
        <v>85</v>
      </c>
      <c r="B93" s="121" t="inlineStr">
        <is>
          <t>Interaction</t>
        </is>
      </c>
      <c r="C93" s="121" t="inlineStr">
        <is>
          <t>Content/Listbox</t>
        </is>
      </c>
      <c r="D93" s="121" t="inlineStr">
        <is>
          <t>Escape closes from open listbox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Select playground manual verification.</t>
        </is>
      </c>
      <c r="J93" s="121" t="n"/>
      <c r="K93" s="122">
        <f>IF(AND(E93="yes",F93="yes",H93="covered"),1,IF(H93="partial",0.5,0))</f>
        <v/>
      </c>
    </row>
    <row r="94" ht="45" customHeight="1" s="58">
      <c r="A94" s="120" t="n">
        <v>86</v>
      </c>
      <c r="B94" s="121" t="inlineStr">
        <is>
          <t>Interaction</t>
        </is>
      </c>
      <c r="C94" s="121" t="inlineStr">
        <is>
          <t>Content/Listbox</t>
        </is>
      </c>
      <c r="D94" s="121" t="inlineStr">
        <is>
          <t>highlighted item scrolls into view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Select playground manual verification.</t>
        </is>
      </c>
      <c r="J94" s="121" t="n"/>
      <c r="K94" s="122">
        <f>IF(AND(E94="yes",F94="yes",H94="covered"),1,IF(H94="partial",0.5,0))</f>
        <v/>
      </c>
    </row>
    <row r="95" ht="15" customHeight="1" s="58">
      <c r="A95" s="120" t="n">
        <v>87</v>
      </c>
      <c r="B95" s="121" t="inlineStr">
        <is>
          <t>Refs</t>
        </is>
      </c>
      <c r="C95" s="121" t="inlineStr">
        <is>
          <t>Content/Listbox</t>
        </is>
      </c>
      <c r="D95" s="121" t="inlineStr">
        <is>
          <t>ref receives div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Select playground manual verification.</t>
        </is>
      </c>
      <c r="J95" s="121" t="n"/>
      <c r="K95" s="122">
        <f>IF(AND(E95="yes",F95="yes",H95="covered"),1,IF(H95="partial",0.5,0))</f>
        <v/>
      </c>
    </row>
    <row r="96" ht="15" customHeight="1" s="58">
      <c r="A96" s="120" t="n">
        <v>88</v>
      </c>
      <c r="B96" s="121" t="inlineStr">
        <is>
          <t>Props</t>
        </is>
      </c>
      <c r="C96" s="121" t="inlineStr">
        <is>
          <t>Content/Listbox</t>
        </is>
      </c>
      <c r="D96" s="121" t="inlineStr">
        <is>
          <t>native div props passthrough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Select playground manual verification.</t>
        </is>
      </c>
      <c r="J96" s="121" t="n"/>
      <c r="K96" s="122">
        <f>IF(AND(E96="yes",F96="yes",H96="covered"),1,IF(H96="partial",0.5,0))</f>
        <v/>
      </c>
    </row>
    <row r="97" ht="15" customHeight="1" s="58">
      <c r="A97" s="120" t="n">
        <v>89</v>
      </c>
      <c r="B97" s="121" t="inlineStr">
        <is>
          <t>Styling hooks</t>
        </is>
      </c>
      <c r="C97" s="121" t="inlineStr">
        <is>
          <t>Content/Listbox</t>
        </is>
      </c>
      <c r="D97" s="121" t="inlineStr">
        <is>
          <t>className passthrough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Select playground manual verification.</t>
        </is>
      </c>
      <c r="J97" s="121" t="n"/>
      <c r="K97" s="122">
        <f>IF(AND(E97="yes",F97="yes",H97="covered"),1,IF(H97="partial",0.5,0))</f>
        <v/>
      </c>
    </row>
    <row r="98" ht="15" customHeight="1" s="58">
      <c r="A98" s="120" t="n">
        <v>90</v>
      </c>
      <c r="B98" s="121" t="inlineStr">
        <is>
          <t>Styling hooks</t>
        </is>
      </c>
      <c r="C98" s="121" t="inlineStr">
        <is>
          <t>Content/Listbox</t>
        </is>
      </c>
      <c r="D98" s="121" t="inlineStr">
        <is>
          <t>data-slot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Select playground manual verification.</t>
        </is>
      </c>
      <c r="J98" s="121" t="n"/>
      <c r="K98" s="122">
        <f>IF(AND(E98="yes",F98="yes",H98="covered"),1,IF(H98="partial",0.5,0))</f>
        <v/>
      </c>
    </row>
    <row r="99" ht="45" customHeight="1" s="58">
      <c r="A99" s="120" t="n">
        <v>91</v>
      </c>
      <c r="B99" s="121" t="inlineStr">
        <is>
          <t>Public API</t>
        </is>
      </c>
      <c r="C99" s="121" t="inlineStr">
        <is>
          <t>Viewport</t>
        </is>
      </c>
      <c r="D99" s="121" t="inlineStr">
        <is>
          <t>renders item viewport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Select playground manual verification.</t>
        </is>
      </c>
      <c r="J99" s="121" t="n"/>
      <c r="K99" s="122">
        <f>IF(AND(E99="yes",F99="yes",H99="covered"),1,IF(H99="partial",0.5,0))</f>
        <v/>
      </c>
    </row>
    <row r="100" ht="15" customHeight="1" s="58">
      <c r="A100" s="120" t="n">
        <v>92</v>
      </c>
      <c r="B100" s="121" t="inlineStr">
        <is>
          <t>Refs</t>
        </is>
      </c>
      <c r="C100" s="121" t="inlineStr">
        <is>
          <t>Viewport</t>
        </is>
      </c>
      <c r="D100" s="121" t="inlineStr">
        <is>
          <t>ref receives div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Select playground manual verification.</t>
        </is>
      </c>
      <c r="J100" s="121" t="n"/>
      <c r="K100" s="122">
        <f>IF(AND(E100="yes",F100="yes",H100="covered"),1,IF(H100="partial",0.5,0))</f>
        <v/>
      </c>
    </row>
    <row r="101" ht="15" customHeight="1" s="58">
      <c r="A101" s="120" t="n">
        <v>93</v>
      </c>
      <c r="B101" s="121" t="inlineStr">
        <is>
          <t>Props</t>
        </is>
      </c>
      <c r="C101" s="121" t="inlineStr">
        <is>
          <t>Viewport</t>
        </is>
      </c>
      <c r="D101" s="121" t="inlineStr">
        <is>
          <t>native div props passthrough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Select playground manual verification.</t>
        </is>
      </c>
      <c r="J101" s="121" t="n"/>
      <c r="K101" s="122">
        <f>IF(AND(E101="yes",F101="yes",H101="covered"),1,IF(H101="partial",0.5,0))</f>
        <v/>
      </c>
    </row>
    <row r="102" ht="15" customHeight="1" s="58">
      <c r="A102" s="120" t="n">
        <v>94</v>
      </c>
      <c r="B102" s="121" t="inlineStr">
        <is>
          <t>Styling hooks</t>
        </is>
      </c>
      <c r="C102" s="121" t="inlineStr">
        <is>
          <t>Viewport</t>
        </is>
      </c>
      <c r="D102" s="121" t="inlineStr">
        <is>
          <t>data-slot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Select playground manual verification.</t>
        </is>
      </c>
      <c r="J102" s="121" t="n"/>
      <c r="K102" s="122">
        <f>IF(AND(E102="yes",F102="yes",H102="covered"),1,IF(H102="partial",0.5,0))</f>
        <v/>
      </c>
    </row>
    <row r="103" ht="15" customHeight="1" s="58">
      <c r="A103" s="120" t="n">
        <v>95</v>
      </c>
      <c r="B103" s="121" t="inlineStr">
        <is>
          <t>Public API</t>
        </is>
      </c>
      <c r="C103" s="121" t="inlineStr">
        <is>
          <t>Group</t>
        </is>
      </c>
      <c r="D103" s="121" t="inlineStr">
        <is>
          <t>renders group role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Select playground manual verification.</t>
        </is>
      </c>
      <c r="J103" s="121" t="n"/>
      <c r="K103" s="122">
        <f>IF(AND(E103="yes",F103="yes",H103="covered"),1,IF(H103="partial",0.5,0))</f>
        <v/>
      </c>
    </row>
    <row r="104" ht="45" customHeight="1" s="58">
      <c r="A104" s="120" t="n">
        <v>96</v>
      </c>
      <c r="B104" s="121" t="inlineStr">
        <is>
          <t>Public API</t>
        </is>
      </c>
      <c r="C104" s="121" t="inlineStr">
        <is>
          <t>Group</t>
        </is>
      </c>
      <c r="D104" s="121" t="inlineStr">
        <is>
          <t>aria-labelledby matches Label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Select playground manual verification.</t>
        </is>
      </c>
      <c r="J104" s="121" t="n"/>
      <c r="K104" s="122">
        <f>IF(AND(E104="yes",F104="yes",H104="covered"),1,IF(H104="partial",0.5,0))</f>
        <v/>
      </c>
    </row>
    <row r="105" ht="15" customHeight="1" s="58">
      <c r="A105" s="120" t="n">
        <v>97</v>
      </c>
      <c r="B105" s="121" t="inlineStr">
        <is>
          <t>Refs</t>
        </is>
      </c>
      <c r="C105" s="121" t="inlineStr">
        <is>
          <t>Group</t>
        </is>
      </c>
      <c r="D105" s="121" t="inlineStr">
        <is>
          <t>ref receives div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Select playground manual verification.</t>
        </is>
      </c>
      <c r="J105" s="121" t="n"/>
      <c r="K105" s="122">
        <f>IF(AND(E105="yes",F105="yes",H105="covered"),1,IF(H105="partial",0.5,0))</f>
        <v/>
      </c>
    </row>
    <row r="106" ht="15" customHeight="1" s="58">
      <c r="A106" s="120" t="n">
        <v>98</v>
      </c>
      <c r="B106" s="121" t="inlineStr">
        <is>
          <t>Props</t>
        </is>
      </c>
      <c r="C106" s="121" t="inlineStr">
        <is>
          <t>Group</t>
        </is>
      </c>
      <c r="D106" s="121" t="inlineStr">
        <is>
          <t>native div props passthrough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Select playground manual verification.</t>
        </is>
      </c>
      <c r="J106" s="121" t="n"/>
      <c r="K106" s="122">
        <f>IF(AND(E106="yes",F106="yes",H106="covered"),1,IF(H106="partial",0.5,0))</f>
        <v/>
      </c>
    </row>
    <row r="107" ht="15" customHeight="1" s="58">
      <c r="A107" s="120" t="n">
        <v>99</v>
      </c>
      <c r="B107" s="121" t="inlineStr">
        <is>
          <t>Styling hooks</t>
        </is>
      </c>
      <c r="C107" s="121" t="inlineStr">
        <is>
          <t>Group</t>
        </is>
      </c>
      <c r="D107" s="121" t="inlineStr">
        <is>
          <t>data-slot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Select playground manual verification.</t>
        </is>
      </c>
      <c r="J107" s="121" t="n"/>
      <c r="K107" s="122">
        <f>IF(AND(E107="yes",F107="yes",H107="covered"),1,IF(H107="partial",0.5,0))</f>
        <v/>
      </c>
    </row>
    <row r="108" ht="15" customHeight="1" s="58">
      <c r="A108" s="120" t="n">
        <v>100</v>
      </c>
      <c r="B108" s="121" t="inlineStr">
        <is>
          <t>Public API</t>
        </is>
      </c>
      <c r="C108" s="121" t="inlineStr">
        <is>
          <t>Label</t>
        </is>
      </c>
      <c r="D108" s="121" t="inlineStr">
        <is>
          <t>renders group label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Select playground manual verification.</t>
        </is>
      </c>
      <c r="J108" s="121" t="n"/>
      <c r="K108" s="122">
        <f>IF(AND(E108="yes",F108="yes",H108="covered"),1,IF(H108="partial",0.5,0))</f>
        <v/>
      </c>
    </row>
    <row r="109" ht="45" customHeight="1" s="58">
      <c r="A109" s="120" t="n">
        <v>101</v>
      </c>
      <c r="B109" s="121" t="inlineStr">
        <is>
          <t>Public API</t>
        </is>
      </c>
      <c r="C109" s="121" t="inlineStr">
        <is>
          <t>Label</t>
        </is>
      </c>
      <c r="D109" s="121" t="inlineStr">
        <is>
          <t>id registration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Select playground manual verification.</t>
        </is>
      </c>
      <c r="J109" s="121" t="n"/>
      <c r="K109" s="122">
        <f>IF(AND(E109="yes",F109="yes",H109="covered"),1,IF(H109="partial",0.5,0))</f>
        <v/>
      </c>
    </row>
    <row r="110" ht="15" customHeight="1" s="58">
      <c r="A110" s="120" t="n">
        <v>102</v>
      </c>
      <c r="B110" s="121" t="inlineStr">
        <is>
          <t>Refs</t>
        </is>
      </c>
      <c r="C110" s="121" t="inlineStr">
        <is>
          <t>Label</t>
        </is>
      </c>
      <c r="D110" s="121" t="inlineStr">
        <is>
          <t>ref receives div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Select playground manual verification.</t>
        </is>
      </c>
      <c r="J110" s="121" t="n"/>
      <c r="K110" s="122">
        <f>IF(AND(E110="yes",F110="yes",H110="covered"),1,IF(H110="partial",0.5,0))</f>
        <v/>
      </c>
    </row>
    <row r="111" ht="15" customHeight="1" s="58">
      <c r="A111" s="120" t="n">
        <v>103</v>
      </c>
      <c r="B111" s="121" t="inlineStr">
        <is>
          <t>Props</t>
        </is>
      </c>
      <c r="C111" s="121" t="inlineStr">
        <is>
          <t>Label</t>
        </is>
      </c>
      <c r="D111" s="121" t="inlineStr">
        <is>
          <t>native div props passthrough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Select playground manual verification.</t>
        </is>
      </c>
      <c r="J111" s="121" t="n"/>
      <c r="K111" s="122">
        <f>IF(AND(E111="yes",F111="yes",H111="covered"),1,IF(H111="partial",0.5,0))</f>
        <v/>
      </c>
    </row>
    <row r="112" ht="15" customHeight="1" s="58">
      <c r="A112" s="120" t="n">
        <v>104</v>
      </c>
      <c r="B112" s="121" t="inlineStr">
        <is>
          <t>Styling hooks</t>
        </is>
      </c>
      <c r="C112" s="121" t="inlineStr">
        <is>
          <t>Label</t>
        </is>
      </c>
      <c r="D112" s="121" t="inlineStr">
        <is>
          <t>data-slot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Select playground manual verification.</t>
        </is>
      </c>
      <c r="J112" s="121" t="n"/>
      <c r="K112" s="122">
        <f>IF(AND(E112="yes",F112="yes",H112="covered"),1,IF(H112="partial",0.5,0))</f>
        <v/>
      </c>
    </row>
    <row r="113" ht="15" customHeight="1" s="58">
      <c r="A113" s="120" t="n">
        <v>105</v>
      </c>
      <c r="B113" s="121" t="inlineStr">
        <is>
          <t>Public API</t>
        </is>
      </c>
      <c r="C113" s="121" t="inlineStr">
        <is>
          <t>Item</t>
        </is>
      </c>
      <c r="D113" s="121" t="inlineStr">
        <is>
          <t>renders option role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Select playground manual verification.</t>
        </is>
      </c>
      <c r="J113" s="121" t="n"/>
      <c r="K113" s="122">
        <f>IF(AND(E113="yes",F113="yes",H113="covered"),1,IF(H113="partial",0.5,0))</f>
        <v/>
      </c>
    </row>
    <row r="114" ht="15" customHeight="1" s="58">
      <c r="A114" s="120" t="n">
        <v>106</v>
      </c>
      <c r="B114" s="121" t="inlineStr">
        <is>
          <t>Public API</t>
        </is>
      </c>
      <c r="C114" s="121" t="inlineStr">
        <is>
          <t>Item</t>
        </is>
      </c>
      <c r="D114" s="121" t="inlineStr">
        <is>
          <t>value is required identity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Select playground manual verification.</t>
        </is>
      </c>
      <c r="J114" s="121" t="n"/>
      <c r="K114" s="122">
        <f>IF(AND(E114="yes",F114="yes",H114="covered"),1,IF(H114="partial",0.5,0))</f>
        <v/>
      </c>
    </row>
    <row r="115" ht="15" customHeight="1" s="58">
      <c r="A115" s="120" t="n">
        <v>107</v>
      </c>
      <c r="B115" s="121" t="inlineStr">
        <is>
          <t>Public API</t>
        </is>
      </c>
      <c r="C115" s="121" t="inlineStr">
        <is>
          <t>Item</t>
        </is>
      </c>
      <c r="D115" s="121" t="inlineStr">
        <is>
          <t>label prop controls typeahead/value display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Select playground manual verification.</t>
        </is>
      </c>
      <c r="J115" s="121" t="n"/>
      <c r="K115" s="122">
        <f>IF(AND(E115="yes",F115="yes",H115="covered"),1,IF(H115="partial",0.5,0))</f>
        <v/>
      </c>
    </row>
    <row r="116" ht="15" customHeight="1" s="58">
      <c r="A116" s="120" t="n">
        <v>108</v>
      </c>
      <c r="B116" s="121" t="inlineStr">
        <is>
          <t>Public API</t>
        </is>
      </c>
      <c r="C116" s="121" t="inlineStr">
        <is>
          <t>Item</t>
        </is>
      </c>
      <c r="D116" s="121" t="inlineStr">
        <is>
          <t>selected item aria-selected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Select playground manual verification.</t>
        </is>
      </c>
      <c r="J116" s="121" t="n"/>
      <c r="K116" s="122">
        <f>IF(AND(E116="yes",F116="yes",H116="covered"),1,IF(H116="partial",0.5,0))</f>
        <v/>
      </c>
    </row>
    <row r="117" ht="15" customHeight="1" s="58">
      <c r="A117" s="120" t="n">
        <v>109</v>
      </c>
      <c r="B117" s="121" t="inlineStr">
        <is>
          <t>Public API</t>
        </is>
      </c>
      <c r="C117" s="121" t="inlineStr">
        <is>
          <t>Item</t>
        </is>
      </c>
      <c r="D117" s="121" t="inlineStr">
        <is>
          <t>data-state checked/unchecked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Select playground manual verification.</t>
        </is>
      </c>
      <c r="J117" s="121" t="n"/>
      <c r="K117" s="122">
        <f>IF(AND(E117="yes",F117="yes",H117="covered"),1,IF(H117="partial",0.5,0))</f>
        <v/>
      </c>
    </row>
    <row r="118" ht="15" customHeight="1" s="58">
      <c r="A118" s="120" t="n">
        <v>110</v>
      </c>
      <c r="B118" s="121" t="inlineStr">
        <is>
          <t>Public API</t>
        </is>
      </c>
      <c r="C118" s="121" t="inlineStr">
        <is>
          <t>Item</t>
        </is>
      </c>
      <c r="D118" s="121" t="inlineStr">
        <is>
          <t>disabled item aria-disabled/data-disabled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Select playground manual verification.</t>
        </is>
      </c>
      <c r="J118" s="121" t="n"/>
      <c r="K118" s="122">
        <f>IF(AND(E118="yes",F118="yes",H118="covered"),1,IF(H118="partial",0.5,0))</f>
        <v/>
      </c>
    </row>
    <row r="119" ht="15" customHeight="1" s="58">
      <c r="A119" s="120" t="n">
        <v>111</v>
      </c>
      <c r="B119" s="121" t="inlineStr">
        <is>
          <t>Accessibility</t>
        </is>
      </c>
      <c r="C119" s="121" t="inlineStr">
        <is>
          <t>Item</t>
        </is>
      </c>
      <c r="D119" s="121" t="inlineStr">
        <is>
          <t>aria-labelledby appears after ItemText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Select playground manual verification.</t>
        </is>
      </c>
      <c r="J119" s="121" t="n"/>
      <c r="K119" s="122">
        <f>IF(AND(E119="yes",F119="yes",H119="covered"),1,IF(H119="partial",0.5,0))</f>
        <v/>
      </c>
    </row>
    <row r="120" ht="15" customHeight="1" s="58">
      <c r="A120" s="120" t="n">
        <v>112</v>
      </c>
      <c r="B120" s="121" t="inlineStr">
        <is>
          <t>Accessibility</t>
        </is>
      </c>
      <c r="C120" s="121" t="inlineStr">
        <is>
          <t>Item</t>
        </is>
      </c>
      <c r="D120" s="121" t="inlineStr">
        <is>
          <t>omits aria-labelledby without ItemText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Select playground manual verification.</t>
        </is>
      </c>
      <c r="J120" s="121" t="n"/>
      <c r="K120" s="122">
        <f>IF(AND(E120="yes",F120="yes",H120="covered"),1,IF(H120="partial",0.5,0))</f>
        <v/>
      </c>
    </row>
    <row r="121" ht="15" customHeight="1" s="58">
      <c r="A121" s="120" t="n">
        <v>113</v>
      </c>
      <c r="B121" s="121" t="inlineStr">
        <is>
          <t>Interaction</t>
        </is>
      </c>
      <c r="C121" s="121" t="inlineStr">
        <is>
          <t>Item</t>
        </is>
      </c>
      <c r="D121" s="121" t="inlineStr">
        <is>
          <t>click selects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Select playground manual verification.</t>
        </is>
      </c>
      <c r="J121" s="121" t="n"/>
      <c r="K121" s="122">
        <f>IF(AND(E121="yes",F121="yes",H121="covered"),1,IF(H121="partial",0.5,0))</f>
        <v/>
      </c>
    </row>
    <row r="122" ht="15" customHeight="1" s="58">
      <c r="A122" s="120" t="n">
        <v>114</v>
      </c>
      <c r="B122" s="121" t="inlineStr">
        <is>
          <t>Interaction</t>
        </is>
      </c>
      <c r="C122" s="121" t="inlineStr">
        <is>
          <t>Item</t>
        </is>
      </c>
      <c r="D122" s="121" t="inlineStr">
        <is>
          <t>click closes listbox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Select playground manual verification.</t>
        </is>
      </c>
      <c r="J122" s="121" t="n"/>
      <c r="K122" s="122">
        <f>IF(AND(E122="yes",F122="yes",H122="covered"),1,IF(H122="partial",0.5,0))</f>
        <v/>
      </c>
    </row>
    <row r="123" ht="15" customHeight="1" s="58">
      <c r="A123" s="120" t="n">
        <v>115</v>
      </c>
      <c r="B123" s="121" t="inlineStr">
        <is>
          <t>Interaction</t>
        </is>
      </c>
      <c r="C123" s="121" t="inlineStr">
        <is>
          <t>Item</t>
        </is>
      </c>
      <c r="D123" s="121" t="inlineStr">
        <is>
          <t>click restores focus to trigger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Select playground manual verification.</t>
        </is>
      </c>
      <c r="J123" s="121" t="n"/>
      <c r="K123" s="122">
        <f>IF(AND(E123="yes",F123="yes",H123="covered"),1,IF(H123="partial",0.5,0))</f>
        <v/>
      </c>
    </row>
    <row r="124" ht="15" customHeight="1" s="58">
      <c r="A124" s="120" t="n">
        <v>116</v>
      </c>
      <c r="B124" s="121" t="inlineStr">
        <is>
          <t>Interaction</t>
        </is>
      </c>
      <c r="C124" s="121" t="inlineStr">
        <is>
          <t>Item</t>
        </is>
      </c>
      <c r="D124" s="121" t="inlineStr">
        <is>
          <t>disabled item click is ignored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Select playground manual verification.</t>
        </is>
      </c>
      <c r="J124" s="121" t="n"/>
      <c r="K124" s="122">
        <f>IF(AND(E124="yes",F124="yes",H124="covered"),1,IF(H124="partial",0.5,0))</f>
        <v/>
      </c>
    </row>
    <row r="125" ht="15" customHeight="1" s="58">
      <c r="A125" s="120" t="n">
        <v>117</v>
      </c>
      <c r="B125" s="121" t="inlineStr">
        <is>
          <t>Interaction</t>
        </is>
      </c>
      <c r="C125" s="121" t="inlineStr">
        <is>
          <t>Item</t>
        </is>
      </c>
      <c r="D125" s="121" t="inlineStr">
        <is>
          <t>pointer move highlights enabled item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Select playground manual verification.</t>
        </is>
      </c>
      <c r="J125" s="121" t="n"/>
      <c r="K125" s="122">
        <f>IF(AND(E125="yes",F125="yes",H125="covered"),1,IF(H125="partial",0.5,0))</f>
        <v/>
      </c>
    </row>
    <row r="126" ht="15" customHeight="1" s="58">
      <c r="A126" s="120" t="n">
        <v>118</v>
      </c>
      <c r="B126" s="121" t="inlineStr">
        <is>
          <t>Interaction</t>
        </is>
      </c>
      <c r="C126" s="121" t="inlineStr">
        <is>
          <t>Item</t>
        </is>
      </c>
      <c r="D126" s="121" t="inlineStr">
        <is>
          <t>pointer leave clears highlight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Select playground manual verification.</t>
        </is>
      </c>
      <c r="J126" s="121" t="n"/>
      <c r="K126" s="122">
        <f>IF(AND(E126="yes",F126="yes",H126="covered"),1,IF(H126="partial",0.5,0))</f>
        <v/>
      </c>
    </row>
    <row r="127" ht="15" customHeight="1" s="58">
      <c r="A127" s="120" t="n">
        <v>119</v>
      </c>
      <c r="B127" s="121" t="inlineStr">
        <is>
          <t>Composition</t>
        </is>
      </c>
      <c r="C127" s="121" t="inlineStr">
        <is>
          <t>Item</t>
        </is>
      </c>
      <c r="D127" s="121" t="inlineStr">
        <is>
          <t>merged onClick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Select playground manual verification.</t>
        </is>
      </c>
      <c r="J127" s="121" t="n"/>
      <c r="K127" s="122">
        <f>IF(AND(E127="yes",F127="yes",H127="covered"),1,IF(H127="partial",0.5,0))</f>
        <v/>
      </c>
    </row>
    <row r="128" ht="15" customHeight="1" s="58">
      <c r="A128" s="120" t="n">
        <v>120</v>
      </c>
      <c r="B128" s="121" t="inlineStr">
        <is>
          <t>Composition</t>
        </is>
      </c>
      <c r="C128" s="121" t="inlineStr">
        <is>
          <t>Item</t>
        </is>
      </c>
      <c r="D128" s="121" t="inlineStr">
        <is>
          <t>merged onPointerMove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Select playground manual verification.</t>
        </is>
      </c>
      <c r="J128" s="121" t="n"/>
      <c r="K128" s="122">
        <f>IF(AND(E128="yes",F128="yes",H128="covered"),1,IF(H128="partial",0.5,0))</f>
        <v/>
      </c>
    </row>
    <row r="129" ht="45" customHeight="1" s="58">
      <c r="A129" s="120" t="n">
        <v>121</v>
      </c>
      <c r="B129" s="121" t="inlineStr">
        <is>
          <t>Composition</t>
        </is>
      </c>
      <c r="C129" s="121" t="inlineStr">
        <is>
          <t>Item</t>
        </is>
      </c>
      <c r="D129" s="121" t="inlineStr">
        <is>
          <t>merged onPointerLeave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Select playground manual verification.</t>
        </is>
      </c>
      <c r="J129" s="121" t="n"/>
      <c r="K129" s="122">
        <f>IF(AND(E129="yes",F129="yes",H129="covered"),1,IF(H129="partial",0.5,0))</f>
        <v/>
      </c>
    </row>
    <row r="130" ht="15" customHeight="1" s="58">
      <c r="A130" s="120" t="n">
        <v>122</v>
      </c>
      <c r="B130" s="121" t="inlineStr">
        <is>
          <t>Refs</t>
        </is>
      </c>
      <c r="C130" s="121" t="inlineStr">
        <is>
          <t>Item</t>
        </is>
      </c>
      <c r="D130" s="121" t="inlineStr">
        <is>
          <t>ref receives div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Select playground manual verification.</t>
        </is>
      </c>
      <c r="J130" s="121" t="n"/>
      <c r="K130" s="122">
        <f>IF(AND(E130="yes",F130="yes",H130="covered"),1,IF(H130="partial",0.5,0))</f>
        <v/>
      </c>
    </row>
    <row r="131" ht="15" customHeight="1" s="58">
      <c r="A131" s="120" t="n">
        <v>123</v>
      </c>
      <c r="B131" s="121" t="inlineStr">
        <is>
          <t>Props</t>
        </is>
      </c>
      <c r="C131" s="121" t="inlineStr">
        <is>
          <t>Item</t>
        </is>
      </c>
      <c r="D131" s="121" t="inlineStr">
        <is>
          <t>native div props passthrough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Select playground manual verification.</t>
        </is>
      </c>
      <c r="J131" s="121" t="n"/>
      <c r="K131" s="122">
        <f>IF(AND(E131="yes",F131="yes",H131="covered"),1,IF(H131="partial",0.5,0))</f>
        <v/>
      </c>
    </row>
    <row r="132" ht="15" customHeight="1" s="58">
      <c r="A132" s="120" t="n">
        <v>124</v>
      </c>
      <c r="B132" s="121" t="inlineStr">
        <is>
          <t>Styling hooks</t>
        </is>
      </c>
      <c r="C132" s="121" t="inlineStr">
        <is>
          <t>Item</t>
        </is>
      </c>
      <c r="D132" s="121" t="inlineStr">
        <is>
          <t>className passthrough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Select playground manual verification.</t>
        </is>
      </c>
      <c r="J132" s="121" t="n"/>
      <c r="K132" s="122">
        <f>IF(AND(E132="yes",F132="yes",H132="covered"),1,IF(H132="partial",0.5,0))</f>
        <v/>
      </c>
    </row>
    <row r="133" ht="15" customHeight="1" s="58">
      <c r="A133" s="120" t="n">
        <v>125</v>
      </c>
      <c r="B133" s="121" t="inlineStr">
        <is>
          <t>Styling hooks</t>
        </is>
      </c>
      <c r="C133" s="121" t="inlineStr">
        <is>
          <t>Item</t>
        </is>
      </c>
      <c r="D133" s="121" t="inlineStr">
        <is>
          <t>data-highlighted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Select playground manual verification.</t>
        </is>
      </c>
      <c r="J133" s="121" t="n"/>
      <c r="K133" s="122">
        <f>IF(AND(E133="yes",F133="yes",H133="covered"),1,IF(H133="partial",0.5,0))</f>
        <v/>
      </c>
    </row>
    <row r="134" ht="15" customHeight="1" s="58">
      <c r="A134" s="120" t="n">
        <v>126</v>
      </c>
      <c r="B134" s="121" t="inlineStr">
        <is>
          <t>Styling hooks</t>
        </is>
      </c>
      <c r="C134" s="121" t="inlineStr">
        <is>
          <t>Item</t>
        </is>
      </c>
      <c r="D134" s="121" t="inlineStr">
        <is>
          <t>data-value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Select playground manual verification.</t>
        </is>
      </c>
      <c r="J134" s="121" t="n"/>
      <c r="K134" s="122">
        <f>IF(AND(E134="yes",F134="yes",H134="covered"),1,IF(H134="partial",0.5,0))</f>
        <v/>
      </c>
    </row>
    <row r="135" ht="15" customHeight="1" s="58">
      <c r="A135" s="120" t="n">
        <v>127</v>
      </c>
      <c r="B135" s="121" t="inlineStr">
        <is>
          <t>Styling hooks</t>
        </is>
      </c>
      <c r="C135" s="121" t="inlineStr">
        <is>
          <t>Item</t>
        </is>
      </c>
      <c r="D135" s="121" t="inlineStr">
        <is>
          <t>data-slot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Select playground manual verification.</t>
        </is>
      </c>
      <c r="J135" s="121" t="n"/>
      <c r="K135" s="122">
        <f>IF(AND(E135="yes",F135="yes",H135="covered"),1,IF(H135="partial",0.5,0))</f>
        <v/>
      </c>
    </row>
    <row r="136" ht="15" customHeight="1" s="58">
      <c r="A136" s="120" t="n">
        <v>128</v>
      </c>
      <c r="B136" s="121" t="inlineStr">
        <is>
          <t>Public API</t>
        </is>
      </c>
      <c r="C136" s="121" t="inlineStr">
        <is>
          <t>ItemText</t>
        </is>
      </c>
      <c r="D136" s="121" t="inlineStr">
        <is>
          <t>registers item text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Select playground manual verification.</t>
        </is>
      </c>
      <c r="J136" s="121" t="n"/>
      <c r="K136" s="122">
        <f>IF(AND(E136="yes",F136="yes",H136="covered"),1,IF(H136="partial",0.5,0))</f>
        <v/>
      </c>
    </row>
    <row r="137" ht="45" customHeight="1" s="58">
      <c r="A137" s="120" t="n">
        <v>129</v>
      </c>
      <c r="B137" s="121" t="inlineStr">
        <is>
          <t>Public API</t>
        </is>
      </c>
      <c r="C137" s="121" t="inlineStr">
        <is>
          <t>ItemText</t>
        </is>
      </c>
      <c r="D137" s="121" t="inlineStr">
        <is>
          <t>id used by item aria-labelledby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Select playground manual verification.</t>
        </is>
      </c>
      <c r="J137" s="121" t="n"/>
      <c r="K137" s="122">
        <f>IF(AND(E137="yes",F137="yes",H137="covered"),1,IF(H137="partial",0.5,0))</f>
        <v/>
      </c>
    </row>
    <row r="138" ht="15" customHeight="1" s="58">
      <c r="A138" s="120" t="n">
        <v>130</v>
      </c>
      <c r="B138" s="121" t="inlineStr">
        <is>
          <t>Refs</t>
        </is>
      </c>
      <c r="C138" s="121" t="inlineStr">
        <is>
          <t>ItemText</t>
        </is>
      </c>
      <c r="D138" s="121" t="inlineStr">
        <is>
          <t>ref receives span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Select playground manual verification.</t>
        </is>
      </c>
      <c r="J138" s="121" t="n"/>
      <c r="K138" s="122">
        <f>IF(AND(E138="yes",F138="yes",H138="covered"),1,IF(H138="partial",0.5,0))</f>
        <v/>
      </c>
    </row>
    <row r="139" ht="15" customHeight="1" s="58">
      <c r="A139" s="120" t="n">
        <v>131</v>
      </c>
      <c r="B139" s="121" t="inlineStr">
        <is>
          <t>Props</t>
        </is>
      </c>
      <c r="C139" s="121" t="inlineStr">
        <is>
          <t>ItemText</t>
        </is>
      </c>
      <c r="D139" s="121" t="inlineStr">
        <is>
          <t>native span props passthrough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Select playground manual verification.</t>
        </is>
      </c>
      <c r="J139" s="121" t="n"/>
      <c r="K139" s="122">
        <f>IF(AND(E139="yes",F139="yes",H139="covered"),1,IF(H139="partial",0.5,0))</f>
        <v/>
      </c>
    </row>
    <row r="140" ht="15" customHeight="1" s="58">
      <c r="A140" s="120" t="n">
        <v>132</v>
      </c>
      <c r="B140" s="121" t="inlineStr">
        <is>
          <t>Styling hooks</t>
        </is>
      </c>
      <c r="C140" s="121" t="inlineStr">
        <is>
          <t>ItemText</t>
        </is>
      </c>
      <c r="D140" s="121" t="inlineStr">
        <is>
          <t>data-slot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Select playground manual verification.</t>
        </is>
      </c>
      <c r="J140" s="121" t="n"/>
      <c r="K140" s="122">
        <f>IF(AND(E140="yes",F140="yes",H140="covered"),1,IF(H140="partial",0.5,0))</f>
        <v/>
      </c>
    </row>
    <row r="141" ht="15" customHeight="1" s="58">
      <c r="A141" s="120" t="n">
        <v>133</v>
      </c>
      <c r="B141" s="121" t="inlineStr">
        <is>
          <t>Public API</t>
        </is>
      </c>
      <c r="C141" s="121" t="inlineStr">
        <is>
          <t>ItemIndicator</t>
        </is>
      </c>
      <c r="D141" s="121" t="inlineStr">
        <is>
          <t>renders only when selected by default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Select playground manual verification.</t>
        </is>
      </c>
      <c r="J141" s="121" t="n"/>
      <c r="K141" s="122">
        <f>IF(AND(E141="yes",F141="yes",H141="covered"),1,IF(H141="partial",0.5,0))</f>
        <v/>
      </c>
    </row>
    <row r="142" ht="15" customHeight="1" s="58">
      <c r="A142" s="120" t="n">
        <v>134</v>
      </c>
      <c r="B142" s="121" t="inlineStr">
        <is>
          <t>Public API</t>
        </is>
      </c>
      <c r="C142" s="121" t="inlineStr">
        <is>
          <t>ItemIndicator</t>
        </is>
      </c>
      <c r="D142" s="121" t="inlineStr">
        <is>
          <t>forceMount renders unchecked indicator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Select playground manual verification.</t>
        </is>
      </c>
      <c r="J142" s="121" t="n"/>
      <c r="K142" s="122">
        <f>IF(AND(E142="yes",F142="yes",H142="covered"),1,IF(H142="partial",0.5,0))</f>
        <v/>
      </c>
    </row>
    <row r="143" ht="15" customHeight="1" s="58">
      <c r="A143" s="120" t="n">
        <v>135</v>
      </c>
      <c r="B143" s="121" t="inlineStr">
        <is>
          <t>Public API</t>
        </is>
      </c>
      <c r="C143" s="121" t="inlineStr">
        <is>
          <t>ItemIndicator</t>
        </is>
      </c>
      <c r="D143" s="121" t="inlineStr">
        <is>
          <t>data-state checked/unchecked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Select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ItemIndicator</t>
        </is>
      </c>
      <c r="D144" s="121" t="inlineStr">
        <is>
          <t>aria-hidden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Select playground manual verification.</t>
        </is>
      </c>
      <c r="J144" s="121" t="n"/>
      <c r="K144" s="122">
        <f>IF(AND(E144="yes",F144="yes",H144="covered"),1,IF(H144="partial",0.5,0))</f>
        <v/>
      </c>
    </row>
    <row r="145" ht="15" customHeight="1" s="58">
      <c r="A145" s="120" t="n">
        <v>137</v>
      </c>
      <c r="B145" s="121" t="inlineStr">
        <is>
          <t>Refs</t>
        </is>
      </c>
      <c r="C145" s="121" t="inlineStr">
        <is>
          <t>ItemIndicator</t>
        </is>
      </c>
      <c r="D145" s="121" t="inlineStr">
        <is>
          <t>ref receives span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Select playground manual verification.</t>
        </is>
      </c>
      <c r="J145" s="121" t="n"/>
      <c r="K145" s="122">
        <f>IF(AND(E145="yes",F145="yes",H145="covered"),1,IF(H145="partial",0.5,0))</f>
        <v/>
      </c>
    </row>
    <row r="146" ht="15" customHeight="1" s="58">
      <c r="A146" s="120" t="n">
        <v>138</v>
      </c>
      <c r="B146" s="121" t="inlineStr">
        <is>
          <t>Props</t>
        </is>
      </c>
      <c r="C146" s="121" t="inlineStr">
        <is>
          <t>ItemIndicator</t>
        </is>
      </c>
      <c r="D146" s="121" t="inlineStr">
        <is>
          <t>native span props passthrough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Select playground manual verification.</t>
        </is>
      </c>
      <c r="J146" s="121" t="n"/>
      <c r="K146" s="122">
        <f>IF(AND(E146="yes",F146="yes",H146="covered"),1,IF(H146="partial",0.5,0))</f>
        <v/>
      </c>
    </row>
    <row r="147" ht="15" customHeight="1" s="58">
      <c r="A147" s="120" t="n">
        <v>139</v>
      </c>
      <c r="B147" s="121" t="inlineStr">
        <is>
          <t>Styling hooks</t>
        </is>
      </c>
      <c r="C147" s="121" t="inlineStr">
        <is>
          <t>ItemIndicator</t>
        </is>
      </c>
      <c r="D147" s="121" t="inlineStr">
        <is>
          <t>data-slot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Select playground manual verification.</t>
        </is>
      </c>
      <c r="J147" s="121" t="n"/>
      <c r="K147" s="122">
        <f>IF(AND(E147="yes",F147="yes",H147="covered"),1,IF(H147="partial",0.5,0))</f>
        <v/>
      </c>
    </row>
    <row r="148" ht="15" customHeight="1" s="58">
      <c r="A148" s="120" t="n">
        <v>140</v>
      </c>
      <c r="B148" s="121" t="inlineStr">
        <is>
          <t>Public API</t>
        </is>
      </c>
      <c r="C148" s="121" t="inlineStr">
        <is>
          <t>Separator</t>
        </is>
      </c>
      <c r="D148" s="121" t="inlineStr">
        <is>
          <t>renders separator role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Select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Public API</t>
        </is>
      </c>
      <c r="C149" s="121" t="inlineStr">
        <is>
          <t>Separator</t>
        </is>
      </c>
      <c r="D149" s="121" t="inlineStr">
        <is>
          <t>aria-orientation horizontal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Select playground manual verification.</t>
        </is>
      </c>
      <c r="J149" s="121" t="n"/>
      <c r="K149" s="122">
        <f>IF(AND(E149="yes",F149="yes",H149="covered"),1,IF(H149="partial",0.5,0))</f>
        <v/>
      </c>
    </row>
    <row r="150" ht="15" customHeight="1" s="58">
      <c r="A150" s="120" t="n">
        <v>142</v>
      </c>
      <c r="B150" s="121" t="inlineStr">
        <is>
          <t>Refs</t>
        </is>
      </c>
      <c r="C150" s="121" t="inlineStr">
        <is>
          <t>Separator</t>
        </is>
      </c>
      <c r="D150" s="121" t="inlineStr">
        <is>
          <t>ref receives div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Select playground manual verification.</t>
        </is>
      </c>
      <c r="J150" s="121" t="n"/>
      <c r="K150" s="122">
        <f>IF(AND(E150="yes",F150="yes",H150="covered"),1,IF(H150="partial",0.5,0))</f>
        <v/>
      </c>
    </row>
    <row r="151" ht="15" customHeight="1" s="58">
      <c r="A151" s="120" t="n">
        <v>143</v>
      </c>
      <c r="B151" s="121" t="inlineStr">
        <is>
          <t>Props</t>
        </is>
      </c>
      <c r="C151" s="121" t="inlineStr">
        <is>
          <t>Separator</t>
        </is>
      </c>
      <c r="D151" s="121" t="inlineStr">
        <is>
          <t>native div props passthrough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Select playground manual verification.</t>
        </is>
      </c>
      <c r="J151" s="121" t="n"/>
      <c r="K151" s="122">
        <f>IF(AND(E151="yes",F151="yes",H151="covered"),1,IF(H151="partial",0.5,0))</f>
        <v/>
      </c>
    </row>
    <row r="152" ht="15" customHeight="1" s="58">
      <c r="A152" s="120" t="n">
        <v>144</v>
      </c>
      <c r="B152" s="121" t="inlineStr">
        <is>
          <t>Styling hooks</t>
        </is>
      </c>
      <c r="C152" s="121" t="inlineStr">
        <is>
          <t>Separator</t>
        </is>
      </c>
      <c r="D152" s="121" t="inlineStr">
        <is>
          <t>data-slot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Select playground manual verification.</t>
        </is>
      </c>
      <c r="J152" s="121" t="n"/>
      <c r="K152" s="122">
        <f>IF(AND(E152="yes",F152="yes",H152="covered"),1,IF(H152="partial",0.5,0))</f>
        <v/>
      </c>
    </row>
    <row r="153" ht="15" customHeight="1" s="58">
      <c r="A153" s="120" t="n">
        <v>145</v>
      </c>
      <c r="B153" s="121" t="inlineStr">
        <is>
          <t>Public API</t>
        </is>
      </c>
      <c r="C153" s="121" t="inlineStr">
        <is>
          <t>ScrollUpButton</t>
        </is>
      </c>
      <c r="D153" s="121" t="inlineStr">
        <is>
          <t>renders only when can scroll up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Select playground manual verification.</t>
        </is>
      </c>
      <c r="J153" s="121" t="n"/>
      <c r="K153" s="122">
        <f>IF(AND(E153="yes",F153="yes",H153="covered"),1,IF(H153="partial",0.5,0))</f>
        <v/>
      </c>
    </row>
    <row r="154" ht="15" customHeight="1" s="58">
      <c r="A154" s="120" t="n">
        <v>146</v>
      </c>
      <c r="B154" s="121" t="inlineStr">
        <is>
          <t>Public API</t>
        </is>
      </c>
      <c r="C154" s="121" t="inlineStr">
        <is>
          <t>ScrollDownButton</t>
        </is>
      </c>
      <c r="D154" s="121" t="inlineStr">
        <is>
          <t>renders only when can scroll down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Select playground manual verification.</t>
        </is>
      </c>
      <c r="J154" s="121" t="n"/>
      <c r="K154" s="122">
        <f>IF(AND(E154="yes",F154="yes",H154="covered"),1,IF(H154="partial",0.5,0))</f>
        <v/>
      </c>
    </row>
    <row r="155" ht="15" customHeight="1" s="58">
      <c r="A155" s="120" t="n">
        <v>147</v>
      </c>
      <c r="B155" s="121" t="inlineStr">
        <is>
          <t>Interaction</t>
        </is>
      </c>
      <c r="C155" s="121" t="inlineStr">
        <is>
          <t>Scroll buttons</t>
        </is>
      </c>
      <c r="D155" s="121" t="inlineStr">
        <is>
          <t>click scrolls viewport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Select playground manual verification.</t>
        </is>
      </c>
      <c r="J155" s="121" t="n"/>
      <c r="K155" s="122">
        <f>IF(AND(E155="yes",F155="yes",H155="covered"),1,IF(H155="partial",0.5,0))</f>
        <v/>
      </c>
    </row>
    <row r="156" ht="15" customHeight="1" s="58">
      <c r="A156" s="120" t="n">
        <v>148</v>
      </c>
      <c r="B156" s="121" t="inlineStr">
        <is>
          <t>Accessibility</t>
        </is>
      </c>
      <c r="C156" s="121" t="inlineStr">
        <is>
          <t>Scroll buttons</t>
        </is>
      </c>
      <c r="D156" s="121" t="inlineStr">
        <is>
          <t>aria-hidden and tabIndex -1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Select playground manual verification.</t>
        </is>
      </c>
      <c r="J156" s="121" t="n"/>
      <c r="K156" s="122">
        <f>IF(AND(E156="yes",F156="yes",H156="covered"),1,IF(H156="partial",0.5,0))</f>
        <v/>
      </c>
    </row>
    <row r="157" ht="45" customHeight="1" s="58">
      <c r="A157" s="120" t="n">
        <v>149</v>
      </c>
      <c r="B157" s="121" t="inlineStr">
        <is>
          <t>Composition</t>
        </is>
      </c>
      <c r="C157" s="121" t="inlineStr">
        <is>
          <t>Scroll buttons</t>
        </is>
      </c>
      <c r="D157" s="121" t="inlineStr">
        <is>
          <t>merged onClick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Select playground manual verification.</t>
        </is>
      </c>
      <c r="J157" s="121" t="n"/>
      <c r="K157" s="122">
        <f>IF(AND(E157="yes",F157="yes",H157="covered"),1,IF(H157="partial",0.5,0))</f>
        <v/>
      </c>
    </row>
    <row r="158" ht="15" customHeight="1" s="58">
      <c r="A158" s="120" t="n">
        <v>150</v>
      </c>
      <c r="B158" s="121" t="inlineStr">
        <is>
          <t>Refs</t>
        </is>
      </c>
      <c r="C158" s="121" t="inlineStr">
        <is>
          <t>Scroll buttons</t>
        </is>
      </c>
      <c r="D158" s="121" t="inlineStr">
        <is>
          <t>refs receive button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Select playground manual verification.</t>
        </is>
      </c>
      <c r="J158" s="121" t="n"/>
      <c r="K158" s="122">
        <f>IF(AND(E158="yes",F158="yes",H158="covered"),1,IF(H158="partial",0.5,0))</f>
        <v/>
      </c>
    </row>
    <row r="159" ht="15" customHeight="1" s="58">
      <c r="A159" s="120" t="n">
        <v>151</v>
      </c>
      <c r="B159" s="121" t="inlineStr">
        <is>
          <t>Props</t>
        </is>
      </c>
      <c r="C159" s="121" t="inlineStr">
        <is>
          <t>Scroll buttons</t>
        </is>
      </c>
      <c r="D159" s="121" t="inlineStr">
        <is>
          <t>native button props passthrough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Select playground manual verification.</t>
        </is>
      </c>
      <c r="J159" s="121" t="n"/>
      <c r="K159" s="122">
        <f>IF(AND(E159="yes",F159="yes",H159="covered"),1,IF(H159="partial",0.5,0))</f>
        <v/>
      </c>
    </row>
    <row r="160" ht="15" customHeight="1" s="58">
      <c r="A160" s="120" t="n">
        <v>152</v>
      </c>
      <c r="B160" s="121" t="inlineStr">
        <is>
          <t>Styling hooks</t>
        </is>
      </c>
      <c r="C160" s="121" t="inlineStr">
        <is>
          <t>Scroll buttons</t>
        </is>
      </c>
      <c r="D160" s="121" t="inlineStr">
        <is>
          <t>data-slot direction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Select playground manual verification.</t>
        </is>
      </c>
      <c r="J160" s="121" t="n"/>
      <c r="K160" s="122">
        <f>IF(AND(E160="yes",F160="yes",H160="covered"),1,IF(H160="partial",0.5,0))</f>
        <v/>
      </c>
    </row>
    <row r="161" ht="15" customHeight="1" s="58">
      <c r="A161" s="120" t="n">
        <v>153</v>
      </c>
      <c r="B161" s="121" t="inlineStr">
        <is>
          <t>Public API</t>
        </is>
      </c>
      <c r="C161" s="121" t="inlineStr">
        <is>
          <t>Arrow</t>
        </is>
      </c>
      <c r="D161" s="121" t="inlineStr">
        <is>
          <t>renders decorative arrow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Select playground manual verification.</t>
        </is>
      </c>
      <c r="J161" s="121" t="n"/>
      <c r="K161" s="122">
        <f>IF(AND(E161="yes",F161="yes",H161="covered"),1,IF(H161="partial",0.5,0))</f>
        <v/>
      </c>
    </row>
    <row r="162" ht="45" customHeight="1" s="58">
      <c r="A162" s="120" t="n">
        <v>154</v>
      </c>
      <c r="B162" s="121" t="inlineStr">
        <is>
          <t>Accessibility</t>
        </is>
      </c>
      <c r="C162" s="121" t="inlineStr">
        <is>
          <t>Arrow</t>
        </is>
      </c>
      <c r="D162" s="121" t="inlineStr">
        <is>
          <t>aria-hidden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Select playground manual verification.</t>
        </is>
      </c>
      <c r="J162" s="121" t="n"/>
      <c r="K162" s="122">
        <f>IF(AND(E162="yes",F162="yes",H162="covered"),1,IF(H162="partial",0.5,0))</f>
        <v/>
      </c>
    </row>
    <row r="163" ht="15" customHeight="1" s="58">
      <c r="A163" s="120" t="n">
        <v>155</v>
      </c>
      <c r="B163" s="121" t="inlineStr">
        <is>
          <t>Refs</t>
        </is>
      </c>
      <c r="C163" s="121" t="inlineStr">
        <is>
          <t>Arrow</t>
        </is>
      </c>
      <c r="D163" s="121" t="inlineStr">
        <is>
          <t>ref receives span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Select playground manual verification.</t>
        </is>
      </c>
      <c r="J163" s="121" t="n"/>
      <c r="K163" s="122">
        <f>IF(AND(E163="yes",F163="yes",H163="covered"),1,IF(H163="partial",0.5,0))</f>
        <v/>
      </c>
    </row>
    <row r="164" ht="15" customHeight="1" s="58">
      <c r="A164" s="120" t="n">
        <v>156</v>
      </c>
      <c r="B164" s="121" t="inlineStr">
        <is>
          <t>Props</t>
        </is>
      </c>
      <c r="C164" s="121" t="inlineStr">
        <is>
          <t>Arrow</t>
        </is>
      </c>
      <c r="D164" s="121" t="inlineStr">
        <is>
          <t>native span props passthrough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Select playground manual verification.</t>
        </is>
      </c>
      <c r="J164" s="121" t="n"/>
      <c r="K164" s="122">
        <f>IF(AND(E164="yes",F164="yes",H164="covered"),1,IF(H164="partial",0.5,0))</f>
        <v/>
      </c>
    </row>
    <row r="165" ht="15" customHeight="1" s="58">
      <c r="A165" s="120" t="n">
        <v>157</v>
      </c>
      <c r="B165" s="121" t="inlineStr">
        <is>
          <t>Styling hooks</t>
        </is>
      </c>
      <c r="C165" s="121" t="inlineStr">
        <is>
          <t>Arrow</t>
        </is>
      </c>
      <c r="D165" s="121" t="inlineStr">
        <is>
          <t>data-slot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Select playground manual verification.</t>
        </is>
      </c>
      <c r="J165" s="121" t="n"/>
      <c r="K165" s="122">
        <f>IF(AND(E165="yes",F165="yes",H165="covered"),1,IF(H165="partial",0.5,0))</f>
        <v/>
      </c>
    </row>
    <row r="166" ht="15" customHeight="1" s="58">
      <c r="A166" s="120" t="n">
        <v>158</v>
      </c>
      <c r="B166" s="121" t="inlineStr">
        <is>
          <t>Interaction</t>
        </is>
      </c>
      <c r="C166" s="121" t="inlineStr">
        <is>
          <t>Cycle</t>
        </is>
      </c>
      <c r="D166" s="121" t="inlineStr">
        <is>
          <t>multiple open/close cycles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Select playground manual verification.</t>
        </is>
      </c>
      <c r="J166" s="121" t="n"/>
      <c r="K166" s="122">
        <f>IF(AND(E166="yes",F166="yes",H166="covered"),1,IF(H166="partial",0.5,0))</f>
        <v/>
      </c>
    </row>
    <row r="167" ht="15" customHeight="1" s="58">
      <c r="A167" s="120" t="n">
        <v>159</v>
      </c>
      <c r="B167" s="121" t="inlineStr">
        <is>
          <t>Interaction</t>
        </is>
      </c>
      <c r="C167" s="121" t="inlineStr">
        <is>
          <t>Trigger</t>
        </is>
      </c>
      <c r="D167" s="121" t="inlineStr">
        <is>
          <t>pointer/click trigger activation opens Select in the existing desktop manual scenario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passed existing desktop browser/manual baseline; mobile device qualification not run</t>
        </is>
      </c>
      <c r="H167" s="120" t="inlineStr">
        <is>
          <t>covered</t>
        </is>
      </c>
      <c r="I167" s="121" t="inlineStr">
        <is>
          <t>Existing desktop browser/manual baseline; not real iOS Safari or Android Chrome evidence.</t>
        </is>
      </c>
      <c r="J167" s="121" t="n"/>
      <c r="K167" s="122">
        <f>IF(AND(E167="yes",F167="yes",H167="covered"),1,IF(H167="partial",0.5,0))</f>
        <v/>
      </c>
    </row>
    <row r="168" ht="15" customHeight="1" s="58">
      <c r="A168" s="120" t="n">
        <v>160</v>
      </c>
      <c r="B168" s="121" t="inlineStr">
        <is>
          <t>Interaction</t>
        </is>
      </c>
      <c r="C168" s="121" t="inlineStr">
        <is>
          <t>Item</t>
        </is>
      </c>
      <c r="D168" s="121" t="inlineStr">
        <is>
          <t>pointer/click item activation selects in the existing desktop manual scenario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passed existing desktop browser/manual baseline; mobile device qualification not run</t>
        </is>
      </c>
      <c r="H168" s="120" t="inlineStr">
        <is>
          <t>covered</t>
        </is>
      </c>
      <c r="I168" s="121" t="inlineStr">
        <is>
          <t>Existing desktop browser/manual baseline; not real iOS Safari or Android Chrome evidence.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Interaction</t>
        </is>
      </c>
      <c r="C169" s="121" t="inlineStr">
        <is>
          <t>Outside interaction</t>
        </is>
      </c>
      <c r="D169" s="121" t="inlineStr">
        <is>
          <t>current desktop pointer-down outside interaction closes Select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passed existing desktop browser/manual baseline; mobile device qualification not run</t>
        </is>
      </c>
      <c r="H169" s="120" t="inlineStr">
        <is>
          <t>covered</t>
        </is>
      </c>
      <c r="I169" s="121" t="inlineStr">
        <is>
          <t>Existing desktop browser/manual baseline; not real iOS Safari or Android Chrome evidence.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Positioning</t>
        </is>
      </c>
      <c r="C170" s="121" t="inlineStr">
        <is>
          <t>Content/Listbox</t>
        </is>
      </c>
      <c r="D170" s="121" t="inlineStr">
        <is>
          <t>listbox fit and scrolling in the manually tested desktop layout viewport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passed existing desktop browser/manual baseline; mobile device qualification not run</t>
        </is>
      </c>
      <c r="H170" s="120" t="inlineStr">
        <is>
          <t>covered</t>
        </is>
      </c>
      <c r="I170" s="121" t="inlineStr">
        <is>
          <t>Existing desktop browser/manual baseline; not real iOS Safari or Android Chrome evidence.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20" t="n">
        <v>163</v>
      </c>
      <c r="B171" s="121" t="inlineStr">
        <is>
          <t>Keyboard</t>
        </is>
      </c>
      <c r="C171" s="121" t="inlineStr">
        <is>
          <t>Typeahead</t>
        </is>
      </c>
      <c r="D171" s="121" t="inlineStr">
        <is>
          <t>single-character typeahead cycles from current matching option after buffer reset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Select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Forms</t>
        </is>
      </c>
      <c r="C172" s="121" t="inlineStr">
        <is>
          <t>Root/Trigger</t>
        </is>
      </c>
      <c r="D172" s="121" t="inlineStr">
        <is>
          <t>Field inheritance, native select validity/submission, native ARIA, and uncontrolled reset</t>
        </is>
      </c>
      <c r="E172" s="120" t="inlineStr">
        <is>
          <t>yes</t>
        </is>
      </c>
      <c r="F172" s="120" t="inlineStr">
        <is>
          <t>no</t>
        </is>
      </c>
      <c r="G172" s="120" t="inlineStr">
        <is>
          <t>automated tests pass; manual pending</t>
        </is>
      </c>
      <c r="H172" s="120" t="inlineStr">
        <is>
          <t>untested</t>
        </is>
      </c>
      <c r="I172" s="121" t="inlineStr">
        <is>
          <t>Form &gt; Control: Foundation plus the component scenario and automated package tests.</t>
        </is>
      </c>
      <c r="J172" s="121" t="inlineStr">
        <is>
          <t>Run and review the form-foundation manual protocol.</t>
        </is>
      </c>
      <c r="K172" s="122">
        <f>IF(AND(E172="yes",F172="yes",H172="covered"),1,IF(H172="partial",0.5,0))</f>
        <v/>
      </c>
    </row>
    <row r="173" ht="30" customHeight="1" s="58">
      <c r="A173" s="120" t="n">
        <v>165</v>
      </c>
      <c r="B173" s="121" t="inlineStr">
        <is>
          <t>Validation</t>
        </is>
      </c>
      <c r="C173" s="121" t="inlineStr">
        <is>
          <t>Root/Trigger</t>
        </is>
      </c>
      <c r="D173" s="121" t="inlineStr">
        <is>
          <t>native-select invalidity mirrors to Trigger, Field, Error, and Form</t>
        </is>
      </c>
      <c r="E173" s="120" t="inlineStr">
        <is>
          <t>yes</t>
        </is>
      </c>
      <c r="F173" s="120" t="inlineStr">
        <is>
          <t>no</t>
        </is>
      </c>
      <c r="G173" s="120" t="inlineStr">
        <is>
          <t>automated tests pass; manual pending</t>
        </is>
      </c>
      <c r="H173" s="120" t="inlineStr">
        <is>
          <t>untested</t>
        </is>
      </c>
      <c r="I173" s="121" t="inlineStr">
        <is>
          <t>Form &gt; Control: Foundation and automated Atom validation tests.</t>
        </is>
      </c>
      <c r="J173" s="121" t="inlineStr">
        <is>
          <t>Run and review the updated form-foundation validation steps.</t>
        </is>
      </c>
      <c r="K173" s="122">
        <f>IF(AND(E173="yes",F173="yes",H173="covered"),1,IF(H173="partial",0.5,0))</f>
        <v/>
      </c>
    </row>
    <row r="174">
      <c r="A174" s="120" t="n">
        <v>166</v>
      </c>
      <c r="B174" s="121" t="inlineStr">
        <is>
          <t>Positioning</t>
        </is>
      </c>
      <c r="C174" s="121" t="inlineStr">
        <is>
          <t>Content/Listbox</t>
        </is>
      </c>
      <c r="D174" s="121" t="inlineStr">
        <is>
          <t>resolved placement exposes data-side and data-align</t>
        </is>
      </c>
      <c r="E174" s="120" t="inlineStr">
        <is>
          <t>yes</t>
        </is>
      </c>
      <c r="F174" s="120" t="inlineStr">
        <is>
          <t>no</t>
        </is>
      </c>
      <c r="G174" s="120" t="inlineStr">
        <is>
          <t>automated tests pass; manual pending</t>
        </is>
      </c>
      <c r="H174" s="120" t="inlineStr">
        <is>
          <t>untested</t>
        </is>
      </c>
      <c r="I174" s="121" t="inlineStr">
        <is>
          <t>Automated source and package tests pass; manual browser verification pending.</t>
        </is>
      </c>
      <c r="J174" s="121" t="inlineStr">
        <is>
          <t>Run the draft Select manual protocol on desktop and real touch hardware.</t>
        </is>
      </c>
      <c r="K174" s="122">
        <f>IF(AND(E174="yes",F174="yes",H174="covered"),1,IF(H174="partial",0.5,0))</f>
        <v/>
      </c>
    </row>
    <row r="175">
      <c r="A175" s="120" t="n">
        <v>167</v>
      </c>
      <c r="B175" s="121" t="inlineStr">
        <is>
          <t>Positioning</t>
        </is>
      </c>
      <c r="C175" s="121" t="inlineStr">
        <is>
          <t>Arrow</t>
        </is>
      </c>
      <c r="D175" s="121" t="inlineStr">
        <is>
          <t>arrow participates in Floating UI positioning and exposes matching data-side and data-align</t>
        </is>
      </c>
      <c r="E175" s="120" t="inlineStr">
        <is>
          <t>yes</t>
        </is>
      </c>
      <c r="F175" s="120" t="inlineStr">
        <is>
          <t>no</t>
        </is>
      </c>
      <c r="G175" s="120" t="inlineStr">
        <is>
          <t>automated tests pass; manual pending</t>
        </is>
      </c>
      <c r="H175" s="120" t="inlineStr">
        <is>
          <t>untested</t>
        </is>
      </c>
      <c r="I175" s="121" t="inlineStr">
        <is>
          <t>Automated source and package tests pass; manual browser verification pending.</t>
        </is>
      </c>
      <c r="J175" s="121" t="inlineStr">
        <is>
          <t>Run the draft Select manual protocol on desktop and real touch hardware.</t>
        </is>
      </c>
      <c r="K175" s="122">
        <f>IF(AND(E175="yes",F175="yes",H175="covered"),1,IF(H175="partial",0.5,0))</f>
        <v/>
      </c>
    </row>
    <row r="176">
      <c r="A176" s="120" t="n">
        <v>168</v>
      </c>
      <c r="B176" s="121" t="inlineStr">
        <is>
          <t>Touch/pen</t>
        </is>
      </c>
      <c r="C176" s="121" t="inlineStr">
        <is>
          <t>Outside interaction</t>
        </is>
      </c>
      <c r="D176" s="121" t="inlineStr">
        <is>
          <t>outside tap dismisses only after release</t>
        </is>
      </c>
      <c r="E176" s="120" t="inlineStr">
        <is>
          <t>yes</t>
        </is>
      </c>
      <c r="F176" s="120" t="inlineStr">
        <is>
          <t>no</t>
        </is>
      </c>
      <c r="G176" s="120" t="inlineStr">
        <is>
          <t>automated tests pass; manual pending</t>
        </is>
      </c>
      <c r="H176" s="120" t="inlineStr">
        <is>
          <t>untested</t>
        </is>
      </c>
      <c r="I176" s="121" t="inlineStr">
        <is>
          <t>Automated source and package tests pass; real-device manual verification pending.</t>
        </is>
      </c>
      <c r="J176" s="121" t="inlineStr">
        <is>
          <t>Run the draft Select manual protocol on desktop and real touch hardware.</t>
        </is>
      </c>
      <c r="K176" s="122">
        <f>IF(AND(E176="yes",F176="yes",H176="covered"),1,IF(H176="partial",0.5,0))</f>
        <v/>
      </c>
    </row>
    <row r="177">
      <c r="A177" s="120" t="n">
        <v>169</v>
      </c>
      <c r="B177" s="121" t="inlineStr">
        <is>
          <t>Touch/pen</t>
        </is>
      </c>
      <c r="C177" s="121" t="inlineStr">
        <is>
          <t>Outside interaction</t>
        </is>
      </c>
      <c r="D177" s="121" t="inlineStr">
        <is>
          <t>movement, cancellation, or scrolling before release preserves the open Select</t>
        </is>
      </c>
      <c r="E177" s="120" t="inlineStr">
        <is>
          <t>yes</t>
        </is>
      </c>
      <c r="F177" s="120" t="inlineStr">
        <is>
          <t>no</t>
        </is>
      </c>
      <c r="G177" s="120" t="inlineStr">
        <is>
          <t>automated tests pass; manual pending</t>
        </is>
      </c>
      <c r="H177" s="120" t="inlineStr">
        <is>
          <t>untested</t>
        </is>
      </c>
      <c r="I177" s="121" t="inlineStr">
        <is>
          <t>Automated source and package tests pass; real-device manual verification pending.</t>
        </is>
      </c>
      <c r="J177" s="121" t="inlineStr">
        <is>
          <t>Run the draft Select manual protocol on desktop and real touch hardware.</t>
        </is>
      </c>
      <c r="K177" s="122">
        <f>IF(AND(E177="yes",F177="yes",H177="covered"),1,IF(H177="partial",0.5,0))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K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Sidebar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manual-tests/sidebar.md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manual-tests/sidebar.md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Sidebar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manual-tests/sidebar.md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Sidebar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manual-tests/sidebar.md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Sidebar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manual-tests/sidebar.md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Sidebar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manual-tests/sidebar.md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Sidebar</t>
        </is>
      </c>
      <c r="D15" s="113" t="inlineStr">
        <is>
          <t>Supports controlled and uncontrolled sidebar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manual-tests/sidebar.md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Sidebar</t>
        </is>
      </c>
      <c r="D16" s="113" t="inlineStr">
        <is>
          <t>Supports `expanded`, `rail`, and `offcanvas` states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manual-tests/sidebar.md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Sidebar</t>
        </is>
      </c>
      <c r="D17" s="113" t="inlineStr">
        <is>
          <t>Supports left and right sidebars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manual-tests/sidebar.md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Sidebar</t>
        </is>
      </c>
      <c r="D18" s="113" t="inlineStr">
        <is>
          <t>Provides trigger, panel, and main content relationships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manual-tests/sidebar.md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Sidebar</t>
        </is>
      </c>
      <c r="D19" s="113" t="inlineStr">
        <is>
          <t>Keeps layout and visual sizing in consumer styles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manual-tests/sidebar.md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Sidebar</t>
        </is>
      </c>
      <c r="D20" s="113" t="inlineStr">
        <is>
          <t>Removes offcanvas panels from the accessibility tree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manual-tests/sidebar.md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manual-tests/sidebar.md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manual-tests/sidebar.md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manual-tests/sidebar.md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manual-tests/sidebar.md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manual-tests/sidebar.md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manual-tests/sidebar.md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state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manual-tests/sidebar.md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defaultState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manual-tests/sidebar.md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onStateChange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manual-tests/sidebar.md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collapsedState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manual-tests/sidebar.md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Positioning</t>
        </is>
      </c>
      <c r="C31" s="113" t="inlineStr">
        <is>
          <t>Root</t>
        </is>
      </c>
      <c r="D31" s="113" t="inlineStr">
        <is>
          <t>side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manual-tests/sidebar.md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manual-tests/sidebar.md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manual-tests/sidebar.md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manual-tests/sidebar.md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Positioning</t>
        </is>
      </c>
      <c r="C35" s="113" t="inlineStr">
        <is>
          <t>Root</t>
        </is>
      </c>
      <c r="D35" s="113" t="inlineStr">
        <is>
          <t>[data-side]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manual-tests/sidebar.md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[data-collapsed-state]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manual-tests/sidebar.md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renders correct part when expected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manual-tests/sidebar.md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appears in documented order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manual-tests/sidebar.md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default tag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manual-tests/sidebar.md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data-slot is present and correct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manual-tests/sidebar.md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non-Atom native props pass through with data-prop-check marker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manual-tests/sidebar.md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Refs</t>
        </is>
      </c>
      <c r="C42" s="113" t="inlineStr">
        <is>
          <t>Trigger</t>
        </is>
      </c>
      <c r="D42" s="113" t="inlineStr">
        <is>
          <t>consumer ref receives the rendered element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manual-tests/sidebar.md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Trigger</t>
        </is>
      </c>
      <c r="D43" s="113" t="inlineStr">
        <is>
          <t>Root disabled state disables Trigger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manual-tests/sidebar.md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manual-tests/sidebar.md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manual-tests/sidebar.md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manual-tests/sidebar.md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Trigger</t>
        </is>
      </c>
      <c r="D47" s="113" t="inlineStr">
        <is>
          <t>[data-state]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manual-tests/sidebar.md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Positioning</t>
        </is>
      </c>
      <c r="C48" s="113" t="inlineStr">
        <is>
          <t>Trigger</t>
        </is>
      </c>
      <c r="D48" s="113" t="inlineStr">
        <is>
          <t>[data-side]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manual-tests/sidebar.md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Trigger</t>
        </is>
      </c>
      <c r="D49" s="113" t="inlineStr">
        <is>
          <t>[data-disabled]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manual-tests/sidebar.md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Main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manual-tests/sidebar.md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Main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manual-tests/sidebar.md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Main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manual-tests/sidebar.md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Main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manual-tests/sidebar.md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Main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manual-tests/sidebar.md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Main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manual-tests/sidebar.md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Main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manual-tests/sidebar.md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Main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manual-tests/sidebar.md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Positioning</t>
        </is>
      </c>
      <c r="C58" s="113" t="inlineStr">
        <is>
          <t>Main</t>
        </is>
      </c>
      <c r="D58" s="113" t="inlineStr">
        <is>
          <t>[data-side]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manual-tests/sidebar.md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Panel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manual-tests/sidebar.md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Panel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manual-tests/sidebar.md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Panel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manual-tests/sidebar.md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Panel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manual-tests/sidebar.md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Panel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manual-tests/sidebar.md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Panel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manual-tests/sidebar.md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Panel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manual-tests/sidebar.md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Panel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manual-tests/sidebar.md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Panel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manual-tests/sidebar.md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Panel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manual-tests/sidebar.md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Positioning</t>
        </is>
      </c>
      <c r="C69" s="113" t="inlineStr">
        <is>
          <t>Panel</t>
        </is>
      </c>
      <c r="D69" s="113" t="inlineStr">
        <is>
          <t>[data-side]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manual-tests/sidebar.md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aria-controls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manual-tests/sidebar.md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manual-tests/sidebar.md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aria-expanded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manual-tests/sidebar.md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aria-hidden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manual-tests/sidebar.md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manual-tests/sidebar.md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data-collapsed-state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manual-tests/sidebar.md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manual-tests/sidebar.md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data-side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manual-tests/sidebar.md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data-slot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manual-tests/sidebar.md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data-state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manual-tests/sidebar.md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data-target-state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manual-tests/sidebar.md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Sidebar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manual-tests/sidebar.md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Sidebar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manual-tests/sidebar.md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Sidebar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manual-tests/sidebar.md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Sidebar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manual-tests/sidebar.md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Root</t>
        </is>
      </c>
      <c r="D85" s="113" t="inlineStr">
        <is>
          <t>controlled state path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manual-tests/sidebar.md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Root</t>
        </is>
      </c>
      <c r="D86" s="113" t="inlineStr">
        <is>
          <t>uncontrolled default state path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manual-tests/sidebar.md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Root</t>
        </is>
      </c>
      <c r="D87" s="113" t="inlineStr">
        <is>
          <t>state change callback fires once with correct value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manual-tests/sidebar.md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Interaction</t>
        </is>
      </c>
      <c r="C88" s="113" t="inlineStr">
        <is>
          <t>Trigger</t>
        </is>
      </c>
      <c r="D88" s="113" t="inlineStr">
        <is>
          <t>mouse click or pointer activation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manual-tests/sidebar.md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Interaction</t>
        </is>
      </c>
      <c r="C89" s="113" t="inlineStr">
        <is>
          <t>Trigger</t>
        </is>
      </c>
      <c r="D89" s="113" t="inlineStr">
        <is>
          <t>Enter key activation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manual-tests/sidebar.md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Interaction</t>
        </is>
      </c>
      <c r="C90" s="113" t="inlineStr">
        <is>
          <t>Trigger</t>
        </is>
      </c>
      <c r="D90" s="113" t="inlineStr">
        <is>
          <t>Space key activation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manual-tests/sidebar.md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disabled trigger blocks pointer and keyboard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manual-tests/sidebar.md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Sidebar</t>
        </is>
      </c>
      <c r="D92" s="113" t="inlineStr">
        <is>
          <t>side options position content correctly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manual-tests/sidebar.md</t>
        </is>
      </c>
      <c r="J92" s="113" t="n"/>
      <c r="K92" s="117">
        <f>IF(AND(E92="yes",F92="yes",H92="covered"),1,IF(H92="partial",0.5,0))</f>
        <v/>
      </c>
    </row>
    <row r="93" ht="15" customHeight="1" s="58"/>
    <row r="94" ht="15" customHeight="1" s="58"/>
    <row r="95" ht="15" customHeight="1" s="58"/>
    <row r="96" ht="30" customHeight="1" s="58"/>
    <row r="97" ht="15" customHeight="1" s="58"/>
    <row r="98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SkipLink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SkipLink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SkipLink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SkipLink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SkipLink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SkipLink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SkipLink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SkipLink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SkipLink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SkipLink</t>
        </is>
      </c>
      <c r="D15" s="106" t="inlineStr">
        <is>
          <t>Renders a native anchor for progressive enhancement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SkipLink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SkipLink</t>
        </is>
      </c>
      <c r="D16" s="106" t="inlineStr">
        <is>
          <t>Focuses and scrolls the hash target on activation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SkipLink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SkipLink</t>
        </is>
      </c>
      <c r="D17" s="106" t="inlineStr">
        <is>
          <t>Safely handles malformed hash encoding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SkipLink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SkipLink</t>
        </is>
      </c>
      <c r="D18" s="106" t="inlineStr">
        <is>
          <t>Provides a programmatically focusable target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SkipLink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SkipLink</t>
        </is>
      </c>
      <c r="D19" s="106" t="inlineStr">
        <is>
          <t>Supports `asChild` and `render` on both parts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SkipLink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SkipLink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SkipLink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SkipLink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SkipLink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SkipLink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SkipLink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SkipLink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SkipLink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href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SkipLink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focusTarget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SkipLink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onClick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SkipLink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Public API</t>
        </is>
      </c>
      <c r="C31" s="106" t="inlineStr">
        <is>
          <t>Root</t>
        </is>
      </c>
      <c r="D31" s="106" t="inlineStr">
        <is>
          <t>[data-slot]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SkipLink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Target</t>
        </is>
      </c>
      <c r="D32" s="106" t="inlineStr">
        <is>
          <t>renders correct part when expected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SkipLink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Anatomy</t>
        </is>
      </c>
      <c r="C33" s="106" t="inlineStr">
        <is>
          <t>Target</t>
        </is>
      </c>
      <c r="D33" s="106" t="inlineStr">
        <is>
          <t>appears in documented order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SkipLink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Identity</t>
        </is>
      </c>
      <c r="C34" s="106" t="inlineStr">
        <is>
          <t>Target</t>
        </is>
      </c>
      <c r="D34" s="106" t="inlineStr">
        <is>
          <t>default tag is visible in Anatomy/Inspector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SkipLink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Identity</t>
        </is>
      </c>
      <c r="C35" s="106" t="inlineStr">
        <is>
          <t>Target</t>
        </is>
      </c>
      <c r="D35" s="106" t="inlineStr">
        <is>
          <t>data-slot is present and correct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SkipLink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Props</t>
        </is>
      </c>
      <c r="C36" s="106" t="inlineStr">
        <is>
          <t>Target</t>
        </is>
      </c>
      <c r="D36" s="106" t="inlineStr">
        <is>
          <t>non-Atom native props pass through with data-prop-check marker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SkipLink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Refs</t>
        </is>
      </c>
      <c r="C37" s="106" t="inlineStr">
        <is>
          <t>Target</t>
        </is>
      </c>
      <c r="D37" s="106" t="inlineStr">
        <is>
          <t>consumer ref receives the rendered element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SkipLink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Target</t>
        </is>
      </c>
      <c r="D38" s="106" t="inlineStr">
        <is>
          <t>asChild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SkipLink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Composition</t>
        </is>
      </c>
      <c r="C39" s="106" t="inlineStr">
        <is>
          <t>Target</t>
        </is>
      </c>
      <c r="D39" s="106" t="inlineStr">
        <is>
          <t>render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SkipLink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Target</t>
        </is>
      </c>
      <c r="D40" s="106" t="inlineStr">
        <is>
          <t>id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SkipLink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Public API</t>
        </is>
      </c>
      <c r="C41" s="106" t="inlineStr">
        <is>
          <t>Target</t>
        </is>
      </c>
      <c r="D41" s="106" t="inlineStr">
        <is>
          <t>tabIndex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SkipLink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Public API</t>
        </is>
      </c>
      <c r="C42" s="106" t="inlineStr">
        <is>
          <t>Target</t>
        </is>
      </c>
      <c r="D42" s="106" t="inlineStr">
        <is>
          <t>[data-slot]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SkipLink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Data</t>
        </is>
      </c>
      <c r="C43" s="106" t="inlineStr">
        <is>
          <t>Live DOM</t>
        </is>
      </c>
      <c r="D43" s="106" t="inlineStr">
        <is>
          <t>data-slot is present at the correct time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SkipLink playground scenario.</t>
        </is>
      </c>
      <c r="J43" s="106" t="n"/>
      <c r="K43" s="107">
        <f>IF(H43="covered",1,IF(H43="partial",0.5,0))</f>
        <v/>
      </c>
    </row>
    <row r="44" ht="30" customHeight="1" s="58">
      <c r="A44" s="105" t="n">
        <v>36</v>
      </c>
      <c r="B44" s="106" t="inlineStr">
        <is>
          <t>Composition</t>
        </is>
      </c>
      <c r="C44" s="106" t="inlineStr">
        <is>
          <t>SkipLink</t>
        </is>
      </c>
      <c r="D44" s="106" t="inlineStr">
        <is>
          <t>asChild preserves child content without double nesting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SkipLink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Composition</t>
        </is>
      </c>
      <c r="C45" s="106" t="inlineStr">
        <is>
          <t>SkipLink</t>
        </is>
      </c>
      <c r="D45" s="106" t="inlineStr">
        <is>
          <t>asChild merges Atom props and consumer props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SkipLink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Composition</t>
        </is>
      </c>
      <c r="C46" s="106" t="inlineStr">
        <is>
          <t>SkipLink</t>
        </is>
      </c>
      <c r="D46" s="106" t="inlineStr">
        <is>
          <t>asChild lets preventDefault block Atom behavior where supported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SkipLink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Composition</t>
        </is>
      </c>
      <c r="C47" s="106" t="inlineStr">
        <is>
          <t>SkipLink</t>
        </is>
      </c>
      <c r="D47" s="106" t="inlineStr">
        <is>
          <t>render prop renders custom element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SkipLink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Composition</t>
        </is>
      </c>
      <c r="C48" s="106" t="inlineStr">
        <is>
          <t>SkipLink</t>
        </is>
      </c>
      <c r="D48" s="106" t="inlineStr">
        <is>
          <t>render prop preserves refs and behavior props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SkipLink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Utility</t>
        </is>
      </c>
      <c r="C49" s="106" t="inlineStr">
        <is>
          <t>SkipLink</t>
        </is>
      </c>
      <c r="D49" s="106" t="inlineStr">
        <is>
          <t>skip link target receives programmatic focus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SkipLink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Utility</t>
        </is>
      </c>
      <c r="C50" s="106" t="inlineStr">
        <is>
          <t>SkipLink</t>
        </is>
      </c>
      <c r="D50" s="106" t="inlineStr">
        <is>
          <t>malformed hashes do not break navigation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SkipLink playground scenario.</t>
        </is>
      </c>
      <c r="J50" s="106" t="n"/>
      <c r="K50" s="107">
        <f>IF(H50="covered",1,IF(H50="partial",0.5,0))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K1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Slider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Slider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Slider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Slider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Slider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Slider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Slider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Slider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Slider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Slider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Slider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Slider</t>
        </is>
      </c>
      <c r="D15" s="113" t="inlineStr">
        <is>
          <t>Supports single-value and multi-thumb range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Slider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Slider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Slider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Slider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Slider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Slider</t>
        </is>
      </c>
      <c r="D18" s="113" t="inlineStr">
        <is>
          <t>Supports pointer dragging, keyboard changes, and commit callbacks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Slider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Slider</t>
        </is>
      </c>
      <c r="D19" s="113" t="inlineStr">
        <is>
          <t>Supports hidden form inputs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Slider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Slider</t>
        </is>
      </c>
      <c r="D20" s="113" t="inlineStr">
        <is>
          <t>Exposes geometry through data attributes and inline offset styles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Slider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Slider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Slider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Slider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Slider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Slider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Slider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Slider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Slider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Slider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onValueCommit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Slider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Slider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Slider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Slider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largeStep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Slider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minStepsBetweenThumbs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Slider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Slider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orientation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Slider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Slider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Slider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Root</t>
        </is>
      </c>
      <c r="D40" s="113" t="inlineStr">
        <is>
          <t>aria-label prop behavior</t>
        </is>
      </c>
      <c r="E40" s="114" t="inlineStr">
        <is>
          <t>yes</t>
        </is>
      </c>
      <c r="F40" s="115" t="inlineStr">
        <is>
          <t>no</t>
        </is>
      </c>
      <c r="G40" s="112" t="inlineStr">
        <is>
          <t>automated tests pass; manual pending</t>
        </is>
      </c>
      <c r="H40" s="116" t="inlineStr">
        <is>
          <t>untested</t>
        </is>
      </c>
      <c r="I40" s="113" t="inlineStr">
        <is>
          <t>Form &gt; Control: Foundation plus the component scenario and automated package tests.</t>
        </is>
      </c>
      <c r="J40" s="113" t="inlineStr">
        <is>
          <t>Run the form-foundation manual protocol.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Slider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Slider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[data-orientation]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Slider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[data-disabled]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Slider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Range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Slider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Range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Slider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Identity</t>
        </is>
      </c>
      <c r="C47" s="113" t="inlineStr">
        <is>
          <t>Range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Slider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Range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Slider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Range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Slider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Range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Slider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Range</t>
        </is>
      </c>
      <c r="D51" s="113" t="inlineStr">
        <is>
          <t>PageUp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Slider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Range</t>
        </is>
      </c>
      <c r="D52" s="113" t="inlineStr">
        <is>
          <t>PageDown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Slider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Range</t>
        </is>
      </c>
      <c r="D53" s="113" t="inlineStr">
        <is>
          <t>Home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Slider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Range</t>
        </is>
      </c>
      <c r="D54" s="113" t="inlineStr">
        <is>
          <t>End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Slider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Thumb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Slider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Thumb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Slider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Thumb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Slider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Thumb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Slider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Thumb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Slider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Thumb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Slider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Thumb</t>
        </is>
      </c>
      <c r="D61" s="113" t="inlineStr">
        <is>
          <t>index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Slider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Thumb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Slider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Thumb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Slider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Thumb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Slider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Thumb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Slider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Thumb</t>
        </is>
      </c>
      <c r="D66" s="113" t="inlineStr">
        <is>
          <t>[data-percent]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Slider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Track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Slider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Track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Slider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Track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Slider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Track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Slider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Track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Slider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Track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Slider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Track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Slider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Track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Slider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Track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Slider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Track</t>
        </is>
      </c>
      <c r="D76" s="113" t="inlineStr">
        <is>
          <t>[data-orientation]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tested</t>
        </is>
      </c>
      <c r="H76" s="116" t="inlineStr">
        <is>
          <t>covered</t>
        </is>
      </c>
      <c r="I76" s="113" t="inlineStr">
        <is>
          <t>Slider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Track</t>
        </is>
      </c>
      <c r="D77" s="113" t="inlineStr">
        <is>
          <t>[data-disabled]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tested</t>
        </is>
      </c>
      <c r="H77" s="116" t="inlineStr">
        <is>
          <t>covered</t>
        </is>
      </c>
      <c r="I77" s="113" t="inlineStr">
        <is>
          <t>Slider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tested</t>
        </is>
      </c>
      <c r="H78" s="116" t="inlineStr">
        <is>
          <t>covered</t>
        </is>
      </c>
      <c r="I78" s="113" t="inlineStr">
        <is>
          <t>Slider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aria-hidden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tested</t>
        </is>
      </c>
      <c r="H79" s="116" t="inlineStr">
        <is>
          <t>covered</t>
        </is>
      </c>
      <c r="I79" s="113" t="inlineStr">
        <is>
          <t>Slider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aria-label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tested</t>
        </is>
      </c>
      <c r="H80" s="116" t="inlineStr">
        <is>
          <t>covered</t>
        </is>
      </c>
      <c r="I80" s="113" t="inlineStr">
        <is>
          <t>Slider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tested</t>
        </is>
      </c>
      <c r="H81" s="116" t="inlineStr">
        <is>
          <t>covered</t>
        </is>
      </c>
      <c r="I81" s="113" t="inlineStr">
        <is>
          <t>Slider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aria-valuemax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tested</t>
        </is>
      </c>
      <c r="H82" s="116" t="inlineStr">
        <is>
          <t>covered</t>
        </is>
      </c>
      <c r="I82" s="113" t="inlineStr">
        <is>
          <t>Slider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aria-valuemin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tested</t>
        </is>
      </c>
      <c r="H83" s="116" t="inlineStr">
        <is>
          <t>covered</t>
        </is>
      </c>
      <c r="I83" s="113" t="inlineStr">
        <is>
          <t>Slider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aria-valuenow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tested</t>
        </is>
      </c>
      <c r="H84" s="116" t="inlineStr">
        <is>
          <t>covered</t>
        </is>
      </c>
      <c r="I84" s="113" t="inlineStr">
        <is>
          <t>Slider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aria-valuetext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tested</t>
        </is>
      </c>
      <c r="H85" s="116" t="inlineStr">
        <is>
          <t>covered</t>
        </is>
      </c>
      <c r="I85" s="113" t="inlineStr">
        <is>
          <t>Slider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data-disabled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tested</t>
        </is>
      </c>
      <c r="H86" s="116" t="inlineStr">
        <is>
          <t>covered</t>
        </is>
      </c>
      <c r="I86" s="113" t="inlineStr">
        <is>
          <t>Slider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data-end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tested</t>
        </is>
      </c>
      <c r="H87" s="116" t="inlineStr">
        <is>
          <t>covered</t>
        </is>
      </c>
      <c r="I87" s="113" t="inlineStr">
        <is>
          <t>Slider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data-orientation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tested</t>
        </is>
      </c>
      <c r="H88" s="116" t="inlineStr">
        <is>
          <t>covered</t>
        </is>
      </c>
      <c r="I88" s="113" t="inlineStr">
        <is>
          <t>Slider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data-percent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tested</t>
        </is>
      </c>
      <c r="H89" s="116" t="inlineStr">
        <is>
          <t>covered</t>
        </is>
      </c>
      <c r="I89" s="113" t="inlineStr">
        <is>
          <t>Slider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tested</t>
        </is>
      </c>
      <c r="H90" s="116" t="inlineStr">
        <is>
          <t>covered</t>
        </is>
      </c>
      <c r="I90" s="113" t="inlineStr">
        <is>
          <t>Slider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data-start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tested</t>
        </is>
      </c>
      <c r="H91" s="116" t="inlineStr">
        <is>
          <t>covered</t>
        </is>
      </c>
      <c r="I91" s="113" t="inlineStr">
        <is>
          <t>Slider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data-value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tested</t>
        </is>
      </c>
      <c r="H92" s="116" t="inlineStr">
        <is>
          <t>covered</t>
        </is>
      </c>
      <c r="I92" s="113" t="inlineStr">
        <is>
          <t>Slider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Composition</t>
        </is>
      </c>
      <c r="C93" s="113" t="inlineStr">
        <is>
          <t>Slider</t>
        </is>
      </c>
      <c r="D93" s="113" t="inlineStr">
        <is>
          <t>asChild preserves child content without double nesting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tested</t>
        </is>
      </c>
      <c r="H93" s="116" t="inlineStr">
        <is>
          <t>covered</t>
        </is>
      </c>
      <c r="I93" s="113" t="inlineStr">
        <is>
          <t>Slider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Slider</t>
        </is>
      </c>
      <c r="D94" s="113" t="inlineStr">
        <is>
          <t>asChild merges Atom props and consumer props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tested</t>
        </is>
      </c>
      <c r="H94" s="116" t="inlineStr">
        <is>
          <t>covered</t>
        </is>
      </c>
      <c r="I94" s="113" t="inlineStr">
        <is>
          <t>Slider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Slider</t>
        </is>
      </c>
      <c r="D95" s="113" t="inlineStr">
        <is>
          <t>asChild lets preventDefault block Atom behavior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tested</t>
        </is>
      </c>
      <c r="H95" s="116" t="inlineStr">
        <is>
          <t>covered</t>
        </is>
      </c>
      <c r="I95" s="113" t="inlineStr">
        <is>
          <t>Slider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Slider</t>
        </is>
      </c>
      <c r="D96" s="113" t="inlineStr">
        <is>
          <t>render prop renders custom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tested</t>
        </is>
      </c>
      <c r="H96" s="116" t="inlineStr">
        <is>
          <t>covered</t>
        </is>
      </c>
      <c r="I96" s="113" t="inlineStr">
        <is>
          <t>Slider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Slider</t>
        </is>
      </c>
      <c r="D97" s="113" t="inlineStr">
        <is>
          <t>render prop preserves refs and behavior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tested</t>
        </is>
      </c>
      <c r="H97" s="116" t="inlineStr">
        <is>
          <t>covered</t>
        </is>
      </c>
      <c r="I97" s="113" t="inlineStr">
        <is>
          <t>Slider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controlled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tested</t>
        </is>
      </c>
      <c r="H98" s="116" t="inlineStr">
        <is>
          <t>covered</t>
        </is>
      </c>
      <c r="I98" s="113" t="inlineStr">
        <is>
          <t>Slider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uncontrolled default state path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tested</t>
        </is>
      </c>
      <c r="H99" s="116" t="inlineStr">
        <is>
          <t>covered</t>
        </is>
      </c>
      <c r="I99" s="113" t="inlineStr">
        <is>
          <t>Slider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state change callback fires once with correct value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tested</t>
        </is>
      </c>
      <c r="H100" s="116" t="inlineStr">
        <is>
          <t>covered</t>
        </is>
      </c>
      <c r="I100" s="113" t="inlineStr">
        <is>
          <t>Slider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Slider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tested</t>
        </is>
      </c>
      <c r="H101" s="116" t="inlineStr">
        <is>
          <t>covered</t>
        </is>
      </c>
      <c r="I101" s="113" t="inlineStr">
        <is>
          <t>Slider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Slider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tested</t>
        </is>
      </c>
      <c r="H102" s="116" t="inlineStr">
        <is>
          <t>covered</t>
        </is>
      </c>
      <c r="I102" s="113" t="inlineStr">
        <is>
          <t>Slider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Slider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tested</t>
        </is>
      </c>
      <c r="H103" s="116" t="inlineStr">
        <is>
          <t>covered</t>
        </is>
      </c>
      <c r="I103" s="113" t="inlineStr">
        <is>
          <t>Slider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Slider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tested</t>
        </is>
      </c>
      <c r="H104" s="116" t="inlineStr">
        <is>
          <t>covered</t>
        </is>
      </c>
      <c r="I104" s="113" t="inlineStr">
        <is>
          <t>Slider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Forms</t>
        </is>
      </c>
      <c r="C105" s="113" t="inlineStr">
        <is>
          <t>Slider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tested</t>
        </is>
      </c>
      <c r="H105" s="116" t="inlineStr">
        <is>
          <t>covered</t>
        </is>
      </c>
      <c r="I105" s="113" t="inlineStr">
        <is>
          <t>Slider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Forms</t>
        </is>
      </c>
      <c r="C106" s="113" t="inlineStr">
        <is>
          <t>Slider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tested</t>
        </is>
      </c>
      <c r="H106" s="116" t="inlineStr">
        <is>
          <t>covered</t>
        </is>
      </c>
      <c r="I106" s="113" t="inlineStr">
        <is>
          <t>Slider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Portal</t>
        </is>
      </c>
      <c r="C107" s="113" t="inlineStr">
        <is>
          <t>Slider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tested</t>
        </is>
      </c>
      <c r="H107" s="116" t="inlineStr">
        <is>
          <t>covered</t>
        </is>
      </c>
      <c r="I107" s="113" t="inlineStr">
        <is>
          <t>Slider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Slider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tested</t>
        </is>
      </c>
      <c r="H108" s="116" t="inlineStr">
        <is>
          <t>covered</t>
        </is>
      </c>
      <c r="I108" s="113" t="inlineStr">
        <is>
          <t>Slider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for horizontal slider math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tested</t>
        </is>
      </c>
      <c r="H109" s="119" t="inlineStr">
        <is>
          <t>covered</t>
        </is>
      </c>
      <c r="I109" s="113" t="inlineStr">
        <is>
          <t>Slider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RTL mirrors ArrowLeft and ArrowRight value changes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tested</t>
        </is>
      </c>
      <c r="H110" s="119" t="inlineStr">
        <is>
          <t>covered</t>
        </is>
      </c>
      <c r="I110" s="113" t="inlineStr">
        <is>
          <t>Slider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pointer math for horizontal value changes</t>
        </is>
      </c>
      <c r="E111" s="119" t="inlineStr">
        <is>
          <t>yes</t>
        </is>
      </c>
      <c r="F111" s="115" t="inlineStr">
        <is>
          <t>yes</t>
        </is>
      </c>
      <c r="G111" s="112" t="inlineStr">
        <is>
          <t>tested</t>
        </is>
      </c>
      <c r="H111" s="119" t="inlineStr">
        <is>
          <t>covered</t>
        </is>
      </c>
      <c r="I111" s="113" t="inlineStr">
        <is>
          <t>Slider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controls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tested</t>
        </is>
      </c>
      <c r="H112" s="119" t="inlineStr">
        <is>
          <t>covered</t>
        </is>
      </c>
      <c r="I112" s="113" t="inlineStr">
        <is>
          <t>Slider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Forms</t>
        </is>
      </c>
      <c r="C113" s="113" t="inlineStr">
        <is>
          <t>Root</t>
        </is>
      </c>
      <c r="D113" s="113" t="inlineStr">
        <is>
          <t>Field inheritance, native aria-label, submitted values, and uncontrolled reset</t>
        </is>
      </c>
      <c r="E113" s="119" t="inlineStr">
        <is>
          <t>yes</t>
        </is>
      </c>
      <c r="F113" s="115" t="inlineStr">
        <is>
          <t>no</t>
        </is>
      </c>
      <c r="G113" s="112" t="inlineStr">
        <is>
          <t>automated tests pass; manual pending</t>
        </is>
      </c>
      <c r="H113" s="119" t="inlineStr">
        <is>
          <t>untested</t>
        </is>
      </c>
      <c r="I113" s="113" t="inlineStr">
        <is>
          <t>Form &gt; Control: Foundation plus the component scenario and automated package tests.</t>
        </is>
      </c>
      <c r="J113" s="113" t="inlineStr">
        <is>
          <t>Run and review the form-foundation manual protocol.</t>
        </is>
      </c>
      <c r="K113" s="117">
        <f>IF(AND(E113="yes",F113="yes",H113="covered"),1,IF(H113="partial",0.5,0))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SwipeableItem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3" t="n">
        <v>1</v>
      </c>
      <c r="B9" s="124" t="inlineStr">
        <is>
          <t>Playground</t>
        </is>
      </c>
      <c r="C9" s="124" t="inlineStr">
        <is>
          <t>Props</t>
        </is>
      </c>
      <c r="D9" s="124" t="inlineStr">
        <is>
          <t>Props toolbar exposes Prop Check and keeps data-prop-check off by default</t>
        </is>
      </c>
      <c r="E9" s="123" t="inlineStr">
        <is>
          <t>yes</t>
        </is>
      </c>
      <c r="F9" s="123" t="inlineStr">
        <is>
          <t>yes</t>
        </is>
      </c>
      <c r="G9" s="123" t="inlineStr">
        <is>
          <t>passed manual test</t>
        </is>
      </c>
      <c r="H9" s="120" t="inlineStr">
        <is>
          <t>covered</t>
        </is>
      </c>
      <c r="I9" s="124" t="inlineStr">
        <is>
          <t>SwipeableItem playground scenario.</t>
        </is>
      </c>
      <c r="J9" s="124" t="n"/>
      <c r="K9" s="125">
        <f>IF(AND(E9="yes",F9="yes",H9="covered"),1,IF(H9="partial",0.5,0))</f>
        <v/>
      </c>
    </row>
    <row r="10" ht="15" customHeight="1" s="58">
      <c r="A10" s="123" t="n">
        <v>2</v>
      </c>
      <c r="B10" s="124" t="inlineStr">
        <is>
          <t>Playground</t>
        </is>
      </c>
      <c r="C10" s="124" t="inlineStr">
        <is>
          <t>Props</t>
        </is>
      </c>
      <c r="D10" s="124" t="inlineStr">
        <is>
          <t>custom data-slot override is available for every slot-owning anatomy part</t>
        </is>
      </c>
      <c r="E10" s="123" t="inlineStr">
        <is>
          <t>yes</t>
        </is>
      </c>
      <c r="F10" s="123" t="inlineStr">
        <is>
          <t>yes</t>
        </is>
      </c>
      <c r="G10" s="123" t="inlineStr">
        <is>
          <t>passed manual test</t>
        </is>
      </c>
      <c r="H10" s="120" t="inlineStr">
        <is>
          <t>covered</t>
        </is>
      </c>
      <c r="I10" s="124" t="inlineStr">
        <is>
          <t>SwipeableItem playground scenario.</t>
        </is>
      </c>
      <c r="J10" s="124" t="n"/>
      <c r="K10" s="125">
        <f>IF(AND(E10="yes",F10="yes",H10="covered"),1,IF(H10="partial",0.5,0))</f>
        <v/>
      </c>
    </row>
    <row r="11" ht="15" customHeight="1" s="58">
      <c r="A11" s="123" t="n">
        <v>3</v>
      </c>
      <c r="B11" s="124" t="inlineStr">
        <is>
          <t>Playground</t>
        </is>
      </c>
      <c r="C11" s="124" t="inlineStr">
        <is>
          <t>SwipeableItem</t>
        </is>
      </c>
      <c r="D11" s="124" t="inlineStr">
        <is>
          <t>scenario is reachable from top menu</t>
        </is>
      </c>
      <c r="E11" s="123" t="inlineStr">
        <is>
          <t>yes</t>
        </is>
      </c>
      <c r="F11" s="123" t="inlineStr">
        <is>
          <t>yes</t>
        </is>
      </c>
      <c r="G11" s="123" t="inlineStr">
        <is>
          <t>passed manual test</t>
        </is>
      </c>
      <c r="H11" s="120" t="inlineStr">
        <is>
          <t>covered</t>
        </is>
      </c>
      <c r="I11" s="124" t="inlineStr">
        <is>
          <t>SwipeableItem playground scenario.</t>
        </is>
      </c>
      <c r="J11" s="124" t="n"/>
      <c r="K11" s="125">
        <f>IF(AND(E11="yes",F11="yes",H11="covered"),1,IF(H11="partial",0.5,0))</f>
        <v/>
      </c>
    </row>
    <row r="12" ht="15" customHeight="1" s="58">
      <c r="A12" s="123" t="n">
        <v>4</v>
      </c>
      <c r="B12" s="124" t="inlineStr">
        <is>
          <t>Playground</t>
        </is>
      </c>
      <c r="C12" s="124" t="inlineStr">
        <is>
          <t>SwipeableItem</t>
        </is>
      </c>
      <c r="D12" s="124" t="inlineStr">
        <is>
          <t>canvas source reflects current toggles</t>
        </is>
      </c>
      <c r="E12" s="123" t="inlineStr">
        <is>
          <t>yes</t>
        </is>
      </c>
      <c r="F12" s="123" t="inlineStr">
        <is>
          <t>yes</t>
        </is>
      </c>
      <c r="G12" s="123" t="inlineStr">
        <is>
          <t>passed manual test</t>
        </is>
      </c>
      <c r="H12" s="120" t="inlineStr">
        <is>
          <t>covered</t>
        </is>
      </c>
      <c r="I12" s="124" t="inlineStr">
        <is>
          <t>SwipeableItem playground scenario.</t>
        </is>
      </c>
      <c r="J12" s="124" t="n"/>
      <c r="K12" s="125">
        <f>IF(AND(E12="yes",F12="yes",H12="covered"),1,IF(H12="partial",0.5,0))</f>
        <v/>
      </c>
    </row>
    <row r="13" ht="15" customHeight="1" s="58">
      <c r="A13" s="123" t="n">
        <v>5</v>
      </c>
      <c r="B13" s="124" t="inlineStr">
        <is>
          <t>Playground</t>
        </is>
      </c>
      <c r="C13" s="124" t="inlineStr">
        <is>
          <t>SwipeableItem</t>
        </is>
      </c>
      <c r="D13" s="124" t="inlineStr">
        <is>
          <t>anatomy uses live DOM attributes, ARIA, and data groups</t>
        </is>
      </c>
      <c r="E13" s="123" t="inlineStr">
        <is>
          <t>yes</t>
        </is>
      </c>
      <c r="F13" s="123" t="inlineStr">
        <is>
          <t>yes</t>
        </is>
      </c>
      <c r="G13" s="123" t="inlineStr">
        <is>
          <t>passed manual test</t>
        </is>
      </c>
      <c r="H13" s="120" t="inlineStr">
        <is>
          <t>covered</t>
        </is>
      </c>
      <c r="I13" s="124" t="inlineStr">
        <is>
          <t>SwipeableItem playground scenario.</t>
        </is>
      </c>
      <c r="J13" s="124" t="n"/>
      <c r="K13" s="125">
        <f>IF(AND(E13="yes",F13="yes",H13="covered"),1,IF(H13="partial",0.5,0))</f>
        <v/>
      </c>
    </row>
    <row r="14" ht="15" customHeight="1" s="58">
      <c r="A14" s="123" t="n">
        <v>6</v>
      </c>
      <c r="B14" s="124" t="inlineStr">
        <is>
          <t>Playground</t>
        </is>
      </c>
      <c r="C14" s="124" t="inlineStr">
        <is>
          <t>SwipeableItem</t>
        </is>
      </c>
      <c r="D14" s="124" t="inlineStr">
        <is>
          <t>inspector selected/focused/logs work for this scenario</t>
        </is>
      </c>
      <c r="E14" s="123" t="inlineStr">
        <is>
          <t>yes</t>
        </is>
      </c>
      <c r="F14" s="123" t="inlineStr">
        <is>
          <t>yes</t>
        </is>
      </c>
      <c r="G14" s="123" t="inlineStr">
        <is>
          <t>passed manual test</t>
        </is>
      </c>
      <c r="H14" s="120" t="inlineStr">
        <is>
          <t>covered</t>
        </is>
      </c>
      <c r="I14" s="124" t="inlineStr">
        <is>
          <t>SwipeableItem playground scenario.</t>
        </is>
      </c>
      <c r="J14" s="124" t="n"/>
      <c r="K14" s="125">
        <f>IF(AND(E14="yes",F14="yes",H14="covered"),1,IF(H14="partial",0.5,0))</f>
        <v/>
      </c>
    </row>
    <row r="15" ht="15" customHeight="1" s="58">
      <c r="A15" s="123" t="n">
        <v>7</v>
      </c>
      <c r="B15" s="124" t="inlineStr">
        <is>
          <t>Feature</t>
        </is>
      </c>
      <c r="C15" s="124" t="inlineStr">
        <is>
          <t>SwipeableItem</t>
        </is>
      </c>
      <c r="D15" s="124" t="inlineStr">
        <is>
          <t>Supports start and end action panels</t>
        </is>
      </c>
      <c r="E15" s="123" t="inlineStr">
        <is>
          <t>yes</t>
        </is>
      </c>
      <c r="F15" s="123" t="inlineStr">
        <is>
          <t>yes</t>
        </is>
      </c>
      <c r="G15" s="123" t="inlineStr">
        <is>
          <t>passed manual test</t>
        </is>
      </c>
      <c r="H15" s="120" t="inlineStr">
        <is>
          <t>covered</t>
        </is>
      </c>
      <c r="I15" s="124" t="inlineStr">
        <is>
          <t>SwipeableItem playground scenario.</t>
        </is>
      </c>
      <c r="J15" s="124" t="n"/>
      <c r="K15" s="125">
        <f>IF(AND(E15="yes",F15="yes",H15="covered"),1,IF(H15="partial",0.5,0))</f>
        <v/>
      </c>
    </row>
    <row r="16" ht="15" customHeight="1" s="58">
      <c r="A16" s="123" t="n">
        <v>8</v>
      </c>
      <c r="B16" s="124" t="inlineStr">
        <is>
          <t>Feature</t>
        </is>
      </c>
      <c r="C16" s="124" t="inlineStr">
        <is>
          <t>SwipeableItem</t>
        </is>
      </c>
      <c r="D16" s="124" t="inlineStr">
        <is>
          <t>Supports pointer dragging and keyboard opening</t>
        </is>
      </c>
      <c r="E16" s="123" t="inlineStr">
        <is>
          <t>yes</t>
        </is>
      </c>
      <c r="F16" s="123" t="inlineStr">
        <is>
          <t>yes</t>
        </is>
      </c>
      <c r="G16" s="123" t="inlineStr">
        <is>
          <t>passed manual test</t>
        </is>
      </c>
      <c r="H16" s="120" t="inlineStr">
        <is>
          <t>covered</t>
        </is>
      </c>
      <c r="I16" s="124" t="inlineStr">
        <is>
          <t>SwipeableItem playground scenario.</t>
        </is>
      </c>
      <c r="J16" s="124" t="n"/>
      <c r="K16" s="125">
        <f>IF(AND(E16="yes",F16="yes",H16="covered"),1,IF(H16="partial",0.5,0))</f>
        <v/>
      </c>
    </row>
    <row r="17" ht="15" customHeight="1" s="58">
      <c r="A17" s="123" t="n">
        <v>9</v>
      </c>
      <c r="B17" s="124" t="inlineStr">
        <is>
          <t>Feature</t>
        </is>
      </c>
      <c r="C17" s="124" t="inlineStr">
        <is>
          <t>SwipeableItem</t>
        </is>
      </c>
      <c r="D17" s="124" t="inlineStr">
        <is>
          <t>Supports controlled and uncontrolled open side state</t>
        </is>
      </c>
      <c r="E17" s="123" t="inlineStr">
        <is>
          <t>yes</t>
        </is>
      </c>
      <c r="F17" s="123" t="inlineStr">
        <is>
          <t>yes</t>
        </is>
      </c>
      <c r="G17" s="123" t="inlineStr">
        <is>
          <t>passed manual test</t>
        </is>
      </c>
      <c r="H17" s="120" t="inlineStr">
        <is>
          <t>covered</t>
        </is>
      </c>
      <c r="I17" s="124" t="inlineStr">
        <is>
          <t>SwipeableItem playground scenario.</t>
        </is>
      </c>
      <c r="J17" s="124" t="n"/>
      <c r="K17" s="125">
        <f>IF(AND(E17="yes",F17="yes",H17="covered"),1,IF(H17="partial",0.5,0))</f>
        <v/>
      </c>
    </row>
    <row r="18" ht="15" customHeight="1" s="58">
      <c r="A18" s="123" t="n">
        <v>10</v>
      </c>
      <c r="B18" s="124" t="inlineStr">
        <is>
          <t>Feature</t>
        </is>
      </c>
      <c r="C18" s="124" t="inlineStr">
        <is>
          <t>SwipeableItem</t>
        </is>
      </c>
      <c r="D18" s="124" t="inlineStr">
        <is>
          <t>Supports left-to-right and right-to-left direction</t>
        </is>
      </c>
      <c r="E18" s="123" t="inlineStr">
        <is>
          <t>yes</t>
        </is>
      </c>
      <c r="F18" s="123" t="inlineStr">
        <is>
          <t>yes</t>
        </is>
      </c>
      <c r="G18" s="123" t="inlineStr">
        <is>
          <t>passed manual test</t>
        </is>
      </c>
      <c r="H18" s="120" t="inlineStr">
        <is>
          <t>covered</t>
        </is>
      </c>
      <c r="I18" s="124" t="inlineStr">
        <is>
          <t>SwipeableItem playground scenario.</t>
        </is>
      </c>
      <c r="J18" s="124" t="n"/>
      <c r="K18" s="125">
        <f>IF(AND(E18="yes",F18="yes",H18="covered"),1,IF(H18="partial",0.5,0))</f>
        <v/>
      </c>
    </row>
    <row r="19" ht="15" customHeight="1" s="58">
      <c r="A19" s="123" t="n">
        <v>11</v>
      </c>
      <c r="B19" s="124" t="inlineStr">
        <is>
          <t>Feature</t>
        </is>
      </c>
      <c r="C19" s="124" t="inlineStr">
        <is>
          <t>SwipeableItem</t>
        </is>
      </c>
      <c r="D19" s="124" t="inlineStr">
        <is>
          <t>Supports optional full-swipe actions</t>
        </is>
      </c>
      <c r="E19" s="123" t="inlineStr">
        <is>
          <t>yes</t>
        </is>
      </c>
      <c r="F19" s="123" t="inlineStr">
        <is>
          <t>yes</t>
        </is>
      </c>
      <c r="G19" s="123" t="inlineStr">
        <is>
          <t>passed manual test</t>
        </is>
      </c>
      <c r="H19" s="120" t="inlineStr">
        <is>
          <t>covered</t>
        </is>
      </c>
      <c r="I19" s="124" t="inlineStr">
        <is>
          <t>SwipeableItem playground scenario.</t>
        </is>
      </c>
      <c r="J19" s="124" t="n"/>
      <c r="K19" s="125">
        <f>IF(AND(E19="yes",F19="yes",H19="covered"),1,IF(H19="partial",0.5,0))</f>
        <v/>
      </c>
    </row>
    <row r="20" ht="15" customHeight="1" s="58">
      <c r="A20" s="123" t="n">
        <v>12</v>
      </c>
      <c r="B20" s="124" t="inlineStr">
        <is>
          <t>Feature</t>
        </is>
      </c>
      <c r="C20" s="124" t="inlineStr">
        <is>
          <t>SwipeableItem</t>
        </is>
      </c>
      <c r="D20" s="124" t="inlineStr">
        <is>
          <t>Supports `asChild` and `render` on every part</t>
        </is>
      </c>
      <c r="E20" s="123" t="inlineStr">
        <is>
          <t>yes</t>
        </is>
      </c>
      <c r="F20" s="123" t="inlineStr">
        <is>
          <t>yes</t>
        </is>
      </c>
      <c r="G20" s="123" t="inlineStr">
        <is>
          <t>passed manual test</t>
        </is>
      </c>
      <c r="H20" s="120" t="inlineStr">
        <is>
          <t>covered</t>
        </is>
      </c>
      <c r="I20" s="124" t="inlineStr">
        <is>
          <t>SwipeableItem playground scenario.</t>
        </is>
      </c>
      <c r="J20" s="124" t="n"/>
      <c r="K20" s="125">
        <f>IF(AND(E20="yes",F20="yes",H20="covered"),1,IF(H20="partial",0.5,0))</f>
        <v/>
      </c>
    </row>
    <row r="21" ht="15" customHeight="1" s="58">
      <c r="A21" s="123" t="n">
        <v>13</v>
      </c>
      <c r="B21" s="124" t="inlineStr">
        <is>
          <t>Anatomy</t>
        </is>
      </c>
      <c r="C21" s="124" t="inlineStr">
        <is>
          <t>Root</t>
        </is>
      </c>
      <c r="D21" s="124" t="inlineStr">
        <is>
          <t>renders correct part when expected</t>
        </is>
      </c>
      <c r="E21" s="123" t="inlineStr">
        <is>
          <t>yes</t>
        </is>
      </c>
      <c r="F21" s="123" t="inlineStr">
        <is>
          <t>yes</t>
        </is>
      </c>
      <c r="G21" s="123" t="inlineStr">
        <is>
          <t>passed manual test</t>
        </is>
      </c>
      <c r="H21" s="120" t="inlineStr">
        <is>
          <t>covered</t>
        </is>
      </c>
      <c r="I21" s="124" t="inlineStr">
        <is>
          <t>SwipeableItem playground scenario.</t>
        </is>
      </c>
      <c r="J21" s="124" t="n"/>
      <c r="K21" s="125">
        <f>IF(AND(E21="yes",F21="yes",H21="covered"),1,IF(H21="partial",0.5,0))</f>
        <v/>
      </c>
    </row>
    <row r="22" ht="15" customHeight="1" s="58">
      <c r="A22" s="123" t="n">
        <v>14</v>
      </c>
      <c r="B22" s="124" t="inlineStr">
        <is>
          <t>Anatomy</t>
        </is>
      </c>
      <c r="C22" s="124" t="inlineStr">
        <is>
          <t>Root</t>
        </is>
      </c>
      <c r="D22" s="124" t="inlineStr">
        <is>
          <t>appears in documented order</t>
        </is>
      </c>
      <c r="E22" s="123" t="inlineStr">
        <is>
          <t>yes</t>
        </is>
      </c>
      <c r="F22" s="123" t="inlineStr">
        <is>
          <t>yes</t>
        </is>
      </c>
      <c r="G22" s="123" t="inlineStr">
        <is>
          <t>passed manual test</t>
        </is>
      </c>
      <c r="H22" s="120" t="inlineStr">
        <is>
          <t>covered</t>
        </is>
      </c>
      <c r="I22" s="124" t="inlineStr">
        <is>
          <t>SwipeableItem playground scenario.</t>
        </is>
      </c>
      <c r="J22" s="124" t="n"/>
      <c r="K22" s="125">
        <f>IF(AND(E22="yes",F22="yes",H22="covered"),1,IF(H22="partial",0.5,0))</f>
        <v/>
      </c>
    </row>
    <row r="23" ht="30" customHeight="1" s="58">
      <c r="A23" s="123" t="n">
        <v>15</v>
      </c>
      <c r="B23" s="124" t="inlineStr">
        <is>
          <t>Identity</t>
        </is>
      </c>
      <c r="C23" s="124" t="inlineStr">
        <is>
          <t>Root</t>
        </is>
      </c>
      <c r="D23" s="124" t="inlineStr">
        <is>
          <t>default tag is visible in Anatomy/Inspector</t>
        </is>
      </c>
      <c r="E23" s="123" t="inlineStr">
        <is>
          <t>yes</t>
        </is>
      </c>
      <c r="F23" s="123" t="inlineStr">
        <is>
          <t>yes</t>
        </is>
      </c>
      <c r="G23" s="123" t="inlineStr">
        <is>
          <t>passed manual test</t>
        </is>
      </c>
      <c r="H23" s="120" t="inlineStr">
        <is>
          <t>covered</t>
        </is>
      </c>
      <c r="I23" s="124" t="inlineStr">
        <is>
          <t>SwipeableItem playground scenario.</t>
        </is>
      </c>
      <c r="J23" s="124" t="n"/>
      <c r="K23" s="125">
        <f>IF(AND(E23="yes",F23="yes",H23="covered"),1,IF(H23="partial",0.5,0))</f>
        <v/>
      </c>
    </row>
    <row r="24" ht="15" customHeight="1" s="58">
      <c r="A24" s="123" t="n">
        <v>16</v>
      </c>
      <c r="B24" s="124" t="inlineStr">
        <is>
          <t>Identity</t>
        </is>
      </c>
      <c r="C24" s="124" t="inlineStr">
        <is>
          <t>Root</t>
        </is>
      </c>
      <c r="D24" s="124" t="inlineStr">
        <is>
          <t>data-slot is present and correct</t>
        </is>
      </c>
      <c r="E24" s="123" t="inlineStr">
        <is>
          <t>yes</t>
        </is>
      </c>
      <c r="F24" s="123" t="inlineStr">
        <is>
          <t>yes</t>
        </is>
      </c>
      <c r="G24" s="123" t="inlineStr">
        <is>
          <t>passed manual test</t>
        </is>
      </c>
      <c r="H24" s="120" t="inlineStr">
        <is>
          <t>covered</t>
        </is>
      </c>
      <c r="I24" s="124" t="inlineStr">
        <is>
          <t>SwipeableItem playground scenario.</t>
        </is>
      </c>
      <c r="J24" s="124" t="n"/>
      <c r="K24" s="125">
        <f>IF(AND(E24="yes",F24="yes",H24="covered"),1,IF(H24="partial",0.5,0))</f>
        <v/>
      </c>
    </row>
    <row r="25" ht="15" customHeight="1" s="58">
      <c r="A25" s="123" t="n">
        <v>17</v>
      </c>
      <c r="B25" s="124" t="inlineStr">
        <is>
          <t>Props</t>
        </is>
      </c>
      <c r="C25" s="124" t="inlineStr">
        <is>
          <t>Root</t>
        </is>
      </c>
      <c r="D25" s="124" t="inlineStr">
        <is>
          <t>non-Atom native props pass through with data-prop-check marker</t>
        </is>
      </c>
      <c r="E25" s="123" t="inlineStr">
        <is>
          <t>yes</t>
        </is>
      </c>
      <c r="F25" s="123" t="inlineStr">
        <is>
          <t>yes</t>
        </is>
      </c>
      <c r="G25" s="123" t="inlineStr">
        <is>
          <t>passed manual test</t>
        </is>
      </c>
      <c r="H25" s="120" t="inlineStr">
        <is>
          <t>covered</t>
        </is>
      </c>
      <c r="I25" s="124" t="inlineStr">
        <is>
          <t>SwipeableItem playground scenario.</t>
        </is>
      </c>
      <c r="J25" s="124" t="n"/>
      <c r="K25" s="125">
        <f>IF(AND(E25="yes",F25="yes",H25="covered"),1,IF(H25="partial",0.5,0))</f>
        <v/>
      </c>
    </row>
    <row r="26" ht="15" customHeight="1" s="58">
      <c r="A26" s="123" t="n">
        <v>18</v>
      </c>
      <c r="B26" s="124" t="inlineStr">
        <is>
          <t>Refs</t>
        </is>
      </c>
      <c r="C26" s="124" t="inlineStr">
        <is>
          <t>Root</t>
        </is>
      </c>
      <c r="D26" s="124" t="inlineStr">
        <is>
          <t>consumer ref receives the rendered element</t>
        </is>
      </c>
      <c r="E26" s="123" t="inlineStr">
        <is>
          <t>yes</t>
        </is>
      </c>
      <c r="F26" s="123" t="inlineStr">
        <is>
          <t>yes</t>
        </is>
      </c>
      <c r="G26" s="123" t="inlineStr">
        <is>
          <t>passed manual test</t>
        </is>
      </c>
      <c r="H26" s="120" t="inlineStr">
        <is>
          <t>covered</t>
        </is>
      </c>
      <c r="I26" s="124" t="inlineStr">
        <is>
          <t>SwipeableItem playground scenario.</t>
        </is>
      </c>
      <c r="J26" s="124" t="n"/>
      <c r="K26" s="125">
        <f>IF(AND(E26="yes",F26="yes",H26="covered"),1,IF(H26="partial",0.5,0))</f>
        <v/>
      </c>
    </row>
    <row r="27" ht="15" customHeight="1" s="58">
      <c r="A27" s="123" t="n">
        <v>19</v>
      </c>
      <c r="B27" s="124" t="inlineStr">
        <is>
          <t>Composition</t>
        </is>
      </c>
      <c r="C27" s="124" t="inlineStr">
        <is>
          <t>Root</t>
        </is>
      </c>
      <c r="D27" s="124" t="inlineStr">
        <is>
          <t>asChild prop behavior</t>
        </is>
      </c>
      <c r="E27" s="123" t="inlineStr">
        <is>
          <t>yes</t>
        </is>
      </c>
      <c r="F27" s="123" t="inlineStr">
        <is>
          <t>yes</t>
        </is>
      </c>
      <c r="G27" s="123" t="inlineStr">
        <is>
          <t>passed manual test</t>
        </is>
      </c>
      <c r="H27" s="120" t="inlineStr">
        <is>
          <t>covered</t>
        </is>
      </c>
      <c r="I27" s="124" t="inlineStr">
        <is>
          <t>SwipeableItem playground scenario.</t>
        </is>
      </c>
      <c r="J27" s="124" t="n"/>
      <c r="K27" s="125">
        <f>IF(AND(E27="yes",F27="yes",H27="covered"),1,IF(H27="partial",0.5,0))</f>
        <v/>
      </c>
    </row>
    <row r="28" ht="15" customHeight="1" s="58">
      <c r="A28" s="123" t="n">
        <v>20</v>
      </c>
      <c r="B28" s="124" t="inlineStr">
        <is>
          <t>Composition</t>
        </is>
      </c>
      <c r="C28" s="124" t="inlineStr">
        <is>
          <t>Root</t>
        </is>
      </c>
      <c r="D28" s="124" t="inlineStr">
        <is>
          <t>render prop behavior</t>
        </is>
      </c>
      <c r="E28" s="123" t="inlineStr">
        <is>
          <t>yes</t>
        </is>
      </c>
      <c r="F28" s="123" t="inlineStr">
        <is>
          <t>yes</t>
        </is>
      </c>
      <c r="G28" s="123" t="inlineStr">
        <is>
          <t>passed manual test</t>
        </is>
      </c>
      <c r="H28" s="120" t="inlineStr">
        <is>
          <t>covered</t>
        </is>
      </c>
      <c r="I28" s="124" t="inlineStr">
        <is>
          <t>SwipeableItem playground scenario.</t>
        </is>
      </c>
      <c r="J28" s="124" t="n"/>
      <c r="K28" s="125">
        <f>IF(AND(E28="yes",F28="yes",H28="covered"),1,IF(H28="partial",0.5,0))</f>
        <v/>
      </c>
    </row>
    <row r="29" ht="15" customHeight="1" s="58">
      <c r="A29" s="123" t="n">
        <v>21</v>
      </c>
      <c r="B29" s="124" t="inlineStr">
        <is>
          <t>State</t>
        </is>
      </c>
      <c r="C29" s="124" t="inlineStr">
        <is>
          <t>Root</t>
        </is>
      </c>
      <c r="D29" s="124" t="inlineStr">
        <is>
          <t>openSide prop behavior</t>
        </is>
      </c>
      <c r="E29" s="123" t="inlineStr">
        <is>
          <t>yes</t>
        </is>
      </c>
      <c r="F29" s="123" t="inlineStr">
        <is>
          <t>yes</t>
        </is>
      </c>
      <c r="G29" s="123" t="inlineStr">
        <is>
          <t>passed manual test</t>
        </is>
      </c>
      <c r="H29" s="120" t="inlineStr">
        <is>
          <t>covered</t>
        </is>
      </c>
      <c r="I29" s="124" t="inlineStr">
        <is>
          <t>SwipeableItem playground scenario.</t>
        </is>
      </c>
      <c r="J29" s="124" t="n"/>
      <c r="K29" s="125">
        <f>IF(AND(E29="yes",F29="yes",H29="covered"),1,IF(H29="partial",0.5,0))</f>
        <v/>
      </c>
    </row>
    <row r="30" ht="15" customHeight="1" s="58">
      <c r="A30" s="123" t="n">
        <v>22</v>
      </c>
      <c r="B30" s="124" t="inlineStr">
        <is>
          <t>State</t>
        </is>
      </c>
      <c r="C30" s="124" t="inlineStr">
        <is>
          <t>Root</t>
        </is>
      </c>
      <c r="D30" s="124" t="inlineStr">
        <is>
          <t>defaultOpenSide prop behavior</t>
        </is>
      </c>
      <c r="E30" s="123" t="inlineStr">
        <is>
          <t>yes</t>
        </is>
      </c>
      <c r="F30" s="123" t="inlineStr">
        <is>
          <t>yes</t>
        </is>
      </c>
      <c r="G30" s="123" t="inlineStr">
        <is>
          <t>passed manual test</t>
        </is>
      </c>
      <c r="H30" s="120" t="inlineStr">
        <is>
          <t>covered</t>
        </is>
      </c>
      <c r="I30" s="124" t="inlineStr">
        <is>
          <t>SwipeableItem playground scenario.</t>
        </is>
      </c>
      <c r="J30" s="124" t="n"/>
      <c r="K30" s="125">
        <f>IF(AND(E30="yes",F30="yes",H30="covered"),1,IF(H30="partial",0.5,0))</f>
        <v/>
      </c>
    </row>
    <row r="31" ht="15" customHeight="1" s="58">
      <c r="A31" s="123" t="n">
        <v>23</v>
      </c>
      <c r="B31" s="124" t="inlineStr">
        <is>
          <t>State</t>
        </is>
      </c>
      <c r="C31" s="124" t="inlineStr">
        <is>
          <t>Root</t>
        </is>
      </c>
      <c r="D31" s="124" t="inlineStr">
        <is>
          <t>onOpenSideChange prop behavior</t>
        </is>
      </c>
      <c r="E31" s="123" t="inlineStr">
        <is>
          <t>yes</t>
        </is>
      </c>
      <c r="F31" s="123" t="inlineStr">
        <is>
          <t>yes</t>
        </is>
      </c>
      <c r="G31" s="123" t="inlineStr">
        <is>
          <t>passed manual test</t>
        </is>
      </c>
      <c r="H31" s="120" t="inlineStr">
        <is>
          <t>covered</t>
        </is>
      </c>
      <c r="I31" s="124" t="inlineStr">
        <is>
          <t>SwipeableItem playground scenario.</t>
        </is>
      </c>
      <c r="J31" s="124" t="n"/>
      <c r="K31" s="125">
        <f>IF(AND(E31="yes",F31="yes",H31="covered"),1,IF(H31="partial",0.5,0))</f>
        <v/>
      </c>
    </row>
    <row r="32" ht="15" customHeight="1" s="58">
      <c r="A32" s="123" t="n">
        <v>24</v>
      </c>
      <c r="B32" s="124" t="inlineStr">
        <is>
          <t>State</t>
        </is>
      </c>
      <c r="C32" s="124" t="inlineStr">
        <is>
          <t>Root</t>
        </is>
      </c>
      <c r="D32" s="124" t="inlineStr">
        <is>
          <t>onFullSwipe prop behavior</t>
        </is>
      </c>
      <c r="E32" s="123" t="inlineStr">
        <is>
          <t>yes</t>
        </is>
      </c>
      <c r="F32" s="123" t="inlineStr">
        <is>
          <t>yes</t>
        </is>
      </c>
      <c r="G32" s="123" t="inlineStr">
        <is>
          <t>passed manual test</t>
        </is>
      </c>
      <c r="H32" s="120" t="inlineStr">
        <is>
          <t>covered</t>
        </is>
      </c>
      <c r="I32" s="124" t="inlineStr">
        <is>
          <t>SwipeableItem playground scenario.</t>
        </is>
      </c>
      <c r="J32" s="124" t="n"/>
      <c r="K32" s="125">
        <f>IF(AND(E32="yes",F32="yes",H32="covered"),1,IF(H32="partial",0.5,0))</f>
        <v/>
      </c>
    </row>
    <row r="33" ht="15" customHeight="1" s="58">
      <c r="A33" s="123" t="n">
        <v>25</v>
      </c>
      <c r="B33" s="124" t="inlineStr">
        <is>
          <t>State</t>
        </is>
      </c>
      <c r="C33" s="124" t="inlineStr">
        <is>
          <t>Root</t>
        </is>
      </c>
      <c r="D33" s="124" t="inlineStr">
        <is>
          <t>disabled prop behavior</t>
        </is>
      </c>
      <c r="E33" s="123" t="inlineStr">
        <is>
          <t>yes</t>
        </is>
      </c>
      <c r="F33" s="123" t="inlineStr">
        <is>
          <t>yes</t>
        </is>
      </c>
      <c r="G33" s="123" t="inlineStr">
        <is>
          <t>passed manual test</t>
        </is>
      </c>
      <c r="H33" s="120" t="inlineStr">
        <is>
          <t>covered</t>
        </is>
      </c>
      <c r="I33" s="124" t="inlineStr">
        <is>
          <t>SwipeableItem playground scenario.</t>
        </is>
      </c>
      <c r="J33" s="124" t="n"/>
      <c r="K33" s="125">
        <f>IF(AND(E33="yes",F33="yes",H33="covered"),1,IF(H33="partial",0.5,0))</f>
        <v/>
      </c>
    </row>
    <row r="34" ht="15" customHeight="1" s="58">
      <c r="A34" s="123" t="n">
        <v>26</v>
      </c>
      <c r="B34" s="124" t="inlineStr">
        <is>
          <t>State</t>
        </is>
      </c>
      <c r="C34" s="124" t="inlineStr">
        <is>
          <t>Root</t>
        </is>
      </c>
      <c r="D34" s="124" t="inlineStr">
        <is>
          <t>readOnly prop behavior</t>
        </is>
      </c>
      <c r="E34" s="123" t="inlineStr">
        <is>
          <t>yes</t>
        </is>
      </c>
      <c r="F34" s="123" t="inlineStr">
        <is>
          <t>yes</t>
        </is>
      </c>
      <c r="G34" s="123" t="inlineStr">
        <is>
          <t>passed manual test</t>
        </is>
      </c>
      <c r="H34" s="120" t="inlineStr">
        <is>
          <t>covered</t>
        </is>
      </c>
      <c r="I34" s="124" t="inlineStr">
        <is>
          <t>SwipeableItem playground scenario.</t>
        </is>
      </c>
      <c r="J34" s="124" t="n"/>
      <c r="K34" s="125">
        <f>IF(AND(E34="yes",F34="yes",H34="covered"),1,IF(H34="partial",0.5,0))</f>
        <v/>
      </c>
    </row>
    <row r="35" ht="15" customHeight="1" s="58">
      <c r="A35" s="123" t="n">
        <v>27</v>
      </c>
      <c r="B35" s="124" t="inlineStr">
        <is>
          <t>Public API</t>
        </is>
      </c>
      <c r="C35" s="124" t="inlineStr">
        <is>
          <t>Root</t>
        </is>
      </c>
      <c r="D35" s="124" t="inlineStr">
        <is>
          <t>threshold prop behavior</t>
        </is>
      </c>
      <c r="E35" s="123" t="inlineStr">
        <is>
          <t>yes</t>
        </is>
      </c>
      <c r="F35" s="123" t="inlineStr">
        <is>
          <t>yes</t>
        </is>
      </c>
      <c r="G35" s="123" t="inlineStr">
        <is>
          <t>passed manual test</t>
        </is>
      </c>
      <c r="H35" s="120" t="inlineStr">
        <is>
          <t>covered</t>
        </is>
      </c>
      <c r="I35" s="124" t="inlineStr">
        <is>
          <t>SwipeableItem playground scenario.</t>
        </is>
      </c>
      <c r="J35" s="124" t="n"/>
      <c r="K35" s="125">
        <f>IF(AND(E35="yes",F35="yes",H35="covered"),1,IF(H35="partial",0.5,0))</f>
        <v/>
      </c>
    </row>
    <row r="36" ht="15" customHeight="1" s="58">
      <c r="A36" s="123" t="n">
        <v>28</v>
      </c>
      <c r="B36" s="124" t="inlineStr">
        <is>
          <t>Public API</t>
        </is>
      </c>
      <c r="C36" s="124" t="inlineStr">
        <is>
          <t>Root</t>
        </is>
      </c>
      <c r="D36" s="124" t="inlineStr">
        <is>
          <t>fullSwipeThreshold prop behavior</t>
        </is>
      </c>
      <c r="E36" s="123" t="inlineStr">
        <is>
          <t>yes</t>
        </is>
      </c>
      <c r="F36" s="123" t="inlineStr">
        <is>
          <t>yes</t>
        </is>
      </c>
      <c r="G36" s="123" t="inlineStr">
        <is>
          <t>passed manual test</t>
        </is>
      </c>
      <c r="H36" s="120" t="inlineStr">
        <is>
          <t>covered</t>
        </is>
      </c>
      <c r="I36" s="124" t="inlineStr">
        <is>
          <t>SwipeableItem playground scenario.</t>
        </is>
      </c>
      <c r="J36" s="124" t="n"/>
      <c r="K36" s="125">
        <f>IF(AND(E36="yes",F36="yes",H36="covered"),1,IF(H36="partial",0.5,0))</f>
        <v/>
      </c>
    </row>
    <row r="37" ht="15" customHeight="1" s="58">
      <c r="A37" s="123" t="n">
        <v>29</v>
      </c>
      <c r="B37" s="124" t="inlineStr">
        <is>
          <t>Public API</t>
        </is>
      </c>
      <c r="C37" s="124" t="inlineStr">
        <is>
          <t>Root</t>
        </is>
      </c>
      <c r="D37" s="124" t="inlineStr">
        <is>
          <t>dir prop behavior</t>
        </is>
      </c>
      <c r="E37" s="123" t="inlineStr">
        <is>
          <t>yes</t>
        </is>
      </c>
      <c r="F37" s="123" t="inlineStr">
        <is>
          <t>yes</t>
        </is>
      </c>
      <c r="G37" s="123" t="inlineStr">
        <is>
          <t>passed manual test</t>
        </is>
      </c>
      <c r="H37" s="120" t="inlineStr">
        <is>
          <t>covered</t>
        </is>
      </c>
      <c r="I37" s="124" t="inlineStr">
        <is>
          <t>SwipeableItem playground scenario.</t>
        </is>
      </c>
      <c r="J37" s="124" t="n"/>
      <c r="K37" s="125">
        <f>IF(AND(E37="yes",F37="yes",H37="covered"),1,IF(H37="partial",0.5,0))</f>
        <v/>
      </c>
    </row>
    <row r="38" ht="15" customHeight="1" s="58">
      <c r="A38" s="123" t="n">
        <v>30</v>
      </c>
      <c r="B38" s="124" t="inlineStr">
        <is>
          <t>Public API</t>
        </is>
      </c>
      <c r="C38" s="124" t="inlineStr">
        <is>
          <t>Root</t>
        </is>
      </c>
      <c r="D38" s="124" t="inlineStr">
        <is>
          <t>[data-slot] prop behavior</t>
        </is>
      </c>
      <c r="E38" s="123" t="inlineStr">
        <is>
          <t>yes</t>
        </is>
      </c>
      <c r="F38" s="123" t="inlineStr">
        <is>
          <t>yes</t>
        </is>
      </c>
      <c r="G38" s="123" t="inlineStr">
        <is>
          <t>passed manual test</t>
        </is>
      </c>
      <c r="H38" s="120" t="inlineStr">
        <is>
          <t>covered</t>
        </is>
      </c>
      <c r="I38" s="124" t="inlineStr">
        <is>
          <t>SwipeableItem playground scenario.</t>
        </is>
      </c>
      <c r="J38" s="124" t="n"/>
      <c r="K38" s="125">
        <f>IF(AND(E38="yes",F38="yes",H38="covered"),1,IF(H38="partial",0.5,0))</f>
        <v/>
      </c>
    </row>
    <row r="39" ht="15" customHeight="1" s="58">
      <c r="A39" s="123" t="n">
        <v>31</v>
      </c>
      <c r="B39" s="124" t="inlineStr">
        <is>
          <t>Public API</t>
        </is>
      </c>
      <c r="C39" s="124" t="inlineStr">
        <is>
          <t>Root</t>
        </is>
      </c>
      <c r="D39" s="124" t="inlineStr">
        <is>
          <t>[data-state] prop behavior</t>
        </is>
      </c>
      <c r="E39" s="123" t="inlineStr">
        <is>
          <t>yes</t>
        </is>
      </c>
      <c r="F39" s="123" t="inlineStr">
        <is>
          <t>yes</t>
        </is>
      </c>
      <c r="G39" s="123" t="inlineStr">
        <is>
          <t>passed manual test</t>
        </is>
      </c>
      <c r="H39" s="120" t="inlineStr">
        <is>
          <t>covered</t>
        </is>
      </c>
      <c r="I39" s="124" t="inlineStr">
        <is>
          <t>SwipeableItem playground scenario.</t>
        </is>
      </c>
      <c r="J39" s="124" t="n"/>
      <c r="K39" s="125">
        <f>IF(AND(E39="yes",F39="yes",H39="covered"),1,IF(H39="partial",0.5,0))</f>
        <v/>
      </c>
    </row>
    <row r="40" ht="15" customHeight="1" s="58">
      <c r="A40" s="123" t="n">
        <v>32</v>
      </c>
      <c r="B40" s="124" t="inlineStr">
        <is>
          <t>Positioning</t>
        </is>
      </c>
      <c r="C40" s="124" t="inlineStr">
        <is>
          <t>Root</t>
        </is>
      </c>
      <c r="D40" s="124" t="inlineStr">
        <is>
          <t>[data-side] prop behavior</t>
        </is>
      </c>
      <c r="E40" s="123" t="inlineStr">
        <is>
          <t>yes</t>
        </is>
      </c>
      <c r="F40" s="123" t="inlineStr">
        <is>
          <t>yes</t>
        </is>
      </c>
      <c r="G40" s="123" t="inlineStr">
        <is>
          <t>passed manual test</t>
        </is>
      </c>
      <c r="H40" s="120" t="inlineStr">
        <is>
          <t>covered</t>
        </is>
      </c>
      <c r="I40" s="124" t="inlineStr">
        <is>
          <t>SwipeableItem playground scenario.</t>
        </is>
      </c>
      <c r="J40" s="124" t="n"/>
      <c r="K40" s="125">
        <f>IF(AND(E40="yes",F40="yes",H40="covered"),1,IF(H40="partial",0.5,0))</f>
        <v/>
      </c>
    </row>
    <row r="41" ht="15" customHeight="1" s="58">
      <c r="A41" s="123" t="n">
        <v>33</v>
      </c>
      <c r="B41" s="124" t="inlineStr">
        <is>
          <t>Public API</t>
        </is>
      </c>
      <c r="C41" s="124" t="inlineStr">
        <is>
          <t>Root</t>
        </is>
      </c>
      <c r="D41" s="124" t="inlineStr">
        <is>
          <t>[data-dragging] prop behavior</t>
        </is>
      </c>
      <c r="E41" s="123" t="inlineStr">
        <is>
          <t>yes</t>
        </is>
      </c>
      <c r="F41" s="123" t="inlineStr">
        <is>
          <t>yes</t>
        </is>
      </c>
      <c r="G41" s="123" t="inlineStr">
        <is>
          <t>passed manual test</t>
        </is>
      </c>
      <c r="H41" s="120" t="inlineStr">
        <is>
          <t>covered</t>
        </is>
      </c>
      <c r="I41" s="124" t="inlineStr">
        <is>
          <t>SwipeableItem playground scenario.</t>
        </is>
      </c>
      <c r="J41" s="124" t="n"/>
      <c r="K41" s="125">
        <f>IF(AND(E41="yes",F41="yes",H41="covered"),1,IF(H41="partial",0.5,0))</f>
        <v/>
      </c>
    </row>
    <row r="42" ht="15" customHeight="1" s="58">
      <c r="A42" s="123" t="n">
        <v>34</v>
      </c>
      <c r="B42" s="124" t="inlineStr">
        <is>
          <t>State</t>
        </is>
      </c>
      <c r="C42" s="124" t="inlineStr">
        <is>
          <t>Root</t>
        </is>
      </c>
      <c r="D42" s="124" t="inlineStr">
        <is>
          <t>[data-disabled] prop behavior</t>
        </is>
      </c>
      <c r="E42" s="123" t="inlineStr">
        <is>
          <t>yes</t>
        </is>
      </c>
      <c r="F42" s="123" t="inlineStr">
        <is>
          <t>yes</t>
        </is>
      </c>
      <c r="G42" s="123" t="inlineStr">
        <is>
          <t>passed manual test</t>
        </is>
      </c>
      <c r="H42" s="120" t="inlineStr">
        <is>
          <t>covered</t>
        </is>
      </c>
      <c r="I42" s="124" t="inlineStr">
        <is>
          <t>SwipeableItem playground scenario.</t>
        </is>
      </c>
      <c r="J42" s="124" t="n"/>
      <c r="K42" s="125">
        <f>IF(AND(E42="yes",F42="yes",H42="covered"),1,IF(H42="partial",0.5,0))</f>
        <v/>
      </c>
    </row>
    <row r="43" ht="15" customHeight="1" s="58">
      <c r="A43" s="123" t="n">
        <v>35</v>
      </c>
      <c r="B43" s="124" t="inlineStr">
        <is>
          <t>State</t>
        </is>
      </c>
      <c r="C43" s="124" t="inlineStr">
        <is>
          <t>Root</t>
        </is>
      </c>
      <c r="D43" s="124" t="inlineStr">
        <is>
          <t>[data-readonly] prop behavior</t>
        </is>
      </c>
      <c r="E43" s="123" t="inlineStr">
        <is>
          <t>yes</t>
        </is>
      </c>
      <c r="F43" s="123" t="inlineStr">
        <is>
          <t>yes</t>
        </is>
      </c>
      <c r="G43" s="123" t="inlineStr">
        <is>
          <t>passed manual test</t>
        </is>
      </c>
      <c r="H43" s="120" t="inlineStr">
        <is>
          <t>covered</t>
        </is>
      </c>
      <c r="I43" s="124" t="inlineStr">
        <is>
          <t>SwipeableItem playground scenario.</t>
        </is>
      </c>
      <c r="J43" s="124" t="n"/>
      <c r="K43" s="125">
        <f>IF(AND(E43="yes",F43="yes",H43="covered"),1,IF(H43="partial",0.5,0))</f>
        <v/>
      </c>
    </row>
    <row r="44" ht="15" customHeight="1" s="58">
      <c r="A44" s="123" t="n">
        <v>36</v>
      </c>
      <c r="B44" s="124" t="inlineStr">
        <is>
          <t>Positioning</t>
        </is>
      </c>
      <c r="C44" s="124" t="inlineStr">
        <is>
          <t>Root</t>
        </is>
      </c>
      <c r="D44" s="124" t="inlineStr">
        <is>
          <t>--atom-swipeable-item-offset prop behavior</t>
        </is>
      </c>
      <c r="E44" s="123" t="inlineStr">
        <is>
          <t>yes</t>
        </is>
      </c>
      <c r="F44" s="123" t="inlineStr">
        <is>
          <t>yes</t>
        </is>
      </c>
      <c r="G44" s="123" t="inlineStr">
        <is>
          <t>passed manual test</t>
        </is>
      </c>
      <c r="H44" s="120" t="inlineStr">
        <is>
          <t>covered</t>
        </is>
      </c>
      <c r="I44" s="124" t="inlineStr">
        <is>
          <t>SwipeableItem playground scenario.</t>
        </is>
      </c>
      <c r="J44" s="124" t="n"/>
      <c r="K44" s="125">
        <f>IF(AND(E44="yes",F44="yes",H44="covered"),1,IF(H44="partial",0.5,0))</f>
        <v/>
      </c>
    </row>
    <row r="45" ht="15" customHeight="1" s="58">
      <c r="A45" s="123" t="n">
        <v>37</v>
      </c>
      <c r="B45" s="124" t="inlineStr">
        <is>
          <t>Public API</t>
        </is>
      </c>
      <c r="C45" s="124" t="inlineStr">
        <is>
          <t>Root</t>
        </is>
      </c>
      <c r="D45" s="124" t="inlineStr">
        <is>
          <t>--atom-swipeable-item-start-size prop behavior</t>
        </is>
      </c>
      <c r="E45" s="123" t="inlineStr">
        <is>
          <t>yes</t>
        </is>
      </c>
      <c r="F45" s="123" t="inlineStr">
        <is>
          <t>yes</t>
        </is>
      </c>
      <c r="G45" s="123" t="inlineStr">
        <is>
          <t>passed manual test</t>
        </is>
      </c>
      <c r="H45" s="120" t="inlineStr">
        <is>
          <t>covered</t>
        </is>
      </c>
      <c r="I45" s="124" t="inlineStr">
        <is>
          <t>SwipeableItem playground scenario.</t>
        </is>
      </c>
      <c r="J45" s="124" t="n"/>
      <c r="K45" s="125">
        <f>IF(AND(E45="yes",F45="yes",H45="covered"),1,IF(H45="partial",0.5,0))</f>
        <v/>
      </c>
    </row>
    <row r="46" ht="15" customHeight="1" s="58">
      <c r="A46" s="123" t="n">
        <v>38</v>
      </c>
      <c r="B46" s="124" t="inlineStr">
        <is>
          <t>Public API</t>
        </is>
      </c>
      <c r="C46" s="124" t="inlineStr">
        <is>
          <t>Root</t>
        </is>
      </c>
      <c r="D46" s="124" t="inlineStr">
        <is>
          <t>--atom-swipeable-item-end-size prop behavior</t>
        </is>
      </c>
      <c r="E46" s="123" t="inlineStr">
        <is>
          <t>yes</t>
        </is>
      </c>
      <c r="F46" s="123" t="inlineStr">
        <is>
          <t>yes</t>
        </is>
      </c>
      <c r="G46" s="123" t="inlineStr">
        <is>
          <t>passed manual test</t>
        </is>
      </c>
      <c r="H46" s="120" t="inlineStr">
        <is>
          <t>covered</t>
        </is>
      </c>
      <c r="I46" s="124" t="inlineStr">
        <is>
          <t>SwipeableItem playground scenario.</t>
        </is>
      </c>
      <c r="J46" s="124" t="n"/>
      <c r="K46" s="125">
        <f>IF(AND(E46="yes",F46="yes",H46="covered"),1,IF(H46="partial",0.5,0))</f>
        <v/>
      </c>
    </row>
    <row r="47" ht="15" customHeight="1" s="58">
      <c r="A47" s="123" t="n">
        <v>39</v>
      </c>
      <c r="B47" s="124" t="inlineStr">
        <is>
          <t>Anatomy</t>
        </is>
      </c>
      <c r="C47" s="124" t="inlineStr">
        <is>
          <t>Content</t>
        </is>
      </c>
      <c r="D47" s="124" t="inlineStr">
        <is>
          <t>renders correct part when expected</t>
        </is>
      </c>
      <c r="E47" s="123" t="inlineStr">
        <is>
          <t>yes</t>
        </is>
      </c>
      <c r="F47" s="123" t="inlineStr">
        <is>
          <t>yes</t>
        </is>
      </c>
      <c r="G47" s="123" t="inlineStr">
        <is>
          <t>passed manual test</t>
        </is>
      </c>
      <c r="H47" s="120" t="inlineStr">
        <is>
          <t>covered</t>
        </is>
      </c>
      <c r="I47" s="124" t="inlineStr">
        <is>
          <t>SwipeableItem playground scenario.</t>
        </is>
      </c>
      <c r="J47" s="124" t="n"/>
      <c r="K47" s="125">
        <f>IF(AND(E47="yes",F47="yes",H47="covered"),1,IF(H47="partial",0.5,0))</f>
        <v/>
      </c>
    </row>
    <row r="48" ht="15" customHeight="1" s="58">
      <c r="A48" s="123" t="n">
        <v>40</v>
      </c>
      <c r="B48" s="124" t="inlineStr">
        <is>
          <t>Anatomy</t>
        </is>
      </c>
      <c r="C48" s="124" t="inlineStr">
        <is>
          <t>Content</t>
        </is>
      </c>
      <c r="D48" s="124" t="inlineStr">
        <is>
          <t>appears in documented order</t>
        </is>
      </c>
      <c r="E48" s="123" t="inlineStr">
        <is>
          <t>yes</t>
        </is>
      </c>
      <c r="F48" s="123" t="inlineStr">
        <is>
          <t>yes</t>
        </is>
      </c>
      <c r="G48" s="123" t="inlineStr">
        <is>
          <t>passed manual test</t>
        </is>
      </c>
      <c r="H48" s="120" t="inlineStr">
        <is>
          <t>covered</t>
        </is>
      </c>
      <c r="I48" s="124" t="inlineStr">
        <is>
          <t>SwipeableItem playground scenario.</t>
        </is>
      </c>
      <c r="J48" s="124" t="n"/>
      <c r="K48" s="125">
        <f>IF(AND(E48="yes",F48="yes",H48="covered"),1,IF(H48="partial",0.5,0))</f>
        <v/>
      </c>
    </row>
    <row r="49" ht="30" customHeight="1" s="58">
      <c r="A49" s="123" t="n">
        <v>41</v>
      </c>
      <c r="B49" s="124" t="inlineStr">
        <is>
          <t>Identity</t>
        </is>
      </c>
      <c r="C49" s="124" t="inlineStr">
        <is>
          <t>Content</t>
        </is>
      </c>
      <c r="D49" s="124" t="inlineStr">
        <is>
          <t>default tag is visible in Anatomy/Inspector</t>
        </is>
      </c>
      <c r="E49" s="123" t="inlineStr">
        <is>
          <t>yes</t>
        </is>
      </c>
      <c r="F49" s="123" t="inlineStr">
        <is>
          <t>yes</t>
        </is>
      </c>
      <c r="G49" s="123" t="inlineStr">
        <is>
          <t>passed manual test</t>
        </is>
      </c>
      <c r="H49" s="120" t="inlineStr">
        <is>
          <t>covered</t>
        </is>
      </c>
      <c r="I49" s="124" t="inlineStr">
        <is>
          <t>SwipeableItem playground scenario.</t>
        </is>
      </c>
      <c r="J49" s="124" t="n"/>
      <c r="K49" s="125">
        <f>IF(AND(E49="yes",F49="yes",H49="covered"),1,IF(H49="partial",0.5,0))</f>
        <v/>
      </c>
    </row>
    <row r="50" ht="15" customHeight="1" s="58">
      <c r="A50" s="123" t="n">
        <v>42</v>
      </c>
      <c r="B50" s="124" t="inlineStr">
        <is>
          <t>Identity</t>
        </is>
      </c>
      <c r="C50" s="124" t="inlineStr">
        <is>
          <t>Content</t>
        </is>
      </c>
      <c r="D50" s="124" t="inlineStr">
        <is>
          <t>data-slot is present and correct</t>
        </is>
      </c>
      <c r="E50" s="123" t="inlineStr">
        <is>
          <t>yes</t>
        </is>
      </c>
      <c r="F50" s="123" t="inlineStr">
        <is>
          <t>yes</t>
        </is>
      </c>
      <c r="G50" s="123" t="inlineStr">
        <is>
          <t>passed manual test</t>
        </is>
      </c>
      <c r="H50" s="120" t="inlineStr">
        <is>
          <t>covered</t>
        </is>
      </c>
      <c r="I50" s="124" t="inlineStr">
        <is>
          <t>SwipeableItem playground scenario.</t>
        </is>
      </c>
      <c r="J50" s="124" t="n"/>
      <c r="K50" s="125">
        <f>IF(AND(E50="yes",F50="yes",H50="covered"),1,IF(H50="partial",0.5,0))</f>
        <v/>
      </c>
    </row>
    <row r="51" ht="15" customHeight="1" s="58">
      <c r="A51" s="123" t="n">
        <v>43</v>
      </c>
      <c r="B51" s="124" t="inlineStr">
        <is>
          <t>Props</t>
        </is>
      </c>
      <c r="C51" s="124" t="inlineStr">
        <is>
          <t>Content</t>
        </is>
      </c>
      <c r="D51" s="124" t="inlineStr">
        <is>
          <t>non-Atom native props pass through with data-prop-check marker</t>
        </is>
      </c>
      <c r="E51" s="123" t="inlineStr">
        <is>
          <t>yes</t>
        </is>
      </c>
      <c r="F51" s="123" t="inlineStr">
        <is>
          <t>yes</t>
        </is>
      </c>
      <c r="G51" s="123" t="inlineStr">
        <is>
          <t>passed manual test</t>
        </is>
      </c>
      <c r="H51" s="120" t="inlineStr">
        <is>
          <t>covered</t>
        </is>
      </c>
      <c r="I51" s="124" t="inlineStr">
        <is>
          <t>SwipeableItem playground scenario.</t>
        </is>
      </c>
      <c r="J51" s="124" t="n"/>
      <c r="K51" s="125">
        <f>IF(AND(E51="yes",F51="yes",H51="covered"),1,IF(H51="partial",0.5,0))</f>
        <v/>
      </c>
    </row>
    <row r="52" ht="15" customHeight="1" s="58">
      <c r="A52" s="123" t="n">
        <v>44</v>
      </c>
      <c r="B52" s="124" t="inlineStr">
        <is>
          <t>Refs</t>
        </is>
      </c>
      <c r="C52" s="124" t="inlineStr">
        <is>
          <t>Content</t>
        </is>
      </c>
      <c r="D52" s="124" t="inlineStr">
        <is>
          <t>consumer ref receives the rendered element</t>
        </is>
      </c>
      <c r="E52" s="123" t="inlineStr">
        <is>
          <t>yes</t>
        </is>
      </c>
      <c r="F52" s="123" t="inlineStr">
        <is>
          <t>yes</t>
        </is>
      </c>
      <c r="G52" s="123" t="inlineStr">
        <is>
          <t>passed manual test</t>
        </is>
      </c>
      <c r="H52" s="120" t="inlineStr">
        <is>
          <t>covered</t>
        </is>
      </c>
      <c r="I52" s="124" t="inlineStr">
        <is>
          <t>SwipeableItem playground scenario.</t>
        </is>
      </c>
      <c r="J52" s="124" t="n"/>
      <c r="K52" s="125">
        <f>IF(AND(E52="yes",F52="yes",H52="covered"),1,IF(H52="partial",0.5,0))</f>
        <v/>
      </c>
    </row>
    <row r="53" ht="15" customHeight="1" s="58">
      <c r="A53" s="123" t="n">
        <v>45</v>
      </c>
      <c r="B53" s="124" t="inlineStr">
        <is>
          <t>Composition</t>
        </is>
      </c>
      <c r="C53" s="124" t="inlineStr">
        <is>
          <t>Content</t>
        </is>
      </c>
      <c r="D53" s="124" t="inlineStr">
        <is>
          <t>asChild prop behavior</t>
        </is>
      </c>
      <c r="E53" s="123" t="inlineStr">
        <is>
          <t>yes</t>
        </is>
      </c>
      <c r="F53" s="123" t="inlineStr">
        <is>
          <t>yes</t>
        </is>
      </c>
      <c r="G53" s="123" t="inlineStr">
        <is>
          <t>passed manual test</t>
        </is>
      </c>
      <c r="H53" s="120" t="inlineStr">
        <is>
          <t>covered</t>
        </is>
      </c>
      <c r="I53" s="124" t="inlineStr">
        <is>
          <t>SwipeableItem playground scenario.</t>
        </is>
      </c>
      <c r="J53" s="124" t="n"/>
      <c r="K53" s="125">
        <f>IF(AND(E53="yes",F53="yes",H53="covered"),1,IF(H53="partial",0.5,0))</f>
        <v/>
      </c>
    </row>
    <row r="54" ht="15" customHeight="1" s="58">
      <c r="A54" s="123" t="n">
        <v>46</v>
      </c>
      <c r="B54" s="124" t="inlineStr">
        <is>
          <t>Composition</t>
        </is>
      </c>
      <c r="C54" s="124" t="inlineStr">
        <is>
          <t>Content</t>
        </is>
      </c>
      <c r="D54" s="124" t="inlineStr">
        <is>
          <t>render prop behavior</t>
        </is>
      </c>
      <c r="E54" s="123" t="inlineStr">
        <is>
          <t>yes</t>
        </is>
      </c>
      <c r="F54" s="123" t="inlineStr">
        <is>
          <t>yes</t>
        </is>
      </c>
      <c r="G54" s="123" t="inlineStr">
        <is>
          <t>passed manual test</t>
        </is>
      </c>
      <c r="H54" s="120" t="inlineStr">
        <is>
          <t>covered</t>
        </is>
      </c>
      <c r="I54" s="124" t="inlineStr">
        <is>
          <t>SwipeableItem playground scenario.</t>
        </is>
      </c>
      <c r="J54" s="124" t="n"/>
      <c r="K54" s="125">
        <f>IF(AND(E54="yes",F54="yes",H54="covered"),1,IF(H54="partial",0.5,0))</f>
        <v/>
      </c>
    </row>
    <row r="55" ht="15" customHeight="1" s="58">
      <c r="A55" s="123" t="n">
        <v>47</v>
      </c>
      <c r="B55" s="124" t="inlineStr">
        <is>
          <t>Public API</t>
        </is>
      </c>
      <c r="C55" s="124" t="inlineStr">
        <is>
          <t>Content</t>
        </is>
      </c>
      <c r="D55" s="124" t="inlineStr">
        <is>
          <t>tabIndex prop behavior</t>
        </is>
      </c>
      <c r="E55" s="123" t="inlineStr">
        <is>
          <t>yes</t>
        </is>
      </c>
      <c r="F55" s="123" t="inlineStr">
        <is>
          <t>yes</t>
        </is>
      </c>
      <c r="G55" s="123" t="inlineStr">
        <is>
          <t>passed manual test</t>
        </is>
      </c>
      <c r="H55" s="120" t="inlineStr">
        <is>
          <t>covered</t>
        </is>
      </c>
      <c r="I55" s="124" t="inlineStr">
        <is>
          <t>SwipeableItem playground scenario.</t>
        </is>
      </c>
      <c r="J55" s="124" t="n"/>
      <c r="K55" s="125">
        <f>IF(AND(E55="yes",F55="yes",H55="covered"),1,IF(H55="partial",0.5,0))</f>
        <v/>
      </c>
    </row>
    <row r="56" ht="15" customHeight="1" s="58">
      <c r="A56" s="123" t="n">
        <v>48</v>
      </c>
      <c r="B56" s="124" t="inlineStr">
        <is>
          <t>Public API</t>
        </is>
      </c>
      <c r="C56" s="124" t="inlineStr">
        <is>
          <t>Content</t>
        </is>
      </c>
      <c r="D56" s="124" t="inlineStr">
        <is>
          <t>[data-slot] prop behavior</t>
        </is>
      </c>
      <c r="E56" s="123" t="inlineStr">
        <is>
          <t>yes</t>
        </is>
      </c>
      <c r="F56" s="123" t="inlineStr">
        <is>
          <t>yes</t>
        </is>
      </c>
      <c r="G56" s="123" t="inlineStr">
        <is>
          <t>passed manual test</t>
        </is>
      </c>
      <c r="H56" s="120" t="inlineStr">
        <is>
          <t>covered</t>
        </is>
      </c>
      <c r="I56" s="124" t="inlineStr">
        <is>
          <t>SwipeableItem playground scenario.</t>
        </is>
      </c>
      <c r="J56" s="124" t="n"/>
      <c r="K56" s="125">
        <f>IF(AND(E56="yes",F56="yes",H56="covered"),1,IF(H56="partial",0.5,0))</f>
        <v/>
      </c>
    </row>
    <row r="57" ht="15" customHeight="1" s="58">
      <c r="A57" s="123" t="n">
        <v>49</v>
      </c>
      <c r="B57" s="124" t="inlineStr">
        <is>
          <t>Public API</t>
        </is>
      </c>
      <c r="C57" s="124" t="inlineStr">
        <is>
          <t>Content</t>
        </is>
      </c>
      <c r="D57" s="124" t="inlineStr">
        <is>
          <t>[data-state] prop behavior</t>
        </is>
      </c>
      <c r="E57" s="123" t="inlineStr">
        <is>
          <t>yes</t>
        </is>
      </c>
      <c r="F57" s="123" t="inlineStr">
        <is>
          <t>yes</t>
        </is>
      </c>
      <c r="G57" s="123" t="inlineStr">
        <is>
          <t>passed manual test</t>
        </is>
      </c>
      <c r="H57" s="120" t="inlineStr">
        <is>
          <t>covered</t>
        </is>
      </c>
      <c r="I57" s="124" t="inlineStr">
        <is>
          <t>SwipeableItem playground scenario.</t>
        </is>
      </c>
      <c r="J57" s="124" t="n"/>
      <c r="K57" s="125">
        <f>IF(AND(E57="yes",F57="yes",H57="covered"),1,IF(H57="partial",0.5,0))</f>
        <v/>
      </c>
    </row>
    <row r="58" ht="15" customHeight="1" s="58">
      <c r="A58" s="123" t="n">
        <v>50</v>
      </c>
      <c r="B58" s="124" t="inlineStr">
        <is>
          <t>Positioning</t>
        </is>
      </c>
      <c r="C58" s="124" t="inlineStr">
        <is>
          <t>Content</t>
        </is>
      </c>
      <c r="D58" s="124" t="inlineStr">
        <is>
          <t>[data-side] prop behavior</t>
        </is>
      </c>
      <c r="E58" s="123" t="inlineStr">
        <is>
          <t>yes</t>
        </is>
      </c>
      <c r="F58" s="123" t="inlineStr">
        <is>
          <t>yes</t>
        </is>
      </c>
      <c r="G58" s="123" t="inlineStr">
        <is>
          <t>passed manual test</t>
        </is>
      </c>
      <c r="H58" s="120" t="inlineStr">
        <is>
          <t>covered</t>
        </is>
      </c>
      <c r="I58" s="124" t="inlineStr">
        <is>
          <t>SwipeableItem playground scenario.</t>
        </is>
      </c>
      <c r="J58" s="124" t="n"/>
      <c r="K58" s="125">
        <f>IF(AND(E58="yes",F58="yes",H58="covered"),1,IF(H58="partial",0.5,0))</f>
        <v/>
      </c>
    </row>
    <row r="59" ht="15" customHeight="1" s="58">
      <c r="A59" s="123" t="n">
        <v>51</v>
      </c>
      <c r="B59" s="124" t="inlineStr">
        <is>
          <t>Public API</t>
        </is>
      </c>
      <c r="C59" s="124" t="inlineStr">
        <is>
          <t>Content</t>
        </is>
      </c>
      <c r="D59" s="124" t="inlineStr">
        <is>
          <t>[data-dragging] prop behavior</t>
        </is>
      </c>
      <c r="E59" s="123" t="inlineStr">
        <is>
          <t>yes</t>
        </is>
      </c>
      <c r="F59" s="123" t="inlineStr">
        <is>
          <t>yes</t>
        </is>
      </c>
      <c r="G59" s="123" t="inlineStr">
        <is>
          <t>passed manual test</t>
        </is>
      </c>
      <c r="H59" s="120" t="inlineStr">
        <is>
          <t>covered</t>
        </is>
      </c>
      <c r="I59" s="124" t="inlineStr">
        <is>
          <t>SwipeableItem playground scenario.</t>
        </is>
      </c>
      <c r="J59" s="124" t="n"/>
      <c r="K59" s="125">
        <f>IF(AND(E59="yes",F59="yes",H59="covered"),1,IF(H59="partial",0.5,0))</f>
        <v/>
      </c>
    </row>
    <row r="60" ht="15" customHeight="1" s="58">
      <c r="A60" s="123" t="n">
        <v>52</v>
      </c>
      <c r="B60" s="124" t="inlineStr">
        <is>
          <t>State</t>
        </is>
      </c>
      <c r="C60" s="124" t="inlineStr">
        <is>
          <t>Content</t>
        </is>
      </c>
      <c r="D60" s="124" t="inlineStr">
        <is>
          <t>[data-disabled] prop behavior</t>
        </is>
      </c>
      <c r="E60" s="123" t="inlineStr">
        <is>
          <t>yes</t>
        </is>
      </c>
      <c r="F60" s="123" t="inlineStr">
        <is>
          <t>yes</t>
        </is>
      </c>
      <c r="G60" s="123" t="inlineStr">
        <is>
          <t>passed manual test</t>
        </is>
      </c>
      <c r="H60" s="120" t="inlineStr">
        <is>
          <t>covered</t>
        </is>
      </c>
      <c r="I60" s="124" t="inlineStr">
        <is>
          <t>SwipeableItem playground scenario.</t>
        </is>
      </c>
      <c r="J60" s="124" t="n"/>
      <c r="K60" s="125">
        <f>IF(AND(E60="yes",F60="yes",H60="covered"),1,IF(H60="partial",0.5,0))</f>
        <v/>
      </c>
    </row>
    <row r="61" ht="15" customHeight="1" s="58">
      <c r="A61" s="123" t="n">
        <v>53</v>
      </c>
      <c r="B61" s="124" t="inlineStr">
        <is>
          <t>State</t>
        </is>
      </c>
      <c r="C61" s="124" t="inlineStr">
        <is>
          <t>Content</t>
        </is>
      </c>
      <c r="D61" s="124" t="inlineStr">
        <is>
          <t>[data-readonly] prop behavior</t>
        </is>
      </c>
      <c r="E61" s="123" t="inlineStr">
        <is>
          <t>yes</t>
        </is>
      </c>
      <c r="F61" s="123" t="inlineStr">
        <is>
          <t>yes</t>
        </is>
      </c>
      <c r="G61" s="123" t="inlineStr">
        <is>
          <t>passed manual test</t>
        </is>
      </c>
      <c r="H61" s="120" t="inlineStr">
        <is>
          <t>covered</t>
        </is>
      </c>
      <c r="I61" s="124" t="inlineStr">
        <is>
          <t>SwipeableItem playground scenario.</t>
        </is>
      </c>
      <c r="J61" s="124" t="n"/>
      <c r="K61" s="125">
        <f>IF(AND(E61="yes",F61="yes",H61="covered"),1,IF(H61="partial",0.5,0))</f>
        <v/>
      </c>
    </row>
    <row r="62" ht="15" customHeight="1" s="58">
      <c r="A62" s="123" t="n">
        <v>54</v>
      </c>
      <c r="B62" s="124" t="inlineStr">
        <is>
          <t>Anatomy</t>
        </is>
      </c>
      <c r="C62" s="124" t="inlineStr">
        <is>
          <t>Actions</t>
        </is>
      </c>
      <c r="D62" s="124" t="inlineStr">
        <is>
          <t>renders correct part when expected</t>
        </is>
      </c>
      <c r="E62" s="123" t="inlineStr">
        <is>
          <t>yes</t>
        </is>
      </c>
      <c r="F62" s="123" t="inlineStr">
        <is>
          <t>yes</t>
        </is>
      </c>
      <c r="G62" s="123" t="inlineStr">
        <is>
          <t>passed manual test</t>
        </is>
      </c>
      <c r="H62" s="120" t="inlineStr">
        <is>
          <t>covered</t>
        </is>
      </c>
      <c r="I62" s="124" t="inlineStr">
        <is>
          <t>SwipeableItem playground scenario.</t>
        </is>
      </c>
      <c r="J62" s="124" t="n"/>
      <c r="K62" s="125">
        <f>IF(AND(E62="yes",F62="yes",H62="covered"),1,IF(H62="partial",0.5,0))</f>
        <v/>
      </c>
    </row>
    <row r="63" ht="15" customHeight="1" s="58">
      <c r="A63" s="123" t="n">
        <v>55</v>
      </c>
      <c r="B63" s="124" t="inlineStr">
        <is>
          <t>Anatomy</t>
        </is>
      </c>
      <c r="C63" s="124" t="inlineStr">
        <is>
          <t>Actions</t>
        </is>
      </c>
      <c r="D63" s="124" t="inlineStr">
        <is>
          <t>appears in documented order</t>
        </is>
      </c>
      <c r="E63" s="123" t="inlineStr">
        <is>
          <t>yes</t>
        </is>
      </c>
      <c r="F63" s="123" t="inlineStr">
        <is>
          <t>yes</t>
        </is>
      </c>
      <c r="G63" s="123" t="inlineStr">
        <is>
          <t>passed manual test</t>
        </is>
      </c>
      <c r="H63" s="120" t="inlineStr">
        <is>
          <t>covered</t>
        </is>
      </c>
      <c r="I63" s="124" t="inlineStr">
        <is>
          <t>SwipeableItem playground scenario.</t>
        </is>
      </c>
      <c r="J63" s="124" t="n"/>
      <c r="K63" s="125">
        <f>IF(AND(E63="yes",F63="yes",H63="covered"),1,IF(H63="partial",0.5,0))</f>
        <v/>
      </c>
    </row>
    <row r="64" ht="30" customHeight="1" s="58">
      <c r="A64" s="123" t="n">
        <v>56</v>
      </c>
      <c r="B64" s="124" t="inlineStr">
        <is>
          <t>Identity</t>
        </is>
      </c>
      <c r="C64" s="124" t="inlineStr">
        <is>
          <t>Actions</t>
        </is>
      </c>
      <c r="D64" s="124" t="inlineStr">
        <is>
          <t>default tag is visible in Anatomy/Inspector</t>
        </is>
      </c>
      <c r="E64" s="123" t="inlineStr">
        <is>
          <t>yes</t>
        </is>
      </c>
      <c r="F64" s="123" t="inlineStr">
        <is>
          <t>yes</t>
        </is>
      </c>
      <c r="G64" s="123" t="inlineStr">
        <is>
          <t>passed manual test</t>
        </is>
      </c>
      <c r="H64" s="120" t="inlineStr">
        <is>
          <t>covered</t>
        </is>
      </c>
      <c r="I64" s="124" t="inlineStr">
        <is>
          <t>SwipeableItem playground scenario.</t>
        </is>
      </c>
      <c r="J64" s="124" t="n"/>
      <c r="K64" s="125">
        <f>IF(AND(E64="yes",F64="yes",H64="covered"),1,IF(H64="partial",0.5,0))</f>
        <v/>
      </c>
    </row>
    <row r="65" ht="15" customHeight="1" s="58">
      <c r="A65" s="123" t="n">
        <v>57</v>
      </c>
      <c r="B65" s="124" t="inlineStr">
        <is>
          <t>Identity</t>
        </is>
      </c>
      <c r="C65" s="124" t="inlineStr">
        <is>
          <t>Actions</t>
        </is>
      </c>
      <c r="D65" s="124" t="inlineStr">
        <is>
          <t>data-slot is present and correct</t>
        </is>
      </c>
      <c r="E65" s="123" t="inlineStr">
        <is>
          <t>yes</t>
        </is>
      </c>
      <c r="F65" s="123" t="inlineStr">
        <is>
          <t>yes</t>
        </is>
      </c>
      <c r="G65" s="123" t="inlineStr">
        <is>
          <t>passed manual test</t>
        </is>
      </c>
      <c r="H65" s="120" t="inlineStr">
        <is>
          <t>covered</t>
        </is>
      </c>
      <c r="I65" s="124" t="inlineStr">
        <is>
          <t>SwipeableItem playground scenario.</t>
        </is>
      </c>
      <c r="J65" s="124" t="n"/>
      <c r="K65" s="125">
        <f>IF(AND(E65="yes",F65="yes",H65="covered"),1,IF(H65="partial",0.5,0))</f>
        <v/>
      </c>
    </row>
    <row r="66" ht="15" customHeight="1" s="58">
      <c r="A66" s="123" t="n">
        <v>58</v>
      </c>
      <c r="B66" s="124" t="inlineStr">
        <is>
          <t>Props</t>
        </is>
      </c>
      <c r="C66" s="124" t="inlineStr">
        <is>
          <t>Actions</t>
        </is>
      </c>
      <c r="D66" s="124" t="inlineStr">
        <is>
          <t>non-Atom native props pass through with data-prop-check marker</t>
        </is>
      </c>
      <c r="E66" s="123" t="inlineStr">
        <is>
          <t>yes</t>
        </is>
      </c>
      <c r="F66" s="123" t="inlineStr">
        <is>
          <t>yes</t>
        </is>
      </c>
      <c r="G66" s="123" t="inlineStr">
        <is>
          <t>passed manual test</t>
        </is>
      </c>
      <c r="H66" s="120" t="inlineStr">
        <is>
          <t>covered</t>
        </is>
      </c>
      <c r="I66" s="124" t="inlineStr">
        <is>
          <t>SwipeableItem playground scenario.</t>
        </is>
      </c>
      <c r="J66" s="124" t="n"/>
      <c r="K66" s="125">
        <f>IF(AND(E66="yes",F66="yes",H66="covered"),1,IF(H66="partial",0.5,0))</f>
        <v/>
      </c>
    </row>
    <row r="67" ht="15" customHeight="1" s="58">
      <c r="A67" s="123" t="n">
        <v>59</v>
      </c>
      <c r="B67" s="124" t="inlineStr">
        <is>
          <t>Refs</t>
        </is>
      </c>
      <c r="C67" s="124" t="inlineStr">
        <is>
          <t>Actions</t>
        </is>
      </c>
      <c r="D67" s="124" t="inlineStr">
        <is>
          <t>consumer ref receives the rendered element</t>
        </is>
      </c>
      <c r="E67" s="123" t="inlineStr">
        <is>
          <t>yes</t>
        </is>
      </c>
      <c r="F67" s="123" t="inlineStr">
        <is>
          <t>yes</t>
        </is>
      </c>
      <c r="G67" s="123" t="inlineStr">
        <is>
          <t>passed manual test</t>
        </is>
      </c>
      <c r="H67" s="120" t="inlineStr">
        <is>
          <t>covered</t>
        </is>
      </c>
      <c r="I67" s="124" t="inlineStr">
        <is>
          <t>SwipeableItem playground scenario.</t>
        </is>
      </c>
      <c r="J67" s="124" t="n"/>
      <c r="K67" s="125">
        <f>IF(AND(E67="yes",F67="yes",H67="covered"),1,IF(H67="partial",0.5,0))</f>
        <v/>
      </c>
    </row>
    <row r="68" ht="15" customHeight="1" s="58">
      <c r="A68" s="123" t="n">
        <v>60</v>
      </c>
      <c r="B68" s="124" t="inlineStr">
        <is>
          <t>Composition</t>
        </is>
      </c>
      <c r="C68" s="124" t="inlineStr">
        <is>
          <t>Actions</t>
        </is>
      </c>
      <c r="D68" s="124" t="inlineStr">
        <is>
          <t>asChild prop behavior</t>
        </is>
      </c>
      <c r="E68" s="123" t="inlineStr">
        <is>
          <t>yes</t>
        </is>
      </c>
      <c r="F68" s="123" t="inlineStr">
        <is>
          <t>yes</t>
        </is>
      </c>
      <c r="G68" s="123" t="inlineStr">
        <is>
          <t>passed manual test</t>
        </is>
      </c>
      <c r="H68" s="120" t="inlineStr">
        <is>
          <t>covered</t>
        </is>
      </c>
      <c r="I68" s="124" t="inlineStr">
        <is>
          <t>SwipeableItem playground scenario.</t>
        </is>
      </c>
      <c r="J68" s="124" t="n"/>
      <c r="K68" s="125">
        <f>IF(AND(E68="yes",F68="yes",H68="covered"),1,IF(H68="partial",0.5,0))</f>
        <v/>
      </c>
    </row>
    <row r="69" ht="15" customHeight="1" s="58">
      <c r="A69" s="123" t="n">
        <v>61</v>
      </c>
      <c r="B69" s="124" t="inlineStr">
        <is>
          <t>Composition</t>
        </is>
      </c>
      <c r="C69" s="124" t="inlineStr">
        <is>
          <t>Actions</t>
        </is>
      </c>
      <c r="D69" s="124" t="inlineStr">
        <is>
          <t>render prop behavior</t>
        </is>
      </c>
      <c r="E69" s="123" t="inlineStr">
        <is>
          <t>yes</t>
        </is>
      </c>
      <c r="F69" s="123" t="inlineStr">
        <is>
          <t>yes</t>
        </is>
      </c>
      <c r="G69" s="123" t="inlineStr">
        <is>
          <t>passed manual test</t>
        </is>
      </c>
      <c r="H69" s="120" t="inlineStr">
        <is>
          <t>covered</t>
        </is>
      </c>
      <c r="I69" s="124" t="inlineStr">
        <is>
          <t>SwipeableItem playground scenario.</t>
        </is>
      </c>
      <c r="J69" s="124" t="n"/>
      <c r="K69" s="125">
        <f>IF(AND(E69="yes",F69="yes",H69="covered"),1,IF(H69="partial",0.5,0))</f>
        <v/>
      </c>
    </row>
    <row r="70" ht="15" customHeight="1" s="58">
      <c r="A70" s="123" t="n">
        <v>62</v>
      </c>
      <c r="B70" s="124" t="inlineStr">
        <is>
          <t>Positioning</t>
        </is>
      </c>
      <c r="C70" s="124" t="inlineStr">
        <is>
          <t>Actions</t>
        </is>
      </c>
      <c r="D70" s="124" t="inlineStr">
        <is>
          <t>side prop behavior</t>
        </is>
      </c>
      <c r="E70" s="123" t="inlineStr">
        <is>
          <t>yes</t>
        </is>
      </c>
      <c r="F70" s="123" t="inlineStr">
        <is>
          <t>yes</t>
        </is>
      </c>
      <c r="G70" s="123" t="inlineStr">
        <is>
          <t>passed manual test</t>
        </is>
      </c>
      <c r="H70" s="120" t="inlineStr">
        <is>
          <t>covered</t>
        </is>
      </c>
      <c r="I70" s="124" t="inlineStr">
        <is>
          <t>SwipeableItem playground scenario.</t>
        </is>
      </c>
      <c r="J70" s="124" t="n"/>
      <c r="K70" s="125">
        <f>IF(AND(E70="yes",F70="yes",H70="covered"),1,IF(H70="partial",0.5,0))</f>
        <v/>
      </c>
    </row>
    <row r="71" ht="15" customHeight="1" s="58">
      <c r="A71" s="123" t="n">
        <v>63</v>
      </c>
      <c r="B71" s="124" t="inlineStr">
        <is>
          <t>Accessibility</t>
        </is>
      </c>
      <c r="C71" s="124" t="inlineStr">
        <is>
          <t>Actions</t>
        </is>
      </c>
      <c r="D71" s="124" t="inlineStr">
        <is>
          <t>aria-label prop behavior</t>
        </is>
      </c>
      <c r="E71" s="123" t="inlineStr">
        <is>
          <t>yes</t>
        </is>
      </c>
      <c r="F71" s="123" t="inlineStr">
        <is>
          <t>yes</t>
        </is>
      </c>
      <c r="G71" s="123" t="inlineStr">
        <is>
          <t>passed manual test</t>
        </is>
      </c>
      <c r="H71" s="120" t="inlineStr">
        <is>
          <t>covered</t>
        </is>
      </c>
      <c r="I71" s="124" t="inlineStr">
        <is>
          <t>SwipeableItem playground scenario.</t>
        </is>
      </c>
      <c r="J71" s="124" t="n"/>
      <c r="K71" s="125">
        <f>IF(AND(E71="yes",F71="yes",H71="covered"),1,IF(H71="partial",0.5,0))</f>
        <v/>
      </c>
    </row>
    <row r="72" ht="15" customHeight="1" s="58">
      <c r="A72" s="123" t="n">
        <v>64</v>
      </c>
      <c r="B72" s="124" t="inlineStr">
        <is>
          <t>Public API</t>
        </is>
      </c>
      <c r="C72" s="124" t="inlineStr">
        <is>
          <t>Actions</t>
        </is>
      </c>
      <c r="D72" s="124" t="inlineStr">
        <is>
          <t>[data-slot] prop behavior</t>
        </is>
      </c>
      <c r="E72" s="123" t="inlineStr">
        <is>
          <t>yes</t>
        </is>
      </c>
      <c r="F72" s="123" t="inlineStr">
        <is>
          <t>yes</t>
        </is>
      </c>
      <c r="G72" s="123" t="inlineStr">
        <is>
          <t>passed manual test</t>
        </is>
      </c>
      <c r="H72" s="120" t="inlineStr">
        <is>
          <t>covered</t>
        </is>
      </c>
      <c r="I72" s="124" t="inlineStr">
        <is>
          <t>SwipeableItem playground scenario.</t>
        </is>
      </c>
      <c r="J72" s="124" t="n"/>
      <c r="K72" s="125">
        <f>IF(AND(E72="yes",F72="yes",H72="covered"),1,IF(H72="partial",0.5,0))</f>
        <v/>
      </c>
    </row>
    <row r="73" ht="15" customHeight="1" s="58">
      <c r="A73" s="123" t="n">
        <v>65</v>
      </c>
      <c r="B73" s="124" t="inlineStr">
        <is>
          <t>Positioning</t>
        </is>
      </c>
      <c r="C73" s="124" t="inlineStr">
        <is>
          <t>Actions</t>
        </is>
      </c>
      <c r="D73" s="124" t="inlineStr">
        <is>
          <t>[data-side] prop behavior</t>
        </is>
      </c>
      <c r="E73" s="123" t="inlineStr">
        <is>
          <t>yes</t>
        </is>
      </c>
      <c r="F73" s="123" t="inlineStr">
        <is>
          <t>yes</t>
        </is>
      </c>
      <c r="G73" s="123" t="inlineStr">
        <is>
          <t>passed manual test</t>
        </is>
      </c>
      <c r="H73" s="120" t="inlineStr">
        <is>
          <t>covered</t>
        </is>
      </c>
      <c r="I73" s="124" t="inlineStr">
        <is>
          <t>SwipeableItem playground scenario.</t>
        </is>
      </c>
      <c r="J73" s="124" t="n"/>
      <c r="K73" s="125">
        <f>IF(AND(E73="yes",F73="yes",H73="covered"),1,IF(H73="partial",0.5,0))</f>
        <v/>
      </c>
    </row>
    <row r="74" ht="15" customHeight="1" s="58">
      <c r="A74" s="123" t="n">
        <v>66</v>
      </c>
      <c r="B74" s="124" t="inlineStr">
        <is>
          <t>Public API</t>
        </is>
      </c>
      <c r="C74" s="124" t="inlineStr">
        <is>
          <t>Actions</t>
        </is>
      </c>
      <c r="D74" s="124" t="inlineStr">
        <is>
          <t>[data-state] prop behavior</t>
        </is>
      </c>
      <c r="E74" s="123" t="inlineStr">
        <is>
          <t>yes</t>
        </is>
      </c>
      <c r="F74" s="123" t="inlineStr">
        <is>
          <t>yes</t>
        </is>
      </c>
      <c r="G74" s="123" t="inlineStr">
        <is>
          <t>passed manual test</t>
        </is>
      </c>
      <c r="H74" s="120" t="inlineStr">
        <is>
          <t>covered</t>
        </is>
      </c>
      <c r="I74" s="124" t="inlineStr">
        <is>
          <t>SwipeableItem playground scenario.</t>
        </is>
      </c>
      <c r="J74" s="124" t="n"/>
      <c r="K74" s="125">
        <f>IF(AND(E74="yes",F74="yes",H74="covered"),1,IF(H74="partial",0.5,0))</f>
        <v/>
      </c>
    </row>
    <row r="75" ht="15" customHeight="1" s="58">
      <c r="A75" s="123" t="n">
        <v>67</v>
      </c>
      <c r="B75" s="124" t="inlineStr">
        <is>
          <t>ARIA</t>
        </is>
      </c>
      <c r="C75" s="124" t="inlineStr">
        <is>
          <t>Live DOM</t>
        </is>
      </c>
      <c r="D75" s="124" t="inlineStr">
        <is>
          <t>aria-disabled is present at the correct time</t>
        </is>
      </c>
      <c r="E75" s="123" t="inlineStr">
        <is>
          <t>yes</t>
        </is>
      </c>
      <c r="F75" s="123" t="inlineStr">
        <is>
          <t>yes</t>
        </is>
      </c>
      <c r="G75" s="123" t="inlineStr">
        <is>
          <t>passed manual test</t>
        </is>
      </c>
      <c r="H75" s="120" t="inlineStr">
        <is>
          <t>covered</t>
        </is>
      </c>
      <c r="I75" s="124" t="inlineStr">
        <is>
          <t>SwipeableItem playground scenario.</t>
        </is>
      </c>
      <c r="J75" s="124" t="n"/>
      <c r="K75" s="125">
        <f>IF(AND(E75="yes",F75="yes",H75="covered"),1,IF(H75="partial",0.5,0))</f>
        <v/>
      </c>
    </row>
    <row r="76" ht="15" customHeight="1" s="58">
      <c r="A76" s="123" t="n">
        <v>68</v>
      </c>
      <c r="B76" s="124" t="inlineStr">
        <is>
          <t>ARIA</t>
        </is>
      </c>
      <c r="C76" s="124" t="inlineStr">
        <is>
          <t>Live DOM</t>
        </is>
      </c>
      <c r="D76" s="124" t="inlineStr">
        <is>
          <t>aria-hidden is present at the correct time</t>
        </is>
      </c>
      <c r="E76" s="123" t="inlineStr">
        <is>
          <t>yes</t>
        </is>
      </c>
      <c r="F76" s="123" t="inlineStr">
        <is>
          <t>yes</t>
        </is>
      </c>
      <c r="G76" s="123" t="inlineStr">
        <is>
          <t>passed manual test</t>
        </is>
      </c>
      <c r="H76" s="120" t="inlineStr">
        <is>
          <t>covered</t>
        </is>
      </c>
      <c r="I76" s="124" t="inlineStr">
        <is>
          <t>SwipeableItem playground scenario.</t>
        </is>
      </c>
      <c r="J76" s="124" t="n"/>
      <c r="K76" s="125">
        <f>IF(AND(E76="yes",F76="yes",H76="covered"),1,IF(H76="partial",0.5,0))</f>
        <v/>
      </c>
    </row>
    <row r="77" ht="30" customHeight="1" s="58">
      <c r="A77" s="123" t="n">
        <v>69</v>
      </c>
      <c r="B77" s="124" t="inlineStr">
        <is>
          <t>ARIA</t>
        </is>
      </c>
      <c r="C77" s="124" t="inlineStr">
        <is>
          <t>Live DOM</t>
        </is>
      </c>
      <c r="D77" s="124" t="inlineStr">
        <is>
          <t>aria-label is present at the correct time</t>
        </is>
      </c>
      <c r="E77" s="123" t="inlineStr">
        <is>
          <t>yes</t>
        </is>
      </c>
      <c r="F77" s="123" t="inlineStr">
        <is>
          <t>yes</t>
        </is>
      </c>
      <c r="G77" s="123" t="inlineStr">
        <is>
          <t>passed manual test</t>
        </is>
      </c>
      <c r="H77" s="120" t="inlineStr">
        <is>
          <t>covered</t>
        </is>
      </c>
      <c r="I77" s="124" t="inlineStr">
        <is>
          <t>SwipeableItem playground scenario.</t>
        </is>
      </c>
      <c r="J77" s="124" t="n"/>
      <c r="K77" s="125">
        <f>IF(AND(E77="yes",F77="yes",H77="covered"),1,IF(H77="partial",0.5,0))</f>
        <v/>
      </c>
    </row>
    <row r="78" ht="15" customHeight="1" s="58">
      <c r="A78" s="123" t="n">
        <v>70</v>
      </c>
      <c r="B78" s="124" t="inlineStr">
        <is>
          <t>Data</t>
        </is>
      </c>
      <c r="C78" s="124" t="inlineStr">
        <is>
          <t>Live DOM</t>
        </is>
      </c>
      <c r="D78" s="124" t="inlineStr">
        <is>
          <t>data-disabled is present at the correct time</t>
        </is>
      </c>
      <c r="E78" s="123" t="inlineStr">
        <is>
          <t>yes</t>
        </is>
      </c>
      <c r="F78" s="123" t="inlineStr">
        <is>
          <t>yes</t>
        </is>
      </c>
      <c r="G78" s="123" t="inlineStr">
        <is>
          <t>passed manual test</t>
        </is>
      </c>
      <c r="H78" s="120" t="inlineStr">
        <is>
          <t>covered</t>
        </is>
      </c>
      <c r="I78" s="124" t="inlineStr">
        <is>
          <t>SwipeableItem playground scenario.</t>
        </is>
      </c>
      <c r="J78" s="124" t="n"/>
      <c r="K78" s="125">
        <f>IF(AND(E78="yes",F78="yes",H78="covered"),1,IF(H78="partial",0.5,0))</f>
        <v/>
      </c>
    </row>
    <row r="79" ht="15" customHeight="1" s="58">
      <c r="A79" s="123" t="n">
        <v>71</v>
      </c>
      <c r="B79" s="124" t="inlineStr">
        <is>
          <t>Data</t>
        </is>
      </c>
      <c r="C79" s="124" t="inlineStr">
        <is>
          <t>Live DOM</t>
        </is>
      </c>
      <c r="D79" s="124" t="inlineStr">
        <is>
          <t>data-dragging is present at the correct time</t>
        </is>
      </c>
      <c r="E79" s="123" t="inlineStr">
        <is>
          <t>yes</t>
        </is>
      </c>
      <c r="F79" s="123" t="inlineStr">
        <is>
          <t>yes</t>
        </is>
      </c>
      <c r="G79" s="123" t="inlineStr">
        <is>
          <t>passed manual test</t>
        </is>
      </c>
      <c r="H79" s="120" t="inlineStr">
        <is>
          <t>covered</t>
        </is>
      </c>
      <c r="I79" s="124" t="inlineStr">
        <is>
          <t>SwipeableItem playground scenario.</t>
        </is>
      </c>
      <c r="J79" s="124" t="n"/>
      <c r="K79" s="125">
        <f>IF(AND(E79="yes",F79="yes",H79="covered"),1,IF(H79="partial",0.5,0))</f>
        <v/>
      </c>
    </row>
    <row r="80" ht="15" customHeight="1" s="58">
      <c r="A80" s="123" t="n">
        <v>72</v>
      </c>
      <c r="B80" s="124" t="inlineStr">
        <is>
          <t>Data</t>
        </is>
      </c>
      <c r="C80" s="124" t="inlineStr">
        <is>
          <t>Live DOM</t>
        </is>
      </c>
      <c r="D80" s="124" t="inlineStr">
        <is>
          <t>data-readonly is present at the correct time</t>
        </is>
      </c>
      <c r="E80" s="123" t="inlineStr">
        <is>
          <t>yes</t>
        </is>
      </c>
      <c r="F80" s="123" t="inlineStr">
        <is>
          <t>yes</t>
        </is>
      </c>
      <c r="G80" s="123" t="inlineStr">
        <is>
          <t>passed manual test</t>
        </is>
      </c>
      <c r="H80" s="120" t="inlineStr">
        <is>
          <t>covered</t>
        </is>
      </c>
      <c r="I80" s="124" t="inlineStr">
        <is>
          <t>SwipeableItem playground scenario.</t>
        </is>
      </c>
      <c r="J80" s="124" t="n"/>
      <c r="K80" s="125">
        <f>IF(AND(E80="yes",F80="yes",H80="covered"),1,IF(H80="partial",0.5,0))</f>
        <v/>
      </c>
    </row>
    <row r="81" ht="15" customHeight="1" s="58">
      <c r="A81" s="123" t="n">
        <v>73</v>
      </c>
      <c r="B81" s="124" t="inlineStr">
        <is>
          <t>Data</t>
        </is>
      </c>
      <c r="C81" s="124" t="inlineStr">
        <is>
          <t>Live DOM</t>
        </is>
      </c>
      <c r="D81" s="124" t="inlineStr">
        <is>
          <t>data-side is present at the correct time</t>
        </is>
      </c>
      <c r="E81" s="123" t="inlineStr">
        <is>
          <t>yes</t>
        </is>
      </c>
      <c r="F81" s="123" t="inlineStr">
        <is>
          <t>yes</t>
        </is>
      </c>
      <c r="G81" s="123" t="inlineStr">
        <is>
          <t>passed manual test</t>
        </is>
      </c>
      <c r="H81" s="120" t="inlineStr">
        <is>
          <t>covered</t>
        </is>
      </c>
      <c r="I81" s="124" t="inlineStr">
        <is>
          <t>SwipeableItem playground scenario.</t>
        </is>
      </c>
      <c r="J81" s="124" t="n"/>
      <c r="K81" s="125">
        <f>IF(AND(E81="yes",F81="yes",H81="covered"),1,IF(H81="partial",0.5,0))</f>
        <v/>
      </c>
    </row>
    <row r="82" ht="15" customHeight="1" s="58">
      <c r="A82" s="123" t="n">
        <v>74</v>
      </c>
      <c r="B82" s="124" t="inlineStr">
        <is>
          <t>Data</t>
        </is>
      </c>
      <c r="C82" s="124" t="inlineStr">
        <is>
          <t>Live DOM</t>
        </is>
      </c>
      <c r="D82" s="124" t="inlineStr">
        <is>
          <t>data-slot is present at the correct time</t>
        </is>
      </c>
      <c r="E82" s="123" t="inlineStr">
        <is>
          <t>yes</t>
        </is>
      </c>
      <c r="F82" s="123" t="inlineStr">
        <is>
          <t>yes</t>
        </is>
      </c>
      <c r="G82" s="123" t="inlineStr">
        <is>
          <t>passed manual test</t>
        </is>
      </c>
      <c r="H82" s="120" t="inlineStr">
        <is>
          <t>covered</t>
        </is>
      </c>
      <c r="I82" s="124" t="inlineStr">
        <is>
          <t>SwipeableItem playground scenario.</t>
        </is>
      </c>
      <c r="J82" s="124" t="n"/>
      <c r="K82" s="125">
        <f>IF(AND(E82="yes",F82="yes",H82="covered"),1,IF(H82="partial",0.5,0))</f>
        <v/>
      </c>
    </row>
    <row r="83" ht="30" customHeight="1" s="58">
      <c r="A83" s="123" t="n">
        <v>75</v>
      </c>
      <c r="B83" s="124" t="inlineStr">
        <is>
          <t>Data</t>
        </is>
      </c>
      <c r="C83" s="124" t="inlineStr">
        <is>
          <t>Live DOM</t>
        </is>
      </c>
      <c r="D83" s="124" t="inlineStr">
        <is>
          <t>data-state is present at the correct time</t>
        </is>
      </c>
      <c r="E83" s="123" t="inlineStr">
        <is>
          <t>yes</t>
        </is>
      </c>
      <c r="F83" s="123" t="inlineStr">
        <is>
          <t>yes</t>
        </is>
      </c>
      <c r="G83" s="123" t="inlineStr">
        <is>
          <t>passed manual test</t>
        </is>
      </c>
      <c r="H83" s="120" t="inlineStr">
        <is>
          <t>covered</t>
        </is>
      </c>
      <c r="I83" s="124" t="inlineStr">
        <is>
          <t>SwipeableItem playground scenario.</t>
        </is>
      </c>
      <c r="J83" s="124" t="n"/>
      <c r="K83" s="125">
        <f>IF(AND(E83="yes",F83="yes",H83="covered"),1,IF(H83="partial",0.5,0))</f>
        <v/>
      </c>
    </row>
    <row r="84" ht="15" customHeight="1" s="58">
      <c r="A84" s="123" t="n">
        <v>76</v>
      </c>
      <c r="B84" s="124" t="inlineStr">
        <is>
          <t>Composition</t>
        </is>
      </c>
      <c r="C84" s="124" t="inlineStr">
        <is>
          <t>SwipeableItem</t>
        </is>
      </c>
      <c r="D84" s="124" t="inlineStr">
        <is>
          <t>asChild preserves child content without double nesting</t>
        </is>
      </c>
      <c r="E84" s="123" t="inlineStr">
        <is>
          <t>yes</t>
        </is>
      </c>
      <c r="F84" s="123" t="inlineStr">
        <is>
          <t>yes</t>
        </is>
      </c>
      <c r="G84" s="123" t="inlineStr">
        <is>
          <t>passed manual test</t>
        </is>
      </c>
      <c r="H84" s="120" t="inlineStr">
        <is>
          <t>covered</t>
        </is>
      </c>
      <c r="I84" s="124" t="inlineStr">
        <is>
          <t>SwipeableItem playground scenario.</t>
        </is>
      </c>
      <c r="J84" s="124" t="n"/>
      <c r="K84" s="125">
        <f>IF(AND(E84="yes",F84="yes",H84="covered"),1,IF(H84="partial",0.5,0))</f>
        <v/>
      </c>
    </row>
    <row r="85" ht="15" customHeight="1" s="58">
      <c r="A85" s="123" t="n">
        <v>77</v>
      </c>
      <c r="B85" s="124" t="inlineStr">
        <is>
          <t>Composition</t>
        </is>
      </c>
      <c r="C85" s="124" t="inlineStr">
        <is>
          <t>SwipeableItem</t>
        </is>
      </c>
      <c r="D85" s="124" t="inlineStr">
        <is>
          <t>asChild merges Atom props and consumer props</t>
        </is>
      </c>
      <c r="E85" s="123" t="inlineStr">
        <is>
          <t>yes</t>
        </is>
      </c>
      <c r="F85" s="123" t="inlineStr">
        <is>
          <t>yes</t>
        </is>
      </c>
      <c r="G85" s="123" t="inlineStr">
        <is>
          <t>passed manual test</t>
        </is>
      </c>
      <c r="H85" s="120" t="inlineStr">
        <is>
          <t>covered</t>
        </is>
      </c>
      <c r="I85" s="124" t="inlineStr">
        <is>
          <t>SwipeableItem playground scenario.</t>
        </is>
      </c>
      <c r="J85" s="124" t="n"/>
      <c r="K85" s="125">
        <f>IF(AND(E85="yes",F85="yes",H85="covered"),1,IF(H85="partial",0.5,0))</f>
        <v/>
      </c>
    </row>
    <row r="86" ht="15" customHeight="1" s="58">
      <c r="A86" s="123" t="n">
        <v>78</v>
      </c>
      <c r="B86" s="124" t="inlineStr">
        <is>
          <t>Composition</t>
        </is>
      </c>
      <c r="C86" s="124" t="inlineStr">
        <is>
          <t>SwipeableItem</t>
        </is>
      </c>
      <c r="D86" s="124" t="inlineStr">
        <is>
          <t>render prop renders custom element</t>
        </is>
      </c>
      <c r="E86" s="123" t="inlineStr">
        <is>
          <t>yes</t>
        </is>
      </c>
      <c r="F86" s="123" t="inlineStr">
        <is>
          <t>yes</t>
        </is>
      </c>
      <c r="G86" s="123" t="inlineStr">
        <is>
          <t>passed manual test</t>
        </is>
      </c>
      <c r="H86" s="120" t="inlineStr">
        <is>
          <t>covered</t>
        </is>
      </c>
      <c r="I86" s="124" t="inlineStr">
        <is>
          <t>SwipeableItem playground scenario.</t>
        </is>
      </c>
      <c r="J86" s="124" t="n"/>
      <c r="K86" s="125">
        <f>IF(AND(E86="yes",F86="yes",H86="covered"),1,IF(H86="partial",0.5,0))</f>
        <v/>
      </c>
    </row>
    <row r="87" ht="15" customHeight="1" s="58">
      <c r="A87" s="123" t="n">
        <v>79</v>
      </c>
      <c r="B87" s="124" t="inlineStr">
        <is>
          <t>Composition</t>
        </is>
      </c>
      <c r="C87" s="124" t="inlineStr">
        <is>
          <t>SwipeableItem</t>
        </is>
      </c>
      <c r="D87" s="124" t="inlineStr">
        <is>
          <t>render prop preserves refs and behavior props</t>
        </is>
      </c>
      <c r="E87" s="123" t="inlineStr">
        <is>
          <t>yes</t>
        </is>
      </c>
      <c r="F87" s="123" t="inlineStr">
        <is>
          <t>yes</t>
        </is>
      </c>
      <c r="G87" s="123" t="inlineStr">
        <is>
          <t>passed manual test</t>
        </is>
      </c>
      <c r="H87" s="120" t="inlineStr">
        <is>
          <t>covered</t>
        </is>
      </c>
      <c r="I87" s="124" t="inlineStr">
        <is>
          <t>SwipeableItem playground scenario.</t>
        </is>
      </c>
      <c r="J87" s="124" t="n"/>
      <c r="K87" s="125">
        <f>IF(AND(E87="yes",F87="yes",H87="covered"),1,IF(H87="partial",0.5,0))</f>
        <v/>
      </c>
    </row>
    <row r="88" ht="15" customHeight="1" s="58">
      <c r="A88" s="123" t="n">
        <v>80</v>
      </c>
      <c r="B88" s="124" t="inlineStr">
        <is>
          <t>State</t>
        </is>
      </c>
      <c r="C88" s="124" t="inlineStr">
        <is>
          <t>Root</t>
        </is>
      </c>
      <c r="D88" s="124" t="inlineStr">
        <is>
          <t>controlled state path</t>
        </is>
      </c>
      <c r="E88" s="123" t="inlineStr">
        <is>
          <t>yes</t>
        </is>
      </c>
      <c r="F88" s="123" t="inlineStr">
        <is>
          <t>yes</t>
        </is>
      </c>
      <c r="G88" s="123" t="inlineStr">
        <is>
          <t>passed manual test</t>
        </is>
      </c>
      <c r="H88" s="120" t="inlineStr">
        <is>
          <t>covered</t>
        </is>
      </c>
      <c r="I88" s="124" t="inlineStr">
        <is>
          <t>SwipeableItem playground scenario.</t>
        </is>
      </c>
      <c r="J88" s="124" t="n"/>
      <c r="K88" s="125">
        <f>IF(AND(E88="yes",F88="yes",H88="covered"),1,IF(H88="partial",0.5,0))</f>
        <v/>
      </c>
    </row>
    <row r="89" ht="15" customHeight="1" s="58">
      <c r="A89" s="123" t="n">
        <v>81</v>
      </c>
      <c r="B89" s="124" t="inlineStr">
        <is>
          <t>State</t>
        </is>
      </c>
      <c r="C89" s="124" t="inlineStr">
        <is>
          <t>Root</t>
        </is>
      </c>
      <c r="D89" s="124" t="inlineStr">
        <is>
          <t>uncontrolled default state path</t>
        </is>
      </c>
      <c r="E89" s="123" t="inlineStr">
        <is>
          <t>yes</t>
        </is>
      </c>
      <c r="F89" s="123" t="inlineStr">
        <is>
          <t>yes</t>
        </is>
      </c>
      <c r="G89" s="123" t="inlineStr">
        <is>
          <t>passed manual test</t>
        </is>
      </c>
      <c r="H89" s="120" t="inlineStr">
        <is>
          <t>covered</t>
        </is>
      </c>
      <c r="I89" s="124" t="inlineStr">
        <is>
          <t>SwipeableItem playground scenario.</t>
        </is>
      </c>
      <c r="J89" s="124" t="n"/>
      <c r="K89" s="125">
        <f>IF(AND(E89="yes",F89="yes",H89="covered"),1,IF(H89="partial",0.5,0))</f>
        <v/>
      </c>
    </row>
    <row r="90" ht="15" customHeight="1" s="58">
      <c r="A90" s="123" t="n">
        <v>82</v>
      </c>
      <c r="B90" s="124" t="inlineStr">
        <is>
          <t>State</t>
        </is>
      </c>
      <c r="C90" s="124" t="inlineStr">
        <is>
          <t>Root</t>
        </is>
      </c>
      <c r="D90" s="124" t="inlineStr">
        <is>
          <t>state change callback fires once with correct value</t>
        </is>
      </c>
      <c r="E90" s="123" t="inlineStr">
        <is>
          <t>yes</t>
        </is>
      </c>
      <c r="F90" s="123" t="inlineStr">
        <is>
          <t>yes</t>
        </is>
      </c>
      <c r="G90" s="123" t="inlineStr">
        <is>
          <t>passed manual test</t>
        </is>
      </c>
      <c r="H90" s="120" t="inlineStr">
        <is>
          <t>covered</t>
        </is>
      </c>
      <c r="I90" s="124" t="inlineStr">
        <is>
          <t>SwipeableItem playground scenario.</t>
        </is>
      </c>
      <c r="J90" s="124" t="n"/>
      <c r="K90" s="125">
        <f>IF(AND(E90="yes",F90="yes",H90="covered"),1,IF(H90="partial",0.5,0))</f>
        <v/>
      </c>
    </row>
    <row r="91" ht="15" customHeight="1" s="58">
      <c r="A91" s="123" t="n">
        <v>83</v>
      </c>
      <c r="B91" s="124" t="inlineStr">
        <is>
          <t>Keyboard</t>
        </is>
      </c>
      <c r="C91" s="124" t="inlineStr">
        <is>
          <t>SwipeableItem</t>
        </is>
      </c>
      <c r="D91" s="124" t="inlineStr">
        <is>
          <t>Escape behavior</t>
        </is>
      </c>
      <c r="E91" s="123" t="inlineStr">
        <is>
          <t>yes</t>
        </is>
      </c>
      <c r="F91" s="123" t="inlineStr">
        <is>
          <t>yes</t>
        </is>
      </c>
      <c r="G91" s="123" t="inlineStr">
        <is>
          <t>passed manual test</t>
        </is>
      </c>
      <c r="H91" s="120" t="inlineStr">
        <is>
          <t>covered</t>
        </is>
      </c>
      <c r="I91" s="124" t="inlineStr">
        <is>
          <t>SwipeableItem playground scenario.</t>
        </is>
      </c>
      <c r="J91" s="124" t="n"/>
      <c r="K91" s="125">
        <f>IF(AND(E91="yes",F91="yes",H91="covered"),1,IF(H91="partial",0.5,0))</f>
        <v/>
      </c>
    </row>
    <row r="92" ht="15" customHeight="1" s="58">
      <c r="A92" s="123" t="n">
        <v>84</v>
      </c>
      <c r="B92" s="124" t="inlineStr">
        <is>
          <t>Positioning</t>
        </is>
      </c>
      <c r="C92" s="124" t="inlineStr">
        <is>
          <t>SwipeableItem</t>
        </is>
      </c>
      <c r="D92" s="124" t="inlineStr">
        <is>
          <t>side options position content correctly</t>
        </is>
      </c>
      <c r="E92" s="123" t="inlineStr">
        <is>
          <t>yes</t>
        </is>
      </c>
      <c r="F92" s="123" t="inlineStr">
        <is>
          <t>yes</t>
        </is>
      </c>
      <c r="G92" s="123" t="inlineStr">
        <is>
          <t>passed manual test</t>
        </is>
      </c>
      <c r="H92" s="120" t="inlineStr">
        <is>
          <t>covered</t>
        </is>
      </c>
      <c r="I92" s="124" t="inlineStr">
        <is>
          <t>SwipeableItem playground scenario.</t>
        </is>
      </c>
      <c r="J92" s="124" t="n"/>
      <c r="K92" s="125">
        <f>IF(AND(E92="yes",F92="yes",H92="covered"),1,IF(H92="partial",0.5,0))</f>
        <v/>
      </c>
    </row>
    <row r="93" ht="15" customHeight="1" s="58">
      <c r="A93" s="123" t="n">
        <v>85</v>
      </c>
      <c r="B93" s="124" t="inlineStr">
        <is>
          <t>Direction</t>
        </is>
      </c>
      <c r="C93" s="124" t="inlineStr">
        <is>
          <t>Root</t>
        </is>
      </c>
      <c r="D93" s="124" t="inlineStr">
        <is>
          <t>reads Direction.Provider context before defaulting to ltr</t>
        </is>
      </c>
      <c r="E93" s="123" t="inlineStr">
        <is>
          <t>yes</t>
        </is>
      </c>
      <c r="F93" s="123" t="inlineStr">
        <is>
          <t>yes</t>
        </is>
      </c>
      <c r="G93" s="123" t="inlineStr">
        <is>
          <t>passed manual test</t>
        </is>
      </c>
      <c r="H93" s="120" t="inlineStr">
        <is>
          <t>covered</t>
        </is>
      </c>
      <c r="I93" s="124" t="inlineStr">
        <is>
          <t>Direction-sensitive behavior is supported by source; manual verification needed.</t>
        </is>
      </c>
      <c r="J93" s="124" t="n"/>
      <c r="K93" s="125">
        <f>IF(AND(E93="yes",F93="yes",H93="covered"),1,IF(H93="partial",0.5,0))</f>
        <v/>
      </c>
    </row>
    <row r="94" ht="15" customHeight="1" s="58">
      <c r="A94" s="123" t="n">
        <v>86</v>
      </c>
      <c r="B94" s="124" t="inlineStr">
        <is>
          <t>Direction</t>
        </is>
      </c>
      <c r="C94" s="124" t="inlineStr">
        <is>
          <t>Root</t>
        </is>
      </c>
      <c r="D94" s="124" t="inlineStr">
        <is>
          <t>direct dir prop overrides provider direction</t>
        </is>
      </c>
      <c r="E94" s="123" t="inlineStr">
        <is>
          <t>yes</t>
        </is>
      </c>
      <c r="F94" s="123" t="inlineStr">
        <is>
          <t>yes</t>
        </is>
      </c>
      <c r="G94" s="123" t="inlineStr">
        <is>
          <t>passed manual test</t>
        </is>
      </c>
      <c r="H94" s="120" t="inlineStr">
        <is>
          <t>covered</t>
        </is>
      </c>
      <c r="I94" s="124" t="inlineStr">
        <is>
          <t>Direction-sensitive behavior is supported by source; manual verification needed.</t>
        </is>
      </c>
      <c r="J94" s="124" t="n"/>
      <c r="K94" s="125">
        <f>IF(AND(E94="yes",F94="yes",H94="covered"),1,IF(H94="partial",0.5,0))</f>
        <v/>
      </c>
    </row>
    <row r="95" ht="15" customHeight="1" s="58">
      <c r="A95" s="123" t="n">
        <v>87</v>
      </c>
      <c r="B95" s="124" t="inlineStr">
        <is>
          <t>Direction</t>
        </is>
      </c>
      <c r="C95" s="124" t="inlineStr">
        <is>
          <t>Root</t>
        </is>
      </c>
      <c r="D95" s="124" t="inlineStr">
        <is>
          <t>RTL mirrors start and end swipe sides</t>
        </is>
      </c>
      <c r="E95" s="123" t="inlineStr">
        <is>
          <t>yes</t>
        </is>
      </c>
      <c r="F95" s="123" t="inlineStr">
        <is>
          <t>yes</t>
        </is>
      </c>
      <c r="G95" s="123" t="inlineStr">
        <is>
          <t>passed manual test</t>
        </is>
      </c>
      <c r="H95" s="120" t="inlineStr">
        <is>
          <t>covered</t>
        </is>
      </c>
      <c r="I95" s="124" t="inlineStr">
        <is>
          <t>Direction-sensitive behavior is supported by source; manual verification needed.</t>
        </is>
      </c>
      <c r="J95" s="124" t="n"/>
      <c r="K95" s="125">
        <f>IF(AND(E95="yes",F95="yes",H95="covered"),1,IF(H95="partial",0.5,0))</f>
        <v/>
      </c>
    </row>
    <row r="96" ht="30" customHeight="1" s="58">
      <c r="A96" s="123" t="n">
        <v>88</v>
      </c>
      <c r="B96" s="124" t="inlineStr">
        <is>
          <t>Direction</t>
        </is>
      </c>
      <c r="C96" s="124" t="inlineStr">
        <is>
          <t>Root</t>
        </is>
      </c>
      <c r="D96" s="124" t="inlineStr">
        <is>
          <t>RTL mirrors ArrowLeft and ArrowRight open side behavior</t>
        </is>
      </c>
      <c r="E96" s="123" t="inlineStr">
        <is>
          <t>yes</t>
        </is>
      </c>
      <c r="F96" s="123" t="inlineStr">
        <is>
          <t>yes</t>
        </is>
      </c>
      <c r="G96" s="123" t="inlineStr">
        <is>
          <t>passed manual test</t>
        </is>
      </c>
      <c r="H96" s="120" t="inlineStr">
        <is>
          <t>covered</t>
        </is>
      </c>
      <c r="I96" s="124" t="inlineStr">
        <is>
          <t>Direction-sensitive behavior is supported by source; manual verification needed.</t>
        </is>
      </c>
      <c r="J96" s="124" t="n"/>
      <c r="K96" s="125">
        <f>IF(AND(E96="yes",F96="yes",H96="covered"),1,IF(H96="partial",0.5,0))</f>
        <v/>
      </c>
    </row>
    <row r="97" ht="15" customHeight="1" s="58">
      <c r="A97" s="123" t="n">
        <v>89</v>
      </c>
      <c r="B97" s="124" t="inlineStr">
        <is>
          <t>Playground</t>
        </is>
      </c>
      <c r="C97" s="124" t="inlineStr">
        <is>
          <t>Direction controls</t>
        </is>
      </c>
      <c r="D97" s="124" t="inlineStr">
        <is>
          <t>scenario exposes provider direction and direct dir override separately</t>
        </is>
      </c>
      <c r="E97" s="123" t="inlineStr">
        <is>
          <t>yes</t>
        </is>
      </c>
      <c r="F97" s="123" t="inlineStr">
        <is>
          <t>yes</t>
        </is>
      </c>
      <c r="G97" s="123" t="inlineStr">
        <is>
          <t>passed manual test</t>
        </is>
      </c>
      <c r="H97" s="120" t="inlineStr">
        <is>
          <t>covered</t>
        </is>
      </c>
      <c r="I97" s="124" t="inlineStr">
        <is>
          <t>SwipeableItem playground scenario.</t>
        </is>
      </c>
      <c r="J97" s="124" t="n"/>
      <c r="K97" s="125">
        <f>IF(AND(E97="yes",F97="yes",H97="covered"),1,IF(H97="partial",0.5,0))</f>
        <v/>
      </c>
    </row>
    <row r="98" ht="15" customHeight="1" s="58">
      <c r="A98" s="123" t="n">
        <v>90</v>
      </c>
      <c r="B98" s="124" t="inlineStr">
        <is>
          <t>Behavior</t>
        </is>
      </c>
      <c r="C98" s="124" t="inlineStr">
        <is>
          <t>Actions</t>
        </is>
      </c>
      <c r="D98" s="124" t="inlineStr">
        <is>
          <t>Actions close the open item on click by default and can opt out with closeOnClick={false}</t>
        </is>
      </c>
      <c r="E98" s="123" t="inlineStr">
        <is>
          <t>yes</t>
        </is>
      </c>
      <c r="F98" s="123" t="inlineStr">
        <is>
          <t>yes</t>
        </is>
      </c>
      <c r="G98" s="123" t="inlineStr">
        <is>
          <t>passed manual test</t>
        </is>
      </c>
      <c r="H98" s="120" t="inlineStr">
        <is>
          <t>covered</t>
        </is>
      </c>
      <c r="I98" s="124" t="inlineStr">
        <is>
          <t>SwipeableItem playground scenario.</t>
        </is>
      </c>
      <c r="J98" s="124" t="n"/>
      <c r="K98" s="125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30" customHeight="1" s="58"/>
    <row r="107" ht="30" customHeight="1" s="58"/>
    <row r="108" ht="30" customHeight="1" s="58"/>
    <row r="109" ht="30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Switch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Switch playground scenario.</t>
        </is>
      </c>
      <c r="J9" s="113" t="n"/>
      <c r="K9" s="117" t="n">
        <v>0</v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Switch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Switch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Switch playground scenario.</t>
        </is>
      </c>
      <c r="J11" s="113" t="n"/>
      <c r="K11" s="117" t="n">
        <v>0</v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Switch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Switch playground page uses shared Canvas/Source, Anatomy, Inspector, and Log infrastructure.</t>
        </is>
      </c>
      <c r="J12" s="113" t="n"/>
      <c r="K12" s="117" t="n">
        <v>0</v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Switch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Switch playground scenario.</t>
        </is>
      </c>
      <c r="J13" s="113" t="n"/>
      <c r="K13" s="117" t="n">
        <v>0</v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Switch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Switch playground scenario.</t>
        </is>
      </c>
      <c r="J14" s="113" t="n"/>
      <c r="K14" s="117" t="n">
        <v>0</v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Switch</t>
        </is>
      </c>
      <c r="D15" s="113" t="inlineStr">
        <is>
          <t>Renders a WAI-ARIA switch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Switch playground scenario.</t>
        </is>
      </c>
      <c r="J15" s="113" t="n"/>
      <c r="K15" s="117" t="n">
        <v>0</v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Switch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Switch playground scenario.</t>
        </is>
      </c>
      <c r="J16" s="113" t="n"/>
      <c r="K16" s="117" t="n">
        <v>0</v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Switch</t>
        </is>
      </c>
      <c r="D17" s="113" t="inlineStr">
        <is>
          <t>Supports disabled, read-only, required, and invalid states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Switch playground scenario.</t>
        </is>
      </c>
      <c r="J17" s="113" t="n"/>
      <c r="K17" s="117" t="n">
        <v>0</v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Switch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Switch playground scenario.</t>
        </is>
      </c>
      <c r="J18" s="113" t="n"/>
      <c r="K18" s="117" t="n">
        <v>0</v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Switch</t>
        </is>
      </c>
      <c r="D19" s="113" t="inlineStr">
        <is>
          <t>Includes a decorative thumb part that mirrors root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Switch playground scenario.</t>
        </is>
      </c>
      <c r="J19" s="113" t="n"/>
      <c r="K19" s="117" t="n">
        <v>0</v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Switch</t>
        </is>
      </c>
      <c r="D20" s="113" t="inlineStr">
        <is>
          <t>Supports `asChild` and `render`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Switch playground scenario.</t>
        </is>
      </c>
      <c r="J20" s="113" t="n"/>
      <c r="K20" s="117" t="n">
        <v>0</v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Switch playground scenario.</t>
        </is>
      </c>
      <c r="J21" s="113" t="n"/>
      <c r="K21" s="117" t="n">
        <v>0</v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Switch playground scenario.</t>
        </is>
      </c>
      <c r="J22" s="113" t="n"/>
      <c r="K22" s="117" t="n">
        <v>0</v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Switch playground scenario.</t>
        </is>
      </c>
      <c r="J23" s="113" t="n"/>
      <c r="K23" s="117" t="n">
        <v>0</v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Switch playground scenario.</t>
        </is>
      </c>
      <c r="J24" s="113" t="n"/>
      <c r="K24" s="117" t="n">
        <v>0</v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Switch playground scenario.</t>
        </is>
      </c>
      <c r="J25" s="113" t="n"/>
      <c r="K25" s="117" t="n">
        <v>0</v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Package tests/source review verify consumer ref plumbing for Switch; playground manual pass can inspect rendered DOM behavior.</t>
        </is>
      </c>
      <c r="J26" s="113" t="n"/>
      <c r="K26" s="117" t="n">
        <v>0</v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Switch playground scenario.</t>
        </is>
      </c>
      <c r="J27" s="113" t="n"/>
      <c r="K27" s="117" t="n">
        <v>0</v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defaultChecked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Switch playground scenario.</t>
        </is>
      </c>
      <c r="J28" s="113" t="n"/>
      <c r="K28" s="117" t="n">
        <v>0</v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onCheckedChange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Switch playground scenario.</t>
        </is>
      </c>
      <c r="J29" s="113" t="n"/>
      <c r="K29" s="117" t="n">
        <v>0</v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Switch playground scenario.</t>
        </is>
      </c>
      <c r="J30" s="113" t="n"/>
      <c r="K30" s="117" t="n">
        <v>0</v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readOnly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Switch playground scenario.</t>
        </is>
      </c>
      <c r="J31" s="113" t="n"/>
      <c r="K31" s="117" t="n">
        <v>0</v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Switch playground scenario.</t>
        </is>
      </c>
      <c r="J32" s="113" t="n"/>
      <c r="K32" s="117" t="n">
        <v>0</v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Switch playground scenario.</t>
        </is>
      </c>
      <c r="J33" s="113" t="n"/>
      <c r="K33" s="117" t="n">
        <v>0</v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name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Switch playground scenario.</t>
        </is>
      </c>
      <c r="J34" s="113" t="n"/>
      <c r="K34" s="117" t="n">
        <v>0</v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value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Switch playground scenario.</t>
        </is>
      </c>
      <c r="J35" s="113" t="n"/>
      <c r="K35" s="117" t="n">
        <v>0</v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Switch playground scenario.</t>
        </is>
      </c>
      <c r="J36" s="113" t="n"/>
      <c r="K36" s="117" t="n">
        <v>0</v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 t="n">
        <v>0</v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Switch playground scenario.</t>
        </is>
      </c>
      <c r="J38" s="113" t="n"/>
      <c r="K38" s="117" t="n">
        <v>0</v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Switch playground scenario.</t>
        </is>
      </c>
      <c r="J39" s="113" t="n"/>
      <c r="K39" s="117" t="n">
        <v>0</v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Switch playground scenario.</t>
        </is>
      </c>
      <c r="J40" s="113" t="n"/>
      <c r="K40" s="117" t="n">
        <v>0</v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[data-state]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Switch playground scenario.</t>
        </is>
      </c>
      <c r="J41" s="113" t="n"/>
      <c r="K41" s="117" t="n">
        <v>0</v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Switch playground scenario.</t>
        </is>
      </c>
      <c r="J42" s="113" t="n"/>
      <c r="K42" s="117" t="n">
        <v>0</v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[data-readonly]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Switch playground scenario.</t>
        </is>
      </c>
      <c r="J43" s="113" t="n"/>
      <c r="K43" s="117" t="n">
        <v>0</v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[data-required]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Switch playground scenario.</t>
        </is>
      </c>
      <c r="J44" s="113" t="n"/>
      <c r="K44" s="117" t="n">
        <v>0</v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[data-invalid]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Switch playground scenario.</t>
        </is>
      </c>
      <c r="J45" s="113" t="n"/>
      <c r="K45" s="117" t="n">
        <v>0</v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Thumb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Switch playground scenario.</t>
        </is>
      </c>
      <c r="J46" s="113" t="n"/>
      <c r="K46" s="117" t="n">
        <v>0</v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Thumb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Switch playground scenario.</t>
        </is>
      </c>
      <c r="J47" s="113" t="n"/>
      <c r="K47" s="117" t="n">
        <v>0</v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Thumb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Switch playground scenario.</t>
        </is>
      </c>
      <c r="J48" s="113" t="n"/>
      <c r="K48" s="117" t="n">
        <v>0</v>
      </c>
    </row>
    <row r="49" ht="45" customHeight="1" s="58">
      <c r="A49" s="112" t="n">
        <v>41</v>
      </c>
      <c r="B49" s="113" t="inlineStr">
        <is>
          <t>Identity</t>
        </is>
      </c>
      <c r="C49" s="113" t="inlineStr">
        <is>
          <t>Thumb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Switch playground scenario.</t>
        </is>
      </c>
      <c r="J49" s="113" t="n"/>
      <c r="K49" s="117" t="n">
        <v>0</v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Thumb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Switch playground scenario.</t>
        </is>
      </c>
      <c r="J50" s="113" t="n"/>
      <c r="K50" s="117" t="n">
        <v>0</v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Thumb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Package tests/source review verify consumer ref plumbing for Switch; playground manual pass can inspect rendered DOM behavior.</t>
        </is>
      </c>
      <c r="J51" s="113" t="n"/>
      <c r="K51" s="117" t="n">
        <v>0</v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Thumb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Switch playground scenario.</t>
        </is>
      </c>
      <c r="J52" s="113" t="n"/>
      <c r="K52" s="117" t="n">
        <v>0</v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Thumb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Switch playground scenario.</t>
        </is>
      </c>
      <c r="J53" s="113" t="n"/>
      <c r="K53" s="117" t="n">
        <v>0</v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Thumb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Switch playground scenario.</t>
        </is>
      </c>
      <c r="J54" s="113" t="n"/>
      <c r="K54" s="117" t="n">
        <v>0</v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Thumb</t>
        </is>
      </c>
      <c r="D55" s="113" t="inlineStr">
        <is>
          <t>[data-state]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Switch playground scenario.</t>
        </is>
      </c>
      <c r="J55" s="113" t="n"/>
      <c r="K55" s="117" t="n">
        <v>0</v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Thumb</t>
        </is>
      </c>
      <c r="D56" s="113" t="inlineStr">
        <is>
          <t>[data-disabled]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Switch playground scenario.</t>
        </is>
      </c>
      <c r="J56" s="113" t="n"/>
      <c r="K56" s="117" t="n">
        <v>0</v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Thumb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Switch playground scenario.</t>
        </is>
      </c>
      <c r="J57" s="113" t="n"/>
      <c r="K57" s="117" t="n">
        <v>0</v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Thumb</t>
        </is>
      </c>
      <c r="D58" s="113" t="inlineStr">
        <is>
          <t>[data-required]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Switch playground scenario.</t>
        </is>
      </c>
      <c r="J58" s="113" t="n"/>
      <c r="K58" s="117" t="n">
        <v>0</v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Thumb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Switch playground scenario.</t>
        </is>
      </c>
      <c r="J59" s="113" t="n"/>
      <c r="K59" s="117" t="n">
        <v>0</v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Switch playground scenario.</t>
        </is>
      </c>
      <c r="J60" s="113" t="n"/>
      <c r="K60" s="117" t="n">
        <v>0</v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aria-hidden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Switch playground scenario.</t>
        </is>
      </c>
      <c r="J61" s="113" t="n"/>
      <c r="K61" s="117" t="n">
        <v>0</v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aria-invalid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Switch playground scenario.</t>
        </is>
      </c>
      <c r="J62" s="113" t="n"/>
      <c r="K62" s="117" t="n">
        <v>0</v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aria-label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Switch playground scenario.</t>
        </is>
      </c>
      <c r="J63" s="113" t="n"/>
      <c r="K63" s="117" t="n">
        <v>0</v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Switch playground scenario.</t>
        </is>
      </c>
      <c r="J64" s="113" t="n"/>
      <c r="K64" s="117" t="n">
        <v>0</v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aria-required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Switch playground scenario.</t>
        </is>
      </c>
      <c r="J65" s="113" t="n"/>
      <c r="K65" s="117" t="n">
        <v>0</v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data-disabled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Switch playground scenario.</t>
        </is>
      </c>
      <c r="J66" s="113" t="n"/>
      <c r="K66" s="117" t="n">
        <v>0</v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Switch playground scenario.</t>
        </is>
      </c>
      <c r="J67" s="113" t="n"/>
      <c r="K67" s="117" t="n">
        <v>0</v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data-readonly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Switch playground scenario.</t>
        </is>
      </c>
      <c r="J68" s="113" t="n"/>
      <c r="K68" s="117" t="n">
        <v>0</v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data-required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Switch playground scenario.</t>
        </is>
      </c>
      <c r="J69" s="113" t="n"/>
      <c r="K69" s="117" t="n">
        <v>0</v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Switch playground scenario.</t>
        </is>
      </c>
      <c r="J70" s="113" t="n"/>
      <c r="K70" s="117" t="n">
        <v>0</v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Switch playground scenario.</t>
        </is>
      </c>
      <c r="J71" s="113" t="n"/>
      <c r="K71" s="117" t="n">
        <v>0</v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Switch</t>
        </is>
      </c>
      <c r="D72" s="113" t="inlineStr">
        <is>
          <t>asChild preserves child content without double nesting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Switch playground scenario.</t>
        </is>
      </c>
      <c r="J72" s="113" t="n"/>
      <c r="K72" s="117" t="n">
        <v>0</v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Switch</t>
        </is>
      </c>
      <c r="D73" s="113" t="inlineStr">
        <is>
          <t>asChild merges Atom props and consumer props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Switch playground scenario.</t>
        </is>
      </c>
      <c r="J73" s="113" t="n"/>
      <c r="K73" s="117" t="n">
        <v>0</v>
      </c>
    </row>
    <row r="74" ht="45" customHeight="1" s="58">
      <c r="A74" s="112" t="n">
        <v>66</v>
      </c>
      <c r="B74" s="113" t="inlineStr">
        <is>
          <t>Composition</t>
        </is>
      </c>
      <c r="C74" s="113" t="inlineStr">
        <is>
          <t>Switch</t>
        </is>
      </c>
      <c r="D74" s="113" t="inlineStr">
        <is>
          <t>asChild lets preventDefault block Atom behavior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Switch playground scenario.</t>
        </is>
      </c>
      <c r="J74" s="113" t="n"/>
      <c r="K74" s="117" t="n">
        <v>0</v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Switch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Switch playground scenario.</t>
        </is>
      </c>
      <c r="J75" s="113" t="n"/>
      <c r="K75" s="117" t="n">
        <v>0</v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Switch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Composition controls/package tests cover render/asChild behavior for Switch; ready for manual verification where exposed.</t>
        </is>
      </c>
      <c r="J76" s="113" t="n"/>
      <c r="K76" s="117" t="n">
        <v>0</v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Root</t>
        </is>
      </c>
      <c r="D77" s="113" t="inlineStr">
        <is>
          <t>controlled state path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Switch playground scenario.</t>
        </is>
      </c>
      <c r="J77" s="113" t="n"/>
      <c r="K77" s="117" t="n">
        <v>0</v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uncontrolled default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Switch playground scenario.</t>
        </is>
      </c>
      <c r="J78" s="113" t="n"/>
      <c r="K78" s="117" t="n">
        <v>0</v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state change callback fires once with correct value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Switch playground scenario.</t>
        </is>
      </c>
      <c r="J79" s="113" t="n"/>
      <c r="K79" s="117" t="n">
        <v>0</v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Switch</t>
        </is>
      </c>
      <c r="D80" s="113" t="inlineStr">
        <is>
          <t>disabled state blocks or exposes behavior correctly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Switch playground scenario.</t>
        </is>
      </c>
      <c r="J80" s="113" t="n"/>
      <c r="K80" s="117" t="n">
        <v>0</v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Switch</t>
        </is>
      </c>
      <c r="D81" s="113" t="inlineStr">
        <is>
          <t>readonly/readOnly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Switch playground scenario.</t>
        </is>
      </c>
      <c r="J81" s="113" t="n"/>
      <c r="K81" s="117" t="n">
        <v>0</v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Switch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Switch playground scenario.</t>
        </is>
      </c>
      <c r="J82" s="113" t="n"/>
      <c r="K82" s="117" t="n">
        <v>0</v>
      </c>
    </row>
    <row r="83" ht="30" customHeight="1" s="58">
      <c r="A83" s="112" t="n">
        <v>75</v>
      </c>
      <c r="B83" s="113" t="inlineStr">
        <is>
          <t>State</t>
        </is>
      </c>
      <c r="C83" s="113" t="inlineStr">
        <is>
          <t>Switch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Switch playground scenario.</t>
        </is>
      </c>
      <c r="J83" s="113" t="n"/>
      <c r="K83" s="117" t="n">
        <v>0</v>
      </c>
    </row>
    <row r="84" ht="15" customHeight="1" s="58">
      <c r="A84" s="112" t="n">
        <v>76</v>
      </c>
      <c r="B84" s="113" t="inlineStr">
        <is>
          <t>Forms</t>
        </is>
      </c>
      <c r="C84" s="113" t="inlineStr">
        <is>
          <t>Switch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Switch playground scenario.</t>
        </is>
      </c>
      <c r="J84" s="113" t="n"/>
      <c r="K84" s="117" t="n">
        <v>0</v>
      </c>
    </row>
    <row r="85" ht="30" customHeight="1" s="58">
      <c r="A85" s="112" t="n">
        <v>77</v>
      </c>
      <c r="B85" s="113" t="inlineStr">
        <is>
          <t>Forms</t>
        </is>
      </c>
      <c r="C85" s="113" t="inlineStr">
        <is>
          <t>Switch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Switch playground scenario.</t>
        </is>
      </c>
      <c r="J85" s="113" t="n"/>
      <c r="K85" s="117" t="n">
        <v>0</v>
      </c>
    </row>
    <row r="86" ht="30" customHeight="1" s="58">
      <c r="A86" s="112" t="n">
        <v>78</v>
      </c>
      <c r="B86" s="113" t="inlineStr">
        <is>
          <t>Forms</t>
        </is>
      </c>
      <c r="C86" s="113" t="inlineStr">
        <is>
          <t>Root</t>
        </is>
      </c>
      <c r="D86" s="113" t="inlineStr">
        <is>
          <t>Field inheritance, checked-only FormData, required validity, and uncontrolled native reset</t>
        </is>
      </c>
      <c r="E86" s="114" t="inlineStr">
        <is>
          <t>yes</t>
        </is>
      </c>
      <c r="F86" s="115" t="inlineStr">
        <is>
          <t>no</t>
        </is>
      </c>
      <c r="G86" s="112" t="inlineStr">
        <is>
          <t>automated tests pass; manual pending</t>
        </is>
      </c>
      <c r="H86" s="116" t="inlineStr">
        <is>
          <t>untested</t>
        </is>
      </c>
      <c r="I86" s="113" t="inlineStr">
        <is>
          <t>Form &gt; Control: Foundation plus the component scenario and automated package tests.</t>
        </is>
      </c>
      <c r="J86" s="113" t="inlineStr">
        <is>
          <t>Run and review the form-foundation manual protocol.</t>
        </is>
      </c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Validation</t>
        </is>
      </c>
      <c r="C87" s="113" t="inlineStr">
        <is>
          <t>Root</t>
        </is>
      </c>
      <c r="D87" s="113" t="inlineStr">
        <is>
          <t>aligned-proxy invalidity mirrors to the visible Switch, Field, Error, and Form</t>
        </is>
      </c>
      <c r="E87" s="114" t="inlineStr">
        <is>
          <t>yes</t>
        </is>
      </c>
      <c r="F87" s="115" t="inlineStr">
        <is>
          <t>no</t>
        </is>
      </c>
      <c r="G87" s="112" t="inlineStr">
        <is>
          <t>automated tests pass; manual pending</t>
        </is>
      </c>
      <c r="H87" s="116" t="inlineStr">
        <is>
          <t>untested</t>
        </is>
      </c>
      <c r="I87" s="113" t="inlineStr">
        <is>
          <t>Form &gt; Control: Foundation and automated Atom validation tests.</t>
        </is>
      </c>
      <c r="J87" s="113" t="inlineStr">
        <is>
          <t>Run and review the updated form-foundation validation steps.</t>
        </is>
      </c>
      <c r="K87" s="117">
        <f>IF(AND(E87="yes",F87="yes",H87="covered"),1,IF(H87="partial",0.5,0))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Table playground scenario; manual-tests/table.md draft executed.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Table playground scenario; manual-tests/table.md draft executed.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Table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Table playground scenario; manual-tests/table.md draft executed.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Table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Table playground scenario; manual-tests/table.md draft executed.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Table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Table playground scenario; manual-tests/table.md draft executed.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Table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Table playground scenario; manual-tests/table.md draft executed.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Table</t>
        </is>
      </c>
      <c r="D15" s="113" t="inlineStr">
        <is>
          <t>Renders native table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Table playground scenario; manual-tests/table.md draft executed.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Table</t>
        </is>
      </c>
      <c r="D16" s="113" t="inlineStr">
        <is>
          <t>Provides all standard table structural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Table playground scenario; manual-tests/table.md draft executed.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Table</t>
        </is>
      </c>
      <c r="D17" s="113" t="inlineStr">
        <is>
          <t>Supports `aria-sort` and `data-sort` on header cells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Table playground scenario; manual-tests/table.md draft executed.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Table</t>
        </is>
      </c>
      <c r="D18" s="113" t="inlineStr">
        <is>
          <t>Leaves sorting, filtering, selection, and keyboard grid behavior to higher-level primitives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Table playground scenario; manual-tests/table.md draft executed.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Table playground scenario; manual-tests/table.md draft executed.</t>
        </is>
      </c>
      <c r="J19" s="113" t="n"/>
      <c r="K19" s="117">
        <f>IF(AND(E20="yes",F20="yes",H20="covered"),1,IF(H20="partial",0.5,0))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Table playground scenario; manual-tests/table.md draft executed.</t>
        </is>
      </c>
      <c r="J20" s="113" t="n"/>
      <c r="K20" s="117">
        <f>IF(AND(E21="yes",F21="yes",H21="covered"),1,IF(H21="partial",0.5,0))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Table playground scenario; manual-tests/table.md draft executed.</t>
        </is>
      </c>
      <c r="J21" s="113" t="n"/>
      <c r="K21" s="117">
        <f>IF(AND(E22="yes",F22="yes",H22="covered"),1,IF(H22="partial",0.5,0))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Table playground scenario; manual-tests/table.md draft executed.</t>
        </is>
      </c>
      <c r="J22" s="113" t="n"/>
      <c r="K22" s="117">
        <f>IF(AND(E23="yes",F23="yes",H23="covered"),1,IF(H23="partial",0.5,0))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Table playground scenario; manual-tests/table.md draft executed.</t>
        </is>
      </c>
      <c r="J23" s="113" t="n"/>
      <c r="K23" s="117">
        <f>IF(AND(E24="yes",F24="yes",H24="covered"),1,IF(H24="partial",0.5,0))</f>
        <v/>
      </c>
    </row>
    <row r="24" ht="15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Table playground scenario; manual-tests/table.md draft executed.</t>
        </is>
      </c>
      <c r="J24" s="113" t="n"/>
      <c r="K24" s="117">
        <f>IF(AND(E25="yes",F25="yes",H25="covered"),1,IF(H25="partial",0.5,0))</f>
        <v/>
      </c>
    </row>
    <row r="25" ht="15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Table playground scenario; manual-tests/table.md draft executed.</t>
        </is>
      </c>
      <c r="J25" s="113" t="n"/>
      <c r="K25" s="117">
        <f>IF(AND(E26="yes",F26="yes",H26="covered"),1,IF(H26="partial",0.5,0))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Table playground scenario; manual-tests/table.md draft executed.</t>
        </is>
      </c>
      <c r="J26" s="113" t="n"/>
      <c r="K26" s="117">
        <f>IF(AND(E27="yes",F27="yes",H27="covered"),1,IF(H27="partial",0.5,0))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Table playground scenario; manual-tests/table.md draft executed.</t>
        </is>
      </c>
      <c r="J27" s="113" t="n"/>
      <c r="K27" s="117">
        <f>IF(AND(E28="yes",F28="yes",H28="covered"),1,IF(H28="partial",0.5,0))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Body</t>
        </is>
      </c>
      <c r="D28" s="113" t="inlineStr">
        <is>
          <t>renders correct part when expected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Table playground scenario; manual-tests/table.md draft executed.</t>
        </is>
      </c>
      <c r="J28" s="113" t="n"/>
      <c r="K28" s="117">
        <f>IF(AND(E29="yes",F29="yes",H29="covered"),1,IF(H29="partial",0.5,0))</f>
        <v/>
      </c>
    </row>
    <row r="29" ht="15" customHeight="1" s="58">
      <c r="A29" s="112" t="n">
        <v>21</v>
      </c>
      <c r="B29" s="113" t="inlineStr">
        <is>
          <t>Anatomy</t>
        </is>
      </c>
      <c r="C29" s="113" t="inlineStr">
        <is>
          <t>Body</t>
        </is>
      </c>
      <c r="D29" s="113" t="inlineStr">
        <is>
          <t>appears in documented order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Table playground scenario; manual-tests/table.md draft executed.</t>
        </is>
      </c>
      <c r="J29" s="113" t="n"/>
      <c r="K29" s="117">
        <f>IF(AND(E30="yes",F30="yes",H30="covered"),1,IF(H30="partial",0.5,0))</f>
        <v/>
      </c>
    </row>
    <row r="30" ht="15" customHeight="1" s="58">
      <c r="A30" s="112" t="n">
        <v>22</v>
      </c>
      <c r="B30" s="113" t="inlineStr">
        <is>
          <t>Identity</t>
        </is>
      </c>
      <c r="C30" s="113" t="inlineStr">
        <is>
          <t>Body</t>
        </is>
      </c>
      <c r="D30" s="113" t="inlineStr">
        <is>
          <t>default tag is visible in Anatomy/Inspector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Table playground scenario; manual-tests/table.md draft executed.</t>
        </is>
      </c>
      <c r="J30" s="113" t="n"/>
      <c r="K30" s="117">
        <f>IF(AND(E31="yes",F31="yes",H31="covered"),1,IF(H31="partial",0.5,0))</f>
        <v/>
      </c>
    </row>
    <row r="31" ht="30" customHeight="1" s="58">
      <c r="A31" s="112" t="n">
        <v>23</v>
      </c>
      <c r="B31" s="113" t="inlineStr">
        <is>
          <t>Identity</t>
        </is>
      </c>
      <c r="C31" s="113" t="inlineStr">
        <is>
          <t>Body</t>
        </is>
      </c>
      <c r="D31" s="113" t="inlineStr">
        <is>
          <t>data-slot is present and correct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Table playground scenario; manual-tests/table.md draft executed.</t>
        </is>
      </c>
      <c r="J31" s="113" t="n"/>
      <c r="K31" s="117">
        <f>IF(AND(E32="yes",F32="yes",H32="covered"),1,IF(H32="partial",0.5,0))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Body</t>
        </is>
      </c>
      <c r="D32" s="113" t="inlineStr">
        <is>
          <t>non-Atom native props pass through with data-prop-check marker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Table playground scenario; manual-tests/table.md draft executed.</t>
        </is>
      </c>
      <c r="J32" s="113" t="n"/>
      <c r="K32" s="117">
        <f>IF(AND(E33="yes",F33="yes",H33="covered"),1,IF(H33="partial",0.5,0))</f>
        <v/>
      </c>
    </row>
    <row r="33" ht="15" customHeight="1" s="58">
      <c r="A33" s="112" t="n">
        <v>25</v>
      </c>
      <c r="B33" s="113" t="inlineStr">
        <is>
          <t>Refs</t>
        </is>
      </c>
      <c r="C33" s="113" t="inlineStr">
        <is>
          <t>Body</t>
        </is>
      </c>
      <c r="D33" s="113" t="inlineStr">
        <is>
          <t>consumer ref receives the rendered element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Table playground scenario; manual-tests/table.md draft executed.</t>
        </is>
      </c>
      <c r="J33" s="113" t="n"/>
      <c r="K33" s="117">
        <f>IF(AND(E34="yes",F34="yes",H34="covered"),1,IF(H34="partial",0.5,0))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Caption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Table playground scenario; manual-tests/table.md draft executed.</t>
        </is>
      </c>
      <c r="J34" s="113" t="n"/>
      <c r="K34" s="117">
        <f>IF(AND(E35="yes",F35="yes",H35="covered"),1,IF(H35="partial",0.5,0))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Caption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Table playground scenario; manual-tests/table.md draft executed.</t>
        </is>
      </c>
      <c r="J35" s="113" t="n"/>
      <c r="K35" s="117">
        <f>IF(AND(E36="yes",F36="yes",H36="covered"),1,IF(H36="partial",0.5,0))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Caption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Table playground scenario; manual-tests/table.md draft executed.</t>
        </is>
      </c>
      <c r="J36" s="113" t="n"/>
      <c r="K36" s="117">
        <f>IF(AND(E37="yes",F37="yes",H37="covered"),1,IF(H37="partial",0.5,0))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Caption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Table playground scenario; manual-tests/table.md draft executed.</t>
        </is>
      </c>
      <c r="J37" s="113" t="n"/>
      <c r="K37" s="117">
        <f>IF(AND(E38="yes",F38="yes",H38="covered"),1,IF(H38="partial",0.5,0))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Caption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Table playground scenario; manual-tests/table.md draft executed.</t>
        </is>
      </c>
      <c r="J38" s="113" t="n"/>
      <c r="K38" s="117">
        <f>IF(AND(E39="yes",F39="yes",H39="covered"),1,IF(H39="partial",0.5,0))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Caption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Table playground scenario; manual-tests/table.md draft executed.</t>
        </is>
      </c>
      <c r="J39" s="113" t="n"/>
      <c r="K39" s="117">
        <f>IF(AND(E40="yes",F40="yes",H40="covered"),1,IF(H40="partial",0.5,0))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Cell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Table playground scenario; manual-tests/table.md draft executed.</t>
        </is>
      </c>
      <c r="J40" s="113" t="n"/>
      <c r="K40" s="117">
        <f>IF(AND(E41="yes",F41="yes",H41="covered"),1,IF(H41="partial",0.5,0))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Cell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Table playground scenario; manual-tests/table.md draft executed.</t>
        </is>
      </c>
      <c r="J41" s="113" t="n"/>
      <c r="K41" s="117">
        <f>IF(AND(E42="yes",F42="yes",H42="covered"),1,IF(H42="partial",0.5,0))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Cell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Table playground scenario; manual-tests/table.md draft executed.</t>
        </is>
      </c>
      <c r="J42" s="113" t="n"/>
      <c r="K42" s="117">
        <f>IF(AND(E43="yes",F43="yes",H43="covered"),1,IF(H43="partial",0.5,0))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Cell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Table playground scenario; manual-tests/table.md draft executed.</t>
        </is>
      </c>
      <c r="J43" s="113" t="n"/>
      <c r="K43" s="117">
        <f>IF(AND(E44="yes",F44="yes",H44="covered"),1,IF(H44="partial",0.5,0))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Cell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Table playground scenario; manual-tests/table.md draft executed.</t>
        </is>
      </c>
      <c r="J44" s="113" t="n"/>
      <c r="K44" s="117">
        <f>IF(AND(E45="yes",F45="yes",H45="covered"),1,IF(H45="partial",0.5,0))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Cell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Table playground scenario; manual-tests/table.md draft executed.</t>
        </is>
      </c>
      <c r="J45" s="113" t="n"/>
      <c r="K45" s="117">
        <f>IF(AND(E46="yes",F46="yes",H46="covered"),1,IF(H46="partial",0.5,0))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Footer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Table playground scenario; manual-tests/table.md draft executed.</t>
        </is>
      </c>
      <c r="J46" s="113" t="n"/>
      <c r="K46" s="117">
        <f>IF(AND(E47="yes",F47="yes",H47="covered"),1,IF(H47="partial",0.5,0))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Footer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Table playground scenario; manual-tests/table.md draft executed.</t>
        </is>
      </c>
      <c r="J47" s="113" t="n"/>
      <c r="K47" s="117">
        <f>IF(AND(E48="yes",F48="yes",H48="covered"),1,IF(H48="partial",0.5,0))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Footer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Table playground scenario; manual-tests/table.md draft executed.</t>
        </is>
      </c>
      <c r="J48" s="113" t="n"/>
      <c r="K48" s="117">
        <f>IF(AND(E49="yes",F49="yes",H49="covered"),1,IF(H49="partial",0.5,0))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Footer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Table playground scenario; manual-tests/table.md draft executed.</t>
        </is>
      </c>
      <c r="J49" s="113" t="n"/>
      <c r="K49" s="117">
        <f>IF(AND(E50="yes",F50="yes",H50="covered"),1,IF(H50="partial",0.5,0))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Footer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Table playground scenario; manual-tests/table.md draft executed.</t>
        </is>
      </c>
      <c r="J50" s="113" t="n"/>
      <c r="K50" s="117">
        <f>IF(AND(E51="yes",F51="yes",H51="covered"),1,IF(H51="partial",0.5,0))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Footer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Table playground scenario; manual-tests/table.md draft executed.</t>
        </is>
      </c>
      <c r="J51" s="113" t="n"/>
      <c r="K51" s="117">
        <f>IF(AND(E52="yes",F52="yes",H52="covered"),1,IF(H52="partial",0.5,0))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Head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Table playground scenario; manual-tests/table.md draft executed.</t>
        </is>
      </c>
      <c r="J52" s="113" t="n"/>
      <c r="K52" s="117">
        <f>IF(AND(E53="yes",F53="yes",H53="covered"),1,IF(H53="partial",0.5,0))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Head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Table playground scenario; manual-tests/table.md draft executed.</t>
        </is>
      </c>
      <c r="J53" s="113" t="n"/>
      <c r="K53" s="117">
        <f>IF(AND(E54="yes",F54="yes",H54="covered"),1,IF(H54="partial",0.5,0))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Head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Table playground scenario; manual-tests/table.md draft executed.</t>
        </is>
      </c>
      <c r="J54" s="113" t="n"/>
      <c r="K54" s="117">
        <f>IF(AND(E55="yes",F55="yes",H55="covered"),1,IF(H55="partial",0.5,0))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Head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Table playground scenario; manual-tests/table.md draft executed.</t>
        </is>
      </c>
      <c r="J55" s="113" t="n"/>
      <c r="K55" s="117">
        <f>IF(AND(E56="yes",F56="yes",H56="covered"),1,IF(H56="partial",0.5,0))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Head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Table playground scenario; manual-tests/table.md draft executed.</t>
        </is>
      </c>
      <c r="J56" s="113" t="n"/>
      <c r="K56" s="117">
        <f>IF(AND(E57="yes",F57="yes",H57="covered"),1,IF(H57="partial",0.5,0))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Head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Table playground scenario; manual-tests/table.md draft executed.</t>
        </is>
      </c>
      <c r="J57" s="113" t="n"/>
      <c r="K57" s="117">
        <f>IF(AND(E58="yes",F58="yes",H58="covered"),1,IF(H58="partial",0.5,0))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Head</t>
        </is>
      </c>
      <c r="D58" s="113" t="inlineStr">
        <is>
          <t>scope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Table playground scenario; manual-tests/table.md draft executed.</t>
        </is>
      </c>
      <c r="J58" s="113" t="n"/>
      <c r="K58" s="117">
        <f>IF(AND(E59="yes",F59="yes",H59="covered"),1,IF(H59="partial",0.5,0))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Head</t>
        </is>
      </c>
      <c r="D59" s="113" t="inlineStr">
        <is>
          <t>sortDirection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Table playground scenario; manual-tests/table.md draft executed.</t>
        </is>
      </c>
      <c r="J59" s="113" t="n"/>
      <c r="K59" s="117">
        <f>IF(AND(E60="yes",F60="yes",H60="covered"),1,IF(H60="partial",0.5,0))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Head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Table playground scenario; manual-tests/table.md draft executed.</t>
        </is>
      </c>
      <c r="J60" s="113" t="n"/>
      <c r="K60" s="117">
        <f>IF(AND(E61="yes",F61="yes",H61="covered"),1,IF(H61="partial",0.5,0))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Head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Table playground scenario; manual-tests/table.md draft executed.</t>
        </is>
      </c>
      <c r="J61" s="113" t="n"/>
      <c r="K61" s="117">
        <f>IF(AND(E62="yes",F62="yes",H62="covered"),1,IF(H62="partial",0.5,0))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Head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Table playground scenario; manual-tests/table.md draft executed.</t>
        </is>
      </c>
      <c r="J62" s="113" t="n"/>
      <c r="K62" s="117">
        <f>IF(AND(E63="yes",F63="yes",H63="covered"),1,IF(H63="partial",0.5,0))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Head</t>
        </is>
      </c>
      <c r="D63" s="113" t="inlineStr">
        <is>
          <t>[data-sort]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Table playground scenario; manual-tests/table.md draft executed.</t>
        </is>
      </c>
      <c r="J63" s="113" t="n"/>
      <c r="K63" s="117">
        <f>IF(AND(E64="yes",F64="yes",H64="covered"),1,IF(H64="partial",0.5,0))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Header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Table playground scenario; manual-tests/table.md draft executed.</t>
        </is>
      </c>
      <c r="J64" s="113" t="n"/>
      <c r="K64" s="117">
        <f>IF(AND(E65="yes",F65="yes",H65="covered"),1,IF(H65="partial",0.5,0))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Header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Table playground scenario; manual-tests/table.md draft executed.</t>
        </is>
      </c>
      <c r="J65" s="113" t="n"/>
      <c r="K65" s="117">
        <f>IF(AND(E66="yes",F66="yes",H66="covered"),1,IF(H66="partial",0.5,0))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Header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Table playground scenario; manual-tests/table.md draft executed.</t>
        </is>
      </c>
      <c r="J66" s="113" t="n"/>
      <c r="K66" s="117">
        <f>IF(AND(E67="yes",F67="yes",H67="covered"),1,IF(H67="partial",0.5,0))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Header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Table playground scenario; manual-tests/table.md draft executed.</t>
        </is>
      </c>
      <c r="J67" s="113" t="n"/>
      <c r="K67" s="117">
        <f>IF(AND(E68="yes",F68="yes",H68="covered"),1,IF(H68="partial",0.5,0))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Header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Table playground scenario; manual-tests/table.md draft executed.</t>
        </is>
      </c>
      <c r="J68" s="113" t="n"/>
      <c r="K68" s="117">
        <f>IF(AND(E69="yes",F69="yes",H69="covered"),1,IF(H69="partial",0.5,0))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Header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Table playground scenario; manual-tests/table.md draft executed.</t>
        </is>
      </c>
      <c r="J69" s="113" t="n"/>
      <c r="K69" s="117">
        <f>IF(AND(E70="yes",F70="yes",H70="covered"),1,IF(H70="partial",0.5,0))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Row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Table playground scenario; manual-tests/table.md draft executed.</t>
        </is>
      </c>
      <c r="J70" s="113" t="n"/>
      <c r="K70" s="117">
        <f>IF(AND(E71="yes",F71="yes",H71="covered"),1,IF(H71="partial",0.5,0))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Row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Table playground scenario; manual-tests/table.md draft executed.</t>
        </is>
      </c>
      <c r="J71" s="113" t="n"/>
      <c r="K71" s="117">
        <f>IF(AND(E72="yes",F72="yes",H72="covered"),1,IF(H72="partial",0.5,0))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Row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Table playground scenario; manual-tests/table.md draft executed.</t>
        </is>
      </c>
      <c r="J72" s="113" t="n"/>
      <c r="K72" s="117">
        <f>IF(AND(E73="yes",F73="yes",H73="covered"),1,IF(H73="partial",0.5,0))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Row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Table playground scenario; manual-tests/table.md draft executed.</t>
        </is>
      </c>
      <c r="J73" s="113" t="n"/>
      <c r="K73" s="117">
        <f>IF(AND(E74="yes",F74="yes",H74="covered"),1,IF(H74="partial",0.5,0))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Row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Table playground scenario; manual-tests/table.md draft executed.</t>
        </is>
      </c>
      <c r="J74" s="113" t="n"/>
      <c r="K74" s="117">
        <f>IF(AND(E75="yes",F75="yes",H75="covered"),1,IF(H75="partial",0.5,0))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Row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Table playground scenario; manual-tests/table.md draft executed.</t>
        </is>
      </c>
      <c r="J75" s="113" t="n"/>
      <c r="K75" s="117">
        <f>IF(AND(E76="yes",F76="yes",H76="covered"),1,IF(H76="partial",0.5,0))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Table playground scenario; manual-tests/table.md draft executed.</t>
        </is>
      </c>
      <c r="J76" s="113" t="n"/>
      <c r="K76" s="117">
        <f>IF(AND(E77="yes",F77="yes",H77="covered"),1,IF(H77="partial",0.5,0))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aria-labelledby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Table playground scenario; manual-tests/table.md draft executed.</t>
        </is>
      </c>
      <c r="J77" s="113" t="n"/>
      <c r="K77" s="117">
        <f>IF(AND(E78="yes",F78="yes",H78="covered"),1,IF(H78="partial",0.5,0))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aria-sort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Table playground scenario; manual-tests/table.md draft executed.</t>
        </is>
      </c>
      <c r="J78" s="113" t="n"/>
      <c r="K78" s="117">
        <f>IF(AND(E79="yes",F79="yes",H79="covered"),1,IF(H79="partial",0.5,0))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data-slot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Table playground scenario; manual-tests/table.md draft executed.</t>
        </is>
      </c>
      <c r="J79" s="113" t="n"/>
      <c r="K79" s="117">
        <f>IF(AND(E80="yes",F80="yes",H80="covered"),1,IF(H80="partial",0.5,0))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data-sort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Table playground scenario; manual-tests/table.md draft executed.</t>
        </is>
      </c>
      <c r="J80" s="113" t="n"/>
      <c r="K80" s="117">
        <f>IF(AND(E81="yes",F81="yes",H81="covered"),1,IF(H81="partial",0.5,0))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Table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Table playground scenario; manual-tests/table.md draft executed.</t>
        </is>
      </c>
      <c r="J81" s="113" t="n"/>
      <c r="K81" s="117">
        <f>IF(AND(E82="yes",F82="yes",H82="covered"),1,IF(H82="partial",0.5,0))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Table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Table playground scenario; manual-tests/table.md draft executed.</t>
        </is>
      </c>
      <c r="J82" s="113" t="n"/>
      <c r="K82" s="117">
        <f>IF(AND(E83="yes",F83="yes",H83="covered"),1,IF(H83="partial",0.5,0))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Table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Table playground scenario; manual-tests/table.md draft executed.</t>
        </is>
      </c>
      <c r="J83" s="113" t="n"/>
      <c r="K83" s="117">
        <f>IF(AND(E85="yes",F85="yes",H85="covered"),1,IF(H85="partial",0.5,0))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Table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Table playground scenario; manual-tests/table.md draft executed.</t>
        </is>
      </c>
      <c r="J84" s="113" t="n"/>
      <c r="K84" s="117">
        <f>IF(AND(E86="yes",F86="yes",H86="covered"),1,IF(H86="partial",0.5,0))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Caption</t>
        </is>
      </c>
      <c r="D85" s="113" t="inlineStr">
        <is>
          <t>asChild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Table playground scenario; manual-tests/table.md draft executed.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Caption</t>
        </is>
      </c>
      <c r="D86" s="113" t="inlineStr">
        <is>
          <t>render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Table playground scenario; manual-tests/table.md draft executed.</t>
        </is>
      </c>
      <c r="J86" s="113" t="n"/>
      <c r="K86" s="117">
        <f>IF(AND(E86="yes",F86="yes",H86="covered"),1,IF(H86="partial",0.5,0))</f>
        <v/>
      </c>
    </row>
    <row r="87" ht="22.5" customHeight="1" s="58">
      <c r="A87" s="112" t="n">
        <v>79</v>
      </c>
      <c r="B87" s="113" t="inlineStr">
        <is>
          <t>Composition</t>
        </is>
      </c>
      <c r="C87" s="113" t="inlineStr">
        <is>
          <t>Header</t>
        </is>
      </c>
      <c r="D87" s="113" t="inlineStr">
        <is>
          <t>asChild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Table playground scenario; manual-tests/table.md draft executed.</t>
        </is>
      </c>
      <c r="J87" s="113" t="n"/>
      <c r="K87" s="117">
        <f>IF(AND(E87="yes",F87="yes",H87="covered"),1,IF(H87="partial",0.5,0))</f>
        <v/>
      </c>
    </row>
    <row r="88" ht="22.5" customHeight="1" s="58">
      <c r="A88" s="112" t="n">
        <v>80</v>
      </c>
      <c r="B88" s="113" t="inlineStr">
        <is>
          <t>Composition</t>
        </is>
      </c>
      <c r="C88" s="113" t="inlineStr">
        <is>
          <t>Header</t>
        </is>
      </c>
      <c r="D88" s="113" t="inlineStr">
        <is>
          <t>render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Table playground scenario; manual-tests/table.md draft executed.</t>
        </is>
      </c>
      <c r="J88" s="113" t="n"/>
      <c r="K88" s="117">
        <f>IF(AND(E88="yes",F88="yes",H88="covered"),1,IF(H88="partial",0.5,0))</f>
        <v/>
      </c>
    </row>
    <row r="89" ht="22.5" customHeight="1" s="58">
      <c r="A89" s="112" t="n">
        <v>81</v>
      </c>
      <c r="B89" s="113" t="inlineStr">
        <is>
          <t>Composition</t>
        </is>
      </c>
      <c r="C89" s="113" t="inlineStr">
        <is>
          <t>Body</t>
        </is>
      </c>
      <c r="D89" s="113" t="inlineStr">
        <is>
          <t>asChild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Table playground scenario; manual-tests/table.md draft executed.</t>
        </is>
      </c>
      <c r="J89" s="113" t="n"/>
      <c r="K89" s="117">
        <f>IF(AND(E89="yes",F89="yes",H89="covered"),1,IF(H89="partial",0.5,0))</f>
        <v/>
      </c>
    </row>
    <row r="90" ht="22.5" customHeight="1" s="58">
      <c r="A90" s="112" t="n">
        <v>82</v>
      </c>
      <c r="B90" s="113" t="inlineStr">
        <is>
          <t>Composition</t>
        </is>
      </c>
      <c r="C90" s="113" t="inlineStr">
        <is>
          <t>Body</t>
        </is>
      </c>
      <c r="D90" s="113" t="inlineStr">
        <is>
          <t>render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Table playground scenario; manual-tests/table.md draft executed.</t>
        </is>
      </c>
      <c r="J90" s="113" t="n"/>
      <c r="K90" s="117">
        <f>IF(AND(E90="yes",F90="yes",H90="covered"),1,IF(H90="partial",0.5,0))</f>
        <v/>
      </c>
    </row>
    <row r="91" ht="22.5" customHeight="1" s="58">
      <c r="A91" s="112" t="n">
        <v>83</v>
      </c>
      <c r="B91" s="113" t="inlineStr">
        <is>
          <t>Composition</t>
        </is>
      </c>
      <c r="C91" s="113" t="inlineStr">
        <is>
          <t>Footer</t>
        </is>
      </c>
      <c r="D91" s="113" t="inlineStr">
        <is>
          <t>asChild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Table playground scenario; manual-tests/table.md draft executed.</t>
        </is>
      </c>
      <c r="J91" s="113" t="n"/>
      <c r="K91" s="117">
        <f>IF(AND(E91="yes",F91="yes",H91="covered"),1,IF(H91="partial",0.5,0))</f>
        <v/>
      </c>
    </row>
    <row r="92" ht="22.5" customHeight="1" s="58">
      <c r="A92" s="112" t="n">
        <v>84</v>
      </c>
      <c r="B92" s="113" t="inlineStr">
        <is>
          <t>Composition</t>
        </is>
      </c>
      <c r="C92" s="113" t="inlineStr">
        <is>
          <t>Footer</t>
        </is>
      </c>
      <c r="D92" s="113" t="inlineStr">
        <is>
          <t>render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Table playground scenario; manual-tests/table.md draft executed.</t>
        </is>
      </c>
      <c r="J92" s="113" t="n"/>
      <c r="K92" s="117">
        <f>IF(AND(E92="yes",F92="yes",H92="covered"),1,IF(H92="partial",0.5,0))</f>
        <v/>
      </c>
    </row>
    <row r="93" ht="22.5" customHeight="1" s="58">
      <c r="A93" s="112" t="n">
        <v>85</v>
      </c>
      <c r="B93" s="113" t="inlineStr">
        <is>
          <t>Composition</t>
        </is>
      </c>
      <c r="C93" s="113" t="inlineStr">
        <is>
          <t>Row</t>
        </is>
      </c>
      <c r="D93" s="113" t="inlineStr">
        <is>
          <t>asChild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Table playground scenario; manual-tests/table.md draft executed.</t>
        </is>
      </c>
      <c r="J93" s="113" t="n"/>
      <c r="K93" s="117">
        <f>IF(AND(E93="yes",F93="yes",H93="covered"),1,IF(H93="partial",0.5,0))</f>
        <v/>
      </c>
    </row>
    <row r="94" ht="22.5" customHeight="1" s="58">
      <c r="A94" s="112" t="n">
        <v>86</v>
      </c>
      <c r="B94" s="113" t="inlineStr">
        <is>
          <t>Composition</t>
        </is>
      </c>
      <c r="C94" s="113" t="inlineStr">
        <is>
          <t>Row</t>
        </is>
      </c>
      <c r="D94" s="113" t="inlineStr">
        <is>
          <t>render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Table playground scenario; manual-tests/table.md draft executed.</t>
        </is>
      </c>
      <c r="J94" s="113" t="n"/>
      <c r="K94" s="117">
        <f>IF(AND(E94="yes",F94="yes",H94="covered"),1,IF(H94="partial",0.5,0))</f>
        <v/>
      </c>
    </row>
    <row r="95" ht="22.5" customHeight="1" s="58">
      <c r="A95" s="112" t="n">
        <v>87</v>
      </c>
      <c r="B95" s="113" t="inlineStr">
        <is>
          <t>Composition</t>
        </is>
      </c>
      <c r="C95" s="113" t="inlineStr">
        <is>
          <t>Cell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Table playground scenario; manual-tests/table.md draft executed.</t>
        </is>
      </c>
      <c r="J95" s="113" t="n"/>
      <c r="K95" s="117">
        <f>IF(AND(E95="yes",F95="yes",H95="covered"),1,IF(H95="partial",0.5,0))</f>
        <v/>
      </c>
    </row>
    <row r="96" ht="22.5" customHeight="1" s="58">
      <c r="A96" s="112" t="n">
        <v>88</v>
      </c>
      <c r="B96" s="113" t="inlineStr">
        <is>
          <t>Composition</t>
        </is>
      </c>
      <c r="C96" s="113" t="inlineStr">
        <is>
          <t>Cell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Table playground scenario; manual-tests/table.md draft executed.</t>
        </is>
      </c>
      <c r="J96" s="113" t="n"/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0"/>
  </sheetPr>
  <dimension ref="A1:K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manual-tests/tabs.md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manual-tests/tabs.md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manual-tests/tabs.md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manual-tests/tabs.md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manual-tests/tabs.md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manual-tests/tabs.md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Tabs</t>
        </is>
      </c>
      <c r="D15" s="113" t="inlineStr">
        <is>
          <t>Implements linked tab and tabpanel ARIA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manual-tests/tabs.md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Tabs</t>
        </is>
      </c>
      <c r="D16" s="113" t="inlineStr">
        <is>
          <t>Supports controlled and uncontrolled selected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manual-tests/tabs.md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Tabs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manual-tests/tabs.md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Tabs</t>
        </is>
      </c>
      <c r="D18" s="113" t="inlineStr">
        <is>
          <t>Supports automatic or manual activation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manual-tests/tabs.md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Tabs</t>
        </is>
      </c>
      <c r="D19" s="113" t="inlineStr">
        <is>
          <t>Supports disabled tabs, keep-mounted panels, focusable panels, and an optional indicator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manual-tests/tabs.md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manual-tests/tabs.md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manual-tests/tabs.md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manual-tests/tabs.md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manual-tests/tabs.md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manual-tests/tabs.md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manual-tests/tabs.md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manual-tests/tabs.md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manual-tests/tabs.md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manual-tests/tabs.md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orientation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manual-tests/tabs.md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activationMode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manual-tests/tabs.md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loop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manual-tests/tabs.md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manual-tests/tabs.md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[data-orientation]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manual-tests/tabs.md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Trigger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manual-tests/tabs.md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manual-tests/tabs.md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manual-tests/tabs.md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manual-tests/tabs.md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Trigger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manual-tests/tabs.md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Trigger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manual-tests/tabs.md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value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manual-tests/tabs.md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manual-tests/tabs.md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manual-tests/tabs.md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manual-tests/tabs.md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manual-tests/tabs.md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[data-state]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manual-tests/tabs.md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Trigger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manual-tests/tabs.md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manual-tests/tabs.md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manual-tests/tabs.md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manual-tests/tabs.md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manual-tests/tabs.md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manual-tests/tabs.md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Content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manual-tests/tabs.md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Content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manual-tests/tabs.md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manual-tests/tabs.md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focusable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manual-tests/tabs.md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manual-tests/tabs.md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manual-tests/tabs.md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List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manual-tests/tabs.md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List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manual-tests/tabs.md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List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manual-tests/tabs.md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List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manual-tests/tabs.md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List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manual-tests/tabs.md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List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manual-tests/tabs.md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List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manual-tests/tabs.md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List</t>
        </is>
      </c>
      <c r="D65" s="113" t="inlineStr">
        <is>
          <t>[data-orientation]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manual-tests/tabs.md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Indicator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manual-tests/tabs.md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Indicator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manual-tests/tabs.md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Indicator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manual-tests/tabs.md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Indicator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manual-tests/tabs.md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Indicator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manual-tests/tabs.md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Indicator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manual-tests/tabs.md</t>
        </is>
      </c>
      <c r="J71" s="113" t="n"/>
      <c r="K71" s="117">
        <f>IF(AND(E73="yes",F73="yes",H73="covered"),1,IF(H73="partial",0.5,0))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aria-controls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manual-tests/tabs.md</t>
        </is>
      </c>
      <c r="J72" s="113" t="n"/>
      <c r="K72" s="117">
        <f>IF(AND(E75="yes",F75="yes",H75="covered"),1,IF(H75="partial",0.5,0))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manual-tests/tabs.md</t>
        </is>
      </c>
      <c r="J73" s="113" t="n"/>
      <c r="K73" s="117">
        <f>IF(AND(E76="yes",F76="yes",H76="covered"),1,IF(H76="partial",0.5,0))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manual-tests/tabs.md</t>
        </is>
      </c>
      <c r="J74" s="113" t="n"/>
      <c r="K74" s="117">
        <f>IF(AND(E77="yes",F77="yes",H77="covered"),1,IF(H77="partial",0.5,0))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aria-labelledby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manual-tests/tabs.md</t>
        </is>
      </c>
      <c r="J75" s="113" t="n"/>
      <c r="K75" s="117">
        <f>IF(AND(E78="yes",F78="yes",H78="covered"),1,IF(H78="partial",0.5,0))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aria-orientation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manual-tests/tabs.md</t>
        </is>
      </c>
      <c r="J76" s="113" t="n"/>
      <c r="K76" s="117">
        <f>IF(AND(E79="yes",F79="yes",H79="covered"),1,IF(H79="partial",0.5,0))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aria-selected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manual-tests/tabs.md</t>
        </is>
      </c>
      <c r="J77" s="113" t="n"/>
      <c r="K77" s="117">
        <f>IF(AND(E80="yes",F80="yes",H80="covered"),1,IF(H80="partial",0.5,0))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manual-tests/tabs.md</t>
        </is>
      </c>
      <c r="J78" s="113" t="n"/>
      <c r="K78" s="117">
        <f>IF(AND(E81="yes",F81="yes",H81="covered"),1,IF(H81="partial",0.5,0))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manual-tests/tabs.md</t>
        </is>
      </c>
      <c r="J79" s="113" t="n"/>
      <c r="K79" s="117">
        <f>IF(AND(E82="yes",F82="yes",H82="covered"),1,IF(H82="partial",0.5,0))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manual-tests/tabs.md</t>
        </is>
      </c>
      <c r="J80" s="113" t="n"/>
      <c r="K80" s="117">
        <f>IF(AND(E83="yes",F83="yes",H83="covered"),1,IF(H83="partial",0.5,0))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manual-tests/tabs.md</t>
        </is>
      </c>
      <c r="J81" s="113" t="n"/>
      <c r="K81" s="117">
        <f>IF(AND(E84="yes",F84="yes",H84="covered"),1,IF(H84="partial",0.5,0))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data-value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manual-tests/tabs.md</t>
        </is>
      </c>
      <c r="J82" s="113" t="n"/>
      <c r="K82" s="117">
        <f>IF(AND(E85="yes",F85="yes",H85="covered"),1,IF(H85="partial",0.5,0))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Tabs</t>
        </is>
      </c>
      <c r="D83" s="113" t="inlineStr">
        <is>
          <t>asChild preserves child content without double nesting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manual-tests/tabs.md</t>
        </is>
      </c>
      <c r="J83" s="113" t="n"/>
      <c r="K83" s="117">
        <f>IF(AND(E86="yes",F86="yes",H86="covered"),1,IF(H86="partial",0.5,0))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Tabs</t>
        </is>
      </c>
      <c r="D84" s="113" t="inlineStr">
        <is>
          <t>asChild merges Atom props and consumer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manual-tests/tabs.md</t>
        </is>
      </c>
      <c r="J84" s="113" t="n"/>
      <c r="K84" s="117">
        <f>IF(AND(E87="yes",F87="yes",H87="covered"),1,IF(H87="partial",0.5,0))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Tabs</t>
        </is>
      </c>
      <c r="D85" s="113" t="inlineStr">
        <is>
          <t>asChild lets preventDefault block Atom behavior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manual-tests/tabs.md</t>
        </is>
      </c>
      <c r="J85" s="113" t="n"/>
      <c r="K85" s="117">
        <f>IF(AND(E88="yes",F88="yes",H88="covered"),1,IF(H88="partial",0.5,0))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Tabs</t>
        </is>
      </c>
      <c r="D86" s="113" t="inlineStr">
        <is>
          <t>render prop renders custom element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manual-tests/tabs.md</t>
        </is>
      </c>
      <c r="J86" s="113" t="n"/>
      <c r="K86" s="117">
        <f>IF(AND(E89="yes",F89="yes",H89="covered"),1,IF(H89="partial",0.5,0))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Tabs</t>
        </is>
      </c>
      <c r="D87" s="113" t="inlineStr">
        <is>
          <t>render prop preserves refs and behavior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manual-tests/tabs.md</t>
        </is>
      </c>
      <c r="J87" s="113" t="n"/>
      <c r="K87" s="117">
        <f>IF(AND(E90="yes",F90="yes",H90="covered"),1,IF(H90="partial",0.5,0))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Root</t>
        </is>
      </c>
      <c r="D88" s="113" t="inlineStr">
        <is>
          <t>controlled state path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manual-tests/tabs.md</t>
        </is>
      </c>
      <c r="J88" s="113" t="n"/>
      <c r="K88" s="117">
        <f>IF(AND(E91="yes",F91="yes",H91="covered"),1,IF(H91="partial",0.5,0))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Root</t>
        </is>
      </c>
      <c r="D89" s="113" t="inlineStr">
        <is>
          <t>uncontrolled default state path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manual-tests/tabs.md</t>
        </is>
      </c>
      <c r="J89" s="113" t="n"/>
      <c r="K89" s="117">
        <f>IF(AND(E92="yes",F92="yes",H92="covered"),1,IF(H92="partial",0.5,0))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Root</t>
        </is>
      </c>
      <c r="D90" s="113" t="inlineStr">
        <is>
          <t>state change callback fires once with correct value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manual-tests/tabs.md</t>
        </is>
      </c>
      <c r="J90" s="113" t="n"/>
      <c r="K90" s="117">
        <f>IF(AND(E93="yes",F93="yes",H93="covered"),1,IF(H93="partial",0.5,0))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mouse click or pointer activation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manual-tests/tabs.md</t>
        </is>
      </c>
      <c r="J91" s="113" t="n"/>
      <c r="K91" s="117">
        <f>IF(AND(E94="yes",F94="yes",H94="covered"),1,IF(H94="partial",0.5,0))</f>
        <v/>
      </c>
    </row>
    <row r="92" ht="15" customHeight="1" s="58">
      <c r="A92" s="112" t="n">
        <v>84</v>
      </c>
      <c r="B92" s="113" t="inlineStr">
        <is>
          <t>Interaction</t>
        </is>
      </c>
      <c r="C92" s="113" t="inlineStr">
        <is>
          <t>Trigger</t>
        </is>
      </c>
      <c r="D92" s="113" t="inlineStr">
        <is>
          <t>Enter key activation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manual-tests/tabs.md</t>
        </is>
      </c>
      <c r="J92" s="113" t="n"/>
      <c r="K92" s="117">
        <f>IF(AND(E95="yes",F95="yes",H95="covered"),1,IF(H95="partial",0.5,0))</f>
        <v/>
      </c>
    </row>
    <row r="93" ht="1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Space key activation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manual-tests/tabs.md</t>
        </is>
      </c>
      <c r="J93" s="113" t="n"/>
      <c r="K93" s="117">
        <f>IF(AND(E96="yes",F96="yes",H96="covered"),1,IF(H96="partial",0.5,0))</f>
        <v/>
      </c>
    </row>
    <row r="94" ht="15" customHeight="1" s="58">
      <c r="A94" s="112" t="n">
        <v>86</v>
      </c>
      <c r="B94" s="113" t="inlineStr">
        <is>
          <t>Interaction</t>
        </is>
      </c>
      <c r="C94" s="113" t="inlineStr">
        <is>
          <t>Trigger</t>
        </is>
      </c>
      <c r="D94" s="113" t="inlineStr">
        <is>
          <t>disabled trigger blocks pointer and keyboard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manual-tests/tabs.md</t>
        </is>
      </c>
      <c r="J94" s="113" t="n"/>
      <c r="K94" s="117">
        <f>IF(AND(E97="yes",F97="yes",H97="covered"),1,IF(H97="partial",0.5,0))</f>
        <v/>
      </c>
    </row>
    <row r="95" ht="15" customHeight="1" s="58">
      <c r="A95" s="112" t="n">
        <v>87</v>
      </c>
      <c r="B95" s="113" t="inlineStr">
        <is>
          <t>Focus</t>
        </is>
      </c>
      <c r="C95" s="113" t="inlineStr">
        <is>
          <t>Trigger</t>
        </is>
      </c>
      <c r="D95" s="113" t="inlineStr">
        <is>
          <t>roving focus and tab stop state are visible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manual-tests/tabs.md</t>
        </is>
      </c>
      <c r="J95" s="113" t="n"/>
      <c r="K95" s="117">
        <f>IF(AND(E98="yes",F98="yes",H98="covered"),1,IF(H98="partial",0.5,0))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Tabs</t>
        </is>
      </c>
      <c r="D96" s="113" t="inlineStr">
        <is>
          <t>ArrowLeft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manual-tests/tabs.md</t>
        </is>
      </c>
      <c r="J96" s="113" t="n"/>
      <c r="K96" s="117">
        <f>IF(AND(E99="yes",F99="yes",H99="covered"),1,IF(H99="partial",0.5,0))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Tabs</t>
        </is>
      </c>
      <c r="D97" s="113" t="inlineStr">
        <is>
          <t>End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manual-tests/tabs.md</t>
        </is>
      </c>
      <c r="J97" s="113" t="n"/>
      <c r="K97" s="117">
        <f>IF(AND(E100="yes",F100="yes",H100="covered"),1,IF(H100="partial",0.5,0))</f>
        <v/>
      </c>
    </row>
    <row r="98" ht="15" customHeight="1" s="58">
      <c r="A98" s="112" t="n">
        <v>90</v>
      </c>
      <c r="B98" s="113" t="inlineStr">
        <is>
          <t>Keyboard</t>
        </is>
      </c>
      <c r="C98" s="113" t="inlineStr">
        <is>
          <t>Tabs</t>
        </is>
      </c>
      <c r="D98" s="113" t="inlineStr">
        <is>
          <t>Enter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manual-tests/tabs.md</t>
        </is>
      </c>
      <c r="J98" s="113" t="n"/>
      <c r="K98" s="117">
        <f>IF(AND(E101="yes",F101="yes",H101="covered"),1,IF(H101="partial",0.5,0))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Tabs</t>
        </is>
      </c>
      <c r="D99" s="113" t="inlineStr">
        <is>
          <t>Home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manual-tests/tabs.md</t>
        </is>
      </c>
      <c r="J99" s="113" t="n"/>
      <c r="K99" s="117">
        <f>IF(AND(E102="yes",F102="yes",H102="covered"),1,IF(H102="partial",0.5,0))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Tabs</t>
        </is>
      </c>
      <c r="D100" s="113" t="inlineStr">
        <is>
          <t>Arrow key navigation follows documented orientation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manual-tests/tabs.md</t>
        </is>
      </c>
      <c r="J100" s="113" t="n"/>
      <c r="K100" s="117">
        <f>IF(AND(E103="yes",F103="yes",H103="covered"),1,IF(H103="partial",0.5,0))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Tabs</t>
        </is>
      </c>
      <c r="D101" s="113" t="inlineStr">
        <is>
          <t>Home and End navigation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manual-tests/tabs.md</t>
        </is>
      </c>
      <c r="J101" s="113" t="n"/>
      <c r="K101" s="117">
        <f>IF(AND(E104="yes",F104="yes",H104="covered"),1,IF(H104="partial",0.5,0))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Tabs</t>
        </is>
      </c>
      <c r="D102" s="113" t="inlineStr">
        <is>
          <t>disabled items are skipped or exposed according to pattern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manual-tests/tabs.md</t>
        </is>
      </c>
      <c r="J102" s="113" t="n"/>
      <c r="K102" s="117">
        <f>IF(AND(E105="yes",F105="yes",H105="covered"),1,IF(H105="partial",0.5,0))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Tabs</t>
        </is>
      </c>
      <c r="D103" s="113" t="inlineStr">
        <is>
          <t>roving focus or active descendant state is visible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manual-tests/tabs.md</t>
        </is>
      </c>
      <c r="J103" s="113" t="n"/>
      <c r="K103" s="117">
        <f>IF(AND(E107="yes",F107="yes",H107="covered"),1,IF(H107="partial",0.5,0))</f>
        <v/>
      </c>
    </row>
    <row r="104" ht="15" customHeight="1" s="58">
      <c r="A104" s="112" t="n">
        <v>96</v>
      </c>
      <c r="B104" s="113" t="inlineStr">
        <is>
          <t>Direction</t>
        </is>
      </c>
      <c r="C104" s="113" t="inlineStr">
        <is>
          <t>List</t>
        </is>
      </c>
      <c r="D104" s="113" t="inlineStr">
        <is>
          <t>reads Direction.Provider context for horizontal keyboard navigation</t>
        </is>
      </c>
      <c r="E104" s="119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9" t="inlineStr">
        <is>
          <t>covered</t>
        </is>
      </c>
      <c r="I104" s="113" t="inlineStr">
        <is>
          <t>manual-tests/tabs.md</t>
        </is>
      </c>
      <c r="J104" s="113" t="n"/>
      <c r="K104" s="117">
        <f>IF(AND(E108="yes",F108="yes",H108="covered"),1,IF(H108="partial",0.5,0))</f>
        <v/>
      </c>
    </row>
    <row r="105" ht="15" customHeight="1" s="58">
      <c r="A105" s="112" t="n">
        <v>97</v>
      </c>
      <c r="B105" s="113" t="inlineStr">
        <is>
          <t>Direction</t>
        </is>
      </c>
      <c r="C105" s="113" t="inlineStr">
        <is>
          <t>List</t>
        </is>
      </c>
      <c r="D105" s="113" t="inlineStr">
        <is>
          <t>RTL mirrors horizontal ArrowLeft and ArrowRight navigation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9" t="inlineStr">
        <is>
          <t>covered</t>
        </is>
      </c>
      <c r="I105" s="113" t="inlineStr">
        <is>
          <t>manual-tests/tabs.md</t>
        </is>
      </c>
      <c r="J105" s="113" t="n"/>
      <c r="K105" s="117">
        <f>IF(AND(E109="yes",F109="yes",H109="covered"),1,IF(H109="partial",0.5,0))</f>
        <v/>
      </c>
    </row>
    <row r="106" ht="30" customHeight="1" s="58">
      <c r="A106" s="112" t="n">
        <v>98</v>
      </c>
      <c r="B106" s="113" t="inlineStr">
        <is>
          <t>Playground</t>
        </is>
      </c>
      <c r="C106" s="113" t="inlineStr">
        <is>
          <t>Direction controls</t>
        </is>
      </c>
      <c r="D106" s="113" t="inlineStr">
        <is>
          <t>scenario exposes provider direction controls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9" t="inlineStr">
        <is>
          <t>covered</t>
        </is>
      </c>
      <c r="I106" s="113" t="inlineStr">
        <is>
          <t>manual-tests/tabs.md</t>
        </is>
      </c>
      <c r="J106" s="113" t="n"/>
      <c r="K106" s="117">
        <f>IF(AND(E110="yes",F110="yes",H110="covered"),1,IF(H110="partial",0.5,0))</f>
        <v/>
      </c>
    </row>
    <row r="107" ht="30" customHeight="1" s="58"/>
    <row r="108" ht="30" customHeight="1" s="58"/>
    <row r="109" ht="30" customHeight="1" s="58"/>
    <row r="110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0"/>
  </sheetPr>
  <dimension ref="A1:K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Textarea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Textarea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Textarea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Textarea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Textarea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Textarea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Textarea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Textarea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Textarea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Textarea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Textarea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Textarea</t>
        </is>
      </c>
      <c r="D15" s="113" t="inlineStr">
        <is>
          <t>Renders a native `&lt;textarea&gt;`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Textarea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Textarea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Textarea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Textarea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Textarea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Textarea</t>
        </is>
      </c>
      <c r="D18" s="113" t="inlineStr">
        <is>
          <t>Supports optional auto-resize with `minRows` and `maxRows`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Textarea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Textarea</t>
        </is>
      </c>
      <c r="D19" s="113" t="inlineStr">
        <is>
          <t>Includes an optional character count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Textarea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Textarea</t>
        </is>
      </c>
      <c r="D20" s="113" t="inlineStr">
        <is>
          <t>Exposes filled, focused, disabled, readonly, invalid, and over-limit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Textarea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Textarea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Textarea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Textarea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Textarea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Textarea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Textarea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Textarea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Textarea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Textarea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autoResize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Textarea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minRows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Textarea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maxRows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Textarea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Textarea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required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Textarea playground manual verification.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Textarea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Textarea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Textarea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Textarea playground manual verification.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[data-filled]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Textarea playground manual verification.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[data-focused]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Textarea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Textarea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Textarea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Textarea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[data-autoresize]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Textarea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Count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Textarea playground manual verification.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Anatomy</t>
        </is>
      </c>
      <c r="C46" s="113" t="inlineStr">
        <is>
          <t>Count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Textarea playground manual verification.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Count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Textarea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Count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Textarea playground manual verification.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Props</t>
        </is>
      </c>
      <c r="C49" s="113" t="inlineStr">
        <is>
          <t>Count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Textarea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Count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Textarea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Count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Textarea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Count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Textarea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Count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Textarea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Count</t>
        </is>
      </c>
      <c r="D54" s="113" t="inlineStr">
        <is>
          <t>[data-count]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Textarea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Count</t>
        </is>
      </c>
      <c r="D55" s="113" t="inlineStr">
        <is>
          <t>[data-max]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Textarea playground manual verification.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Public API</t>
        </is>
      </c>
      <c r="C56" s="113" t="inlineStr">
        <is>
          <t>Count</t>
        </is>
      </c>
      <c r="D56" s="113" t="inlineStr">
        <is>
          <t>[data-over-limit]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Textarea playground manual verification.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aria-describedby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Textarea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Textarea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aria-live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Textarea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Textarea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Textarea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data-autoresize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Textarea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data-count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Textarea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data-disabled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Textarea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data-filled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Textarea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data-focused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Textarea playground manual verification.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Textarea playground manual verification.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data-max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Textarea playground manual verification.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data-over-limit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Textarea playground manual verification.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data-readonly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Textarea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data-slot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Textarea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Textarea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Textarea playground manual verification.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Textarea playground manual verification.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State</t>
        </is>
      </c>
      <c r="C75" s="113" t="inlineStr">
        <is>
          <t>Textarea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Textarea playground manual verification.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Textarea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Textarea playground manual verification.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Textarea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Textarea playground manual verification.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Textarea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Textarea playground manual verification.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Textarea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Textarea playground manual verification.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Root</t>
        </is>
      </c>
      <c r="D80" s="113" t="inlineStr">
        <is>
          <t>Field relationships and uncontrolled value follow native form reset</t>
        </is>
      </c>
      <c r="E80" s="114" t="inlineStr">
        <is>
          <t>yes</t>
        </is>
      </c>
      <c r="F80" s="115" t="inlineStr">
        <is>
          <t>no</t>
        </is>
      </c>
      <c r="G80" s="112" t="inlineStr">
        <is>
          <t>automated tests pass; manual pending</t>
        </is>
      </c>
      <c r="H80" s="116" t="inlineStr">
        <is>
          <t>untested</t>
        </is>
      </c>
      <c r="I80" s="113" t="inlineStr">
        <is>
          <t>Form &gt; Control: Foundation plus the component scenario and automated package tests.</t>
        </is>
      </c>
      <c r="J80" s="113" t="inlineStr">
        <is>
          <t>Run and review the form-foundation manual protocol.</t>
        </is>
      </c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Validation</t>
        </is>
      </c>
      <c r="C81" s="113" t="inlineStr">
        <is>
          <t>Root</t>
        </is>
      </c>
      <c r="D81" s="113" t="inlineStr">
        <is>
          <t>validationBehavior mirrors attempted native invalidity to Textarea, Field, and Form</t>
        </is>
      </c>
      <c r="E81" s="114" t="inlineStr">
        <is>
          <t>yes</t>
        </is>
      </c>
      <c r="F81" s="115" t="inlineStr">
        <is>
          <t>no</t>
        </is>
      </c>
      <c r="G81" s="112" t="inlineStr">
        <is>
          <t>automated tests pass; manual pending</t>
        </is>
      </c>
      <c r="H81" s="116" t="inlineStr">
        <is>
          <t>untested</t>
        </is>
      </c>
      <c r="I81" s="113" t="inlineStr">
        <is>
          <t>Form &gt; Control: Foundation and automated Atom validation tests.</t>
        </is>
      </c>
      <c r="J81" s="113" t="inlineStr">
        <is>
          <t>Run and review the updated form-foundation validation steps.</t>
        </is>
      </c>
      <c r="K81" s="117">
        <f>IF(AND(E81="yes",F81="yes",H81="covered"),1,IF(H81="partial",0.5,0))</f>
        <v/>
      </c>
    </row>
    <row r="82" ht="30" customHeight="1" s="58"/>
    <row r="83" ht="30" customHeight="1" s="58"/>
    <row r="84" ht="15" customHeight="1" s="58"/>
    <row r="8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0"/>
  </sheetPr>
  <dimension ref="A1:K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Toast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manual-tests/toast.md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manual-tests/toast.md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Toast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manual-tests/toast.md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Toast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manual-tests/toast.md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Toast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manual-tests/toast.md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Toast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manual-tests/toast.md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Toast</t>
        </is>
      </c>
      <c r="D15" s="113" t="inlineStr">
        <is>
          <t>Supports declarative and imperative toast rendering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manual-tests/toast.md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Toast</t>
        </is>
      </c>
      <c r="D16" s="113" t="inlineStr">
        <is>
          <t>Includes a global toast store and `toast.*` helpers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manual-tests/toast.md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Toast</t>
        </is>
      </c>
      <c r="D17" s="113" t="inlineStr">
        <is>
          <t>Supports queueing with a maximum visible count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manual-tests/toast.md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Toast</t>
        </is>
      </c>
      <c r="D18" s="113" t="inlineStr">
        <is>
          <t>Announces toast titles/descriptions through persistent live regions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manual-tests/toast.md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Toast</t>
        </is>
      </c>
      <c r="D19" s="113" t="inlineStr">
        <is>
          <t>Supports hover/focus-loss pause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manual-tests/toast.md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Toast</t>
        </is>
      </c>
      <c r="D20" s="113" t="inlineStr">
        <is>
          <t>Supports custom viewport rendering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manual-tests/toast.md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Toast</t>
        </is>
      </c>
      <c r="D21" s="113" t="inlineStr">
        <is>
          <t>Supports `asChild` and `render` on visual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manual-tests/toast.md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manual-tests/toast.md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manual-tests/toast.md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tag is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manual-tests/toast.md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present and correct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manual-tests/toast.md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manual-tests/toast.md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consumer ref receives the rendered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manual-tests/toast.md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asChild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manual-tests/toast.md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render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manual-tests/toast.md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toast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manual-tests/toast.md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type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manual-tests/toast.md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duration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manual-tests/toast.md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paused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manual-tests/toast.md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dismissible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manual-tests/toast.md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closeButton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manual-tests/toast.md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index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manual-tests/toast.md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expanded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manual-tests/toast.md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removeDelay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manual-tests/toast.md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forceMount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manual-tests/toast.md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onAutoClose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manual-tests/toast.md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onDismiss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manual-tests/toast.md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manual-tests/toast.md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manual-tests/toast.md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[data-type]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manual-tests/toast.md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[data-index]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manual-tests/toast.md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[data-expanded]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manual-tests/toast.md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Provider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manual-tests/toast.md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Provider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manual-tests/toast.md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Provider</t>
        </is>
      </c>
      <c r="D49" s="113" t="inlineStr">
        <is>
          <t>maxVisible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manual-tests/toast.md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Provider</t>
        </is>
      </c>
      <c r="D50" s="113" t="inlineStr">
        <is>
          <t>expandOnHover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manual-tests/toast.md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Provider</t>
        </is>
      </c>
      <c r="D51" s="113" t="inlineStr">
        <is>
          <t>closeButton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manual-tests/toast.md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Provider</t>
        </is>
      </c>
      <c r="D52" s="113" t="inlineStr">
        <is>
          <t>pauseOnHover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manual-tests/toast.md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Provider</t>
        </is>
      </c>
      <c r="D53" s="113" t="inlineStr">
        <is>
          <t>pauseOnFocusLoss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manual-tests/toast.md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Viewport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manual-tests/toast.md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Viewport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manual-tests/toast.md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Viewport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manual-tests/toast.md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Viewport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manual-tests/toast.md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Viewport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manual-tests/toast.md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Viewport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manual-tests/toast.md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Composition</t>
        </is>
      </c>
      <c r="C60" s="113" t="inlineStr">
        <is>
          <t>Viewport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manual-tests/toast.md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Viewport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manual-tests/toast.md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Viewport</t>
        </is>
      </c>
      <c r="D62" s="113" t="inlineStr">
        <is>
          <t>position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manual-tests/toast.md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Positioning</t>
        </is>
      </c>
      <c r="C63" s="113" t="inlineStr">
        <is>
          <t>Viewport</t>
        </is>
      </c>
      <c r="D63" s="113" t="inlineStr">
        <is>
          <t>container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manual-tests/toast.md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Positioning</t>
        </is>
      </c>
      <c r="C64" s="113" t="inlineStr">
        <is>
          <t>Viewport</t>
        </is>
      </c>
      <c r="D64" s="113" t="inlineStr">
        <is>
          <t>portalDisabled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manual-tests/toast.md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Viewport</t>
        </is>
      </c>
      <c r="D65" s="113" t="inlineStr">
        <is>
          <t>renderToast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manual-tests/toast.md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Viewport</t>
        </is>
      </c>
      <c r="D66" s="113" t="inlineStr">
        <is>
          <t>[data-slot]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manual-tests/toast.md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Viewport</t>
        </is>
      </c>
      <c r="D67" s="113" t="inlineStr">
        <is>
          <t>[data-position]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manual-tests/toast.md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Viewport</t>
        </is>
      </c>
      <c r="D68" s="113" t="inlineStr">
        <is>
          <t>[data-expanded]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manual-tests/toast.md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Viewport</t>
        </is>
      </c>
      <c r="D69" s="113" t="inlineStr">
        <is>
          <t>[data-slot="toast-announcer-polite"]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manual-tests/toast.md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Viewport</t>
        </is>
      </c>
      <c r="D70" s="113" t="inlineStr">
        <is>
          <t>[data-slot="toast-announcer-assertive"]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manual-tests/toast.md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Title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manual-tests/toast.md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Title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manual-tests/toast.md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Title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manual-tests/toast.md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Title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manual-tests/toast.md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Title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manual-tests/toast.md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manual-tests/toast.md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Composition</t>
        </is>
      </c>
      <c r="C77" s="113" t="inlineStr">
        <is>
          <t>Title</t>
        </is>
      </c>
      <c r="D77" s="113" t="inlineStr">
        <is>
          <t>asChild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manual-tests/toast.md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Title</t>
        </is>
      </c>
      <c r="D78" s="113" t="inlineStr">
        <is>
          <t>render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manual-tests/toast.md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Title</t>
        </is>
      </c>
      <c r="D79" s="113" t="inlineStr">
        <is>
          <t>[data-slot]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manual-tests/toast.md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Description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manual-tests/toast.md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Description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manual-tests/toast.md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Description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manual-tests/toast.md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Description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manual-tests/toast.md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Description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manual-tests/toast.md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Description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manual-tests/toast.md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Description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manual-tests/toast.md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Description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manual-tests/toast.md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Description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manual-tests/toast.md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Close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manual-tests/toast.md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Close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manual-tests/toast.md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Close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manual-tests/toast.md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Close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manual-tests/toast.md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manual-tests/toast.md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Close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manual-tests/toast.md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manual-tests/toast.md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manual-tests/toast.md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Accessibility</t>
        </is>
      </c>
      <c r="C97" s="113" t="inlineStr">
        <is>
          <t>Close</t>
        </is>
      </c>
      <c r="D97" s="113" t="inlineStr">
        <is>
          <t>aria-label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manual-tests/toast.md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Close</t>
        </is>
      </c>
      <c r="D98" s="113" t="inlineStr">
        <is>
          <t>[data-slot]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manual-tests/toast.md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Anatomy</t>
        </is>
      </c>
      <c r="C99" s="113" t="inlineStr">
        <is>
          <t>Action</t>
        </is>
      </c>
      <c r="D99" s="113" t="inlineStr">
        <is>
          <t>renders correct part when expected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manual-tests/toast.md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Action</t>
        </is>
      </c>
      <c r="D100" s="113" t="inlineStr">
        <is>
          <t>appears in documented order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manual-tests/toast.md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Action</t>
        </is>
      </c>
      <c r="D101" s="113" t="inlineStr">
        <is>
          <t>default tag is visible in Anatomy/Inspector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manual-tests/toast.md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Identity</t>
        </is>
      </c>
      <c r="C102" s="113" t="inlineStr">
        <is>
          <t>Action</t>
        </is>
      </c>
      <c r="D102" s="113" t="inlineStr">
        <is>
          <t>data-slot is present and correct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manual-tests/toast.md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Action</t>
        </is>
      </c>
      <c r="D103" s="113" t="inlineStr">
        <is>
          <t>non-Atom native props pass through with data-prop-check marker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manual-tests/toast.md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Refs</t>
        </is>
      </c>
      <c r="C104" s="113" t="inlineStr">
        <is>
          <t>Action</t>
        </is>
      </c>
      <c r="D104" s="113" t="inlineStr">
        <is>
          <t>consumer ref receives the rendered element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manual-tests/toast.md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Composition</t>
        </is>
      </c>
      <c r="C105" s="113" t="inlineStr">
        <is>
          <t>Action</t>
        </is>
      </c>
      <c r="D105" s="113" t="inlineStr">
        <is>
          <t>asChild prop behavior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manual-tests/toast.md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Action</t>
        </is>
      </c>
      <c r="D106" s="113" t="inlineStr">
        <is>
          <t>render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manual-tests/toast.md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Action</t>
        </is>
      </c>
      <c r="D107" s="113" t="inlineStr">
        <is>
          <t>altText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manual-tests/toast.md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Action</t>
        </is>
      </c>
      <c r="D108" s="113" t="inlineStr">
        <is>
          <t>[data-slot]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manual-tests/toast.md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Cancel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manual-tests/toast.md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Cancel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manual-tests/toast.md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Cancel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manual-tests/toast.md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Cancel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manual-tests/toast.md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Cancel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manual-tests/toast.md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Refs</t>
        </is>
      </c>
      <c r="C114" s="113" t="inlineStr">
        <is>
          <t>Cancel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manual-tests/toast.md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Cancel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manual-tests/toast.md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Cancel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manual-tests/toast.md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Cancel</t>
        </is>
      </c>
      <c r="D117" s="113" t="inlineStr">
        <is>
          <t>altText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manual-tests/toast.md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Cancel</t>
        </is>
      </c>
      <c r="D118" s="113" t="inlineStr">
        <is>
          <t>[data-slot]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protocol</t>
        </is>
      </c>
      <c r="H118" s="116" t="inlineStr">
        <is>
          <t>covered</t>
        </is>
      </c>
      <c r="I118" s="113" t="inlineStr">
        <is>
          <t>manual-tests/toast.md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ARIA</t>
        </is>
      </c>
      <c r="C119" s="113" t="inlineStr">
        <is>
          <t>Live DOM</t>
        </is>
      </c>
      <c r="D119" s="113" t="inlineStr">
        <is>
          <t>aria-atomic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protocol</t>
        </is>
      </c>
      <c r="H119" s="116" t="inlineStr">
        <is>
          <t>covered</t>
        </is>
      </c>
      <c r="I119" s="113" t="inlineStr">
        <is>
          <t>manual-tests/toast.md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ARIA</t>
        </is>
      </c>
      <c r="C120" s="113" t="inlineStr">
        <is>
          <t>Live DOM</t>
        </is>
      </c>
      <c r="D120" s="113" t="inlineStr">
        <is>
          <t>aria-label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protocol</t>
        </is>
      </c>
      <c r="H120" s="116" t="inlineStr">
        <is>
          <t>covered</t>
        </is>
      </c>
      <c r="I120" s="113" t="inlineStr">
        <is>
          <t>manual-tests/toast.md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ARIA</t>
        </is>
      </c>
      <c r="C121" s="113" t="inlineStr">
        <is>
          <t>Live DOM</t>
        </is>
      </c>
      <c r="D121" s="113" t="inlineStr">
        <is>
          <t>aria-live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protocol</t>
        </is>
      </c>
      <c r="H121" s="116" t="inlineStr">
        <is>
          <t>covered</t>
        </is>
      </c>
      <c r="I121" s="113" t="inlineStr">
        <is>
          <t>manual-tests/toast.md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data-expanded is present at the correct time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protocol</t>
        </is>
      </c>
      <c r="H122" s="116" t="inlineStr">
        <is>
          <t>covered</t>
        </is>
      </c>
      <c r="I122" s="113" t="inlineStr">
        <is>
          <t>manual-tests/toast.md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data-index is present at the correct time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protocol</t>
        </is>
      </c>
      <c r="H123" s="116" t="inlineStr">
        <is>
          <t>covered</t>
        </is>
      </c>
      <c r="I123" s="113" t="inlineStr">
        <is>
          <t>manual-tests/toast.md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data-position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protocol</t>
        </is>
      </c>
      <c r="H124" s="116" t="inlineStr">
        <is>
          <t>covered</t>
        </is>
      </c>
      <c r="I124" s="113" t="inlineStr">
        <is>
          <t>manual-tests/toast.md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protocol</t>
        </is>
      </c>
      <c r="H125" s="116" t="inlineStr">
        <is>
          <t>covered</t>
        </is>
      </c>
      <c r="I125" s="113" t="inlineStr">
        <is>
          <t>manual-tests/toast.md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data-state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protocol</t>
        </is>
      </c>
      <c r="H126" s="116" t="inlineStr">
        <is>
          <t>covered</t>
        </is>
      </c>
      <c r="I126" s="113" t="inlineStr">
        <is>
          <t>manual-tests/toast.md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data-type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protocol</t>
        </is>
      </c>
      <c r="H127" s="116" t="inlineStr">
        <is>
          <t>covered</t>
        </is>
      </c>
      <c r="I127" s="113" t="inlineStr">
        <is>
          <t>manual-tests/toast.md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Portal</t>
        </is>
      </c>
      <c r="C128" s="113" t="inlineStr">
        <is>
          <t>Toast</t>
        </is>
      </c>
      <c r="D128" s="113" t="inlineStr">
        <is>
          <t>portal renders in body by default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protocol</t>
        </is>
      </c>
      <c r="H128" s="116" t="inlineStr">
        <is>
          <t>covered</t>
        </is>
      </c>
      <c r="I128" s="113" t="inlineStr">
        <is>
          <t>manual-tests/toast.md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Portal</t>
        </is>
      </c>
      <c r="C129" s="113" t="inlineStr">
        <is>
          <t>Toast</t>
        </is>
      </c>
      <c r="D129" s="113" t="inlineStr">
        <is>
          <t>custom/disabled portal path works where supported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protocol</t>
        </is>
      </c>
      <c r="H129" s="116" t="inlineStr">
        <is>
          <t>covered</t>
        </is>
      </c>
      <c r="I129" s="113" t="inlineStr">
        <is>
          <t>manual-tests/toast.md</t>
        </is>
      </c>
      <c r="J129" s="113" t="n"/>
      <c r="K129" s="117">
        <f>IF(AND(E129="yes",F129="yes",H129="covered"),1,IF(H129="partial",0.5,0))</f>
        <v/>
      </c>
    </row>
    <row r="130" ht="15" customHeight="1" s="58"/>
    <row r="131" ht="15" customHeight="1" s="58"/>
    <row r="132" ht="30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0"/>
  </sheetPr>
  <dimension ref="A1:K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Toggle</t>
        </is>
      </c>
      <c r="D12" s="121" t="inlineStr">
        <is>
          <t>canvas source reflects controlled, pressed, disabled, events,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</t>
        </is>
      </c>
      <c r="D13" s="121" t="inlineStr">
        <is>
          <t>anatomy uses live DOM attributes, ARIA, data, text, and ref evidence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</t>
        </is>
      </c>
      <c r="D14" s="121" t="inlineStr">
        <is>
          <t>inspector selected/focused/logs update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is the only anatomy part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Root</t>
        </is>
      </c>
      <c r="D16" s="121" t="inlineStr">
        <is>
          <t>Root summary follows data-state on/off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render is native button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consumer ref receives rendered element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visible text is Bold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non-Atom native/data props pass through with data-prop-check marker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Props</t>
        </is>
      </c>
      <c r="C21" s="121" t="inlineStr">
        <is>
          <t>Root</t>
        </is>
      </c>
      <c r="D21" s="121" t="inlineStr">
        <is>
          <t>value prop appears as data-value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Accessibility</t>
        </is>
      </c>
      <c r="C22" s="121" t="inlineStr">
        <is>
          <t>Root</t>
        </is>
      </c>
      <c r="D22" s="121" t="inlineStr">
        <is>
          <t>aria-label comes from ariaLabel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 playground manual verification.</t>
        </is>
      </c>
      <c r="J22" s="121" t="n"/>
      <c r="K22" s="122">
        <f>IF(AND(E22="yes",F22="yes",H22="covered"),1,IF(H22="partial",0.5,0))</f>
        <v/>
      </c>
    </row>
    <row r="23" ht="45" customHeight="1" s="58">
      <c r="A23" s="120" t="n">
        <v>15</v>
      </c>
      <c r="B23" s="121" t="inlineStr">
        <is>
          <t>Accessibility</t>
        </is>
      </c>
      <c r="C23" s="121" t="inlineStr">
        <is>
          <t>Root</t>
        </is>
      </c>
      <c r="D23" s="121" t="inlineStr">
        <is>
          <t>aria-pressed reflects pressed state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defaultPressed path starts from toolbar state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controlled pressed path follows toolbar state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click toggles pressed state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Enter toggles pressed state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Space toggles pressed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onPressedChange fires with the next value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disabled blocks click and keyboard toggling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Attributes</t>
        </is>
      </c>
      <c r="C31" s="121" t="inlineStr">
        <is>
          <t>Root</t>
        </is>
      </c>
      <c r="D31" s="121" t="inlineStr">
        <is>
          <t>type button is present for native button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Attributes</t>
        </is>
      </c>
      <c r="C32" s="121" t="inlineStr">
        <is>
          <t>Root</t>
        </is>
      </c>
      <c r="D32" s="121" t="inlineStr">
        <is>
          <t>native disabled attribute appears when disabled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Data</t>
        </is>
      </c>
      <c r="C33" s="121" t="inlineStr">
        <is>
          <t>Root</t>
        </is>
      </c>
      <c r="D33" s="121" t="inlineStr">
        <is>
          <t>data-slot is toggle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Data</t>
        </is>
      </c>
      <c r="C34" s="121" t="inlineStr">
        <is>
          <t>Root</t>
        </is>
      </c>
      <c r="D34" s="121" t="inlineStr">
        <is>
          <t>data-state is on or off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Data</t>
        </is>
      </c>
      <c r="C35" s="121" t="inlineStr">
        <is>
          <t>Root</t>
        </is>
      </c>
      <c r="D35" s="121" t="inlineStr">
        <is>
          <t>data-disabled appears only when disabled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Data</t>
        </is>
      </c>
      <c r="C36" s="121" t="inlineStr">
        <is>
          <t>Root</t>
        </is>
      </c>
      <c r="D36" s="121" t="inlineStr">
        <is>
          <t>data-value is bold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asChild renders the provided child element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Composition</t>
        </is>
      </c>
      <c r="C38" s="121" t="inlineStr">
        <is>
          <t>Root</t>
        </is>
      </c>
      <c r="D38" s="121" t="inlineStr">
        <is>
          <t>asChild keeps behavior, ARIA, data, and text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render renders the custom element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keeps behavior, ARIA, data, and text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Events</t>
        </is>
      </c>
      <c r="C41" s="121" t="inlineStr">
        <is>
          <t>Root</t>
        </is>
      </c>
      <c r="D41" s="121" t="inlineStr">
        <is>
          <t>consumer onClick logs before Atom state change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Events</t>
        </is>
      </c>
      <c r="C42" s="121" t="inlineStr">
        <is>
          <t>Root</t>
        </is>
      </c>
      <c r="D42" s="121" t="inlineStr">
        <is>
          <t>consumer onKeyDown logs Enter and Space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Events</t>
        </is>
      </c>
      <c r="C43" s="121" t="inlineStr">
        <is>
          <t>Root</t>
        </is>
      </c>
      <c r="D43" s="121" t="inlineStr">
        <is>
          <t>preventDefault on click blocks Atom toggle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Events</t>
        </is>
      </c>
      <c r="C44" s="121" t="inlineStr">
        <is>
          <t>Root</t>
        </is>
      </c>
      <c r="D44" s="121" t="inlineStr">
        <is>
          <t>preventDefault on keyboard blocks Atom toggle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Source</t>
        </is>
      </c>
      <c r="C45" s="121" t="inlineStr">
        <is>
          <t>Root</t>
        </is>
      </c>
      <c r="D45" s="121" t="inlineStr">
        <is>
          <t>Source hides false booleans and uses shorthand true booleans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/>
    <row r="47" ht="45" customHeight="1" s="58"/>
    <row r="48" ht="15" customHeight="1" s="58"/>
    <row r="49" ht="15" customHeight="1" s="58"/>
    <row r="50" ht="15" customHeight="1" s="58"/>
    <row r="51" ht="30" customHeight="1" s="58"/>
    <row r="52" ht="30" customHeight="1" s="58"/>
    <row r="53" ht="30" customHeight="1" s="58"/>
    <row r="54" ht="30" customHeight="1" s="58"/>
    <row r="55" ht="15" customHeight="1" s="58"/>
    <row r="5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0"/>
  </sheetPr>
  <dimension ref="A1:K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15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ToggleGroup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ToggleGroup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ToggleGroup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ToggleGroup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Playground</t>
        </is>
      </c>
      <c r="C12" s="121" t="inlineStr">
        <is>
          <t>ToggleGroup</t>
        </is>
      </c>
      <c r="D12" s="121" t="inlineStr">
        <is>
          <t>canvas source reflects current state, direction,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ToggleGroup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ToggleGroup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ToggleGroup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ToggleGroup</t>
        </is>
      </c>
      <c r="D14" s="121" t="inlineStr">
        <is>
          <t>inspector selected, focused, and 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ToggleGroup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appears before Item sections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ToggleGroup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Item</t>
        </is>
      </c>
      <c r="D16" s="121" t="inlineStr">
        <is>
          <t>Bold, Italic, and Underline items are inspectable separately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ToggleGroup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tag is div and ref target matches rendered element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ToggleGroup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role group and aria-label are present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ToggleGroup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data-slot is toggle-group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ToggleGroup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data-prop-check marker passes through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ToggleGroup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State</t>
        </is>
      </c>
      <c r="C21" s="121" t="inlineStr">
        <is>
          <t>Root</t>
        </is>
      </c>
      <c r="D21" s="121" t="inlineStr">
        <is>
          <t>single type toggles one selected 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ToggleGroup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State</t>
        </is>
      </c>
      <c r="C22" s="121" t="inlineStr">
        <is>
          <t>Root</t>
        </is>
      </c>
      <c r="D22" s="121" t="inlineStr">
        <is>
          <t>multiple type toggles multiple selected values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ToggleGroup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State</t>
        </is>
      </c>
      <c r="C23" s="121" t="inlineStr">
        <is>
          <t>Root</t>
        </is>
      </c>
      <c r="D23" s="121" t="inlineStr">
        <is>
          <t>controlled value path updates from toolbar and item press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ToggleGroup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defaultValue path updates from item press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ToggleGroup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onValueChange logs the next value exactly once per change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ToggleGroup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disabled disables every item and blocks value changes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ToggleGroup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Behavior</t>
        </is>
      </c>
      <c r="C27" s="121" t="inlineStr">
        <is>
          <t>Root</t>
        </is>
      </c>
      <c r="D27" s="121" t="inlineStr">
        <is>
          <t>loop true wraps arrow focus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ToggleGroup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Behavior</t>
        </is>
      </c>
      <c r="C28" s="121" t="inlineStr">
        <is>
          <t>Root</t>
        </is>
      </c>
      <c r="D28" s="121" t="inlineStr">
        <is>
          <t>loop false stops arrow focus at edges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ToggleGroup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Behavior</t>
        </is>
      </c>
      <c r="C29" s="121" t="inlineStr">
        <is>
          <t>Root</t>
        </is>
      </c>
      <c r="D29" s="121" t="inlineStr">
        <is>
          <t>horizontal orientation uses ArrowLeft and ArrowRight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ToggleGroup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Behavior</t>
        </is>
      </c>
      <c r="C30" s="121" t="inlineStr">
        <is>
          <t>Root</t>
        </is>
      </c>
      <c r="D30" s="121" t="inlineStr">
        <is>
          <t>vertical orientation uses ArrowUp and ArrowDown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ToggleGroup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Direction</t>
        </is>
      </c>
      <c r="C31" s="121" t="inlineStr">
        <is>
          <t>Root</t>
        </is>
      </c>
      <c r="D31" s="121" t="inlineStr">
        <is>
          <t>LTR horizontal ArrowRight moves forward and ArrowLeft moves backward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ToggleGroup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Direction</t>
        </is>
      </c>
      <c r="C32" s="121" t="inlineStr">
        <is>
          <t>Root</t>
        </is>
      </c>
      <c r="D32" s="121" t="inlineStr">
        <is>
          <t>RTL horizontal ArrowRight moves backward and ArrowLeft moves forward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ToggleGroup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Keyboard</t>
        </is>
      </c>
      <c r="C33" s="121" t="inlineStr">
        <is>
          <t>Root</t>
        </is>
      </c>
      <c r="D33" s="121" t="inlineStr">
        <is>
          <t>Home focuses the first enabled item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ToggleGroup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Keyboard</t>
        </is>
      </c>
      <c r="C34" s="121" t="inlineStr">
        <is>
          <t>Root</t>
        </is>
      </c>
      <c r="D34" s="121" t="inlineStr">
        <is>
          <t>End focuses the last enabled item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ToggleGroup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Keyboard</t>
        </is>
      </c>
      <c r="C35" s="121" t="inlineStr">
        <is>
          <t>Root</t>
        </is>
      </c>
      <c r="D35" s="121" t="inlineStr">
        <is>
          <t>disabled items are skipped during keyboard navigation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ToggleGroup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Focus</t>
        </is>
      </c>
      <c r="C36" s="121" t="inlineStr">
        <is>
          <t>Root</t>
        </is>
      </c>
      <c r="D36" s="121" t="inlineStr">
        <is>
          <t>roving tab stop follows selected item or first enabled item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ToggleGroup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Data</t>
        </is>
      </c>
      <c r="C37" s="121" t="inlineStr">
        <is>
          <t>Root</t>
        </is>
      </c>
      <c r="D37" s="121" t="inlineStr">
        <is>
          <t>data-orientation changes with orientation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ToggleGroup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Data</t>
        </is>
      </c>
      <c r="C38" s="121" t="inlineStr">
        <is>
          <t>Root</t>
        </is>
      </c>
      <c r="D38" s="121" t="inlineStr">
        <is>
          <t>data-disabled appears only when root is 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ToggleGroup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renders section without double nesting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ToggleGroup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renders section and preserves children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ToggleGroup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Identity</t>
        </is>
      </c>
      <c r="C41" s="121" t="inlineStr">
        <is>
          <t>Item</t>
        </is>
      </c>
      <c r="D41" s="121" t="inlineStr">
        <is>
          <t>default tag is button and ref target matches rendered element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ToggleGroup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Identity</t>
        </is>
      </c>
      <c r="C42" s="121" t="inlineStr">
        <is>
          <t>Item</t>
        </is>
      </c>
      <c r="D42" s="121" t="inlineStr">
        <is>
          <t>item text and value are visible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ToggleGroup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Accessibility</t>
        </is>
      </c>
      <c r="C43" s="121" t="inlineStr">
        <is>
          <t>Item</t>
        </is>
      </c>
      <c r="D43" s="121" t="inlineStr">
        <is>
          <t>aria-label is present for item labels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ToggleGroup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Accessibility</t>
        </is>
      </c>
      <c r="C44" s="121" t="inlineStr">
        <is>
          <t>Item</t>
        </is>
      </c>
      <c r="D44" s="121" t="inlineStr">
        <is>
          <t>aria-pressed tracks on and off states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ToggleGroup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Accessibility</t>
        </is>
      </c>
      <c r="C45" s="121" t="inlineStr">
        <is>
          <t>Item</t>
        </is>
      </c>
      <c r="D45" s="121" t="inlineStr">
        <is>
          <t>native disabled item does not add redundant aria-disabled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ToggleGroup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Accessibility</t>
        </is>
      </c>
      <c r="C46" s="121" t="inlineStr">
        <is>
          <t>Item</t>
        </is>
      </c>
      <c r="D46" s="121" t="inlineStr">
        <is>
          <t>non-native disabled item receives aria-disabled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ToggleGroup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State</t>
        </is>
      </c>
      <c r="C47" s="121" t="inlineStr">
        <is>
          <t>Item</t>
        </is>
      </c>
      <c r="D47" s="121" t="inlineStr">
        <is>
          <t>item press toggles selected state in multiple mode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ToggleGroup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State</t>
        </is>
      </c>
      <c r="C48" s="121" t="inlineStr">
        <is>
          <t>Item</t>
        </is>
      </c>
      <c r="D48" s="121" t="inlineStr">
        <is>
          <t>item press replaces selected state in single mode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ToggleGroup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State</t>
        </is>
      </c>
      <c r="C49" s="121" t="inlineStr">
        <is>
          <t>Item</t>
        </is>
      </c>
      <c r="D49" s="121" t="inlineStr">
        <is>
          <t>disabled item cannot be toggled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ToggleGroup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Data</t>
        </is>
      </c>
      <c r="C50" s="121" t="inlineStr">
        <is>
          <t>Item</t>
        </is>
      </c>
      <c r="D50" s="121" t="inlineStr">
        <is>
          <t>data-slot is toggle-group-item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ToggleGroup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Data</t>
        </is>
      </c>
      <c r="C51" s="121" t="inlineStr">
        <is>
          <t>Item</t>
        </is>
      </c>
      <c r="D51" s="121" t="inlineStr">
        <is>
          <t>data-state is on or off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ToggleGroup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Data</t>
        </is>
      </c>
      <c r="C52" s="121" t="inlineStr">
        <is>
          <t>Item</t>
        </is>
      </c>
      <c r="D52" s="121" t="inlineStr">
        <is>
          <t>data-value matches public value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ToggleGroup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Data</t>
        </is>
      </c>
      <c r="C53" s="121" t="inlineStr">
        <is>
          <t>Item</t>
        </is>
      </c>
      <c r="D53" s="121" t="inlineStr">
        <is>
          <t>data-disabled appears only for disabled item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ToggleGroup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Composition</t>
        </is>
      </c>
      <c r="C54" s="121" t="inlineStr">
        <is>
          <t>Item</t>
        </is>
      </c>
      <c r="D54" s="121" t="inlineStr">
        <is>
          <t>asChild renders span and preserves behavior props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ToggleGroup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Composition</t>
        </is>
      </c>
      <c r="C55" s="121" t="inlineStr">
        <is>
          <t>Item</t>
        </is>
      </c>
      <c r="D55" s="121" t="inlineStr">
        <is>
          <t>render renders span and preserves behavior props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ToggleGroup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Events</t>
        </is>
      </c>
      <c r="C56" s="121" t="inlineStr">
        <is>
          <t>Item</t>
        </is>
      </c>
      <c r="D56" s="121" t="inlineStr">
        <is>
          <t>preventDefault on item click blocks Atom toggle behavior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ToggleGroup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Events</t>
        </is>
      </c>
      <c r="C57" s="121" t="inlineStr">
        <is>
          <t>Item</t>
        </is>
      </c>
      <c r="D57" s="121" t="inlineStr">
        <is>
          <t>preventDefault on Enter or Space blocks Atom toggle behavior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ToggleGroup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Item</t>
        </is>
      </c>
      <c r="D58" s="121" t="inlineStr">
        <is>
          <t>Enter toggles the focused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ToggleGroup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Item</t>
        </is>
      </c>
      <c r="D59" s="121" t="inlineStr">
        <is>
          <t>Space toggles the focused item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ToggleGroup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Source</t>
        </is>
      </c>
      <c r="C60" s="121" t="inlineStr">
        <is>
          <t>ToggleGroup</t>
        </is>
      </c>
      <c r="D60" s="121" t="inlineStr">
        <is>
          <t>source omits false boolean props and shows disabled shorthand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ToggleGroup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Source</t>
        </is>
      </c>
      <c r="C61" s="121" t="inlineStr">
        <is>
          <t>ToggleGroup</t>
        </is>
      </c>
      <c r="D61" s="121" t="inlineStr">
        <is>
          <t>source shows Direction.Provider only for rtl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ToggleGroup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Logs</t>
        </is>
      </c>
      <c r="C62" s="121" t="inlineStr">
        <is>
          <t>ToggleGroup</t>
        </is>
      </c>
      <c r="D62" s="121" t="inlineStr">
        <is>
          <t>value changes, item events, and root keyboard events are useful and not spammy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ToggleGroup playground manual verification.</t>
        </is>
      </c>
      <c r="J62" s="121" t="n"/>
      <c r="K62" s="122">
        <f>IF(AND(E62="yes",F62="yes",H62="covered"),1,IF(H62="partial",0.5,0))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0"/>
  </sheetPr>
  <dimension ref="A1:K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Draft Manual Test Protocol manual-tests/toolbar.md passed in browser.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Draft Manual Test Protocol manual-tests/toolbar.md passed in browser.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Toolbar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Draft Manual Test Protocol manual-tests/toolbar.md passed in browser.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Toolbar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Draft Manual Test Protocol manual-tests/toolbar.md passed in browser.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Draft Manual Test Protocol manual-tests/toolbar.md passed in browser.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Draft Manual Test Protocol manual-tests/toolbar.md passed in browser.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Toolbar</t>
        </is>
      </c>
      <c r="D15" s="113" t="inlineStr">
        <is>
          <t>Renders `role="toolbar"` with orientation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Draft Manual Test Protocol manual-tests/toolbar.md passed in browser.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Toolbar</t>
        </is>
      </c>
      <c r="D16" s="113" t="inlineStr">
        <is>
          <t>Supports horizontal and vertical arrow-key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Draft Manual Test Protocol manual-tests/toolbar.md passed in browser.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Toolbar</t>
        </is>
      </c>
      <c r="D17" s="113" t="inlineStr">
        <is>
          <t>Supports left-to-right and right-to-left direction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Draft Manual Test Protocol manual-tests/toolbar.md passed in browser.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Toolbar</t>
        </is>
      </c>
      <c r="D18" s="113" t="inlineStr">
        <is>
          <t>Supports buttons, links, separators, and toggle groups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Draft Manual Test Protocol manual-tests/toolbar.md passed in browser.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Toolbar</t>
        </is>
      </c>
      <c r="D19" s="113" t="inlineStr">
        <is>
          <t>Registers toolbar items in DOM order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Draft Manual Test Protocol manual-tests/toolbar.md passed in browser.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Toolbar</t>
        </is>
      </c>
      <c r="D20" s="113" t="inlineStr">
        <is>
          <t>Keeps styling, icons, and visual grouping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Draft Manual Test Protocol manual-tests/toolbar.md passed in browser.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Draft Manual Test Protocol manual-tests/toolbar.md passed in browser.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Draft Manual Test Protocol manual-tests/toolbar.md passed in browser.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Draft Manual Test Protocol manual-tests/toolbar.md passed in browser.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Draft Manual Test Protocol manual-tests/toolbar.md passed in browser.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Draft Manual Test Protocol manual-tests/toolbar.md passed in browser.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Draft Manual Test Protocol manual-tests/toolbar.md passed in browser.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orientation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Draft Manual Test Protocol manual-tests/toolbar.md passed in browser.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dir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Draft Manual Test Protocol manual-tests/toolbar.md passed in browser.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Draft Manual Test Protocol manual-tests/toolbar.md passed in browser.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Accessibility</t>
        </is>
      </c>
      <c r="C30" s="113" t="inlineStr">
        <is>
          <t>Root</t>
        </is>
      </c>
      <c r="D30" s="113" t="inlineStr">
        <is>
          <t>ariaLabel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Draft Manual Test Protocol manual-tests/toolbar.md passed in browser.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Draft Manual Test Protocol manual-tests/toolbar.md passed in browser.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[data-orientation]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Draft Manual Test Protocol manual-tests/toolbar.md passed in browser.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Button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Draft Manual Test Protocol manual-tests/toolbar.md passed in browser.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Button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Draft Manual Test Protocol manual-tests/toolbar.md passed in browser.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Button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Draft Manual Test Protocol manual-tests/toolbar.md passed in browser.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Button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Draft Manual Test Protocol manual-tests/toolbar.md passed in browser.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Button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Draft Manual Test Protocol manual-tests/toolbar.md passed in browser.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Button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Draft Manual Test Protocol manual-tests/toolbar.md passed in browser.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Button</t>
        </is>
      </c>
      <c r="D39" s="113" t="inlineStr">
        <is>
          <t>disabled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Draft Manual Test Protocol manual-tests/toolbar.md passed in browser.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Button</t>
        </is>
      </c>
      <c r="D40" s="113" t="inlineStr">
        <is>
          <t>ariaLabel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Draft Manual Test Protocol manual-tests/toolbar.md passed in browser.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Button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Draft Manual Test Protocol manual-tests/toolbar.md passed in browser.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Button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Draft Manual Test Protocol manual-tests/toolbar.md passed in browser.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Link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Draft Manual Test Protocol manual-tests/toolbar.md passed in browser.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Link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Draft Manual Test Protocol manual-tests/toolbar.md passed in browser.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Link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Draft Manual Test Protocol manual-tests/toolbar.md passed in browser.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Link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Draft Manual Test Protocol manual-tests/toolbar.md passed in browser.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Link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Draft Manual Test Protocol manual-tests/toolbar.md passed in browser.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Link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Draft Manual Test Protocol manual-tests/toolbar.md passed in browser.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Link</t>
        </is>
      </c>
      <c r="D49" s="113" t="inlineStr">
        <is>
          <t>href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Draft Manual Test Protocol manual-tests/toolbar.md passed in browser.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Link</t>
        </is>
      </c>
      <c r="D50" s="113" t="inlineStr">
        <is>
          <t>target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Draft Manual Test Protocol manual-tests/toolbar.md passed in browser.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Link</t>
        </is>
      </c>
      <c r="D51" s="113" t="inlineStr">
        <is>
          <t>rel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Draft Manual Test Protocol manual-tests/toolbar.md passed in browser.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Link</t>
        </is>
      </c>
      <c r="D52" s="113" t="inlineStr">
        <is>
          <t>disabled removes href and prevents navigation while preserving aria-disabled and data-disabled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pending revised manual test</t>
        </is>
      </c>
      <c r="H52" s="116" t="inlineStr">
        <is>
          <t>untested</t>
        </is>
      </c>
      <c r="I52" s="113" t="inlineStr">
        <is>
          <t>Updated Toolbar scenario and manual-tests/toolbar.md protocol.</t>
        </is>
      </c>
      <c r="J52" s="113" t="inlineStr">
        <is>
          <t>Rerun Toolbar Step 4 against the destination-free disabled contract.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Link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Draft Manual Test Protocol manual-tests/toolbar.md passed in browser.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Link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Draft Manual Test Protocol manual-tests/toolbar.md passed in browser.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Link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Draft Manual Test Protocol manual-tests/toolbar.md passed in browser.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Separator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Draft Manual Test Protocol manual-tests/toolbar.md passed in browser.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Separator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Draft Manual Test Protocol manual-tests/toolbar.md passed in browser.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Separator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Draft Manual Test Protocol manual-tests/toolbar.md passed in browser.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Separator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Draft Manual Test Protocol manual-tests/toolbar.md passed in browser.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Separator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Draft Manual Test Protocol manual-tests/toolbar.md passed in browser.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Separator</t>
        </is>
      </c>
      <c r="D61" s="113" t="inlineStr">
        <is>
          <t>orientation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Draft Manual Test Protocol manual-tests/toolbar.md passed in browser.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Separator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Draft Manual Test Protocol manual-tests/toolbar.md passed in browser.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Separator</t>
        </is>
      </c>
      <c r="D63" s="113" t="inlineStr">
        <is>
          <t>[data-orientation]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Draft Manual Test Protocol manual-tests/toolbar.md passed in browser.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ToggleGroup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Draft Manual Test Protocol manual-tests/toolbar.md passed in browser.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ToggleGroup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Draft Manual Test Protocol manual-tests/toolbar.md passed in browser.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ToggleGroup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Draft Manual Test Protocol manual-tests/toolbar.md passed in browser.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ToggleGroup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Draft Manual Test Protocol manual-tests/toolbar.md passed in browser.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ToggleGroup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Draft Manual Test Protocol manual-tests/toolbar.md passed in browser.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ToggleGroup</t>
        </is>
      </c>
      <c r="D69" s="113" t="inlineStr">
        <is>
          <t>type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Draft Manual Test Protocol manual-tests/toolbar.md passed in browser.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ToggleGroup</t>
        </is>
      </c>
      <c r="D70" s="113" t="inlineStr">
        <is>
          <t>value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Draft Manual Test Protocol manual-tests/toolbar.md passed in browser.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ToggleGroup</t>
        </is>
      </c>
      <c r="D71" s="113" t="inlineStr">
        <is>
          <t>defaultValue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Draft Manual Test Protocol manual-tests/toolbar.md passed in browser.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ToggleGroup</t>
        </is>
      </c>
      <c r="D72" s="113" t="inlineStr">
        <is>
          <t>onValueChange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Draft Manual Test Protocol manual-tests/toolbar.md passed in browser.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ToggleGroup</t>
        </is>
      </c>
      <c r="D73" s="113" t="inlineStr">
        <is>
          <t>disabled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Draft Manual Test Protocol manual-tests/toolbar.md passed in browser.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Accessibility</t>
        </is>
      </c>
      <c r="C74" s="113" t="inlineStr">
        <is>
          <t>ToggleGroup</t>
        </is>
      </c>
      <c r="D74" s="113" t="inlineStr">
        <is>
          <t>ariaLabel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Draft Manual Test Protocol manual-tests/toolbar.md passed in browser.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ToggleGroup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Draft Manual Test Protocol manual-tests/toolbar.md passed in browser.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ToggleGroup</t>
        </is>
      </c>
      <c r="D76" s="113" t="inlineStr">
        <is>
          <t>[data-disabled]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Draft Manual Test Protocol manual-tests/toolbar.md passed in browser.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ToggleItem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Draft Manual Test Protocol manual-tests/toolbar.md passed in browser.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ToggleItem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Draft Manual Test Protocol manual-tests/toolbar.md passed in browser.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ToggleItem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Draft Manual Test Protocol manual-tests/toolbar.md passed in browser.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ToggleItem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Draft Manual Test Protocol manual-tests/toolbar.md passed in browser.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Props</t>
        </is>
      </c>
      <c r="C81" s="113" t="inlineStr">
        <is>
          <t>ToggleItem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Draft Manual Test Protocol manual-tests/toolbar.md passed in browser.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ToggleItem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Draft Manual Test Protocol manual-tests/toolbar.md passed in browser.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ToggleItem</t>
        </is>
      </c>
      <c r="D83" s="113" t="inlineStr">
        <is>
          <t>value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Draft Manual Test Protocol manual-tests/toolbar.md passed in browser.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State</t>
        </is>
      </c>
      <c r="C84" s="113" t="inlineStr">
        <is>
          <t>ToggleItem</t>
        </is>
      </c>
      <c r="D84" s="113" t="inlineStr">
        <is>
          <t>disabled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Draft Manual Test Protocol manual-tests/toolbar.md passed in browser.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Accessibility</t>
        </is>
      </c>
      <c r="C85" s="113" t="inlineStr">
        <is>
          <t>ToggleItem</t>
        </is>
      </c>
      <c r="D85" s="113" t="inlineStr">
        <is>
          <t>ariaLabel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Draft Manual Test Protocol manual-tests/toolbar.md passed in browser.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ToggleItem</t>
        </is>
      </c>
      <c r="D86" s="113" t="inlineStr">
        <is>
          <t>[data-slot]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Draft Manual Test Protocol manual-tests/toolbar.md passed in browser.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ToggleItem</t>
        </is>
      </c>
      <c r="D87" s="113" t="inlineStr">
        <is>
          <t>[data-state]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Draft Manual Test Protocol manual-tests/toolbar.md passed in browser.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ToggleItem</t>
        </is>
      </c>
      <c r="D88" s="113" t="inlineStr">
        <is>
          <t>[data-value]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Draft Manual Test Protocol manual-tests/toolbar.md passed in browser.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ToggleItem</t>
        </is>
      </c>
      <c r="D89" s="113" t="inlineStr">
        <is>
          <t>[data-disabled]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Draft Manual Test Protocol manual-tests/toolbar.md passed in browser.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Draft Manual Test Protocol manual-tests/toolbar.md passed in browser.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Draft Manual Test Protocol manual-tests/toolbar.md passed in browser.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Draft Manual Test Protocol manual-tests/toolbar.md passed in browser.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aria-pressed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Draft Manual Test Protocol manual-tests/toolbar.md passed in browser.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data-disabled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Draft Manual Test Protocol manual-tests/toolbar.md passed in browser.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data-orientation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Draft Manual Test Protocol manual-tests/toolbar.md passed in browser.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Data</t>
        </is>
      </c>
      <c r="C96" s="113" t="inlineStr">
        <is>
          <t>Live DOM</t>
        </is>
      </c>
      <c r="D96" s="113" t="inlineStr">
        <is>
          <t>data-slot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Draft Manual Test Protocol manual-tests/toolbar.md passed in browser.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data-state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Draft Manual Test Protocol manual-tests/toolbar.md passed in browser.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data-value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Draft Manual Test Protocol manual-tests/toolbar.md passed in browser.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Toolbar</t>
        </is>
      </c>
      <c r="D99" s="113" t="inlineStr">
        <is>
          <t>ArrowDown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Draft Manual Test Protocol manual-tests/toolbar.md passed in browser.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Toolbar</t>
        </is>
      </c>
      <c r="D100" s="113" t="inlineStr">
        <is>
          <t>ArrowLeft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Draft Manual Test Protocol manual-tests/toolbar.md passed in browser.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Toolbar</t>
        </is>
      </c>
      <c r="D101" s="113" t="inlineStr">
        <is>
          <t>ArrowRight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Draft Manual Test Protocol manual-tests/toolbar.md passed in browser.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Toolbar</t>
        </is>
      </c>
      <c r="D102" s="113" t="inlineStr">
        <is>
          <t>ArrowUp behavior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Draft Manual Test Protocol manual-tests/toolbar.md passed in browser.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Toolbar</t>
        </is>
      </c>
      <c r="D103" s="113" t="inlineStr">
        <is>
          <t>End behavior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Draft Manual Test Protocol manual-tests/toolbar.md passed in browser.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Toolbar</t>
        </is>
      </c>
      <c r="D104" s="113" t="inlineStr">
        <is>
          <t>Home behavior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Draft Manual Test Protocol manual-tests/toolbar.md passed in browser.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Toolbar</t>
        </is>
      </c>
      <c r="D105" s="113" t="inlineStr">
        <is>
          <t>Arrow key navigation follows documented orientation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Draft Manual Test Protocol manual-tests/toolbar.md passed in browser.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Toolbar</t>
        </is>
      </c>
      <c r="D106" s="113" t="inlineStr">
        <is>
          <t>Home and End navigation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Draft Manual Test Protocol manual-tests/toolbar.md passed in browser.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Keyboard</t>
        </is>
      </c>
      <c r="C107" s="113" t="inlineStr">
        <is>
          <t>Toolbar</t>
        </is>
      </c>
      <c r="D107" s="113" t="inlineStr">
        <is>
          <t>disabled items are skipped or exposed according to pattern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Draft Manual Test Protocol manual-tests/toolbar.md passed in browser.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Toolbar</t>
        </is>
      </c>
      <c r="D108" s="113" t="inlineStr">
        <is>
          <t>roving focus or active descendant state is visible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Draft Manual Test Protocol manual-tests/toolbar.md passed in browser.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before defaulting to ltr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Draft Manual Test Protocol manual-tests/toolbar.md passed in browser.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direct dir prop overrides provider direction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Draft Manual Test Protocol manual-tests/toolbar.md passed in browser.</t>
        </is>
      </c>
      <c r="J110" s="113" t="n"/>
      <c r="K110" s="117">
        <f>IF(AND(E110="yes",F110="yes",H110="covered"),1,IF(H110="partial",0.5,0))</f>
        <v/>
      </c>
    </row>
    <row r="111" ht="4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horizontal ArrowLeft and ArrowRight navigation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Draft Manual Test Protocol manual-tests/toolbar.md passed in browser.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and direct dir override through a single Direction control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9" t="inlineStr">
        <is>
          <t>covered</t>
        </is>
      </c>
      <c r="I112" s="113" t="inlineStr">
        <is>
          <t>Draft Manual Test Protocol manual-tests/toolbar.md passed in browser.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Composition</t>
        </is>
      </c>
      <c r="C113" s="113" t="inlineStr">
        <is>
          <t>Root</t>
        </is>
      </c>
      <c r="D113" s="113" t="inlineStr">
        <is>
          <t>asChild and render composition modes preserve toolbar behavior</t>
        </is>
      </c>
      <c r="E113" s="119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9" t="inlineStr">
        <is>
          <t>covered</t>
        </is>
      </c>
      <c r="I113" s="113" t="inlineStr">
        <is>
          <t>Draft Manual Test Protocol manual-tests/toolbar.md passed in browser.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Composition</t>
        </is>
      </c>
      <c r="C114" s="113" t="inlineStr">
        <is>
          <t>Button</t>
        </is>
      </c>
      <c r="D114" s="113" t="inlineStr">
        <is>
          <t>asChild and render composition modes preserve button behavior</t>
        </is>
      </c>
      <c r="E114" s="119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9" t="inlineStr">
        <is>
          <t>covered</t>
        </is>
      </c>
      <c r="I114" s="113" t="inlineStr">
        <is>
          <t>Draft Manual Test Protocol manual-tests/toolbar.md passed in browser.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Link</t>
        </is>
      </c>
      <c r="D115" s="113" t="inlineStr">
        <is>
          <t>asChild and render composition modes preserve link behavior</t>
        </is>
      </c>
      <c r="E115" s="119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9" t="inlineStr">
        <is>
          <t>covered</t>
        </is>
      </c>
      <c r="I115" s="113" t="inlineStr">
        <is>
          <t>Draft Manual Test Protocol manual-tests/toolbar.md passed in browser.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Composition</t>
        </is>
      </c>
      <c r="C116" s="113" t="inlineStr">
        <is>
          <t>Separator</t>
        </is>
      </c>
      <c r="D116" s="113" t="inlineStr">
        <is>
          <t>asChild and render composition modes preserve separator behavior</t>
        </is>
      </c>
      <c r="E116" s="119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9" t="inlineStr">
        <is>
          <t>covered</t>
        </is>
      </c>
      <c r="I116" s="113" t="inlineStr">
        <is>
          <t>Draft Manual Test Protocol manual-tests/toolbar.md passed in browser.</t>
        </is>
      </c>
      <c r="J116" s="113" t="n"/>
      <c r="K116" s="117">
        <f>IF(AND(E116="yes",F116="yes",H116="covered"),1,IF(H116="partial",0.5,0))</f>
        <v/>
      </c>
    </row>
    <row r="117" ht="30" customHeight="1" s="58">
      <c r="A117" s="112" t="n">
        <v>109</v>
      </c>
      <c r="B117" s="113" t="inlineStr">
        <is>
          <t>Composition</t>
        </is>
      </c>
      <c r="C117" s="113" t="inlineStr">
        <is>
          <t>ToggleGroup</t>
        </is>
      </c>
      <c r="D117" s="113" t="inlineStr">
        <is>
          <t>asChild and render composition modes preserve toggle group behavior</t>
        </is>
      </c>
      <c r="E117" s="119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9" t="inlineStr">
        <is>
          <t>covered</t>
        </is>
      </c>
      <c r="I117" s="113" t="inlineStr">
        <is>
          <t>Draft Manual Test Protocol manual-tests/toolbar.md passed in browser.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Composition</t>
        </is>
      </c>
      <c r="C118" s="113" t="inlineStr">
        <is>
          <t>ToggleItem</t>
        </is>
      </c>
      <c r="D118" s="113" t="inlineStr">
        <is>
          <t>asChild and render composition modes preserve toggle item behavior</t>
        </is>
      </c>
      <c r="E118" s="119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9" t="inlineStr">
        <is>
          <t>covered</t>
        </is>
      </c>
      <c r="I118" s="113" t="inlineStr">
        <is>
          <t>Draft Manual Test Protocol manual-tests/toolbar.md passed in browser.</t>
        </is>
      </c>
      <c r="J118" s="113" t="n"/>
      <c r="K118" s="117">
        <f>IF(AND(E118="yes",F118="yes",H118="covered"),1,IF(H118="partial",0.5,0))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Tooltip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manual-tests/tooltip.md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manual-tests/tooltip.md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Tooltip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manual-tests/tooltip.md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Tooltip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manual-tests/tooltip.md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Tooltip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manual-tests/tooltip.md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Tooltip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manual-tests/tooltip.md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Tooltip</t>
        </is>
      </c>
      <c r="D15" s="113" t="inlineStr">
        <is>
          <t>Provider-level delay configuration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manual-tests/tooltip.md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Tooltip</t>
        </is>
      </c>
      <c r="D16" s="113" t="inlineStr">
        <is>
          <t>Controlled and uncontrolled open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manual-tests/tooltip.md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Tooltip</t>
        </is>
      </c>
      <c r="D17" s="113" t="inlineStr">
        <is>
          <t>opens on pointer hover and keyboard focus-visible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existing desktop browser/manual baseline; mobile device qualification not run</t>
        </is>
      </c>
      <c r="H17" s="116" t="inlineStr">
        <is>
          <t>covered</t>
        </is>
      </c>
      <c r="I17" s="113" t="inlineStr">
        <is>
          <t>Existing desktop browser/manual baseline; not real iOS Safari or Android Chrome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Tooltip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manual-tests/tooltip.md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Tooltip</t>
        </is>
      </c>
      <c r="D19" s="113" t="inlineStr">
        <is>
          <t>`aria-describedby` wiring between trigger and tooltip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manual-tests/tooltip.md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Tooltip</t>
        </is>
      </c>
      <c r="D20" s="113" t="inlineStr">
        <is>
          <t>Portal and arrow parts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manual-tests/tooltip.md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manual-tests/tooltip.md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manual-tests/tooltip.md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manual-tests/tooltip.md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manual-tests/tooltip.md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onOpenChange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manual-tests/tooltip.md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manual-tests/tooltip.md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Anatomy</t>
        </is>
      </c>
      <c r="C27" s="113" t="inlineStr">
        <is>
          <t>Provider</t>
        </is>
      </c>
      <c r="D27" s="113" t="inlineStr">
        <is>
          <t>renders correct part when expected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manual-tests/tooltip.md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Provider</t>
        </is>
      </c>
      <c r="D28" s="113" t="inlineStr">
        <is>
          <t>appears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manual-tests/tooltip.md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Provider</t>
        </is>
      </c>
      <c r="D29" s="113" t="inlineStr">
        <is>
          <t>openDelay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manual-tests/tooltip.md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Provider</t>
        </is>
      </c>
      <c r="D30" s="113" t="inlineStr">
        <is>
          <t>closeDelay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manual-tests/tooltip.md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Provider</t>
        </is>
      </c>
      <c r="D31" s="113" t="inlineStr">
        <is>
          <t>skipDelay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manual-tests/tooltip.md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renders correct part when expected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manual-tests/tooltip.md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Anatomy</t>
        </is>
      </c>
      <c r="C33" s="113" t="inlineStr">
        <is>
          <t>Portal</t>
        </is>
      </c>
      <c r="D33" s="113" t="inlineStr">
        <is>
          <t>appears in documented order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manual-tests/tooltip.md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Positioning</t>
        </is>
      </c>
      <c r="C34" s="113" t="inlineStr">
        <is>
          <t>Portal</t>
        </is>
      </c>
      <c r="D34" s="113" t="inlineStr">
        <is>
          <t>container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manual-tests/tooltip.md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Portal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manual-tests/tooltip.md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manual-tests/tooltip.md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manual-tests/tooltip.md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tag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manual-tests/tooltip.md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data-slot is present and correct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manual-tests/tooltip.md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Props</t>
        </is>
      </c>
      <c r="C40" s="113" t="inlineStr">
        <is>
          <t>Trigger</t>
        </is>
      </c>
      <c r="D40" s="113" t="inlineStr">
        <is>
          <t>non-Atom native props pass through with data-prop-check marker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manual-tests/tooltip.md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manual-tests/tooltip.md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manual-tests/tooltip.md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manual-tests/tooltip.md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manual-tests/tooltip.md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Content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manual-tests/tooltip.md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manual-tests/tooltip.md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manual-tests/tooltip.md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manual-tests/tooltip.md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Content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manual-tests/tooltip.md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Positioning</t>
        </is>
      </c>
      <c r="C50" s="113" t="inlineStr">
        <is>
          <t>Content</t>
        </is>
      </c>
      <c r="D50" s="113" t="inlineStr">
        <is>
          <t>side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manual-tests/tooltip.md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Positioning</t>
        </is>
      </c>
      <c r="C51" s="113" t="inlineStr">
        <is>
          <t>Content</t>
        </is>
      </c>
      <c r="D51" s="113" t="inlineStr">
        <is>
          <t>align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manual-tests/tooltip.md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Positioning</t>
        </is>
      </c>
      <c r="C52" s="113" t="inlineStr">
        <is>
          <t>Content</t>
        </is>
      </c>
      <c r="D52" s="113" t="inlineStr">
        <is>
          <t>sideOffset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manual-tests/tooltip.md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Content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manual-tests/tooltip.md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data-slot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manual-tests/tooltip.md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manual-tests/tooltip.md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manual-tests/tooltip.md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Positioning</t>
        </is>
      </c>
      <c r="C57" s="113" t="inlineStr">
        <is>
          <t>Content</t>
        </is>
      </c>
      <c r="D57" s="113" t="inlineStr">
        <is>
          <t>[data-side]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manual-tests/tooltip.md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[data-positioned]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manual-tests/tooltip.md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Arrow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manual-tests/tooltip.md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Anatomy</t>
        </is>
      </c>
      <c r="C60" s="113" t="inlineStr">
        <is>
          <t>Arrow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manual-tests/tooltip.md</t>
        </is>
      </c>
      <c r="J60" s="113" t="n"/>
      <c r="K60" s="117">
        <f>IF(AND(E60="yes",F60="yes",H60="covered"),1,IF(H60="partial",0.5,0))</f>
        <v/>
      </c>
    </row>
    <row r="61" ht="45" customHeight="1" s="58">
      <c r="A61" s="112" t="n">
        <v>53</v>
      </c>
      <c r="B61" s="113" t="inlineStr">
        <is>
          <t>Identity</t>
        </is>
      </c>
      <c r="C61" s="113" t="inlineStr">
        <is>
          <t>Arrow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manual-tests/tooltip.md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Arrow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manual-tests/tooltip.md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Arrow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manual-tests/tooltip.md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Arrow</t>
        </is>
      </c>
      <c r="D64" s="113" t="inlineStr">
        <is>
          <t>width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manual-tests/tooltip.md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Arrow</t>
        </is>
      </c>
      <c r="D65" s="113" t="inlineStr">
        <is>
          <t>height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manual-tests/tooltip.md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Arrow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manual-tests/tooltip.md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Arrow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manual-tests/tooltip.md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Positioning</t>
        </is>
      </c>
      <c r="C68" s="113" t="inlineStr">
        <is>
          <t>Arrow</t>
        </is>
      </c>
      <c r="D68" s="113" t="inlineStr">
        <is>
          <t>[data-side]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manual-tests/tooltip.md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aria-describedby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manual-tests/tooltip.md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aria-label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manual-tests/tooltip.md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manual-tests/tooltip.md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data-side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manual-tests/tooltip.md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data-slot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manual-tests/tooltip.md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data-state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manual-tests/tooltip.md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data-variant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manual-tests/tooltip.md</t>
        </is>
      </c>
      <c r="J75" s="113" t="n"/>
      <c r="K75" s="117">
        <f>IF(AND(E75="yes",F75="yes",H75="covered"),1,IF(H75="partial",0.5,0))</f>
        <v/>
      </c>
    </row>
    <row r="76" ht="45" customHeight="1" s="58">
      <c r="A76" s="112" t="n">
        <v>68</v>
      </c>
      <c r="B76" s="113" t="inlineStr">
        <is>
          <t>Composition</t>
        </is>
      </c>
      <c r="C76" s="113" t="inlineStr">
        <is>
          <t>Tooltip</t>
        </is>
      </c>
      <c r="D76" s="113" t="inlineStr">
        <is>
          <t>asChild preserves child content without double nesting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manual-tests/tooltip.md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Tooltip</t>
        </is>
      </c>
      <c r="D77" s="113" t="inlineStr">
        <is>
          <t>asChild merges Atom props and consumer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manual-tests/tooltip.md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Tooltip</t>
        </is>
      </c>
      <c r="D78" s="113" t="inlineStr">
        <is>
          <t>render prop renders custom element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manual-tests/tooltip.md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Tooltip</t>
        </is>
      </c>
      <c r="D79" s="113" t="inlineStr">
        <is>
          <t>render prop preserves behavior props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manual-tests/tooltip.md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controlled state path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manual-tests/tooltip.md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State</t>
        </is>
      </c>
      <c r="C81" s="113" t="inlineStr">
        <is>
          <t>Root</t>
        </is>
      </c>
      <c r="D81" s="113" t="inlineStr">
        <is>
          <t>uncontrolled default state path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manual-tests/tooltip.md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state change callback fires once with correct value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manual-tests/tooltip.md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Interaction</t>
        </is>
      </c>
      <c r="C83" s="113" t="inlineStr">
        <is>
          <t>Trigger</t>
        </is>
      </c>
      <c r="D83" s="113" t="inlineStr">
        <is>
          <t>disabled trigger blocks pointer and keyboard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manual-tests/tooltip.md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Focus</t>
        </is>
      </c>
      <c r="C84" s="113" t="inlineStr">
        <is>
          <t>Trigger</t>
        </is>
      </c>
      <c r="D84" s="113" t="inlineStr">
        <is>
          <t>focus ring and focus restoration are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manual-tests/tooltip.md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Dismiss</t>
        </is>
      </c>
      <c r="C85" s="113" t="inlineStr">
        <is>
          <t>Tooltip</t>
        </is>
      </c>
      <c r="D85" s="113" t="inlineStr">
        <is>
          <t>Escape closes only the topmost active layer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manual-tests/tooltip.md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Responsive smoke</t>
        </is>
      </c>
      <c r="C86" s="113" t="inlineStr">
        <is>
          <t>Tooltip</t>
        </is>
      </c>
      <c r="D86" s="113" t="inlineStr">
        <is>
          <t>desktop responsive smoke only; mobile touch and viewport behavior is not qualified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existing desktop browser/manual baseline; mobile device qualification not run</t>
        </is>
      </c>
      <c r="H86" s="116" t="inlineStr">
        <is>
          <t>covered</t>
        </is>
      </c>
      <c r="I86" s="113" t="inlineStr">
        <is>
          <t>Existing desktop browser/manual baseline; not real iOS Safari or Android Chrome evidence.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Portal</t>
        </is>
      </c>
      <c r="C87" s="113" t="inlineStr">
        <is>
          <t>Tooltip</t>
        </is>
      </c>
      <c r="D87" s="113" t="inlineStr">
        <is>
          <t>portal renders in body by default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manual-tests/tooltip.md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Portal</t>
        </is>
      </c>
      <c r="C88" s="113" t="inlineStr">
        <is>
          <t>Tooltip</t>
        </is>
      </c>
      <c r="D88" s="113" t="inlineStr">
        <is>
          <t>custom/disabled portal path works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manual-tests/tooltip.md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Positioning</t>
        </is>
      </c>
      <c r="C89" s="113" t="inlineStr">
        <is>
          <t>Tooltip</t>
        </is>
      </c>
      <c r="D89" s="113" t="inlineStr">
        <is>
          <t>side options position content correctly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manual-tests/tooltip.md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Positioning</t>
        </is>
      </c>
      <c r="C90" s="113" t="inlineStr">
        <is>
          <t>Tooltip</t>
        </is>
      </c>
      <c r="D90" s="113" t="inlineStr">
        <is>
          <t>align options position content correctly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manual-tests/tooltip.md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Positioning</t>
        </is>
      </c>
      <c r="C91" s="113" t="inlineStr">
        <is>
          <t>Tooltip</t>
        </is>
      </c>
      <c r="D91" s="113" t="inlineStr">
        <is>
          <t>collision, flip, and shift stay within the manually tested desktop layout viewport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existing desktop browser/manual baseline; mobile device qualification not run</t>
        </is>
      </c>
      <c r="H91" s="116" t="inlineStr">
        <is>
          <t>covered</t>
        </is>
      </c>
      <c r="I91" s="113" t="inlineStr">
        <is>
          <t>Existing desktop browser/manual baseline; not real iOS Safari or Android Chrome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Tooltip</t>
        </is>
      </c>
      <c r="D92" s="113" t="inlineStr">
        <is>
          <t>arrow or anchor geometry matches content where supported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manual-tests/tooltip.md</t>
        </is>
      </c>
      <c r="J92" s="113" t="n"/>
      <c r="K92" s="117">
        <f>IF(AND(E92="yes",F92="yes",H92="covered"),1,IF(H92="partial",0.5,0))</f>
        <v/>
      </c>
    </row>
    <row r="93" ht="4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quick tap does not open through touch-generated compatibility hover/focus; ordinary tap remains available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physical iPhone Safari manual test, 2026-07-19</t>
        </is>
      </c>
      <c r="H93" s="116" t="inlineStr">
        <is>
          <t>covered</t>
        </is>
      </c>
      <c r="I93" s="113" t="inlineStr">
        <is>
          <t>manual-tests/tooltip.md Steps 11–12; Mobile Readiness evidence MRE-14-TOOLTIP-001 and MRE-14-TOOLTIP-003</t>
        </is>
      </c>
      <c r="J93" s="113" t="n"/>
      <c r="K93" s="117">
        <f>IF(AND(E93="yes",F93="yes",H93="covered"),1,IF(H93="partial",0.5,0))</f>
        <v/>
      </c>
    </row>
    <row r="94" ht="45" customHeight="1" s="58">
      <c r="A94" s="112" t="n">
        <v>86</v>
      </c>
      <c r="B94" s="113" t="inlineStr">
        <is>
          <t>Touch long press</t>
        </is>
      </c>
      <c r="C94" s="113" t="inlineStr">
        <is>
          <t>Trigger</t>
        </is>
      </c>
      <c r="D94" s="113" t="inlineStr">
        <is>
          <t>stationary single touch opens once at approximately 700 ms and remains open while held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physical iPhone Safari manual test, 2026-07-19</t>
        </is>
      </c>
      <c r="H94" s="116" t="inlineStr">
        <is>
          <t>covered</t>
        </is>
      </c>
      <c r="I94" s="113" t="inlineStr">
        <is>
          <t>manual-tests/tooltip.md Steps 11–12; Mobile Readiness evidence MRE-14-TOOLTIP-001 and MRE-14-TOOLTIP-003</t>
        </is>
      </c>
      <c r="J94" s="113" t="n"/>
      <c r="K94" s="117">
        <f>IF(AND(E94="yes",F94="yes",H94="covered"),1,IF(H94="partial",0.5,0))</f>
        <v/>
      </c>
    </row>
    <row r="95" ht="45" customHeight="1" s="58">
      <c r="A95" s="112" t="n">
        <v>87</v>
      </c>
      <c r="B95" s="113" t="inlineStr">
        <is>
          <t>Touch dismissal</t>
        </is>
      </c>
      <c r="C95" s="113" t="inlineStr">
        <is>
          <t>Root</t>
        </is>
      </c>
      <c r="D95" s="113" t="inlineStr">
        <is>
          <t>plain closes 1500 ms and rich closes 3000 ms after release; rich remains non-interactive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physical iPhone Safari manual test, 2026-07-19</t>
        </is>
      </c>
      <c r="H95" s="116" t="inlineStr">
        <is>
          <t>covered</t>
        </is>
      </c>
      <c r="I95" s="113" t="inlineStr">
        <is>
          <t>manual-tests/tooltip.md Steps 11–12; Mobile Readiness evidence MRE-14-TOOLTIP-001 and MRE-14-TOOLTIP-003</t>
        </is>
      </c>
      <c r="J95" s="113" t="n"/>
      <c r="K95" s="117">
        <f>IF(AND(E95="yes",F95="yes",H95="covered"),1,IF(H95="partial",0.5,0))</f>
        <v/>
      </c>
    </row>
    <row r="96" ht="75" customHeight="1" s="58">
      <c r="A96" s="112" t="n">
        <v>88</v>
      </c>
      <c r="B96" s="113" t="inlineStr">
        <is>
          <t>Touch cancellation</t>
        </is>
      </c>
      <c r="C96" s="113" t="inlineStr">
        <is>
          <t>Trigger</t>
        </is>
      </c>
      <c r="D96" s="113" t="inlineStr">
        <is>
          <t>early release, movement beyond 10 CSS pixels, native scroll, second touch, touchcancel, disabled change, and unmount cancel the pending session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physical iPhone Safari manual test, 2026-07-19</t>
        </is>
      </c>
      <c r="H96" s="116" t="inlineStr">
        <is>
          <t>covered</t>
        </is>
      </c>
      <c r="I96" s="113" t="inlineStr">
        <is>
          <t>manual-tests/tooltip.md Steps 11–12; Mobile Readiness evidence MRE-14-TOOLTIP-001 and MRE-14-TOOLTIP-003</t>
        </is>
      </c>
      <c r="J96" s="113" t="n"/>
      <c r="K96" s="117">
        <f>IF(AND(E96="yes",F96="yes",H96="covered"),1,IF(H96="partial",0.5,0))</f>
        <v/>
      </c>
    </row>
    <row r="97" ht="60" customHeight="1" s="58">
      <c r="A97" s="112" t="n">
        <v>89</v>
      </c>
      <c r="B97" s="113" t="inlineStr">
        <is>
          <t>Touch cancellation</t>
        </is>
      </c>
      <c r="C97" s="113" t="inlineStr">
        <is>
          <t>Trigger</t>
        </is>
      </c>
      <c r="D97" s="113" t="inlineStr">
        <is>
          <t>movement or scroll after opening closes the touch session; repeated gestures remain usable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physical iPhone Safari manual test, 2026-07-19</t>
        </is>
      </c>
      <c r="H97" s="116" t="inlineStr">
        <is>
          <t>covered</t>
        </is>
      </c>
      <c r="I97" s="113" t="inlineStr">
        <is>
          <t>manual-tests/tooltip.md Steps 11–12; Mobile Readiness evidence MRE-14-TOOLTIP-001 and MRE-14-TOOLTIP-003</t>
        </is>
      </c>
      <c r="J97" s="113" t="n"/>
      <c r="K97" s="117">
        <f>IF(AND(E97="yes",F97="yes",H97="covered"),1,IF(H97="partial",0.5,0))</f>
        <v/>
      </c>
    </row>
    <row r="98" ht="60" customHeight="1" s="58">
      <c r="A98" s="112" t="n">
        <v>90</v>
      </c>
      <c r="B98" s="113" t="inlineStr">
        <is>
          <t>Touch native behavior</t>
        </is>
      </c>
      <c r="C98" s="113" t="inlineStr">
        <is>
          <t>Trigger</t>
        </is>
      </c>
      <c r="D98" s="113" t="inlineStr">
        <is>
          <t>selection and context callout are suppressed only during active touch tracking while vertical scrolling remains native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physical iPhone Safari manual test, 2026-07-19</t>
        </is>
      </c>
      <c r="H98" s="116" t="inlineStr">
        <is>
          <t>covered</t>
        </is>
      </c>
      <c r="I98" s="113" t="inlineStr">
        <is>
          <t>manual-tests/tooltip.md Steps 11–12; Mobile Readiness evidence MRE-14-TOOLTIP-001 and MRE-14-TOOLTIP-003</t>
        </is>
      </c>
      <c r="J98" s="113" t="n"/>
      <c r="K98" s="117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15" customHeight="1" s="58"/>
    <row r="109" ht="15" customHeight="1" s="58"/>
    <row r="110" ht="15" customHeight="1" s="58"/>
    <row r="111" ht="15" customHeight="1" s="58"/>
    <row r="112" ht="45" customHeight="1" s="58"/>
    <row r="113" ht="30" customHeight="1" s="58"/>
    <row r="114" ht="45" customHeight="1" s="58"/>
    <row r="11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0"/>
  </sheetPr>
  <dimension ref="A1:K1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manual-tests/tree.md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manual-tests/tree.md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manual-tests/tree.md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manual-tests/tree.md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manual-tests/tree.md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manual-tests/tree.md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</t>
        </is>
      </c>
      <c r="D15" s="113" t="inlineStr">
        <is>
          <t>Implements WAI-ARIA `tree`, `treeitem`, and `group`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manual-tests/tree.md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</t>
        </is>
      </c>
      <c r="D16" s="113" t="inlineStr">
        <is>
          <t>Supports controlled and uncontrolled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manual-tests/tree.md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Tree</t>
        </is>
      </c>
      <c r="D17" s="113" t="inlineStr">
        <is>
          <t>Supports controlled and uncontrolled expansion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manual-tests/tree.md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Tree</t>
        </is>
      </c>
      <c r="D18" s="113" t="inlineStr">
        <is>
          <t>Supports single and multiple selection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manual-tests/tree.md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</t>
        </is>
      </c>
      <c r="D19" s="113" t="inlineStr">
        <is>
          <t>Supports typeahead, roving active item, disabled items, Field context, and form submission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manual-tests/tree.md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</t>
        </is>
      </c>
      <c r="D20" s="113" t="inlineStr">
        <is>
          <t>Supports nested groups with automatic levels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manual-tests/tree.md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manual-tests/tree.md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manual-tests/tree.md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manual-tests/tree.md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manual-tests/tree.md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manual-tests/tree.md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manual-tests/tree.md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manual-tests/tree.md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manual-tests/tree.md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manual-tests/tree.md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manual-tests/tree.md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manual-tests/tree.md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manual-tests/tree.md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multiple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manual-tests/tree.md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manual-tests/tree.md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manual-tests/tree.md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required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manual-tests/tree.md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invalid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manual-tests/tree.md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orientation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manual-tests/tree.md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loop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manual-tests/tree.md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Group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manual-tests/tree.md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Group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manual-tests/tree.md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Group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manual-tests/tree.md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Group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manual-tests/tree.md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Group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manual-tests/tree.md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Group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manual-tests/tree.md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Group</t>
        </is>
      </c>
      <c r="D46" s="113" t="inlineStr">
        <is>
          <t>forceMount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manual-tests/tree.md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manual-tests/tree.md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manual-tests/tree.md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manual-tests/tree.md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manual-tests/tree.md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manual-tests/tree.md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manual-tests/tree.md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manual-tests/tree.md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Item</t>
        </is>
      </c>
      <c r="D54" s="113" t="inlineStr">
        <is>
          <t>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manual-tests/tree.md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Item</t>
        </is>
      </c>
      <c r="D55" s="113" t="inlineStr">
        <is>
          <t>disabled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manual-tests/tree.md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expandable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manual-tests/tree.md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Item</t>
        </is>
      </c>
      <c r="D57" s="113" t="inlineStr">
        <is>
          <t>asChild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manual-tests/tree.md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render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manual-tests/tree.md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manual-tests/tree.md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[data-state]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manual-tests/tree.md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[data-selected]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manual-tests/tree.md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manual-tests/tree.md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manual-tests/tree.md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ItemText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manual-tests/tree.md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ItemText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manual-tests/tree.md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ItemText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manual-tests/tree.md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ItemText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manual-tests/tree.md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ItemText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manual-tests/tree.md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ItemText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manual-tests/tree.md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aria-activedescendant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manual-tests/tree.md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aria-describedby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manual-tests/tree.md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aria-disabled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manual-tests/tree.md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aria-expanded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manual-tests/tree.md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manual-tests/tree.md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manual-tests/tree.md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aria-labelledby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manual-tests/tree.md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aria-level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manual-tests/tree.md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aria-multiselectable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manual-tests/tree.md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manual-tests/tree.md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aria-readonly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manual-tests/tree.md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aria-required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manual-tests/tree.md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aria-selected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manual-tests/tree.md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data-active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manual-tests/tree.md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data-disabled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manual-tests/tree.md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data-expandable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manual-tests/tree.md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data-expanded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manual-tests/tree.md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data-filled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manual-tests/tree.md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data-invalid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manual-tests/tree.md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data-level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manual-tests/tree.md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data-multiple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manual-tests/tree.md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data-readonly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manual-tests/tree.md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data-selected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manual-tests/tree.md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data-slot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manual-tests/tree.md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data-state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manual-tests/tree.md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data-value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manual-tests/tree.md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Tree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manual-tests/tree.md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Tree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manual-tests/tree.md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Tree</t>
        </is>
      </c>
      <c r="D98" s="113" t="inlineStr">
        <is>
          <t>render prop renders custom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manual-tests/tree.md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Tree</t>
        </is>
      </c>
      <c r="D99" s="113" t="inlineStr">
        <is>
          <t>render prop preserves refs and behavior props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manual-tests/tree.md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controlled state path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manual-tests/tree.md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Root</t>
        </is>
      </c>
      <c r="D101" s="113" t="inlineStr">
        <is>
          <t>uncontrolled default state path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manual-tests/tree.md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State</t>
        </is>
      </c>
      <c r="C102" s="113" t="inlineStr">
        <is>
          <t>Root</t>
        </is>
      </c>
      <c r="D102" s="113" t="inlineStr">
        <is>
          <t>state change callback fires once with correct value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manual-tests/tree.md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Tree</t>
        </is>
      </c>
      <c r="D103" s="113" t="inlineStr">
        <is>
          <t>Arrow key navigation follows documented orientation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manual-tests/tree.md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Tree</t>
        </is>
      </c>
      <c r="D104" s="113" t="inlineStr">
        <is>
          <t>Home and End navigation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manual-tests/tree.md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Tree</t>
        </is>
      </c>
      <c r="D105" s="113" t="inlineStr">
        <is>
          <t>disabled items are skipped or exposed according to pattern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manual-tests/tree.md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Tree</t>
        </is>
      </c>
      <c r="D106" s="113" t="inlineStr">
        <is>
          <t>typeahead/search behavior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manual-tests/tree.md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Focus</t>
        </is>
      </c>
      <c r="C107" s="113" t="inlineStr">
        <is>
          <t>Tree</t>
        </is>
      </c>
      <c r="D107" s="113" t="inlineStr">
        <is>
          <t>roving focus or active descendant state is visible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manual-tests/tree.md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Direction</t>
        </is>
      </c>
      <c r="C108" s="113" t="inlineStr">
        <is>
          <t>Root</t>
        </is>
      </c>
      <c r="D108" s="113" t="inlineStr">
        <is>
          <t>reads Direction.Provider context for horizontal tree navigation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9" t="inlineStr">
        <is>
          <t>covered</t>
        </is>
      </c>
      <c r="I108" s="113" t="inlineStr">
        <is>
          <t>manual-tests/tree.md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Direction</t>
        </is>
      </c>
      <c r="C109" s="113" t="inlineStr">
        <is>
          <t>Item</t>
        </is>
      </c>
      <c r="D109" s="113" t="inlineStr">
        <is>
          <t>RTL mirrors ArrowLeft and ArrowRight expand/collapse behavior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manual-tests/tree.md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Playground</t>
        </is>
      </c>
      <c r="C110" s="113" t="inlineStr">
        <is>
          <t>Direction controls</t>
        </is>
      </c>
      <c r="D110" s="113" t="inlineStr">
        <is>
          <t>scenario exposes provider direction controls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9" t="inlineStr">
        <is>
          <t>covered</t>
        </is>
      </c>
      <c r="I110" s="113" t="inlineStr">
        <is>
          <t>manual-tests/tree.md</t>
        </is>
      </c>
      <c r="J110" s="113" t="n"/>
      <c r="K110" s="117">
        <f>IF(AND(E110="yes",F110="yes",H110="covered"),1,IF(H110="partial",0.5,0))</f>
        <v/>
      </c>
    </row>
    <row r="111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0"/>
  </sheetPr>
  <dimension ref="A1:K1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TreeGrid playground; manual-tests/tree-grid.md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TreeGrid playground; manual-tests/tree-grid.md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TreeGrid playground; manual-tests/tree-grid.md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TreeGrid playground; manual-tests/tree-grid.md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TreeGrid playground; manual-tests/tree-grid.md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TreeGrid playground; manual-tests/tree-grid.md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TreeGrid</t>
        </is>
      </c>
      <c r="D15" s="113" t="inlineStr">
        <is>
          <t>Implements `role="treegrid"` with row, row header,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TreeGrid playground; manual-tests/tree-grid.md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TreeGrid</t>
        </is>
      </c>
      <c r="D16" s="113" t="inlineStr">
        <is>
          <t>Supports controlled and uncontrolled expansion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TreeGrid playground; manual-tests/tree-grid.md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TreeGrid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TreeGrid playground; manual-tests/tree-grid.md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TreeGrid</t>
        </is>
      </c>
      <c r="D18" s="113" t="inlineStr">
        <is>
          <t>Supports optional row selection with selectable parent rows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TreeGrid playground; manual-tests/tree-grid.md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TreeGrid</t>
        </is>
      </c>
      <c r="D19" s="113" t="inlineStr">
        <is>
          <t>Hides descendant rows when parent rows are collapsed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TreeGrid playground; manual-tests/tree-grid.md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TreeGrid</t>
        </is>
      </c>
      <c r="D20" s="113" t="inlineStr">
        <is>
          <t>Keeps sorting,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TreeGrid playground; manual-tests/tree-grid.md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TreeGrid playground; manual-tests/tree-grid.md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TreeGrid playground; manual-tests/tree-grid.md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TreeGrid playground; manual-tests/tree-grid.md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TreeGrid playground; manual-tests/tree-grid.md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TreeGrid playground; manual-tests/tree-grid.md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TreeGrid playground; manual-tests/tree-grid.md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TreeGrid playground; manual-tests/tree-grid.md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TreeGrid playground; manual-tests/tree-grid.md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TreeGrid playground; manual-tests/tree-grid.md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TreeGrid playground; manual-tests/tree-grid.md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TreeGrid playground; manual-tests/tree-grid.md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TreeGrid playground; manual-tests/tree-grid.md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activeCell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TreeGrid playground; manual-tests/tree-grid.md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defaultActiveCell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TreeGrid playground; manual-tests/tree-grid.md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selectionMode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TreeGrid playground; manual-tests/tree-grid.md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TreeGrid playground; manual-tests/tree-grid.md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readOnly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TreeGrid playground; manual-tests/tree-grid.md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loop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TreeGrid playground; manual-tests/tree-grid.md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rowCount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TreeGrid playground; manual-tests/tree-grid.md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columnCount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TreeGrid playground; manual-tests/tree-grid.md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Body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TreeGrid playground; manual-tests/tree-grid.md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Body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TreeGrid playground; manual-tests/tree-grid.md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Body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TreeGrid playground; manual-tests/tree-grid.md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Body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TreeGrid playground; manual-tests/tree-grid.md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Body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TreeGrid playground; manual-tests/tree-grid.md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Body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TreeGrid playground; manual-tests/tree-grid.md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Caption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TreeGrid playground; manual-tests/tree-grid.md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Caption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TreeGrid playground; manual-tests/tree-grid.md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Caption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TreeGrid playground; manual-tests/tree-grid.md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Caption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TreeGrid playground; manual-tests/tree-grid.md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Caption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TreeGrid playground; manual-tests/tree-grid.md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Caption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TreeGrid playground; manual-tests/tree-grid.md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Cell</t>
        </is>
      </c>
      <c r="D53" s="113" t="inlineStr">
        <is>
          <t>renders correct part when expected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TreeGrid playground; manual-tests/tree-grid.md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Cell</t>
        </is>
      </c>
      <c r="D54" s="113" t="inlineStr">
        <is>
          <t>appears in documented order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TreeGrid playground; manual-tests/tree-grid.md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Cell</t>
        </is>
      </c>
      <c r="D55" s="113" t="inlineStr">
        <is>
          <t>default tag is visible in Anatomy/Inspector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TreeGrid playground; manual-tests/tree-grid.md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Cell</t>
        </is>
      </c>
      <c r="D56" s="113" t="inlineStr">
        <is>
          <t>data-slot is present and correct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TreeGrid playground; manual-tests/tree-grid.md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Props</t>
        </is>
      </c>
      <c r="C57" s="113" t="inlineStr">
        <is>
          <t>Cell</t>
        </is>
      </c>
      <c r="D57" s="113" t="inlineStr">
        <is>
          <t>non-Atom native props pass through with data-prop-check marker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TreeGrid playground; manual-tests/tree-grid.md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Refs</t>
        </is>
      </c>
      <c r="C58" s="113" t="inlineStr">
        <is>
          <t>Cell</t>
        </is>
      </c>
      <c r="D58" s="113" t="inlineStr">
        <is>
          <t>consumer ref receives the rendered element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TreeGrid playground; manual-tests/tree-grid.md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ColumnHeader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TreeGrid playground; manual-tests/tree-grid.md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ColumnHeader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TreeGrid playground; manual-tests/tree-grid.md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ColumnHeader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TreeGrid playground; manual-tests/tree-grid.md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ColumnHeader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TreeGrid playground; manual-tests/tree-grid.md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ColumnHeader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TreeGrid playground; manual-tests/tree-grid.md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ColumnHeader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TreeGrid playground; manual-tests/tree-grid.md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Footer</t>
        </is>
      </c>
      <c r="D65" s="113" t="inlineStr">
        <is>
          <t>renders correct part when expected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TreeGrid playground; manual-tests/tree-grid.md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Footer</t>
        </is>
      </c>
      <c r="D66" s="113" t="inlineStr">
        <is>
          <t>appears in documented order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TreeGrid playground; manual-tests/tree-grid.md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Footer</t>
        </is>
      </c>
      <c r="D67" s="113" t="inlineStr">
        <is>
          <t>default tag is visible in Anatomy/Inspector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TreeGrid playground; manual-tests/tree-grid.md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Identity</t>
        </is>
      </c>
      <c r="C68" s="113" t="inlineStr">
        <is>
          <t>Footer</t>
        </is>
      </c>
      <c r="D68" s="113" t="inlineStr">
        <is>
          <t>data-slot is present and correct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TreeGrid playground; manual-tests/tree-grid.md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Footer</t>
        </is>
      </c>
      <c r="D69" s="113" t="inlineStr">
        <is>
          <t>non-Atom native props pass through with data-prop-check marker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TreeGrid playground; manual-tests/tree-grid.md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Refs</t>
        </is>
      </c>
      <c r="C70" s="113" t="inlineStr">
        <is>
          <t>Footer</t>
        </is>
      </c>
      <c r="D70" s="113" t="inlineStr">
        <is>
          <t>consumer ref receives the rendered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TreeGrid playground; manual-tests/tree-grid.md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GridBody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TreeGrid playground; manual-tests/tree-grid.md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GridBody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TreeGrid playground; manual-tests/tree-grid.md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GridBody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TreeGrid playground; manual-tests/tree-grid.md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GridBody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TreeGrid playground; manual-tests/tree-grid.md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GridBody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TreeGrid playground; manual-tests/tree-grid.md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GridBody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TreeGrid playground; manual-tests/tree-grid.md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GridCaption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TreeGrid playground; manual-tests/tree-grid.md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GridCaption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TreeGrid playground; manual-tests/tree-grid.md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Identity</t>
        </is>
      </c>
      <c r="C79" s="113" t="inlineStr">
        <is>
          <t>GridCaption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TreeGrid playground; manual-tests/tree-grid.md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GridCaption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TreeGrid playground; manual-tests/tree-grid.md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GridCaption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TreeGrid playground; manual-tests/tree-grid.md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GridCaption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TreeGrid playground; manual-tests/tree-grid.md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GridCell</t>
        </is>
      </c>
      <c r="D83" s="113" t="inlineStr">
        <is>
          <t>renders correct part when expected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TreeGrid playground; manual-tests/tree-grid.md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GridCell</t>
        </is>
      </c>
      <c r="D84" s="113" t="inlineStr">
        <is>
          <t>appears in documented order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TreeGrid playground; manual-tests/tree-grid.md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Identity</t>
        </is>
      </c>
      <c r="C85" s="113" t="inlineStr">
        <is>
          <t>GridCell</t>
        </is>
      </c>
      <c r="D85" s="113" t="inlineStr">
        <is>
          <t>default tag is visible in Anatomy/Inspector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TreeGrid playground; manual-tests/tree-grid.md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GridCell</t>
        </is>
      </c>
      <c r="D86" s="113" t="inlineStr">
        <is>
          <t>data-slot is present and correct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TreeGrid playground; manual-tests/tree-grid.md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Props</t>
        </is>
      </c>
      <c r="C87" s="113" t="inlineStr">
        <is>
          <t>GridCell</t>
        </is>
      </c>
      <c r="D87" s="113" t="inlineStr">
        <is>
          <t>non-Atom native props pass through with data-prop-check marker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TreeGrid playground; manual-tests/tree-grid.md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Refs</t>
        </is>
      </c>
      <c r="C88" s="113" t="inlineStr">
        <is>
          <t>GridCell</t>
        </is>
      </c>
      <c r="D88" s="113" t="inlineStr">
        <is>
          <t>consumer ref receives the rendered element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TreeGrid playground; manual-tests/tree-grid.md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GridColumnHeader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TreeGrid playground; manual-tests/tree-grid.md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GridColumnHeader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TreeGrid playground; manual-tests/tree-grid.md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Identity</t>
        </is>
      </c>
      <c r="C91" s="113" t="inlineStr">
        <is>
          <t>GridColumnHeader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TreeGrid playground; manual-tests/tree-grid.md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GridColumnHeader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TreeGrid playground; manual-tests/tree-grid.md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GridColumnHeader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TreeGrid playground; manual-tests/tree-grid.md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GridColumnHeader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TreeGrid playground; manual-tests/tree-grid.md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GridFooter</t>
        </is>
      </c>
      <c r="D95" s="113" t="inlineStr">
        <is>
          <t>renders correct part when expected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TreeGrid playground; manual-tests/tree-grid.md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Anatomy</t>
        </is>
      </c>
      <c r="C96" s="113" t="inlineStr">
        <is>
          <t>GridFooter</t>
        </is>
      </c>
      <c r="D96" s="113" t="inlineStr">
        <is>
          <t>appears in documented order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TreeGrid playground; manual-tests/tree-grid.md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Identity</t>
        </is>
      </c>
      <c r="C97" s="113" t="inlineStr">
        <is>
          <t>GridFooter</t>
        </is>
      </c>
      <c r="D97" s="113" t="inlineStr">
        <is>
          <t>default tag is visible in Anatomy/Inspector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TreeGrid playground; manual-tests/tree-grid.md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Identity</t>
        </is>
      </c>
      <c r="C98" s="113" t="inlineStr">
        <is>
          <t>GridFooter</t>
        </is>
      </c>
      <c r="D98" s="113" t="inlineStr">
        <is>
          <t>data-slot is present and correct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TreeGrid playground; manual-tests/tree-grid.md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Props</t>
        </is>
      </c>
      <c r="C99" s="113" t="inlineStr">
        <is>
          <t>GridFooter</t>
        </is>
      </c>
      <c r="D99" s="113" t="inlineStr">
        <is>
          <t>non-Atom native props pass through with data-prop-check marker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TreeGrid playground; manual-tests/tree-grid.md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Refs</t>
        </is>
      </c>
      <c r="C100" s="113" t="inlineStr">
        <is>
          <t>GridFooter</t>
        </is>
      </c>
      <c r="D100" s="113" t="inlineStr">
        <is>
          <t>consumer ref receives the rendered element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TreeGrid playground; manual-tests/tree-grid.md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GridHeader</t>
        </is>
      </c>
      <c r="D101" s="113" t="inlineStr">
        <is>
          <t>renders correct part when expected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TreeGrid playground; manual-tests/tree-grid.md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Anatomy</t>
        </is>
      </c>
      <c r="C102" s="113" t="inlineStr">
        <is>
          <t>GridHeader</t>
        </is>
      </c>
      <c r="D102" s="113" t="inlineStr">
        <is>
          <t>appears in documented order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TreeGrid playground; manual-tests/tree-grid.md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Identity</t>
        </is>
      </c>
      <c r="C103" s="113" t="inlineStr">
        <is>
          <t>GridHeader</t>
        </is>
      </c>
      <c r="D103" s="113" t="inlineStr">
        <is>
          <t>default tag is visible in Anatomy/Inspector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TreeGrid playground; manual-tests/tree-grid.md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Identity</t>
        </is>
      </c>
      <c r="C104" s="113" t="inlineStr">
        <is>
          <t>GridHeader</t>
        </is>
      </c>
      <c r="D104" s="113" t="inlineStr">
        <is>
          <t>data-slot is present and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TreeGrid playground; manual-tests/tree-grid.md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GridHeader</t>
        </is>
      </c>
      <c r="D105" s="113" t="inlineStr">
        <is>
          <t>non-Atom native props pass through with data-prop-check marker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TreeGrid playground; manual-tests/tree-grid.md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Refs</t>
        </is>
      </c>
      <c r="C106" s="113" t="inlineStr">
        <is>
          <t>GridHeader</t>
        </is>
      </c>
      <c r="D106" s="113" t="inlineStr">
        <is>
          <t>consumer ref receives the rendered element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TreeGrid playground; manual-tests/tree-grid.md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Anatomy</t>
        </is>
      </c>
      <c r="C107" s="113" t="inlineStr">
        <is>
          <t>GridRow</t>
        </is>
      </c>
      <c r="D107" s="113" t="inlineStr">
        <is>
          <t>renders correct part when expected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TreeGrid playground; manual-tests/tree-grid.md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Anatomy</t>
        </is>
      </c>
      <c r="C108" s="113" t="inlineStr">
        <is>
          <t>GridRow</t>
        </is>
      </c>
      <c r="D108" s="113" t="inlineStr">
        <is>
          <t>appears in documented order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TreeGrid playground; manual-tests/tree-grid.md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Identity</t>
        </is>
      </c>
      <c r="C109" s="113" t="inlineStr">
        <is>
          <t>GridRow</t>
        </is>
      </c>
      <c r="D109" s="113" t="inlineStr">
        <is>
          <t>default tag is visible in Anatomy/Inspector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TreeGrid playground; manual-tests/tree-grid.md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Identity</t>
        </is>
      </c>
      <c r="C110" s="113" t="inlineStr">
        <is>
          <t>GridRow</t>
        </is>
      </c>
      <c r="D110" s="113" t="inlineStr">
        <is>
          <t>data-slot is present and correct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TreeGrid playground; manual-tests/tree-grid.md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Props</t>
        </is>
      </c>
      <c r="C111" s="113" t="inlineStr">
        <is>
          <t>GridRow</t>
        </is>
      </c>
      <c r="D111" s="113" t="inlineStr">
        <is>
          <t>non-Atom native props pass through with data-prop-check marker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TreeGrid playground; manual-tests/tree-grid.md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Refs</t>
        </is>
      </c>
      <c r="C112" s="113" t="inlineStr">
        <is>
          <t>GridRow</t>
        </is>
      </c>
      <c r="D112" s="113" t="inlineStr">
        <is>
          <t>consumer ref receives the rendered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TreeGrid playground; manual-tests/tree-grid.md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Anatomy</t>
        </is>
      </c>
      <c r="C113" s="113" t="inlineStr">
        <is>
          <t>GridRowHeader</t>
        </is>
      </c>
      <c r="D113" s="113" t="inlineStr">
        <is>
          <t>renders correct part when expected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TreeGrid playground; manual-tests/tree-grid.md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Anatomy</t>
        </is>
      </c>
      <c r="C114" s="113" t="inlineStr">
        <is>
          <t>GridRowHeader</t>
        </is>
      </c>
      <c r="D114" s="113" t="inlineStr">
        <is>
          <t>appears in documented order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TreeGrid playground; manual-tests/tree-grid.md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Identity</t>
        </is>
      </c>
      <c r="C115" s="113" t="inlineStr">
        <is>
          <t>GridRowHeader</t>
        </is>
      </c>
      <c r="D115" s="113" t="inlineStr">
        <is>
          <t>default tag is visible in Anatomy/Inspector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TreeGrid playground; manual-tests/tree-grid.md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Identity</t>
        </is>
      </c>
      <c r="C116" s="113" t="inlineStr">
        <is>
          <t>GridRowHeader</t>
        </is>
      </c>
      <c r="D116" s="113" t="inlineStr">
        <is>
          <t>data-slot is present and correct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TreeGrid playground; manual-tests/tree-grid.md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Props</t>
        </is>
      </c>
      <c r="C117" s="113" t="inlineStr">
        <is>
          <t>GridRowHeader</t>
        </is>
      </c>
      <c r="D117" s="113" t="inlineStr">
        <is>
          <t>non-Atom native props pass through with data-prop-check marker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TreeGrid playground; manual-tests/tree-grid.md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Refs</t>
        </is>
      </c>
      <c r="C118" s="113" t="inlineStr">
        <is>
          <t>GridRowHeader</t>
        </is>
      </c>
      <c r="D118" s="113" t="inlineStr">
        <is>
          <t>consumer ref receives the rendered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TreeGrid playground; manual-tests/tree-grid.md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Header</t>
        </is>
      </c>
      <c r="D119" s="113" t="inlineStr">
        <is>
          <t>renders correct part when expected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TreeGrid playground; manual-tests/tree-grid.md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Anatomy</t>
        </is>
      </c>
      <c r="C120" s="113" t="inlineStr">
        <is>
          <t>Header</t>
        </is>
      </c>
      <c r="D120" s="113" t="inlineStr">
        <is>
          <t>appears in documented order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TreeGrid playground; manual-tests/tree-grid.md</t>
        </is>
      </c>
      <c r="J120" s="113" t="n"/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Identity</t>
        </is>
      </c>
      <c r="C121" s="113" t="inlineStr">
        <is>
          <t>Header</t>
        </is>
      </c>
      <c r="D121" s="113" t="inlineStr">
        <is>
          <t>default tag is visible in Anatomy/Inspector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TreeGrid playground; manual-tests/tree-grid.md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Identity</t>
        </is>
      </c>
      <c r="C122" s="113" t="inlineStr">
        <is>
          <t>Header</t>
        </is>
      </c>
      <c r="D122" s="113" t="inlineStr">
        <is>
          <t>data-slot is present and correct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TreeGrid playground; manual-tests/tree-grid.md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Props</t>
        </is>
      </c>
      <c r="C123" s="113" t="inlineStr">
        <is>
          <t>Header</t>
        </is>
      </c>
      <c r="D123" s="113" t="inlineStr">
        <is>
          <t>non-Atom native props pass through with data-prop-check marker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TreeGrid playground; manual-tests/tree-grid.md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Refs</t>
        </is>
      </c>
      <c r="C124" s="113" t="inlineStr">
        <is>
          <t>Header</t>
        </is>
      </c>
      <c r="D124" s="113" t="inlineStr">
        <is>
          <t>consumer ref receives the rendered element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TreeGrid playground; manual-tests/tree-grid.md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Anatomy</t>
        </is>
      </c>
      <c r="C125" s="113" t="inlineStr">
        <is>
          <t>Row</t>
        </is>
      </c>
      <c r="D125" s="113" t="inlineStr">
        <is>
          <t>renders correct part when expected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TreeGrid playground; manual-tests/tree-grid.md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Anatomy</t>
        </is>
      </c>
      <c r="C126" s="113" t="inlineStr">
        <is>
          <t>Row</t>
        </is>
      </c>
      <c r="D126" s="113" t="inlineStr">
        <is>
          <t>appears in documented order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TreeGrid playground; manual-tests/tree-grid.md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Identity</t>
        </is>
      </c>
      <c r="C127" s="113" t="inlineStr">
        <is>
          <t>Row</t>
        </is>
      </c>
      <c r="D127" s="113" t="inlineStr">
        <is>
          <t>default tag is visible in Anatomy/Inspector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TreeGrid playground; manual-tests/tree-grid.md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Identity</t>
        </is>
      </c>
      <c r="C128" s="113" t="inlineStr">
        <is>
          <t>Row</t>
        </is>
      </c>
      <c r="D128" s="113" t="inlineStr">
        <is>
          <t>data-slot is present and correct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TreeGrid playground; manual-tests/tree-grid.md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Props</t>
        </is>
      </c>
      <c r="C129" s="113" t="inlineStr">
        <is>
          <t>Row</t>
        </is>
      </c>
      <c r="D129" s="113" t="inlineStr">
        <is>
          <t>non-Atom native props pass through with data-prop-check marker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TreeGrid playground; manual-tests/tree-grid.md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Refs</t>
        </is>
      </c>
      <c r="C130" s="113" t="inlineStr">
        <is>
          <t>Row</t>
        </is>
      </c>
      <c r="D130" s="113" t="inlineStr">
        <is>
          <t>consumer ref receives the rendered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TreeGrid playground; manual-tests/tree-grid.md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Row</t>
        </is>
      </c>
      <c r="D131" s="113" t="inlineStr">
        <is>
          <t>rowIndex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TreeGrid playground; manual-tests/tree-grid.md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Public API</t>
        </is>
      </c>
      <c r="C132" s="113" t="inlineStr">
        <is>
          <t>Row</t>
        </is>
      </c>
      <c r="D132" s="113" t="inlineStr">
        <is>
          <t>index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TreeGrid playground; manual-tests/tree-grid.md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Row</t>
        </is>
      </c>
      <c r="D133" s="113" t="inlineStr">
        <is>
          <t>value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TreeGrid playground; manual-tests/tree-grid.md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Public API</t>
        </is>
      </c>
      <c r="C134" s="113" t="inlineStr">
        <is>
          <t>Row</t>
        </is>
      </c>
      <c r="D134" s="113" t="inlineStr">
        <is>
          <t>parentValue prop behavior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TreeGrid playground; manual-tests/tree-grid.md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Public API</t>
        </is>
      </c>
      <c r="C135" s="113" t="inlineStr">
        <is>
          <t>Row</t>
        </is>
      </c>
      <c r="D135" s="113" t="inlineStr">
        <is>
          <t>level prop behavior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TreeGrid playground; manual-tests/tree-grid.md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Public API</t>
        </is>
      </c>
      <c r="C136" s="113" t="inlineStr">
        <is>
          <t>Row</t>
        </is>
      </c>
      <c r="D136" s="113" t="inlineStr">
        <is>
          <t>expandable prop behavior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TreeGrid playground; manual-tests/tree-grid.md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Row</t>
        </is>
      </c>
      <c r="D137" s="113" t="inlineStr">
        <is>
          <t>selectable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TreeGrid playground; manual-tests/tree-grid.md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State</t>
        </is>
      </c>
      <c r="C138" s="113" t="inlineStr">
        <is>
          <t>Row</t>
        </is>
      </c>
      <c r="D138" s="113" t="inlineStr">
        <is>
          <t>disabled prop behavior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TreeGrid playground; manual-tests/tree-grid.md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Anatomy</t>
        </is>
      </c>
      <c r="C139" s="113" t="inlineStr">
        <is>
          <t>RowHeader</t>
        </is>
      </c>
      <c r="D139" s="113" t="inlineStr">
        <is>
          <t>renders correct part when expected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TreeGrid playground; manual-tests/tree-grid.md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Anatomy</t>
        </is>
      </c>
      <c r="C140" s="113" t="inlineStr">
        <is>
          <t>RowHeader</t>
        </is>
      </c>
      <c r="D140" s="113" t="inlineStr">
        <is>
          <t>appears in documented order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TreeGrid playground; manual-tests/tree-grid.md</t>
        </is>
      </c>
      <c r="J140" s="113" t="n"/>
      <c r="K140" s="117">
        <f>IF(AND(E140="yes",F140="yes",H140="covered"),1,IF(H140="partial",0.5,0))</f>
        <v/>
      </c>
    </row>
    <row r="141" ht="30" customHeight="1" s="58">
      <c r="A141" s="112" t="n">
        <v>133</v>
      </c>
      <c r="B141" s="113" t="inlineStr">
        <is>
          <t>Identity</t>
        </is>
      </c>
      <c r="C141" s="113" t="inlineStr">
        <is>
          <t>RowHeader</t>
        </is>
      </c>
      <c r="D141" s="113" t="inlineStr">
        <is>
          <t>default tag is visible in Anatomy/Inspector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TreeGrid playground; manual-tests/tree-grid.md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Identity</t>
        </is>
      </c>
      <c r="C142" s="113" t="inlineStr">
        <is>
          <t>RowHeader</t>
        </is>
      </c>
      <c r="D142" s="113" t="inlineStr">
        <is>
          <t>data-slot is present and correct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TreeGrid playground; manual-tests/tree-grid.md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Props</t>
        </is>
      </c>
      <c r="C143" s="113" t="inlineStr">
        <is>
          <t>RowHeader</t>
        </is>
      </c>
      <c r="D143" s="113" t="inlineStr">
        <is>
          <t>non-Atom native props pass through with data-prop-check marker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manual test</t>
        </is>
      </c>
      <c r="H143" s="116" t="inlineStr">
        <is>
          <t>covered</t>
        </is>
      </c>
      <c r="I143" s="113" t="inlineStr">
        <is>
          <t>TreeGrid playground; manual-tests/tree-grid.md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Refs</t>
        </is>
      </c>
      <c r="C144" s="113" t="inlineStr">
        <is>
          <t>RowHeader</t>
        </is>
      </c>
      <c r="D144" s="113" t="inlineStr">
        <is>
          <t>consumer ref receives the rendered element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manual test</t>
        </is>
      </c>
      <c r="H144" s="116" t="inlineStr">
        <is>
          <t>covered</t>
        </is>
      </c>
      <c r="I144" s="113" t="inlineStr">
        <is>
          <t>TreeGrid playground; manual-tests/tree-grid.md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aria-activedescendant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manual test</t>
        </is>
      </c>
      <c r="H145" s="116" t="inlineStr">
        <is>
          <t>covered</t>
        </is>
      </c>
      <c r="I145" s="113" t="inlineStr">
        <is>
          <t>TreeGrid playground; manual-tests/tree-grid.md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aria-colcount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manual test</t>
        </is>
      </c>
      <c r="H146" s="116" t="inlineStr">
        <is>
          <t>covered</t>
        </is>
      </c>
      <c r="I146" s="113" t="inlineStr">
        <is>
          <t>TreeGrid playground; manual-tests/tree-grid.md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aria-colindex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manual test</t>
        </is>
      </c>
      <c r="H147" s="116" t="inlineStr">
        <is>
          <t>covered</t>
        </is>
      </c>
      <c r="I147" s="113" t="inlineStr">
        <is>
          <t>TreeGrid playground; manual-tests/tree-grid.md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aria-disabled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manual test</t>
        </is>
      </c>
      <c r="H148" s="116" t="inlineStr">
        <is>
          <t>covered</t>
        </is>
      </c>
      <c r="I148" s="113" t="inlineStr">
        <is>
          <t>TreeGrid playground; manual-tests/tree-grid.md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aria-expanded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manual test</t>
        </is>
      </c>
      <c r="H149" s="116" t="inlineStr">
        <is>
          <t>covered</t>
        </is>
      </c>
      <c r="I149" s="113" t="inlineStr">
        <is>
          <t>TreeGrid playground; manual-tests/tree-grid.md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aria-hidden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manual test</t>
        </is>
      </c>
      <c r="H150" s="116" t="inlineStr">
        <is>
          <t>covered</t>
        </is>
      </c>
      <c r="I150" s="113" t="inlineStr">
        <is>
          <t>TreeGrid playground; manual-tests/tree-grid.md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aria-level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manual test</t>
        </is>
      </c>
      <c r="H151" s="116" t="inlineStr">
        <is>
          <t>covered</t>
        </is>
      </c>
      <c r="I151" s="113" t="inlineStr">
        <is>
          <t>TreeGrid playground; manual-tests/tree-grid.md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ARIA</t>
        </is>
      </c>
      <c r="C152" s="113" t="inlineStr">
        <is>
          <t>Live DOM</t>
        </is>
      </c>
      <c r="D152" s="113" t="inlineStr">
        <is>
          <t>aria-multiselectable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manual test</t>
        </is>
      </c>
      <c r="H152" s="116" t="inlineStr">
        <is>
          <t>covered</t>
        </is>
      </c>
      <c r="I152" s="113" t="inlineStr">
        <is>
          <t>TreeGrid playground; manual-tests/tree-grid.md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ARIA</t>
        </is>
      </c>
      <c r="C153" s="113" t="inlineStr">
        <is>
          <t>Live DOM</t>
        </is>
      </c>
      <c r="D153" s="113" t="inlineStr">
        <is>
          <t>aria-readonly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manual test</t>
        </is>
      </c>
      <c r="H153" s="116" t="inlineStr">
        <is>
          <t>covered</t>
        </is>
      </c>
      <c r="I153" s="113" t="inlineStr">
        <is>
          <t>TreeGrid playground; manual-tests/tree-grid.md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ARIA</t>
        </is>
      </c>
      <c r="C154" s="113" t="inlineStr">
        <is>
          <t>Live DOM</t>
        </is>
      </c>
      <c r="D154" s="113" t="inlineStr">
        <is>
          <t>aria-rowcount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 manual test</t>
        </is>
      </c>
      <c r="H154" s="116" t="inlineStr">
        <is>
          <t>covered</t>
        </is>
      </c>
      <c r="I154" s="113" t="inlineStr">
        <is>
          <t>TreeGrid playground; manual-tests/tree-grid.md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ARIA</t>
        </is>
      </c>
      <c r="C155" s="113" t="inlineStr">
        <is>
          <t>Live DOM</t>
        </is>
      </c>
      <c r="D155" s="113" t="inlineStr">
        <is>
          <t>aria-rowindex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 manual test</t>
        </is>
      </c>
      <c r="H155" s="116" t="inlineStr">
        <is>
          <t>covered</t>
        </is>
      </c>
      <c r="I155" s="113" t="inlineStr">
        <is>
          <t>TreeGrid playground; manual-tests/tree-grid.md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ARIA</t>
        </is>
      </c>
      <c r="C156" s="113" t="inlineStr">
        <is>
          <t>Live DOM</t>
        </is>
      </c>
      <c r="D156" s="113" t="inlineStr">
        <is>
          <t>aria-selected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 manual test</t>
        </is>
      </c>
      <c r="H156" s="116" t="inlineStr">
        <is>
          <t>covered</t>
        </is>
      </c>
      <c r="I156" s="113" t="inlineStr">
        <is>
          <t>TreeGrid playground; manual-tests/tree-grid.md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ARIA</t>
        </is>
      </c>
      <c r="C157" s="113" t="inlineStr">
        <is>
          <t>Live DOM</t>
        </is>
      </c>
      <c r="D157" s="113" t="inlineStr">
        <is>
          <t>aria-sort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 manual test</t>
        </is>
      </c>
      <c r="H157" s="116" t="inlineStr">
        <is>
          <t>covered</t>
        </is>
      </c>
      <c r="I157" s="113" t="inlineStr">
        <is>
          <t>TreeGrid playground; manual-tests/tree-grid.md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data-active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 manual test</t>
        </is>
      </c>
      <c r="H158" s="116" t="inlineStr">
        <is>
          <t>covered</t>
        </is>
      </c>
      <c r="I158" s="113" t="inlineStr">
        <is>
          <t>TreeGrid playground; manual-tests/tree-grid.md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data-column-count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 manual test</t>
        </is>
      </c>
      <c r="H159" s="116" t="inlineStr">
        <is>
          <t>covered</t>
        </is>
      </c>
      <c r="I159" s="113" t="inlineStr">
        <is>
          <t>TreeGrid playground; manual-tests/tree-grid.md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data-column-index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 manual test</t>
        </is>
      </c>
      <c r="H160" s="116" t="inlineStr">
        <is>
          <t>covered</t>
        </is>
      </c>
      <c r="I160" s="113" t="inlineStr">
        <is>
          <t>TreeGrid playground; manual-tests/tree-grid.md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data-disabled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 manual test</t>
        </is>
      </c>
      <c r="H161" s="116" t="inlineStr">
        <is>
          <t>covered</t>
        </is>
      </c>
      <c r="I161" s="113" t="inlineStr">
        <is>
          <t>TreeGrid playground; manual-tests/tree-grid.md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data-expandable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 manual test</t>
        </is>
      </c>
      <c r="H162" s="116" t="inlineStr">
        <is>
          <t>covered</t>
        </is>
      </c>
      <c r="I162" s="113" t="inlineStr">
        <is>
          <t>TreeGrid playground; manual-tests/tree-grid.md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data-expanded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 manual test</t>
        </is>
      </c>
      <c r="H163" s="116" t="inlineStr">
        <is>
          <t>covered</t>
        </is>
      </c>
      <c r="I163" s="113" t="inlineStr">
        <is>
          <t>TreeGrid playground; manual-tests/tree-grid.md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Data</t>
        </is>
      </c>
      <c r="C164" s="113" t="inlineStr">
        <is>
          <t>Live DOM</t>
        </is>
      </c>
      <c r="D164" s="113" t="inlineStr">
        <is>
          <t>data-focused is present at the correct time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 manual test</t>
        </is>
      </c>
      <c r="H164" s="116" t="inlineStr">
        <is>
          <t>covered</t>
        </is>
      </c>
      <c r="I164" s="113" t="inlineStr">
        <is>
          <t>TreeGrid playground; manual-tests/tree-grid.md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Data</t>
        </is>
      </c>
      <c r="C165" s="113" t="inlineStr">
        <is>
          <t>Live DOM</t>
        </is>
      </c>
      <c r="D165" s="113" t="inlineStr">
        <is>
          <t>data-hidden is present at the correct time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 manual test</t>
        </is>
      </c>
      <c r="H165" s="116" t="inlineStr">
        <is>
          <t>covered</t>
        </is>
      </c>
      <c r="I165" s="113" t="inlineStr">
        <is>
          <t>TreeGrid playground; manual-tests/tree-grid.md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Data</t>
        </is>
      </c>
      <c r="C166" s="113" t="inlineStr">
        <is>
          <t>Live DOM</t>
        </is>
      </c>
      <c r="D166" s="113" t="inlineStr">
        <is>
          <t>data-level is present at the correct time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 manual test</t>
        </is>
      </c>
      <c r="H166" s="116" t="inlineStr">
        <is>
          <t>covered</t>
        </is>
      </c>
      <c r="I166" s="113" t="inlineStr">
        <is>
          <t>TreeGrid playground; manual-tests/tree-grid.md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Data</t>
        </is>
      </c>
      <c r="C167" s="113" t="inlineStr">
        <is>
          <t>Live DOM</t>
        </is>
      </c>
      <c r="D167" s="113" t="inlineStr">
        <is>
          <t>data-parent-value is present at the correct time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 manual test</t>
        </is>
      </c>
      <c r="H167" s="116" t="inlineStr">
        <is>
          <t>covered</t>
        </is>
      </c>
      <c r="I167" s="113" t="inlineStr">
        <is>
          <t>TreeGrid playground; manual-tests/tree-grid.md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Data</t>
        </is>
      </c>
      <c r="C168" s="113" t="inlineStr">
        <is>
          <t>Live DOM</t>
        </is>
      </c>
      <c r="D168" s="113" t="inlineStr">
        <is>
          <t>data-readonly is present at the correct time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 manual test</t>
        </is>
      </c>
      <c r="H168" s="116" t="inlineStr">
        <is>
          <t>covered</t>
        </is>
      </c>
      <c r="I168" s="113" t="inlineStr">
        <is>
          <t>TreeGrid playground; manual-tests/tree-grid.md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Data</t>
        </is>
      </c>
      <c r="C169" s="113" t="inlineStr">
        <is>
          <t>Live DOM</t>
        </is>
      </c>
      <c r="D169" s="113" t="inlineStr">
        <is>
          <t>data-row-count is present at the correct time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 manual test</t>
        </is>
      </c>
      <c r="H169" s="116" t="inlineStr">
        <is>
          <t>covered</t>
        </is>
      </c>
      <c r="I169" s="113" t="inlineStr">
        <is>
          <t>TreeGrid playground; manual-tests/tree-grid.md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Data</t>
        </is>
      </c>
      <c r="C170" s="113" t="inlineStr">
        <is>
          <t>Live DOM</t>
        </is>
      </c>
      <c r="D170" s="113" t="inlineStr">
        <is>
          <t>data-row-index is present at the correct time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 manual test</t>
        </is>
      </c>
      <c r="H170" s="116" t="inlineStr">
        <is>
          <t>covered</t>
        </is>
      </c>
      <c r="I170" s="113" t="inlineStr">
        <is>
          <t>TreeGrid playground; manual-tests/tree-grid.md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Data</t>
        </is>
      </c>
      <c r="C171" s="113" t="inlineStr">
        <is>
          <t>Live DOM</t>
        </is>
      </c>
      <c r="D171" s="113" t="inlineStr">
        <is>
          <t>data-selectable is present at the correct time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 manual test</t>
        </is>
      </c>
      <c r="H171" s="116" t="inlineStr">
        <is>
          <t>covered</t>
        </is>
      </c>
      <c r="I171" s="113" t="inlineStr">
        <is>
          <t>TreeGrid playground; manual-tests/tree-grid.md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Data</t>
        </is>
      </c>
      <c r="C172" s="113" t="inlineStr">
        <is>
          <t>Live DOM</t>
        </is>
      </c>
      <c r="D172" s="113" t="inlineStr">
        <is>
          <t>data-selected is present at the correct time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 manual test</t>
        </is>
      </c>
      <c r="H172" s="116" t="inlineStr">
        <is>
          <t>covered</t>
        </is>
      </c>
      <c r="I172" s="113" t="inlineStr">
        <is>
          <t>TreeGrid playground; manual-tests/tree-grid.md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Data</t>
        </is>
      </c>
      <c r="C173" s="113" t="inlineStr">
        <is>
          <t>Live DOM</t>
        </is>
      </c>
      <c r="D173" s="113" t="inlineStr">
        <is>
          <t>data-selection-disabled is present at the correct time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 manual test</t>
        </is>
      </c>
      <c r="H173" s="116" t="inlineStr">
        <is>
          <t>covered</t>
        </is>
      </c>
      <c r="I173" s="113" t="inlineStr">
        <is>
          <t>TreeGrid playground; manual-tests/tree-grid.md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Data</t>
        </is>
      </c>
      <c r="C174" s="113" t="inlineStr">
        <is>
          <t>Live DOM</t>
        </is>
      </c>
      <c r="D174" s="113" t="inlineStr">
        <is>
          <t>data-selection-mode is present at the correct time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 manual test</t>
        </is>
      </c>
      <c r="H174" s="116" t="inlineStr">
        <is>
          <t>covered</t>
        </is>
      </c>
      <c r="I174" s="113" t="inlineStr">
        <is>
          <t>TreeGrid playground; manual-tests/tree-grid.md</t>
        </is>
      </c>
      <c r="J174" s="113" t="n"/>
      <c r="K174" s="117">
        <f>IF(AND(E174="yes",F174="yes",H174="covered"),1,IF(H174="partial",0.5,0))</f>
        <v/>
      </c>
    </row>
    <row r="175" ht="15" customHeight="1" s="58">
      <c r="A175" s="112" t="n">
        <v>167</v>
      </c>
      <c r="B175" s="113" t="inlineStr">
        <is>
          <t>Data</t>
        </is>
      </c>
      <c r="C175" s="113" t="inlineStr">
        <is>
          <t>Live DOM</t>
        </is>
      </c>
      <c r="D175" s="113" t="inlineStr">
        <is>
          <t>data-slot is present at the correct time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 manual test</t>
        </is>
      </c>
      <c r="H175" s="116" t="inlineStr">
        <is>
          <t>covered</t>
        </is>
      </c>
      <c r="I175" s="113" t="inlineStr">
        <is>
          <t>TreeGrid playground; manual-tests/tree-grid.md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Data</t>
        </is>
      </c>
      <c r="C176" s="113" t="inlineStr">
        <is>
          <t>Live DOM</t>
        </is>
      </c>
      <c r="D176" s="113" t="inlineStr">
        <is>
          <t>data-sort is present at the correct time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 manual test</t>
        </is>
      </c>
      <c r="H176" s="116" t="inlineStr">
        <is>
          <t>covered</t>
        </is>
      </c>
      <c r="I176" s="113" t="inlineStr">
        <is>
          <t>TreeGrid playground; manual-tests/tree-grid.md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Data</t>
        </is>
      </c>
      <c r="C177" s="113" t="inlineStr">
        <is>
          <t>Live DOM</t>
        </is>
      </c>
      <c r="D177" s="113" t="inlineStr">
        <is>
          <t>data-value is present at the correct time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 manual test</t>
        </is>
      </c>
      <c r="H177" s="116" t="inlineStr">
        <is>
          <t>covered</t>
        </is>
      </c>
      <c r="I177" s="113" t="inlineStr">
        <is>
          <t>TreeGrid playground; manual-tests/tree-grid.md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Composition</t>
        </is>
      </c>
      <c r="C178" s="113" t="inlineStr">
        <is>
          <t>All DOM parts</t>
        </is>
      </c>
      <c r="D178" s="113" t="inlineStr">
        <is>
          <t>asChild preserves child content without double nesting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 manual test</t>
        </is>
      </c>
      <c r="H178" s="116" t="inlineStr">
        <is>
          <t>covered</t>
        </is>
      </c>
      <c r="I178" s="113" t="inlineStr">
        <is>
          <t>TreeGrid playground; manual-tests/tree-grid.md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Composition</t>
        </is>
      </c>
      <c r="C179" s="113" t="inlineStr">
        <is>
          <t>All DOM parts</t>
        </is>
      </c>
      <c r="D179" s="113" t="inlineStr">
        <is>
          <t>asChild merges Atom props and consumer props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 manual test</t>
        </is>
      </c>
      <c r="H179" s="116" t="inlineStr">
        <is>
          <t>covered</t>
        </is>
      </c>
      <c r="I179" s="113" t="inlineStr">
        <is>
          <t>TreeGrid playground; manual-tests/tree-grid.md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Composition</t>
        </is>
      </c>
      <c r="C180" s="113" t="inlineStr">
        <is>
          <t>All DOM parts</t>
        </is>
      </c>
      <c r="D180" s="113" t="inlineStr">
        <is>
          <t>asChild preserves semantic roles and Atom behavior per public DOM part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 manual test</t>
        </is>
      </c>
      <c r="H180" s="116" t="inlineStr">
        <is>
          <t>covered</t>
        </is>
      </c>
      <c r="I180" s="113" t="inlineStr">
        <is>
          <t>TreeGrid playground; manual-tests/tree-grid.md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Composition</t>
        </is>
      </c>
      <c r="C181" s="113" t="inlineStr">
        <is>
          <t>All DOM parts</t>
        </is>
      </c>
      <c r="D181" s="113" t="inlineStr">
        <is>
          <t>render prop renders custom element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 manual test</t>
        </is>
      </c>
      <c r="H181" s="116" t="inlineStr">
        <is>
          <t>covered</t>
        </is>
      </c>
      <c r="I181" s="113" t="inlineStr">
        <is>
          <t>TreeGrid playground; manual-tests/tree-grid.md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Composition</t>
        </is>
      </c>
      <c r="C182" s="113" t="inlineStr">
        <is>
          <t>All DOM parts</t>
        </is>
      </c>
      <c r="D182" s="113" t="inlineStr">
        <is>
          <t>render prop preserves refs, semantic roles, and behavior props per public DOM part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manual test</t>
        </is>
      </c>
      <c r="H182" s="116" t="inlineStr">
        <is>
          <t>covered</t>
        </is>
      </c>
      <c r="I182" s="113" t="inlineStr">
        <is>
          <t>TreeGrid playground; manual-tests/tree-grid.md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State</t>
        </is>
      </c>
      <c r="C183" s="113" t="inlineStr">
        <is>
          <t>Root</t>
        </is>
      </c>
      <c r="D183" s="113" t="inlineStr">
        <is>
          <t>controlled state path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 manual test</t>
        </is>
      </c>
      <c r="H183" s="116" t="inlineStr">
        <is>
          <t>covered</t>
        </is>
      </c>
      <c r="I183" s="113" t="inlineStr">
        <is>
          <t>TreeGrid playground; manual-tests/tree-grid.md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State</t>
        </is>
      </c>
      <c r="C184" s="113" t="inlineStr">
        <is>
          <t>Root</t>
        </is>
      </c>
      <c r="D184" s="113" t="inlineStr">
        <is>
          <t>uncontrolled default state path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 manual test</t>
        </is>
      </c>
      <c r="H184" s="116" t="inlineStr">
        <is>
          <t>covered</t>
        </is>
      </c>
      <c r="I184" s="113" t="inlineStr">
        <is>
          <t>TreeGrid playground; manual-tests/tree-grid.md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State</t>
        </is>
      </c>
      <c r="C185" s="113" t="inlineStr">
        <is>
          <t>Root</t>
        </is>
      </c>
      <c r="D185" s="113" t="inlineStr">
        <is>
          <t>state change callback fires once with correct value</t>
        </is>
      </c>
      <c r="E185" s="114" t="inlineStr">
        <is>
          <t>yes</t>
        </is>
      </c>
      <c r="F185" s="115" t="inlineStr">
        <is>
          <t>yes</t>
        </is>
      </c>
      <c r="G185" s="112" t="inlineStr">
        <is>
          <t>passed manual test</t>
        </is>
      </c>
      <c r="H185" s="116" t="inlineStr">
        <is>
          <t>covered</t>
        </is>
      </c>
      <c r="I185" s="113" t="inlineStr">
        <is>
          <t>TreeGrid playground; manual-tests/tree-grid.md</t>
        </is>
      </c>
      <c r="J185" s="113" t="n"/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Keyboard</t>
        </is>
      </c>
      <c r="C186" s="113" t="inlineStr">
        <is>
          <t>TreeGrid</t>
        </is>
      </c>
      <c r="D186" s="113" t="inlineStr">
        <is>
          <t>Arrow key navigation follows documented orientation</t>
        </is>
      </c>
      <c r="E186" s="114" t="inlineStr">
        <is>
          <t>yes</t>
        </is>
      </c>
      <c r="F186" s="115" t="inlineStr">
        <is>
          <t>yes</t>
        </is>
      </c>
      <c r="G186" s="112" t="inlineStr">
        <is>
          <t>passed manual test</t>
        </is>
      </c>
      <c r="H186" s="116" t="inlineStr">
        <is>
          <t>covered</t>
        </is>
      </c>
      <c r="I186" s="113" t="inlineStr">
        <is>
          <t>TreeGrid playground; manual-tests/tree-grid.md</t>
        </is>
      </c>
      <c r="J186" s="113" t="n"/>
      <c r="K186" s="117">
        <f>IF(AND(E186="yes",F186="yes",H186="covered"),1,IF(H186="partial",0.5,0))</f>
        <v/>
      </c>
    </row>
    <row r="187" ht="15" customHeight="1" s="58">
      <c r="A187" s="112" t="n">
        <v>179</v>
      </c>
      <c r="B187" s="113" t="inlineStr">
        <is>
          <t>Keyboard</t>
        </is>
      </c>
      <c r="C187" s="113" t="inlineStr">
        <is>
          <t>TreeGrid</t>
        </is>
      </c>
      <c r="D187" s="113" t="inlineStr">
        <is>
          <t>Home and End navigation where supported</t>
        </is>
      </c>
      <c r="E187" s="114" t="inlineStr">
        <is>
          <t>yes</t>
        </is>
      </c>
      <c r="F187" s="115" t="inlineStr">
        <is>
          <t>yes</t>
        </is>
      </c>
      <c r="G187" s="112" t="inlineStr">
        <is>
          <t>passed manual test</t>
        </is>
      </c>
      <c r="H187" s="116" t="inlineStr">
        <is>
          <t>covered</t>
        </is>
      </c>
      <c r="I187" s="113" t="inlineStr">
        <is>
          <t>TreeGrid playground; manual-tests/tree-grid.md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Keyboard</t>
        </is>
      </c>
      <c r="C188" s="113" t="inlineStr">
        <is>
          <t>TreeGrid</t>
        </is>
      </c>
      <c r="D188" s="113" t="inlineStr">
        <is>
          <t>disabled items are skipped or exposed according to pattern</t>
        </is>
      </c>
      <c r="E188" s="114" t="inlineStr">
        <is>
          <t>yes</t>
        </is>
      </c>
      <c r="F188" s="115" t="inlineStr">
        <is>
          <t>yes</t>
        </is>
      </c>
      <c r="G188" s="112" t="inlineStr">
        <is>
          <t>passed manual test</t>
        </is>
      </c>
      <c r="H188" s="116" t="inlineStr">
        <is>
          <t>covered</t>
        </is>
      </c>
      <c r="I188" s="113" t="inlineStr">
        <is>
          <t>TreeGrid playground; manual-tests/tree-grid.md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Direction</t>
        </is>
      </c>
      <c r="C189" s="113" t="inlineStr">
        <is>
          <t>Root</t>
        </is>
      </c>
      <c r="D189" s="113" t="inlineStr">
        <is>
          <t>local dir overrides Direction.Provider and raw dir is inspectable</t>
        </is>
      </c>
      <c r="E189" s="114" t="inlineStr">
        <is>
          <t>yes</t>
        </is>
      </c>
      <c r="F189" s="115" t="inlineStr">
        <is>
          <t>yes</t>
        </is>
      </c>
      <c r="G189" s="112" t="inlineStr">
        <is>
          <t>passed manual test</t>
        </is>
      </c>
      <c r="H189" s="116" t="inlineStr">
        <is>
          <t>covered</t>
        </is>
      </c>
      <c r="I189" s="113" t="inlineStr">
        <is>
          <t>TreeGrid playground; manual-tests/tree-grid.md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Focus</t>
        </is>
      </c>
      <c r="C190" s="113" t="inlineStr">
        <is>
          <t>TreeGrid</t>
        </is>
      </c>
      <c r="D190" s="113" t="inlineStr">
        <is>
          <t>roving focus or active descendant state is visible</t>
        </is>
      </c>
      <c r="E190" s="114" t="inlineStr">
        <is>
          <t>yes</t>
        </is>
      </c>
      <c r="F190" s="115" t="inlineStr">
        <is>
          <t>yes</t>
        </is>
      </c>
      <c r="G190" s="112" t="inlineStr">
        <is>
          <t>passed manual test</t>
        </is>
      </c>
      <c r="H190" s="116" t="inlineStr">
        <is>
          <t>covered</t>
        </is>
      </c>
      <c r="I190" s="113" t="inlineStr">
        <is>
          <t>TreeGrid playground; manual-tests/tree-grid.md</t>
        </is>
      </c>
      <c r="J190" s="113" t="n"/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Direction</t>
        </is>
      </c>
      <c r="C191" s="113" t="inlineStr">
        <is>
          <t>Root</t>
        </is>
      </c>
      <c r="D191" s="113" t="inlineStr">
        <is>
          <t>reads Direction.Provider context for horizontal cell navigation</t>
        </is>
      </c>
      <c r="E191" s="119" t="inlineStr">
        <is>
          <t>yes</t>
        </is>
      </c>
      <c r="F191" s="115" t="inlineStr">
        <is>
          <t>yes</t>
        </is>
      </c>
      <c r="G191" s="112" t="inlineStr">
        <is>
          <t>passed manual test</t>
        </is>
      </c>
      <c r="H191" s="119" t="inlineStr">
        <is>
          <t>covered</t>
        </is>
      </c>
      <c r="I191" s="113" t="inlineStr">
        <is>
          <t>TreeGrid playground; manual-tests/tree-grid.md</t>
        </is>
      </c>
      <c r="J191" s="113" t="n"/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Direction</t>
        </is>
      </c>
      <c r="C192" s="113" t="inlineStr">
        <is>
          <t>Root</t>
        </is>
      </c>
      <c r="D192" s="113" t="inlineStr">
        <is>
          <t>RTL mirrors ArrowLeft and ArrowRight cell movement</t>
        </is>
      </c>
      <c r="E192" s="119" t="inlineStr">
        <is>
          <t>yes</t>
        </is>
      </c>
      <c r="F192" s="115" t="inlineStr">
        <is>
          <t>yes</t>
        </is>
      </c>
      <c r="G192" s="112" t="inlineStr">
        <is>
          <t>passed manual test</t>
        </is>
      </c>
      <c r="H192" s="119" t="inlineStr">
        <is>
          <t>covered</t>
        </is>
      </c>
      <c r="I192" s="113" t="inlineStr">
        <is>
          <t>TreeGrid playground; manual-tests/tree-grid.md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Direction</t>
        </is>
      </c>
      <c r="C193" s="113" t="inlineStr">
        <is>
          <t>Grid</t>
        </is>
      </c>
      <c r="D193" s="113" t="inlineStr">
        <is>
          <t>Home and End retain documented row-edge behavior in RTL</t>
        </is>
      </c>
      <c r="E193" s="119" t="inlineStr">
        <is>
          <t>yes</t>
        </is>
      </c>
      <c r="F193" s="115" t="inlineStr">
        <is>
          <t>yes</t>
        </is>
      </c>
      <c r="G193" s="112" t="inlineStr">
        <is>
          <t>passed manual test</t>
        </is>
      </c>
      <c r="H193" s="119" t="inlineStr">
        <is>
          <t>covered</t>
        </is>
      </c>
      <c r="I193" s="113" t="inlineStr">
        <is>
          <t>TreeGrid playground; manual-tests/tree-grid.md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Playground</t>
        </is>
      </c>
      <c r="C194" s="113" t="inlineStr">
        <is>
          <t>Direction controls</t>
        </is>
      </c>
      <c r="D194" s="113" t="inlineStr">
        <is>
          <t>scenario exposes Default, Provider RTL, Local LTR, and Local RTL controls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passed manual test</t>
        </is>
      </c>
      <c r="H194" s="119" t="inlineStr">
        <is>
          <t>covered</t>
        </is>
      </c>
      <c r="I194" s="113" t="inlineStr">
        <is>
          <t>TreeGrid playground; manual-tests/tree-grid.md</t>
        </is>
      </c>
      <c r="J194" s="113" t="n"/>
      <c r="K194" s="117">
        <f>IF(AND(E194="yes",F194="yes",H194="covered"),1,IF(H194="partial",0.5,0))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Virtualizer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Virtualizer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Virtualizer playground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Virtualizer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Virtualizer playground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Virtualizer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Virtualizer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Virtualizer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Virtualizer playground manual verification.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Feature</t>
        </is>
      </c>
      <c r="C13" s="106" t="inlineStr">
        <is>
          <t>Virtualizer</t>
        </is>
      </c>
      <c r="D13" s="106" t="inlineStr">
        <is>
          <t>Computes visible virtual items from item count, scroll offset, viewport size, and overscan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Virtualizer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Virtualizer</t>
        </is>
      </c>
      <c r="D14" s="106" t="inlineStr">
        <is>
          <t>Supports measured item sizes with `ResizeObserver`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Virtualizer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Virtualizer</t>
        </is>
      </c>
      <c r="D15" s="106" t="inlineStr">
        <is>
          <t>Supports stable item keys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Virtualizer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Virtualizer</t>
        </is>
      </c>
      <c r="D16" s="106" t="inlineStr">
        <is>
          <t>Provides `scrollToOffset` and `scrollToIndex`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Virtualizer playground manual verification.</t>
        </is>
      </c>
      <c r="J16" s="106" t="n"/>
      <c r="K16" s="107">
        <f>IF(H16="covered",1,IF(H16="partial",0.5,0))</f>
        <v/>
      </c>
    </row>
    <row r="17" ht="30" customHeight="1" s="58">
      <c r="A17" s="105" t="n">
        <v>9</v>
      </c>
      <c r="B17" s="106" t="inlineStr">
        <is>
          <t>Feature</t>
        </is>
      </c>
      <c r="C17" s="106" t="inlineStr">
        <is>
          <t>Virtualizer</t>
        </is>
      </c>
      <c r="D17" s="106" t="inlineStr">
        <is>
          <t>Keeps DOM structure, ARIA roles, keyboard behavior, and styling in the component that uses it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Virtualizer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Anatomy</t>
        </is>
      </c>
      <c r="C18" s="106" t="inlineStr">
        <is>
          <t>Hook API</t>
        </is>
      </c>
      <c r="D18" s="106" t="inlineStr">
        <is>
          <t>hook API state appears in Anatomy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Virtualizer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appears before consumer DOM evidence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Virtualizer playground manual verification.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Identity</t>
        </is>
      </c>
      <c r="C20" s="106" t="inlineStr">
        <is>
          <t>Consumer DOM</t>
        </is>
      </c>
      <c r="D20" s="106" t="inlineStr">
        <is>
          <t>scroll container tag is visible in Anatomy/Inspector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Virtualizer playground manual verification.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Identity</t>
        </is>
      </c>
      <c r="C21" s="106" t="inlineStr">
        <is>
          <t>Hook API</t>
        </is>
      </c>
      <c r="D21" s="106" t="inlineStr">
        <is>
          <t>Virtualizer emits no data-slot because it renders no DOM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Virtualizer playground manual verification.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Props</t>
        </is>
      </c>
      <c r="C22" s="106" t="inlineStr">
        <is>
          <t>Consumer DOM</t>
        </is>
      </c>
      <c r="D22" s="106" t="inlineStr">
        <is>
          <t>non-Atom marker data-prop-check is not used for hook output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Virtualizer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Anatomy</t>
        </is>
      </c>
      <c r="C23" s="106" t="inlineStr">
        <is>
          <t>Consumer DOM</t>
        </is>
      </c>
      <c r="D23" s="106" t="inlineStr">
        <is>
          <t>visible virtual items render in DOM evidence group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Virtualizer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visible range rows follow hook output order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Virtualizer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Identity</t>
        </is>
      </c>
      <c r="C25" s="106" t="inlineStr">
        <is>
          <t>Consumer DOM</t>
        </is>
      </c>
      <c r="D25" s="106" t="inlineStr">
        <is>
          <t>virtual item indexes are visible in Anatomy/Inspector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Virtualizer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Hook API</t>
        </is>
      </c>
      <c r="D26" s="106" t="inlineStr">
        <is>
          <t>Virtualizer emits no Atom data attributes because it renders no DOM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Virtualizer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Props</t>
        </is>
      </c>
      <c r="C27" s="106" t="inlineStr">
        <is>
          <t>Consumer DOM</t>
        </is>
      </c>
      <c r="D27" s="106" t="inlineStr">
        <is>
          <t>scroll container native tabIndex is visible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Virtualizer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Utility</t>
        </is>
      </c>
      <c r="C28" s="106" t="inlineStr">
        <is>
          <t>Virtualizer</t>
        </is>
      </c>
      <c r="D28" s="106" t="inlineStr">
        <is>
          <t>visible range updates from item size and overscan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Virtualizer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Virtualizer</t>
        </is>
      </c>
      <c r="D29" s="106" t="inlineStr">
        <is>
          <t>scrollToIndex honors start, center, end, and auto alignment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Virtualizer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Virtualizer</t>
        </is>
      </c>
      <c r="D30" s="106" t="inlineStr">
        <is>
          <t>variable item sizes and zero-size items are handled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Virtualizer playground manual verification.</t>
        </is>
      </c>
      <c r="J30" s="106" t="n"/>
      <c r="K30" s="107">
        <f>IF(H30="covered",1,IF(H30="partial",0.5,0))</f>
        <v/>
      </c>
    </row>
    <row r="31" ht="30" customHeight="1" s="58">
      <c r="A31" s="105" t="n">
        <v>23</v>
      </c>
      <c r="B31" s="106" t="inlineStr">
        <is>
          <t>Public API</t>
        </is>
      </c>
      <c r="C31" s="106" t="inlineStr">
        <is>
          <t>Pure helpers</t>
        </is>
      </c>
      <c r="D31" s="106" t="inlineStr">
        <is>
          <t>getVirtualTotalSize export and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Unit tests cover pure helper behavior; playground shows total size.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Public API</t>
        </is>
      </c>
      <c r="C32" s="106" t="inlineStr">
        <is>
          <t>Pure helpers</t>
        </is>
      </c>
      <c r="D32" s="106" t="inlineStr">
        <is>
          <t>getVirtualOffsetForIndex export and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Unit tests cover pure helper behavior; playground shows item starts.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Public API</t>
        </is>
      </c>
      <c r="C33" s="106" t="inlineStr">
        <is>
          <t>Pure helpers</t>
        </is>
      </c>
      <c r="D33" s="106" t="inlineStr">
        <is>
          <t>getVirtualScrollOffsetForIndex export and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Unit tests cover pure helper behavior; playground tests scrollToIndex alignments.</t>
        </is>
      </c>
      <c r="J33" s="106" t="n"/>
      <c r="K33" s="107">
        <f>IF(H33="covered",1,IF(H33="partial",0.5,0))</f>
        <v/>
      </c>
    </row>
    <row r="34" ht="13.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3.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8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VisuallyHidden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IFERROR(SUM(K9:K35)/COUNTA(A9:A35),0)</f>
        <v/>
      </c>
      <c r="C4" s="86" t="inlineStr">
        <is>
          <t>Covered</t>
        </is>
      </c>
      <c r="D4" s="98">
        <f>COUNTIF(H9:H35,"covered")</f>
        <v/>
      </c>
      <c r="E4" s="86" t="inlineStr">
        <is>
          <t>Partial</t>
        </is>
      </c>
      <c r="F4" s="98">
        <f>COUNTIF(H9:H35,"partial")</f>
        <v/>
      </c>
      <c r="G4" s="86" t="inlineStr">
        <is>
          <t>Missing</t>
        </is>
      </c>
      <c r="H4" s="98">
        <f>COUNTIF(H9:H35,"missing")</f>
        <v/>
      </c>
      <c r="I4" s="86" t="inlineStr">
        <is>
          <t>Untested</t>
        </is>
      </c>
      <c r="J4" s="98">
        <f>COUNTIF(F9:F35,"no")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VisuallyHidden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Visually Hidden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VisuallyHidden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Visually Hidden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VisuallyHidden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Visually Hidden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VisuallyHidden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Visually Hidden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VisuallyHidden</t>
        </is>
      </c>
      <c r="D15" s="106" t="inlineStr">
        <is>
          <t>Keeps content available to assistive technology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Visually Hidden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VisuallyHidden</t>
        </is>
      </c>
      <c r="D16" s="106" t="inlineStr">
        <is>
          <t>Applies an authoritative visually-hidden style contract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Visually Hidden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VisuallyHidden</t>
        </is>
      </c>
      <c r="D17" s="106" t="inlineStr">
        <is>
          <t>Merges consumer styles before hiding styles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Visually Hidden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VisuallyHidden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Visually Hidden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Visually Hidden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Visually Hidden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Visually Hidden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Visually Hidden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Visually Hidden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Visually Hidden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Visually Hidden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Visually Hidden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[data-slot]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Visually Hidden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Data</t>
        </is>
      </c>
      <c r="C28" s="106" t="inlineStr">
        <is>
          <t>Live DOM</t>
        </is>
      </c>
      <c r="D28" s="106" t="inlineStr">
        <is>
          <t>data-slot is present at the correct time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Visually Hidden playground scenario.</t>
        </is>
      </c>
      <c r="J28" s="106" t="n"/>
      <c r="K28" s="107">
        <f>IF(H28="covered",1,IF(H28="partial",0.5,0))</f>
        <v/>
      </c>
    </row>
    <row r="29" ht="30" customHeight="1" s="58">
      <c r="A29" s="105" t="n">
        <v>21</v>
      </c>
      <c r="B29" s="106" t="inlineStr">
        <is>
          <t>Composition</t>
        </is>
      </c>
      <c r="C29" s="106" t="inlineStr">
        <is>
          <t>VisuallyHidden</t>
        </is>
      </c>
      <c r="D29" s="106" t="inlineStr">
        <is>
          <t>asChild preserves child content without double nesting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Visually Hidden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Composition</t>
        </is>
      </c>
      <c r="C30" s="106" t="inlineStr">
        <is>
          <t>VisuallyHidden</t>
        </is>
      </c>
      <c r="D30" s="106" t="inlineStr">
        <is>
          <t>asChild merges Atom props and consumer props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Visually Hidden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VisuallyHidden</t>
        </is>
      </c>
      <c r="D31" s="106" t="inlineStr">
        <is>
          <t>asChild lets preventDefault block Atom behavior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Visually Hidden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VisuallyHidden</t>
        </is>
      </c>
      <c r="D32" s="106" t="inlineStr">
        <is>
          <t>render prop renders custom element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Visually Hidden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VisuallyHidden</t>
        </is>
      </c>
      <c r="D33" s="106" t="inlineStr">
        <is>
          <t>render prop preserves refs and behavior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Visually Hidden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Utility</t>
        </is>
      </c>
      <c r="C34" s="106" t="inlineStr">
        <is>
          <t>VisuallyHidden</t>
        </is>
      </c>
      <c r="D34" s="106" t="inlineStr">
        <is>
          <t>content remains accessible while visually hidden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Visually Hidden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VisuallyHidden</t>
        </is>
      </c>
      <c r="D35" s="106" t="inlineStr">
        <is>
          <t>asChild/render composition works without styling concerns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Visually Hidden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9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Clipboard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Clipboard</t>
        </is>
      </c>
      <c r="D9" s="113" t="inlineStr">
        <is>
          <t>scenario is reachable from Utilities &gt; Clipboard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Clipboard playground scenario and draft .manual-tests/clipboard.md protocol.</t>
        </is>
      </c>
      <c r="J9" s="113" t="inlineStr">
        <is>
          <t>Run the Clipboard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Clipboard</t>
        </is>
      </c>
      <c r="D10" s="113" t="inlineStr">
        <is>
          <t>Source, Anatomy, Inspector, and Logs expose current evidence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Clipboard playground scenario and draft .manual-tests/clipboard.md protocol.</t>
        </is>
      </c>
      <c r="J10" s="113" t="inlineStr">
        <is>
          <t>Run the Clipboard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State</t>
        </is>
      </c>
      <c r="C11" s="113" t="inlineStr">
        <is>
          <t>Root</t>
        </is>
      </c>
      <c r="D11" s="113" t="inlineStr">
        <is>
          <t>uncontrolled Input edits update the current copied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Clipboard playground scenario and draft .manual-tests/clipboard.md protocol.</t>
        </is>
      </c>
      <c r="J11" s="113" t="inlineStr">
        <is>
          <t>Run the Clipboard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State</t>
        </is>
      </c>
      <c r="C12" s="113" t="inlineStr">
        <is>
          <t>Root</t>
        </is>
      </c>
      <c r="D12" s="113" t="inlineStr">
        <is>
          <t>controlled value and onValueChange stay coordinated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Clipboard playground scenario and draft .manual-tests/clipboard.md protocol.</t>
        </is>
      </c>
      <c r="J12" s="113" t="inlineStr">
        <is>
          <t>Run the Clipboard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State</t>
        </is>
      </c>
      <c r="C13" s="113" t="inlineStr">
        <is>
          <t>Root</t>
        </is>
      </c>
      <c r="D13" s="113" t="inlineStr">
        <is>
          <t>status follows idle, copying, copied or error, then resets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Clipboard playground scenario and draft .manual-tests/clipboard.md protocol.</t>
        </is>
      </c>
      <c r="J13" s="113" t="inlineStr">
        <is>
          <t>Run the Clipboard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State</t>
        </is>
      </c>
      <c r="C14" s="113" t="inlineStr">
        <is>
          <t>Root</t>
        </is>
      </c>
      <c r="D14" s="113" t="inlineStr">
        <is>
          <t>rejected writes expose error and never claim copied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Clipboard playground scenario and draft .manual-tests/clipboard.md protocol.</t>
        </is>
      </c>
      <c r="J14" s="113" t="inlineStr">
        <is>
          <t>Run the Clipboard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State</t>
        </is>
      </c>
      <c r="C15" s="113" t="inlineStr">
        <is>
          <t>Root</t>
        </is>
      </c>
      <c r="D15" s="113" t="inlineStr">
        <is>
          <t>disabled blocks Input editing and Trigger activation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Clipboard playground scenario and draft .manual-tests/clipboard.md protocol.</t>
        </is>
      </c>
      <c r="J15" s="113" t="inlineStr">
        <is>
          <t>Run the Clipboard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div with data-slot clipboard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Clipboard playground scenario and draft .manual-tests/clipboard.md protocol.</t>
        </is>
      </c>
      <c r="J16" s="113" t="inlineStr">
        <is>
          <t>Run the Clipboard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Native props</t>
        </is>
      </c>
      <c r="C17" s="113" t="inlineStr">
        <is>
          <t>Root</t>
        </is>
      </c>
      <c r="D17" s="113" t="inlineStr">
        <is>
          <t>data-prop-check passes through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Clipboard playground scenario and draft .manual-tests/clipboard.md protocol.</t>
        </is>
      </c>
      <c r="J17" s="113" t="inlineStr">
        <is>
          <t>Run the Clipboard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Identity</t>
        </is>
      </c>
      <c r="C18" s="113" t="inlineStr">
        <is>
          <t>Label</t>
        </is>
      </c>
      <c r="D18" s="113" t="inlineStr">
        <is>
          <t>default tag is label with data-slot clipboard-label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Clipboard playground scenario and draft .manual-tests/clipboard.md protocol.</t>
        </is>
      </c>
      <c r="J18" s="113" t="inlineStr">
        <is>
          <t>Run the Clipboard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Accessibility</t>
        </is>
      </c>
      <c r="C19" s="113" t="inlineStr">
        <is>
          <t>Label</t>
        </is>
      </c>
      <c r="D19" s="113" t="inlineStr">
        <is>
          <t>htmlFor matches the generated Input id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Clipboard playground scenario and draft .manual-tests/clipboard.md protocol.</t>
        </is>
      </c>
      <c r="J19" s="113" t="inlineStr">
        <is>
          <t>Run the Clipboard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Identity</t>
        </is>
      </c>
      <c r="C20" s="113" t="inlineStr">
        <is>
          <t>Control</t>
        </is>
      </c>
      <c r="D20" s="113" t="inlineStr">
        <is>
          <t>default tag is div with data-slot clipboard-control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Clipboard playground scenario and draft .manual-tests/clipboard.md protocol.</t>
        </is>
      </c>
      <c r="J20" s="113" t="inlineStr">
        <is>
          <t>Run the Clipboard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Input</t>
        </is>
      </c>
      <c r="D21" s="113" t="inlineStr">
        <is>
          <t>default tag is input with data-slot clipboard-input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Clipboard playground scenario and draft .manual-tests/clipboard.md protocol.</t>
        </is>
      </c>
      <c r="J21" s="113" t="inlineStr">
        <is>
          <t>Run the Clipboard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Value</t>
        </is>
      </c>
      <c r="C22" s="113" t="inlineStr">
        <is>
          <t>Input</t>
        </is>
      </c>
      <c r="D22" s="113" t="inlineStr">
        <is>
          <t>native value equals Root current value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Clipboard playground scenario and draft .manual-tests/clipboard.md protocol.</t>
        </is>
      </c>
      <c r="J22" s="113" t="inlineStr">
        <is>
          <t>Run the Clipboard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ValueText</t>
        </is>
      </c>
      <c r="D23" s="113" t="inlineStr">
        <is>
          <t>default tag is span with data-slot clipboard-value-text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Clipboard playground scenario and draft .manual-tests/clipboard.md protocol.</t>
        </is>
      </c>
      <c r="J23" s="113" t="inlineStr">
        <is>
          <t>Run the Clipboard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Value</t>
        </is>
      </c>
      <c r="C24" s="113" t="inlineStr">
        <is>
          <t>ValueText</t>
        </is>
      </c>
      <c r="D24" s="113" t="inlineStr">
        <is>
          <t>omitted children render Root current value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Clipboard playground scenario and draft .manual-tests/clipboard.md protocol.</t>
        </is>
      </c>
      <c r="J24" s="113" t="inlineStr">
        <is>
          <t>Run the Clipboard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Trigger</t>
        </is>
      </c>
      <c r="D25" s="113" t="inlineStr">
        <is>
          <t>default tag is button type=button with clipboard-trigger slot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Clipboard playground scenario and draft .manual-tests/clipboard.md protocol.</t>
        </is>
      </c>
      <c r="J25" s="113" t="inlineStr">
        <is>
          <t>Run the Clipboard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Keyboard</t>
        </is>
      </c>
      <c r="C26" s="113" t="inlineStr">
        <is>
          <t>Trigger</t>
        </is>
      </c>
      <c r="D26" s="113" t="inlineStr">
        <is>
          <t>Space and Enter each start one write and retain focus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Clipboard playground scenario and draft .manual-tests/clipboard.md protocol.</t>
        </is>
      </c>
      <c r="J26" s="113" t="inlineStr">
        <is>
          <t>Run the Clipboard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Pointer</t>
        </is>
      </c>
      <c r="C27" s="113" t="inlineStr">
        <is>
          <t>Trigger</t>
        </is>
      </c>
      <c r="D27" s="113" t="inlineStr">
        <is>
          <t>click starts one write of the current value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Clipboard playground scenario and draft .manual-tests/clipboard.md protocol.</t>
        </is>
      </c>
      <c r="J27" s="113" t="inlineStr">
        <is>
          <t>Run the Clipboard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Identity</t>
        </is>
      </c>
      <c r="C28" s="113" t="inlineStr">
        <is>
          <t>Indicator</t>
        </is>
      </c>
      <c r="D28" s="113" t="inlineStr">
        <is>
          <t>only the Indicator matching current state renders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Clipboard playground scenario and draft .manual-tests/clipboard.md protocol.</t>
        </is>
      </c>
      <c r="J28" s="113" t="inlineStr">
        <is>
          <t>Run the Clipboard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Identity</t>
        </is>
      </c>
      <c r="C29" s="113" t="inlineStr">
        <is>
          <t>Indicator</t>
        </is>
      </c>
      <c r="D29" s="113" t="inlineStr">
        <is>
          <t>default tag is span with clipboard-indicator slot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Clipboard playground scenario and draft .manual-tests/clipboard.md protocol.</t>
        </is>
      </c>
      <c r="J29" s="113" t="inlineStr">
        <is>
          <t>Run the Clipboard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Identity</t>
        </is>
      </c>
      <c r="C30" s="113" t="inlineStr">
        <is>
          <t>Status</t>
        </is>
      </c>
      <c r="D30" s="113" t="inlineStr">
        <is>
          <t>default tag is span with clipboard-status slot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Clipboard playground scenario and draft .manual-tests/clipboard.md protocol.</t>
        </is>
      </c>
      <c r="J30" s="113" t="inlineStr">
        <is>
          <t>Run the Clipboard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Accessibility</t>
        </is>
      </c>
      <c r="C31" s="113" t="inlineStr">
        <is>
          <t>Status</t>
        </is>
      </c>
      <c r="D31" s="113" t="inlineStr">
        <is>
          <t>role status is polite and aria-atomic true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Clipboard playground scenario and draft .manual-tests/clipboard.md protocol.</t>
        </is>
      </c>
      <c r="J31" s="113" t="inlineStr">
        <is>
          <t>Run the Clipboard Manual Test Protocol and record owner evidence.</t>
        </is>
      </c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Source</t>
        </is>
      </c>
      <c r="C32" s="113" t="inlineStr">
        <is>
          <t>Clipboard</t>
        </is>
      </c>
      <c r="D32" s="113" t="inlineStr">
        <is>
          <t>generated JSX reflects controlled and disabled selections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Clipboard playground scenario and draft .manual-tests/clipboard.md protocol.</t>
        </is>
      </c>
      <c r="J32" s="113" t="inlineStr">
        <is>
          <t>Run the Clipboard Manual Test Protocol and record owner evidence.</t>
        </is>
      </c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Manual</t>
        </is>
      </c>
      <c r="C33" s="113" t="inlineStr">
        <is>
          <t>Clipboard</t>
        </is>
      </c>
      <c r="D33" s="113" t="inlineStr">
        <is>
          <t>draft protocol covers every public part and operation state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Clipboard playground scenario and draft .manual-tests/clipboard.md protocol.</t>
        </is>
      </c>
      <c r="J33" s="113" t="inlineStr">
        <is>
          <t>Run the Clipboard Manual Test Protocol and record owner evidence.</t>
        </is>
      </c>
      <c r="K33" s="117">
        <f>IF(AND(E33="yes",F33="yes",H33="covered"),1,IF(H33="partial",0.5,0))</f>
        <v/>
      </c>
    </row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0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Image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IFERROR(SUM(K9:K28)/COUNTA(A9:A28),0)</f>
        <v/>
      </c>
      <c r="C4" s="86" t="inlineStr">
        <is>
          <t>Covered</t>
        </is>
      </c>
      <c r="D4" s="98">
        <f>COUNTIF(H9:H28,"covered")</f>
        <v/>
      </c>
      <c r="E4" s="86" t="inlineStr">
        <is>
          <t>Partial</t>
        </is>
      </c>
      <c r="F4" s="98">
        <f>COUNTIF(H9:H28,"partial")</f>
        <v/>
      </c>
      <c r="G4" s="86" t="inlineStr">
        <is>
          <t>Missing</t>
        </is>
      </c>
      <c r="H4" s="98">
        <f>COUNTIF(H9:H28,"missing")</f>
        <v/>
      </c>
      <c r="I4" s="86" t="inlineStr">
        <is>
          <t>Untested</t>
        </is>
      </c>
      <c r="J4" s="98">
        <f>COUNTIF(F9:F28,"no")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Image</t>
        </is>
      </c>
      <c r="D9" s="113" t="inlineStr">
        <is>
          <t>scenario is reachable from Display &gt; Image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not run</t>
        </is>
      </c>
      <c r="H9" s="108" t="inlineStr">
        <is>
          <t>partial</t>
        </is>
      </c>
      <c r="I9" s="113" t="inlineStr">
        <is>
          <t>Image workbench implemented; manual verification pending.</t>
        </is>
      </c>
      <c r="J9" s="113" t="inlineStr">
        <is>
          <t>Run Image manual protocol.</t>
        </is>
      </c>
      <c r="K9" s="117">
        <f>IF(AND(E9="yes",F9="yes",H9="covered"),1,0)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Image</t>
        </is>
      </c>
      <c r="D10" s="113" t="inlineStr">
        <is>
          <t>Source, Anatomy, Inspector, and Logs update with controls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not run</t>
        </is>
      </c>
      <c r="H10" s="108" t="inlineStr">
        <is>
          <t>partial</t>
        </is>
      </c>
      <c r="I10" s="113" t="inlineStr">
        <is>
          <t>Image workbench implemented; manual verification pending.</t>
        </is>
      </c>
      <c r="J10" s="113" t="inlineStr">
        <is>
          <t>Run Image manual protocol.</t>
        </is>
      </c>
      <c r="K10" s="117">
        <f>IF(AND(E10="yes",F10="yes",H10="covered"),1,0)</f>
        <v/>
      </c>
    </row>
    <row r="11" ht="45" customHeight="1" s="58">
      <c r="A11" s="112" t="n">
        <v>3</v>
      </c>
      <c r="B11" s="113" t="inlineStr">
        <is>
          <t>Feature</t>
        </is>
      </c>
      <c r="C11" s="113" t="inlineStr">
        <is>
          <t>Root</t>
        </is>
      </c>
      <c r="D11" s="113" t="inlineStr">
        <is>
          <t>tracks idle, loading, loaded, and error source status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not run</t>
        </is>
      </c>
      <c r="H11" s="108" t="inlineStr">
        <is>
          <t>partial</t>
        </is>
      </c>
      <c r="I11" s="113" t="inlineStr">
        <is>
          <t>Image workbench implemented; manual verification pending.</t>
        </is>
      </c>
      <c r="J11" s="113" t="inlineStr">
        <is>
          <t>Run Image manual protocol.</t>
        </is>
      </c>
      <c r="K11" s="117">
        <f>IF(AND(E11="yes",F11="yes",H11="covered"),1,0)</f>
        <v/>
      </c>
    </row>
    <row r="12" ht="30" customHeight="1" s="58">
      <c r="A12" s="112" t="n">
        <v>4</v>
      </c>
      <c r="B12" s="113" t="inlineStr">
        <is>
          <t>Feature</t>
        </is>
      </c>
      <c r="C12" s="113" t="inlineStr">
        <is>
          <t>Root</t>
        </is>
      </c>
      <c r="D12" s="113" t="inlineStr">
        <is>
          <t>source replacement resets status and ignores stale events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not run</t>
        </is>
      </c>
      <c r="H12" s="108" t="inlineStr">
        <is>
          <t>partial</t>
        </is>
      </c>
      <c r="I12" s="113" t="inlineStr">
        <is>
          <t>Image workbench implemented; manual verification pending.</t>
        </is>
      </c>
      <c r="J12" s="113" t="inlineStr">
        <is>
          <t>Run Image manual protocol.</t>
        </is>
      </c>
      <c r="K12" s="117">
        <f>IF(AND(E12="yes",F12="yes",H12="covered"),1,0)</f>
        <v/>
      </c>
    </row>
    <row r="13" ht="30" customHeight="1" s="58">
      <c r="A13" s="112" t="n">
        <v>5</v>
      </c>
      <c r="B13" s="113" t="inlineStr">
        <is>
          <t>Anatomy</t>
        </is>
      </c>
      <c r="C13" s="113" t="inlineStr">
        <is>
          <t>Root</t>
        </is>
      </c>
      <c r="D13" s="113" t="inlineStr">
        <is>
          <t>default div has data-slot image and exact data-state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not run</t>
        </is>
      </c>
      <c r="H13" s="108" t="inlineStr">
        <is>
          <t>partial</t>
        </is>
      </c>
      <c r="I13" s="113" t="inlineStr">
        <is>
          <t>Image workbench implemented; manual verification pending.</t>
        </is>
      </c>
      <c r="J13" s="113" t="inlineStr">
        <is>
          <t>Run Image manual protocol.</t>
        </is>
      </c>
      <c r="K13" s="117">
        <f>IF(AND(E13="yes",F13="yes",H13="covered"),1,0)</f>
        <v/>
      </c>
    </row>
    <row r="14" ht="30" customHeight="1" s="58">
      <c r="A14" s="112" t="n">
        <v>6</v>
      </c>
      <c r="B14" s="113" t="inlineStr">
        <is>
          <t>Anatomy</t>
        </is>
      </c>
      <c r="C14" s="113" t="inlineStr">
        <is>
          <t>Content</t>
        </is>
      </c>
      <c r="D14" s="113" t="inlineStr">
        <is>
          <t>native img appears only when loaded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not run</t>
        </is>
      </c>
      <c r="H14" s="108" t="inlineStr">
        <is>
          <t>partial</t>
        </is>
      </c>
      <c r="I14" s="113" t="inlineStr">
        <is>
          <t>Image workbench implemented; manual verification pending.</t>
        </is>
      </c>
      <c r="J14" s="113" t="inlineStr">
        <is>
          <t>Run Image manual protocol.</t>
        </is>
      </c>
      <c r="K14" s="117">
        <f>IF(AND(E14="yes",F14="yes",H14="covered"),1,0)</f>
        <v/>
      </c>
    </row>
    <row r="15" ht="30" customHeight="1" s="58">
      <c r="A15" s="112" t="n">
        <v>7</v>
      </c>
      <c r="B15" s="113" t="inlineStr">
        <is>
          <t>Anatomy</t>
        </is>
      </c>
      <c r="C15" s="113" t="inlineStr">
        <is>
          <t>Fallback</t>
        </is>
      </c>
      <c r="D15" s="113" t="inlineStr">
        <is>
          <t>authored fallback appears for selected non-loaded states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not run</t>
        </is>
      </c>
      <c r="H15" s="108" t="inlineStr">
        <is>
          <t>partial</t>
        </is>
      </c>
      <c r="I15" s="113" t="inlineStr">
        <is>
          <t>Image workbench implemented; manual verification pending.</t>
        </is>
      </c>
      <c r="J15" s="113" t="inlineStr">
        <is>
          <t>Run Image manual protocol.</t>
        </is>
      </c>
      <c r="K15" s="117">
        <f>IF(AND(E15="yes",F15="yes",H15="covered"),1,0)</f>
        <v/>
      </c>
    </row>
    <row r="16" ht="30" customHeight="1" s="58">
      <c r="A16" s="112" t="n">
        <v>8</v>
      </c>
      <c r="B16" s="113" t="inlineStr">
        <is>
          <t>Native props</t>
        </is>
      </c>
      <c r="C16" s="113" t="inlineStr">
        <is>
          <t>Content</t>
        </is>
      </c>
      <c r="D16" s="113" t="inlineStr">
        <is>
          <t>alt, width, height, srcSet, sizes, loading, and decoding pass through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not run</t>
        </is>
      </c>
      <c r="H16" s="108" t="inlineStr">
        <is>
          <t>partial</t>
        </is>
      </c>
      <c r="I16" s="113" t="inlineStr">
        <is>
          <t>Image workbench implemented; manual verification pending.</t>
        </is>
      </c>
      <c r="J16" s="113" t="inlineStr">
        <is>
          <t>Run Image manual protocol.</t>
        </is>
      </c>
      <c r="K16" s="117">
        <f>IF(AND(E16="yes",F16="yes",H16="covered"),1,0)</f>
        <v/>
      </c>
    </row>
    <row r="17" ht="30" customHeight="1" s="58">
      <c r="A17" s="112" t="n">
        <v>9</v>
      </c>
      <c r="B17" s="113" t="inlineStr">
        <is>
          <t>Accessibility</t>
        </is>
      </c>
      <c r="C17" s="113" t="inlineStr">
        <is>
          <t>Content</t>
        </is>
      </c>
      <c r="D17" s="113" t="inlineStr">
        <is>
          <t>informative and empty decorative alt remain authored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not run</t>
        </is>
      </c>
      <c r="H17" s="108" t="inlineStr">
        <is>
          <t>partial</t>
        </is>
      </c>
      <c r="I17" s="113" t="inlineStr">
        <is>
          <t>Image workbench implemented; manual verification pending.</t>
        </is>
      </c>
      <c r="J17" s="113" t="inlineStr">
        <is>
          <t>Run Image manual protocol.</t>
        </is>
      </c>
      <c r="K17" s="117">
        <f>IF(AND(E17="yes",F17="yes",H17="covered"),1,0)</f>
        <v/>
      </c>
    </row>
    <row r="18" ht="30" customHeight="1" s="58">
      <c r="A18" s="112" t="n">
        <v>10</v>
      </c>
      <c r="B18" s="113" t="inlineStr">
        <is>
          <t>Composition</t>
        </is>
      </c>
      <c r="C18" s="113" t="inlineStr">
        <is>
          <t>Root</t>
        </is>
      </c>
      <c r="D18" s="113" t="inlineStr">
        <is>
          <t>default, asChild, and render preserve context and refs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not run</t>
        </is>
      </c>
      <c r="H18" s="108" t="inlineStr">
        <is>
          <t>partial</t>
        </is>
      </c>
      <c r="I18" s="113" t="inlineStr">
        <is>
          <t>Image workbench implemented; manual verification pending.</t>
        </is>
      </c>
      <c r="J18" s="113" t="inlineStr">
        <is>
          <t>Run Image manual protocol.</t>
        </is>
      </c>
      <c r="K18" s="117">
        <f>IF(AND(E18="yes",F18="yes",H18="covered"),1,0)</f>
        <v/>
      </c>
    </row>
    <row r="19" ht="30" customHeight="1" s="58">
      <c r="A19" s="112" t="n">
        <v>11</v>
      </c>
      <c r="B19" s="113" t="inlineStr">
        <is>
          <t>Composition</t>
        </is>
      </c>
      <c r="C19" s="113" t="inlineStr">
        <is>
          <t>Content</t>
        </is>
      </c>
      <c r="D19" s="113" t="inlineStr">
        <is>
          <t>default, asChild, and render preserve native image semantics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not run</t>
        </is>
      </c>
      <c r="H19" s="108" t="inlineStr">
        <is>
          <t>partial</t>
        </is>
      </c>
      <c r="I19" s="113" t="inlineStr">
        <is>
          <t>Image workbench implemented; manual verification pending.</t>
        </is>
      </c>
      <c r="J19" s="113" t="inlineStr">
        <is>
          <t>Run Image manual protocol.</t>
        </is>
      </c>
      <c r="K19" s="117">
        <f>IF(AND(E19="yes",F19="yes",H19="covered"),1,0)</f>
        <v/>
      </c>
    </row>
    <row r="20" ht="15" customHeight="1" s="58">
      <c r="A20" s="112" t="n">
        <v>12</v>
      </c>
      <c r="B20" s="113" t="inlineStr">
        <is>
          <t>Composition</t>
        </is>
      </c>
      <c r="C20" s="113" t="inlineStr">
        <is>
          <t>Fallback</t>
        </is>
      </c>
      <c r="D20" s="113" t="inlineStr">
        <is>
          <t>default, asChild, and render preserve selected state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not run</t>
        </is>
      </c>
      <c r="H20" s="108" t="inlineStr">
        <is>
          <t>partial</t>
        </is>
      </c>
      <c r="I20" s="113" t="inlineStr">
        <is>
          <t>Image workbench implemented; manual verification pending.</t>
        </is>
      </c>
      <c r="J20" s="113" t="inlineStr">
        <is>
          <t>Run Image manual protocol.</t>
        </is>
      </c>
      <c r="K20" s="117">
        <f>IF(AND(E20="yes",F20="yes",H20="covered"),1,0)</f>
        <v/>
      </c>
    </row>
    <row r="21" ht="15" customHeight="1" s="58">
      <c r="A21" s="112" t="n">
        <v>13</v>
      </c>
      <c r="B21" s="113" t="inlineStr">
        <is>
          <t>Props</t>
        </is>
      </c>
      <c r="C21" s="113" t="inlineStr">
        <is>
          <t>Root</t>
        </is>
      </c>
      <c r="D21" s="113" t="inlineStr">
        <is>
          <t>native props and custom slot remain inspectable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not run</t>
        </is>
      </c>
      <c r="H21" s="108" t="inlineStr">
        <is>
          <t>partial</t>
        </is>
      </c>
      <c r="I21" s="113" t="inlineStr">
        <is>
          <t>Image workbench implemented; manual verification pending.</t>
        </is>
      </c>
      <c r="J21" s="113" t="inlineStr">
        <is>
          <t>Run Image manual protocol.</t>
        </is>
      </c>
      <c r="K21" s="117">
        <f>IF(AND(E21="yes",F21="yes",H21="covered"),1,0)</f>
        <v/>
      </c>
    </row>
    <row r="22" ht="30" customHeight="1" s="58">
      <c r="A22" s="112" t="n">
        <v>14</v>
      </c>
      <c r="B22" s="113" t="inlineStr">
        <is>
          <t>Props</t>
        </is>
      </c>
      <c r="C22" s="113" t="inlineStr">
        <is>
          <t>Content</t>
        </is>
      </c>
      <c r="D22" s="113" t="inlineStr">
        <is>
          <t>native props and custom slot remain inspectable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not run</t>
        </is>
      </c>
      <c r="H22" s="108" t="inlineStr">
        <is>
          <t>partial</t>
        </is>
      </c>
      <c r="I22" s="113" t="inlineStr">
        <is>
          <t>Image workbench implemented; manual verification pending.</t>
        </is>
      </c>
      <c r="J22" s="113" t="inlineStr">
        <is>
          <t>Run Image manual protocol.</t>
        </is>
      </c>
      <c r="K22" s="117">
        <f>IF(AND(E22="yes",F22="yes",H22="covered"),1,0)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Fallback</t>
        </is>
      </c>
      <c r="D23" s="113" t="inlineStr">
        <is>
          <t>native props, when, and custom slot remain inspectable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not run</t>
        </is>
      </c>
      <c r="H23" s="108" t="inlineStr">
        <is>
          <t>partial</t>
        </is>
      </c>
      <c r="I23" s="113" t="inlineStr">
        <is>
          <t>Image workbench implemented; manual verification pending.</t>
        </is>
      </c>
      <c r="J23" s="113" t="inlineStr">
        <is>
          <t>Run Image manual protocol.</t>
        </is>
      </c>
      <c r="K23" s="117">
        <f>IF(AND(E23="yes",F23="yes",H23="covered"),1,0)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Fallback</t>
        </is>
      </c>
      <c r="D24" s="113" t="inlineStr">
        <is>
          <t>idle, loading, and error can be selected independently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not run</t>
        </is>
      </c>
      <c r="H24" s="108" t="inlineStr">
        <is>
          <t>partial</t>
        </is>
      </c>
      <c r="I24" s="113" t="inlineStr">
        <is>
          <t>Image workbench implemented; manual verification pending.</t>
        </is>
      </c>
      <c r="J24" s="113" t="inlineStr">
        <is>
          <t>Run Image manual protocol.</t>
        </is>
      </c>
      <c r="K24" s="117">
        <f>IF(AND(E24="yes",F24="yes",H24="covered"),1,0)</f>
        <v/>
      </c>
    </row>
    <row r="25" ht="30" customHeight="1" s="58">
      <c r="A25" s="112" t="n">
        <v>17</v>
      </c>
      <c r="B25" s="113" t="inlineStr">
        <is>
          <t>Events</t>
        </is>
      </c>
      <c r="C25" s="113" t="inlineStr">
        <is>
          <t>Root</t>
        </is>
      </c>
      <c r="D25" s="113" t="inlineStr">
        <is>
          <t>onLoadingStatusChange logs truthful transitions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not run</t>
        </is>
      </c>
      <c r="H25" s="108" t="inlineStr">
        <is>
          <t>partial</t>
        </is>
      </c>
      <c r="I25" s="113" t="inlineStr">
        <is>
          <t>Image workbench implemented; manual verification pending.</t>
        </is>
      </c>
      <c r="J25" s="113" t="inlineStr">
        <is>
          <t>Run Image manual protocol.</t>
        </is>
      </c>
      <c r="K25" s="117">
        <f>IF(AND(E25="yes",F25="yes",H25="covered"),1,0)</f>
        <v/>
      </c>
    </row>
    <row r="26" ht="30" customHeight="1" s="58">
      <c r="A26" s="112" t="n">
        <v>18</v>
      </c>
      <c r="B26" s="113" t="inlineStr">
        <is>
          <t>Source</t>
        </is>
      </c>
      <c r="C26" s="113" t="inlineStr">
        <is>
          <t>Image</t>
        </is>
      </c>
      <c r="D26" s="113" t="inlineStr">
        <is>
          <t>source view matches mode, alt, parts, and native attributes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not run</t>
        </is>
      </c>
      <c r="H26" s="108" t="inlineStr">
        <is>
          <t>partial</t>
        </is>
      </c>
      <c r="I26" s="113" t="inlineStr">
        <is>
          <t>Image workbench implemented; manual verification pending.</t>
        </is>
      </c>
      <c r="J26" s="113" t="inlineStr">
        <is>
          <t>Run Image manual protocol.</t>
        </is>
      </c>
      <c r="K26" s="117">
        <f>IF(AND(E26="yes",F26="yes",H26="covered"),1,0)</f>
        <v/>
      </c>
    </row>
    <row r="27" ht="30" customHeight="1" s="58">
      <c r="A27" s="112" t="n">
        <v>19</v>
      </c>
      <c r="B27" s="113" t="inlineStr">
        <is>
          <t>Responsive</t>
        </is>
      </c>
      <c r="C27" s="113" t="inlineStr">
        <is>
          <t>Content</t>
        </is>
      </c>
      <c r="D27" s="113" t="inlineStr">
        <is>
          <t>intrinsic and responsive attributes remain visible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not run</t>
        </is>
      </c>
      <c r="H27" s="108" t="inlineStr">
        <is>
          <t>partial</t>
        </is>
      </c>
      <c r="I27" s="113" t="inlineStr">
        <is>
          <t>Image workbench implemented; manual verification pending.</t>
        </is>
      </c>
      <c r="J27" s="113" t="inlineStr">
        <is>
          <t>Run Image manual protocol.</t>
        </is>
      </c>
      <c r="K27" s="117">
        <f>IF(AND(E27="yes",F27="yes",H27="covered"),1,0)</f>
        <v/>
      </c>
    </row>
    <row r="28" ht="30" customHeight="1" s="58">
      <c r="A28" s="112" t="n">
        <v>20</v>
      </c>
      <c r="B28" s="113" t="inlineStr">
        <is>
          <t>Manual</t>
        </is>
      </c>
      <c r="C28" s="113" t="inlineStr">
        <is>
          <t>Image</t>
        </is>
      </c>
      <c r="D28" s="113" t="inlineStr">
        <is>
          <t>manual protocol completes all playground-verifiable rows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not run</t>
        </is>
      </c>
      <c r="H28" s="108" t="inlineStr">
        <is>
          <t>partial</t>
        </is>
      </c>
      <c r="I28" s="113" t="inlineStr">
        <is>
          <t>Image workbench implemented; manual verification pending.</t>
        </is>
      </c>
      <c r="J28" s="113" t="inlineStr">
        <is>
          <t>Run Image manual protocol.</t>
        </is>
      </c>
      <c r="K28" s="117">
        <f>IF(AND(E28="yes",F28="yes",H28="covered"),1,0)</f>
        <v/>
      </c>
    </row>
    <row r="29" ht="15" customHeight="1" s="58">
      <c r="A29" s="112" t="n"/>
      <c r="B29" s="113" t="n"/>
      <c r="C29" s="113" t="n"/>
      <c r="D29" s="113" t="n"/>
      <c r="E29" s="114" t="n"/>
      <c r="F29" s="114" t="n"/>
      <c r="G29" s="112" t="n"/>
      <c r="H29" s="108" t="n"/>
      <c r="I29" s="113" t="n"/>
      <c r="J29" s="113" t="n"/>
      <c r="K29" s="117" t="n"/>
    </row>
    <row r="30" ht="30" customHeight="1" s="58">
      <c r="A30" s="112" t="n"/>
      <c r="B30" s="113" t="n"/>
      <c r="C30" s="113" t="n"/>
      <c r="D30" s="113" t="n"/>
      <c r="E30" s="114" t="n"/>
      <c r="F30" s="114" t="n"/>
      <c r="G30" s="112" t="n"/>
      <c r="H30" s="108" t="n"/>
      <c r="I30" s="113" t="n"/>
      <c r="J30" s="113" t="n"/>
      <c r="K30" s="117" t="n"/>
    </row>
    <row r="31" ht="30" customHeight="1" s="58">
      <c r="A31" s="112" t="n"/>
      <c r="B31" s="113" t="n"/>
      <c r="C31" s="113" t="n"/>
      <c r="D31" s="113" t="n"/>
      <c r="E31" s="114" t="n"/>
      <c r="F31" s="114" t="n"/>
      <c r="G31" s="112" t="n"/>
      <c r="H31" s="108" t="n"/>
      <c r="I31" s="113" t="n"/>
      <c r="J31" s="113" t="n"/>
      <c r="K31" s="117" t="n"/>
    </row>
    <row r="32" ht="1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30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  <row r="34" ht="1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  <row r="36" ht="30" customHeight="1" s="58">
      <c r="A36" s="112" t="n"/>
      <c r="B36" s="113" t="n"/>
      <c r="C36" s="113" t="n"/>
      <c r="D36" s="113" t="n"/>
      <c r="E36" s="114" t="n"/>
      <c r="F36" s="114" t="n"/>
      <c r="G36" s="112" t="n"/>
      <c r="H36" s="108" t="n"/>
      <c r="I36" s="113" t="n"/>
      <c r="J36" s="113" t="n"/>
      <c r="K36" s="117" t="n"/>
    </row>
    <row r="37" ht="30" customHeight="1" s="58">
      <c r="A37" s="112" t="n"/>
      <c r="B37" s="113" t="n"/>
      <c r="C37" s="113" t="n"/>
      <c r="D37" s="113" t="n"/>
      <c r="E37" s="114" t="n"/>
      <c r="F37" s="114" t="n"/>
      <c r="G37" s="112" t="n"/>
      <c r="H37" s="108" t="n"/>
      <c r="I37" s="113" t="n"/>
      <c r="J37" s="113" t="n"/>
      <c r="K37" s="117" t="n"/>
    </row>
    <row r="38" ht="30" customHeight="1" s="58">
      <c r="A38" s="112" t="n"/>
      <c r="B38" s="113" t="n"/>
      <c r="C38" s="113" t="n"/>
      <c r="D38" s="113" t="n"/>
      <c r="E38" s="114" t="n"/>
      <c r="F38" s="114" t="n"/>
      <c r="G38" s="112" t="n"/>
      <c r="H38" s="108" t="n"/>
      <c r="I38" s="113" t="n"/>
      <c r="J38" s="113" t="n"/>
      <c r="K38" s="117" t="n"/>
    </row>
    <row r="39" ht="30" customHeight="1" s="58">
      <c r="A39" s="112" t="n"/>
      <c r="B39" s="113" t="n"/>
      <c r="C39" s="113" t="n"/>
      <c r="D39" s="113" t="n"/>
      <c r="E39" s="114" t="n"/>
      <c r="F39" s="114" t="n"/>
      <c r="G39" s="112" t="n"/>
      <c r="H39" s="108" t="n"/>
      <c r="I39" s="113" t="n"/>
      <c r="J39" s="113" t="n"/>
      <c r="K39" s="117" t="n"/>
    </row>
    <row r="40" ht="30" customHeight="1" s="58">
      <c r="A40" s="112" t="n"/>
      <c r="B40" s="113" t="n"/>
      <c r="C40" s="113" t="n"/>
      <c r="D40" s="113" t="n"/>
      <c r="E40" s="114" t="n"/>
      <c r="F40" s="114" t="n"/>
      <c r="G40" s="112" t="n"/>
      <c r="H40" s="108" t="n"/>
      <c r="I40" s="113" t="n"/>
      <c r="J40" s="113" t="n"/>
      <c r="K40" s="117" t="n"/>
    </row>
    <row r="41" ht="30" customHeight="1" s="58">
      <c r="A41" s="112" t="n"/>
      <c r="B41" s="113" t="n"/>
      <c r="C41" s="113" t="n"/>
      <c r="D41" s="113" t="n"/>
      <c r="E41" s="114" t="n"/>
      <c r="F41" s="114" t="n"/>
      <c r="G41" s="112" t="n"/>
      <c r="H41" s="108" t="n"/>
      <c r="I41" s="113" t="n"/>
      <c r="J41" s="113" t="n"/>
      <c r="K41" s="117" t="n"/>
    </row>
    <row r="42" ht="30" customHeight="1" s="58">
      <c r="A42" s="112" t="n"/>
      <c r="B42" s="113" t="n"/>
      <c r="C42" s="113" t="n"/>
      <c r="D42" s="113" t="n"/>
      <c r="E42" s="114" t="n"/>
      <c r="F42" s="114" t="n"/>
      <c r="G42" s="112" t="n"/>
      <c r="H42" s="108" t="n"/>
      <c r="I42" s="113" t="n"/>
      <c r="J42" s="113" t="n"/>
      <c r="K42" s="117" t="n"/>
    </row>
    <row r="43" ht="15" customHeight="1" s="58">
      <c r="A43" s="112" t="n"/>
      <c r="B43" s="113" t="n"/>
      <c r="C43" s="113" t="n"/>
      <c r="D43" s="113" t="n"/>
      <c r="E43" s="114" t="n"/>
      <c r="F43" s="114" t="n"/>
      <c r="G43" s="112" t="n"/>
      <c r="H43" s="108" t="n"/>
      <c r="I43" s="113" t="n"/>
      <c r="J43" s="113" t="n"/>
      <c r="K43" s="117" t="n"/>
    </row>
    <row r="44" ht="15" customHeight="1" s="58">
      <c r="A44" s="112" t="n"/>
      <c r="B44" s="113" t="n"/>
      <c r="C44" s="113" t="n"/>
      <c r="D44" s="113" t="n"/>
      <c r="E44" s="114" t="n"/>
      <c r="F44" s="114" t="n"/>
      <c r="G44" s="112" t="n"/>
      <c r="H44" s="108" t="n"/>
      <c r="I44" s="113" t="n"/>
      <c r="J44" s="113" t="n"/>
      <c r="K44" s="117" t="n"/>
    </row>
    <row r="45" ht="15" customHeight="1" s="58">
      <c r="A45" s="112" t="n"/>
      <c r="B45" s="113" t="n"/>
      <c r="C45" s="113" t="n"/>
      <c r="D45" s="113" t="n"/>
      <c r="E45" s="114" t="n"/>
      <c r="F45" s="114" t="n"/>
      <c r="G45" s="112" t="n"/>
      <c r="H45" s="108" t="n"/>
      <c r="I45" s="113" t="n"/>
      <c r="J45" s="113" t="n"/>
      <c r="K45" s="117" t="n"/>
    </row>
    <row r="46" ht="30" customHeight="1" s="58">
      <c r="A46" s="112" t="n"/>
      <c r="B46" s="113" t="n"/>
      <c r="C46" s="113" t="n"/>
      <c r="D46" s="113" t="n"/>
      <c r="E46" s="114" t="n"/>
      <c r="F46" s="114" t="n"/>
      <c r="G46" s="112" t="n"/>
      <c r="H46" s="108" t="n"/>
      <c r="I46" s="113" t="n"/>
      <c r="J46" s="113" t="n"/>
      <c r="K46" s="117" t="n"/>
    </row>
    <row r="47" ht="30" customHeight="1" s="58">
      <c r="A47" s="112" t="n"/>
      <c r="B47" s="113" t="n"/>
      <c r="C47" s="113" t="n"/>
      <c r="D47" s="113" t="n"/>
      <c r="E47" s="114" t="n"/>
      <c r="F47" s="114" t="n"/>
      <c r="G47" s="112" t="n"/>
      <c r="H47" s="108" t="n"/>
      <c r="I47" s="113" t="n"/>
      <c r="J47" s="113" t="n"/>
      <c r="K47" s="117" t="n"/>
    </row>
    <row r="48" ht="30" customHeight="1" s="58">
      <c r="A48" s="112" t="n"/>
      <c r="B48" s="113" t="n"/>
      <c r="C48" s="113" t="n"/>
      <c r="D48" s="113" t="n"/>
      <c r="E48" s="114" t="n"/>
      <c r="F48" s="114" t="n"/>
      <c r="G48" s="112" t="n"/>
      <c r="H48" s="108" t="n"/>
      <c r="I48" s="113" t="n"/>
      <c r="J48" s="113" t="n"/>
      <c r="K48" s="117" t="n"/>
    </row>
    <row r="49" ht="30" customHeight="1" s="58">
      <c r="A49" s="112" t="n"/>
      <c r="B49" s="113" t="n"/>
      <c r="C49" s="113" t="n"/>
      <c r="D49" s="113" t="n"/>
      <c r="E49" s="114" t="n"/>
      <c r="F49" s="114" t="n"/>
      <c r="G49" s="112" t="n"/>
      <c r="H49" s="108" t="n"/>
      <c r="I49" s="113" t="n"/>
      <c r="J49" s="113" t="n"/>
      <c r="K49" s="117" t="n"/>
    </row>
    <row r="50" ht="15" customHeight="1" s="58">
      <c r="A50" s="112" t="n"/>
      <c r="B50" s="113" t="n"/>
      <c r="C50" s="113" t="n"/>
      <c r="D50" s="113" t="n"/>
      <c r="E50" s="114" t="n"/>
      <c r="F50" s="114" t="n"/>
      <c r="G50" s="112" t="n"/>
      <c r="H50" s="108" t="n"/>
      <c r="I50" s="113" t="n"/>
      <c r="J50" s="113" t="n"/>
      <c r="K50" s="117" t="n"/>
    </row>
    <row r="51" ht="30" customHeight="1" s="58">
      <c r="A51" s="112" t="n"/>
      <c r="B51" s="113" t="n"/>
      <c r="C51" s="113" t="n"/>
      <c r="D51" s="113" t="n"/>
      <c r="E51" s="114" t="n"/>
      <c r="F51" s="114" t="n"/>
      <c r="G51" s="112" t="n"/>
      <c r="H51" s="108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4" t="n"/>
      <c r="G52" s="112" t="n"/>
      <c r="H52" s="108" t="n"/>
      <c r="I52" s="113" t="n"/>
      <c r="J52" s="113" t="n"/>
      <c r="K52" s="117" t="n"/>
    </row>
    <row r="53" ht="15" customHeight="1" s="58">
      <c r="A53" s="112" t="n"/>
      <c r="B53" s="113" t="n"/>
      <c r="C53" s="113" t="n"/>
      <c r="D53" s="113" t="n"/>
      <c r="E53" s="114" t="n"/>
      <c r="F53" s="114" t="n"/>
      <c r="G53" s="112" t="n"/>
      <c r="H53" s="108" t="n"/>
      <c r="I53" s="113" t="n"/>
      <c r="J53" s="113" t="n"/>
      <c r="K53" s="117" t="n"/>
    </row>
    <row r="54" ht="30" customHeight="1" s="58">
      <c r="A54" s="112" t="n"/>
      <c r="B54" s="113" t="n"/>
      <c r="C54" s="113" t="n"/>
      <c r="D54" s="113" t="n"/>
      <c r="E54" s="114" t="n"/>
      <c r="F54" s="114" t="n"/>
      <c r="G54" s="112" t="n"/>
      <c r="H54" s="108" t="n"/>
      <c r="I54" s="113" t="n"/>
      <c r="J54" s="113" t="n"/>
      <c r="K54" s="117" t="n"/>
    </row>
    <row r="55" ht="30" customHeight="1" s="58">
      <c r="A55" s="112" t="n"/>
      <c r="B55" s="113" t="n"/>
      <c r="C55" s="113" t="n"/>
      <c r="D55" s="113" t="n"/>
      <c r="E55" s="114" t="n"/>
      <c r="F55" s="114" t="n"/>
      <c r="G55" s="112" t="n"/>
      <c r="H55" s="108" t="n"/>
      <c r="I55" s="113" t="n"/>
      <c r="J55" s="113" t="n"/>
      <c r="K55" s="117" t="n"/>
    </row>
    <row r="56" ht="30" customHeight="1" s="58">
      <c r="A56" s="112" t="n"/>
      <c r="B56" s="113" t="n"/>
      <c r="C56" s="113" t="n"/>
      <c r="D56" s="113" t="n"/>
      <c r="E56" s="114" t="n"/>
      <c r="F56" s="114" t="n"/>
      <c r="G56" s="112" t="n"/>
      <c r="H56" s="108" t="n"/>
      <c r="I56" s="113" t="n"/>
      <c r="J56" s="113" t="n"/>
      <c r="K56" s="117" t="n"/>
    </row>
    <row r="57" ht="30" customHeight="1" s="58">
      <c r="A57" s="112" t="n"/>
      <c r="B57" s="113" t="n"/>
      <c r="C57" s="113" t="n"/>
      <c r="D57" s="113" t="n"/>
      <c r="E57" s="114" t="n"/>
      <c r="F57" s="114" t="n"/>
      <c r="G57" s="112" t="n"/>
      <c r="H57" s="108" t="n"/>
      <c r="I57" s="113" t="n"/>
      <c r="J57" s="113" t="n"/>
      <c r="K57" s="117" t="n"/>
    </row>
    <row r="58" ht="30" customHeight="1" s="58">
      <c r="A58" s="112" t="n"/>
      <c r="B58" s="113" t="n"/>
      <c r="C58" s="113" t="n"/>
      <c r="D58" s="113" t="n"/>
      <c r="E58" s="114" t="n"/>
      <c r="F58" s="114" t="n"/>
      <c r="G58" s="112" t="n"/>
      <c r="H58" s="108" t="n"/>
      <c r="I58" s="113" t="n"/>
      <c r="J58" s="113" t="n"/>
      <c r="K58" s="117" t="n"/>
    </row>
    <row r="59" ht="30" customHeight="1" s="58">
      <c r="A59" s="112" t="n"/>
      <c r="B59" s="113" t="n"/>
      <c r="C59" s="113" t="n"/>
      <c r="D59" s="113" t="n"/>
      <c r="E59" s="114" t="n"/>
      <c r="F59" s="114" t="n"/>
      <c r="G59" s="112" t="n"/>
      <c r="H59" s="108" t="n"/>
      <c r="I59" s="113" t="n"/>
      <c r="J59" s="113" t="n"/>
      <c r="K59" s="117" t="n"/>
    </row>
    <row r="60" ht="30" customHeight="1" s="58">
      <c r="A60" s="112" t="n"/>
      <c r="B60" s="113" t="n"/>
      <c r="C60" s="113" t="n"/>
      <c r="D60" s="113" t="n"/>
      <c r="E60" s="114" t="n"/>
      <c r="F60" s="114" t="n"/>
      <c r="G60" s="112" t="n"/>
      <c r="H60" s="108" t="n"/>
      <c r="I60" s="113" t="n"/>
      <c r="J60" s="113" t="n"/>
      <c r="K60" s="117" t="n"/>
    </row>
    <row r="61" ht="30" customHeight="1" s="58">
      <c r="A61" s="112" t="n"/>
      <c r="B61" s="113" t="n"/>
      <c r="C61" s="113" t="n"/>
      <c r="D61" s="113" t="n"/>
      <c r="E61" s="114" t="n"/>
      <c r="F61" s="114" t="n"/>
      <c r="G61" s="112" t="n"/>
      <c r="H61" s="108" t="n"/>
      <c r="I61" s="113" t="n"/>
      <c r="J61" s="113" t="n"/>
      <c r="K61" s="117" t="n"/>
    </row>
    <row r="62" ht="30" customHeight="1" s="58">
      <c r="A62" s="112" t="n"/>
      <c r="B62" s="113" t="n"/>
      <c r="C62" s="113" t="n"/>
      <c r="D62" s="113" t="n"/>
      <c r="E62" s="114" t="n"/>
      <c r="F62" s="114" t="n"/>
      <c r="G62" s="112" t="n"/>
      <c r="H62" s="108" t="n"/>
      <c r="I62" s="113" t="n"/>
      <c r="J62" s="113" t="n"/>
      <c r="K62" s="117" t="n"/>
    </row>
    <row r="63" ht="30" customHeight="1" s="58">
      <c r="A63" s="112" t="n"/>
      <c r="B63" s="113" t="n"/>
      <c r="C63" s="113" t="n"/>
      <c r="D63" s="113" t="n"/>
      <c r="E63" s="114" t="n"/>
      <c r="F63" s="114" t="n"/>
      <c r="G63" s="112" t="n"/>
      <c r="H63" s="108" t="n"/>
      <c r="I63" s="113" t="n"/>
      <c r="J63" s="113" t="n"/>
      <c r="K63" s="117" t="n"/>
    </row>
    <row r="64" ht="30" customHeight="1" s="58">
      <c r="A64" s="112" t="n"/>
      <c r="B64" s="113" t="n"/>
      <c r="C64" s="113" t="n"/>
      <c r="D64" s="113" t="n"/>
      <c r="E64" s="114" t="n"/>
      <c r="F64" s="114" t="n"/>
      <c r="G64" s="112" t="n"/>
      <c r="H64" s="108" t="n"/>
      <c r="I64" s="113" t="n"/>
      <c r="J64" s="113" t="n"/>
      <c r="K64" s="117" t="n"/>
    </row>
    <row r="65" ht="30" customHeight="1" s="58">
      <c r="A65" s="112" t="n"/>
      <c r="B65" s="113" t="n"/>
      <c r="C65" s="113" t="n"/>
      <c r="D65" s="113" t="n"/>
      <c r="E65" s="114" t="n"/>
      <c r="F65" s="114" t="n"/>
      <c r="G65" s="112" t="n"/>
      <c r="H65" s="108" t="n"/>
      <c r="I65" s="113" t="n"/>
      <c r="J65" s="113" t="n"/>
      <c r="K65" s="117" t="n"/>
    </row>
    <row r="66" ht="30" customHeight="1" s="58">
      <c r="A66" s="112" t="n"/>
      <c r="B66" s="113" t="n"/>
      <c r="C66" s="113" t="n"/>
      <c r="D66" s="113" t="n"/>
      <c r="E66" s="114" t="n"/>
      <c r="F66" s="114" t="n"/>
      <c r="G66" s="112" t="n"/>
      <c r="H66" s="108" t="n"/>
      <c r="I66" s="113" t="n"/>
      <c r="J66" s="113" t="n"/>
      <c r="K66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1.xml><?xml version="1.0" encoding="utf-8"?>
<worksheet xmlns="http://schemas.openxmlformats.org/spreadsheetml/2006/main">
  <sheetPr filterMode="0">
    <outlinePr summaryBelow="1" summaryRight="1"/>
    <pageSetUpPr fitToPage="1"/>
  </sheetPr>
  <dimension ref="A1:K70"/>
  <sheetViews>
    <sheetView showGridLines="0"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MultiSelect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Route</t>
        </is>
      </c>
      <c r="D9" s="113" t="inlineStr">
        <is>
          <t>dedicated Selection &gt; MultiSelect route loads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MultiSelect playground and draft manual protocol.</t>
        </is>
      </c>
      <c r="J9" s="113" t="inlineStr">
        <is>
          <t>Run playground/.manual-tests/multi-select.md.</t>
        </is>
      </c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Evidence</t>
        </is>
      </c>
      <c r="D10" s="113" t="inlineStr">
        <is>
          <t>Source, Anatomy, Inspector, and Logs reflect live state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MultiSelect playground and draft manual protocol.</t>
        </is>
      </c>
      <c r="J10" s="113" t="inlineStr">
        <is>
          <t>Run playground/.manual-tests/multi-select.md.</t>
        </is>
      </c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string[]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MultiSelect playground and draft manual protocol.</t>
        </is>
      </c>
      <c r="J11" s="113" t="inlineStr">
        <is>
          <t>Run playground/.manual-tests/multi-select.md.</t>
        </is>
      </c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defaultValue uncontrolled string[] value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MultiSelect playground and draft manual protocol.</t>
        </is>
      </c>
      <c r="J12" s="113" t="inlineStr">
        <is>
          <t>Run playground/.manual-tests/multi-select.md.</t>
        </is>
      </c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onValueChange returns a deduplicated ordered array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MultiSelect playground and draft manual protocol.</t>
        </is>
      </c>
      <c r="J13" s="113" t="inlineStr">
        <is>
          <t>Run playground/.manual-tests/multi-select.md.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controlled open state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MultiSelect playground and draft manual protocol.</t>
        </is>
      </c>
      <c r="J14" s="113" t="inlineStr">
        <is>
          <t>Run playground/.manual-tests/multi-select.md.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uncontrolled open state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MultiSelect playground and draft manual protocol.</t>
        </is>
      </c>
      <c r="J15" s="113" t="inlineStr">
        <is>
          <t>Run playground/.manual-tests/multi-select.md.</t>
        </is>
      </c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onOpenChange logs open and close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MultiSelect playground and draft manual protocol.</t>
        </is>
      </c>
      <c r="J16" s="113" t="inlineStr">
        <is>
          <t>Run playground/.manual-tests/multi-select.md.</t>
        </is>
      </c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State</t>
        </is>
      </c>
      <c r="C17" s="113" t="inlineStr">
        <is>
          <t>Root</t>
        </is>
      </c>
      <c r="D17" s="113" t="inlineStr">
        <is>
          <t>disabled prevents opening and selection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MultiSelect playground and draft manual protocol.</t>
        </is>
      </c>
      <c r="J17" s="113" t="inlineStr">
        <is>
          <t>Run playground/.manual-tests/multi-select.md.</t>
        </is>
      </c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State</t>
        </is>
      </c>
      <c r="C18" s="113" t="inlineStr">
        <is>
          <t>Root</t>
        </is>
      </c>
      <c r="D18" s="113" t="inlineStr">
        <is>
          <t>readOnly permits inspection but prevents toggling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MultiSelect playground and draft manual protocol.</t>
        </is>
      </c>
      <c r="J18" s="113" t="inlineStr">
        <is>
          <t>Run playground/.manual-tests/multi-select.md.</t>
        </is>
      </c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State</t>
        </is>
      </c>
      <c r="C19" s="113" t="inlineStr">
        <is>
          <t>Root</t>
        </is>
      </c>
      <c r="D19" s="113" t="inlineStr">
        <is>
          <t>required participates in native validation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MultiSelect playground and draft manual protocol.</t>
        </is>
      </c>
      <c r="J19" s="113" t="inlineStr">
        <is>
          <t>Run playground/.manual-tests/multi-select.md.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State</t>
        </is>
      </c>
      <c r="C20" s="113" t="inlineStr">
        <is>
          <t>Root</t>
        </is>
      </c>
      <c r="D20" s="113" t="inlineStr">
        <is>
          <t>invalid state reaches the visible 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MultiSelect playground and draft manual protocol.</t>
        </is>
      </c>
      <c r="J20" s="113" t="inlineStr">
        <is>
          <t>Run playground/.manual-tests/multi-select.md.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Forms</t>
        </is>
      </c>
      <c r="C21" s="113" t="inlineStr">
        <is>
          <t>Native select</t>
        </is>
      </c>
      <c r="D21" s="113" t="inlineStr">
        <is>
          <t>name submits every selected skills value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MultiSelect playground and draft manual protocol.</t>
        </is>
      </c>
      <c r="J21" s="113" t="inlineStr">
        <is>
          <t>Run playground/.manual-tests/multi-select.md.</t>
        </is>
      </c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Forms</t>
        </is>
      </c>
      <c r="C22" s="113" t="inlineStr">
        <is>
          <t>Native select</t>
        </is>
      </c>
      <c r="D22" s="113" t="inlineStr">
        <is>
          <t>form associates the generated multiple select externally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MultiSelect playground and draft manual protocol.</t>
        </is>
      </c>
      <c r="J22" s="113" t="inlineStr">
        <is>
          <t>Run playground/.manual-tests/multi-select.md.</t>
        </is>
      </c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Forms</t>
        </is>
      </c>
      <c r="C23" s="113" t="inlineStr">
        <is>
          <t>Native select</t>
        </is>
      </c>
      <c r="D23" s="113" t="inlineStr">
        <is>
          <t>multiple attribute is true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MultiSelect playground and draft manual protocol.</t>
        </is>
      </c>
      <c r="J23" s="113" t="inlineStr">
        <is>
          <t>Run playground/.manual-tests/multi-select.md.</t>
        </is>
      </c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Forms</t>
        </is>
      </c>
      <c r="C24" s="113" t="inlineStr">
        <is>
          <t>Native select</t>
        </is>
      </c>
      <c r="D24" s="113" t="inlineStr">
        <is>
          <t>empty required control redirects invalid focus to Trigger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MultiSelect playground and draft manual protocol.</t>
        </is>
      </c>
      <c r="J24" s="113" t="inlineStr">
        <is>
          <t>Run playground/.manual-tests/multi-select.md.</t>
        </is>
      </c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Forms</t>
        </is>
      </c>
      <c r="C25" s="113" t="inlineStr">
        <is>
          <t>Root</t>
        </is>
      </c>
      <c r="D25" s="113" t="inlineStr">
        <is>
          <t>form reset restores uncontrolled defaults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MultiSelect playground and draft manual protocol.</t>
        </is>
      </c>
      <c r="J25" s="113" t="inlineStr">
        <is>
          <t>Run playground/.manual-tests/multi-select.md.</t>
        </is>
      </c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Anatomy</t>
        </is>
      </c>
      <c r="C26" s="113" t="inlineStr">
        <is>
          <t>Trigger</t>
        </is>
      </c>
      <c r="D26" s="113" t="inlineStr">
        <is>
          <t>renders a native button by default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MultiSelect playground and draft manual protocol.</t>
        </is>
      </c>
      <c r="J26" s="113" t="inlineStr">
        <is>
          <t>Run playground/.manual-tests/multi-select.md.</t>
        </is>
      </c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ARIA</t>
        </is>
      </c>
      <c r="C27" s="113" t="inlineStr">
        <is>
          <t>Trigger</t>
        </is>
      </c>
      <c r="D27" s="113" t="inlineStr">
        <is>
          <t>aria-haspopup is listbox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MultiSelect playground and draft manual protocol.</t>
        </is>
      </c>
      <c r="J27" s="113" t="inlineStr">
        <is>
          <t>Run playground/.manual-tests/multi-select.md.</t>
        </is>
      </c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ARIA</t>
        </is>
      </c>
      <c r="C28" s="113" t="inlineStr">
        <is>
          <t>Trigger</t>
        </is>
      </c>
      <c r="D28" s="113" t="inlineStr">
        <is>
          <t>aria-expanded tracks open state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MultiSelect playground and draft manual protocol.</t>
        </is>
      </c>
      <c r="J28" s="113" t="inlineStr">
        <is>
          <t>Run playground/.manual-tests/multi-select.md.</t>
        </is>
      </c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ARIA</t>
        </is>
      </c>
      <c r="C29" s="113" t="inlineStr">
        <is>
          <t>Trigger</t>
        </is>
      </c>
      <c r="D29" s="113" t="inlineStr">
        <is>
          <t>aria-controls matches Content id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MultiSelect playground and draft manual protocol.</t>
        </is>
      </c>
      <c r="J29" s="113" t="inlineStr">
        <is>
          <t>Run playground/.manual-tests/multi-select.md.</t>
        </is>
      </c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Value</t>
        </is>
      </c>
      <c r="D30" s="113" t="inlineStr">
        <is>
          <t>placeholder appears for no values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MultiSelect playground and draft manual protocol.</t>
        </is>
      </c>
      <c r="J30" s="113" t="inlineStr">
        <is>
          <t>Run playground/.manual-tests/multi-select.md.</t>
        </is>
      </c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Value</t>
        </is>
      </c>
      <c r="D31" s="113" t="inlineStr">
        <is>
          <t>one selected label renders directly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MultiSelect playground and draft manual protocol.</t>
        </is>
      </c>
      <c r="J31" s="113" t="inlineStr">
        <is>
          <t>Run playground/.manual-tests/multi-select.md.</t>
        </is>
      </c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Value</t>
        </is>
      </c>
      <c r="D32" s="113" t="inlineStr">
        <is>
          <t>multiple values use First (+N more) summary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MultiSelect playground and draft manual protocol.</t>
        </is>
      </c>
      <c r="J32" s="113" t="inlineStr">
        <is>
          <t>Run playground/.manual-tests/multi-select.md.</t>
        </is>
      </c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Value</t>
        </is>
      </c>
      <c r="D33" s="113" t="inlineStr">
        <is>
          <t>renderValue supplies custom summary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MultiSelect playground and draft manual protocol.</t>
        </is>
      </c>
      <c r="J33" s="113" t="inlineStr">
        <is>
          <t>Run playground/.manual-tests/multi-select.md.</t>
        </is>
      </c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Icon</t>
        </is>
      </c>
      <c r="D34" s="113" t="inlineStr">
        <is>
          <t>decorative trigger icon is rendered</t>
        </is>
      </c>
      <c r="E34" s="114" t="inlineStr">
        <is>
          <t>yes</t>
        </is>
      </c>
      <c r="F34" s="114" t="inlineStr">
        <is>
          <t>no</t>
        </is>
      </c>
      <c r="G34" s="112" t="inlineStr">
        <is>
          <t>pending manual test</t>
        </is>
      </c>
      <c r="H34" s="108" t="inlineStr">
        <is>
          <t>untested</t>
        </is>
      </c>
      <c r="I34" s="113" t="inlineStr">
        <is>
          <t>MultiSelect playground and draft manual protocol.</t>
        </is>
      </c>
      <c r="J34" s="113" t="inlineStr">
        <is>
          <t>Run playground/.manual-tests/multi-select.md.</t>
        </is>
      </c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Content</t>
        </is>
      </c>
      <c r="D35" s="113" t="inlineStr">
        <is>
          <t>positioned popup renders through a portal by default</t>
        </is>
      </c>
      <c r="E35" s="114" t="inlineStr">
        <is>
          <t>yes</t>
        </is>
      </c>
      <c r="F35" s="114" t="inlineStr">
        <is>
          <t>no</t>
        </is>
      </c>
      <c r="G35" s="112" t="inlineStr">
        <is>
          <t>pending manual test</t>
        </is>
      </c>
      <c r="H35" s="108" t="inlineStr">
        <is>
          <t>untested</t>
        </is>
      </c>
      <c r="I35" s="113" t="inlineStr">
        <is>
          <t>MultiSelect playground and draft manual protocol.</t>
        </is>
      </c>
      <c r="J35" s="113" t="inlineStr">
        <is>
          <t>Run playground/.manual-tests/multi-select.md.</t>
        </is>
      </c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Content</t>
        </is>
      </c>
      <c r="D36" s="113" t="inlineStr">
        <is>
          <t>disablePortal keeps popup in the canvas</t>
        </is>
      </c>
      <c r="E36" s="114" t="inlineStr">
        <is>
          <t>yes</t>
        </is>
      </c>
      <c r="F36" s="114" t="inlineStr">
        <is>
          <t>no</t>
        </is>
      </c>
      <c r="G36" s="112" t="inlineStr">
        <is>
          <t>pending manual test</t>
        </is>
      </c>
      <c r="H36" s="108" t="inlineStr">
        <is>
          <t>untested</t>
        </is>
      </c>
      <c r="I36" s="113" t="inlineStr">
        <is>
          <t>MultiSelect playground and draft manual protocol.</t>
        </is>
      </c>
      <c r="J36" s="113" t="inlineStr">
        <is>
          <t>Run playground/.manual-tests/multi-select.md.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Listbox</t>
        </is>
      </c>
      <c r="D37" s="113" t="inlineStr">
        <is>
          <t>Listbox alias preserves Content behavior</t>
        </is>
      </c>
      <c r="E37" s="114" t="inlineStr">
        <is>
          <t>yes</t>
        </is>
      </c>
      <c r="F37" s="114" t="inlineStr">
        <is>
          <t>no</t>
        </is>
      </c>
      <c r="G37" s="112" t="inlineStr">
        <is>
          <t>pending manual test</t>
        </is>
      </c>
      <c r="H37" s="108" t="inlineStr">
        <is>
          <t>untested</t>
        </is>
      </c>
      <c r="I37" s="113" t="inlineStr">
        <is>
          <t>MultiSelect playground and draft manual protocol.</t>
        </is>
      </c>
      <c r="J37" s="113" t="inlineStr">
        <is>
          <t>Run playground/.manual-tests/multi-select.md.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Content</t>
        </is>
      </c>
      <c r="D38" s="113" t="inlineStr">
        <is>
          <t>role is listbox</t>
        </is>
      </c>
      <c r="E38" s="114" t="inlineStr">
        <is>
          <t>yes</t>
        </is>
      </c>
      <c r="F38" s="114" t="inlineStr">
        <is>
          <t>no</t>
        </is>
      </c>
      <c r="G38" s="112" t="inlineStr">
        <is>
          <t>pending manual test</t>
        </is>
      </c>
      <c r="H38" s="108" t="inlineStr">
        <is>
          <t>untested</t>
        </is>
      </c>
      <c r="I38" s="113" t="inlineStr">
        <is>
          <t>MultiSelect playground and draft manual protocol.</t>
        </is>
      </c>
      <c r="J38" s="113" t="inlineStr">
        <is>
          <t>Run playground/.manual-tests/multi-select.md.</t>
        </is>
      </c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Content</t>
        </is>
      </c>
      <c r="D39" s="113" t="inlineStr">
        <is>
          <t>aria-multiselectable is true</t>
        </is>
      </c>
      <c r="E39" s="114" t="inlineStr">
        <is>
          <t>yes</t>
        </is>
      </c>
      <c r="F39" s="114" t="inlineStr">
        <is>
          <t>no</t>
        </is>
      </c>
      <c r="G39" s="112" t="inlineStr">
        <is>
          <t>pending manual test</t>
        </is>
      </c>
      <c r="H39" s="108" t="inlineStr">
        <is>
          <t>untested</t>
        </is>
      </c>
      <c r="I39" s="113" t="inlineStr">
        <is>
          <t>MultiSelect playground and draft manual protocol.</t>
        </is>
      </c>
      <c r="J39" s="113" t="inlineStr">
        <is>
          <t>Run playground/.manual-tests/multi-select.md.</t>
        </is>
      </c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ARIA</t>
        </is>
      </c>
      <c r="C40" s="113" t="inlineStr">
        <is>
          <t>Content</t>
        </is>
      </c>
      <c r="D40" s="113" t="inlineStr">
        <is>
          <t>aria-activedescendant tracks the highlighted Item</t>
        </is>
      </c>
      <c r="E40" s="114" t="inlineStr">
        <is>
          <t>yes</t>
        </is>
      </c>
      <c r="F40" s="114" t="inlineStr">
        <is>
          <t>no</t>
        </is>
      </c>
      <c r="G40" s="112" t="inlineStr">
        <is>
          <t>pending manual test</t>
        </is>
      </c>
      <c r="H40" s="108" t="inlineStr">
        <is>
          <t>untested</t>
        </is>
      </c>
      <c r="I40" s="113" t="inlineStr">
        <is>
          <t>MultiSelect playground and draft manual protocol.</t>
        </is>
      </c>
      <c r="J40" s="113" t="inlineStr">
        <is>
          <t>Run playground/.manual-tests/multi-select.md.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Viewport</t>
        </is>
      </c>
      <c r="D41" s="113" t="inlineStr">
        <is>
          <t>wraps the option collection</t>
        </is>
      </c>
      <c r="E41" s="114" t="inlineStr">
        <is>
          <t>yes</t>
        </is>
      </c>
      <c r="F41" s="114" t="inlineStr">
        <is>
          <t>no</t>
        </is>
      </c>
      <c r="G41" s="112" t="inlineStr">
        <is>
          <t>pending manual test</t>
        </is>
      </c>
      <c r="H41" s="108" t="inlineStr">
        <is>
          <t>untested</t>
        </is>
      </c>
      <c r="I41" s="113" t="inlineStr">
        <is>
          <t>MultiSelect playground and draft manual protocol.</t>
        </is>
      </c>
      <c r="J41" s="113" t="inlineStr">
        <is>
          <t>Run playground/.manual-tests/multi-select.md.</t>
        </is>
      </c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Group</t>
        </is>
      </c>
      <c r="D42" s="113" t="inlineStr">
        <is>
          <t>groups related options</t>
        </is>
      </c>
      <c r="E42" s="114" t="inlineStr">
        <is>
          <t>yes</t>
        </is>
      </c>
      <c r="F42" s="114" t="inlineStr">
        <is>
          <t>no</t>
        </is>
      </c>
      <c r="G42" s="112" t="inlineStr">
        <is>
          <t>pending manual test</t>
        </is>
      </c>
      <c r="H42" s="108" t="inlineStr">
        <is>
          <t>untested</t>
        </is>
      </c>
      <c r="I42" s="113" t="inlineStr">
        <is>
          <t>MultiSelect playground and draft manual protocol.</t>
        </is>
      </c>
      <c r="J42" s="113" t="inlineStr">
        <is>
          <t>Run playground/.manual-tests/multi-select.md.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ARIA</t>
        </is>
      </c>
      <c r="C43" s="113" t="inlineStr">
        <is>
          <t>Group</t>
        </is>
      </c>
      <c r="D43" s="113" t="inlineStr">
        <is>
          <t>group is labelled by Label</t>
        </is>
      </c>
      <c r="E43" s="114" t="inlineStr">
        <is>
          <t>yes</t>
        </is>
      </c>
      <c r="F43" s="114" t="inlineStr">
        <is>
          <t>no</t>
        </is>
      </c>
      <c r="G43" s="112" t="inlineStr">
        <is>
          <t>pending manual test</t>
        </is>
      </c>
      <c r="H43" s="108" t="inlineStr">
        <is>
          <t>untested</t>
        </is>
      </c>
      <c r="I43" s="113" t="inlineStr">
        <is>
          <t>MultiSelect playground and draft manual protocol.</t>
        </is>
      </c>
      <c r="J43" s="113" t="inlineStr">
        <is>
          <t>Run playground/.manual-tests/multi-select.md.</t>
        </is>
      </c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Label</t>
        </is>
      </c>
      <c r="D44" s="113" t="inlineStr">
        <is>
          <t>renders the Skills group label</t>
        </is>
      </c>
      <c r="E44" s="114" t="inlineStr">
        <is>
          <t>yes</t>
        </is>
      </c>
      <c r="F44" s="114" t="inlineStr">
        <is>
          <t>no</t>
        </is>
      </c>
      <c r="G44" s="112" t="inlineStr">
        <is>
          <t>pending manual test</t>
        </is>
      </c>
      <c r="H44" s="108" t="inlineStr">
        <is>
          <t>untested</t>
        </is>
      </c>
      <c r="I44" s="113" t="inlineStr">
        <is>
          <t>MultiSelect playground and draft manual protocol.</t>
        </is>
      </c>
      <c r="J44" s="113" t="inlineStr">
        <is>
          <t>Run playground/.manual-tests/multi-select.md.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Separator</t>
        </is>
      </c>
      <c r="D45" s="113" t="inlineStr">
        <is>
          <t>renders collection separation</t>
        </is>
      </c>
      <c r="E45" s="114" t="inlineStr">
        <is>
          <t>yes</t>
        </is>
      </c>
      <c r="F45" s="114" t="inlineStr">
        <is>
          <t>no</t>
        </is>
      </c>
      <c r="G45" s="112" t="inlineStr">
        <is>
          <t>pending manual test</t>
        </is>
      </c>
      <c r="H45" s="108" t="inlineStr">
        <is>
          <t>untested</t>
        </is>
      </c>
      <c r="I45" s="113" t="inlineStr">
        <is>
          <t>MultiSelect playground and draft manual protocol.</t>
        </is>
      </c>
      <c r="J45" s="113" t="inlineStr">
        <is>
          <t>Run playground/.manual-tests/multi-select.md.</t>
        </is>
      </c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Item</t>
        </is>
      </c>
      <c r="D46" s="113" t="inlineStr">
        <is>
          <t>renders role option with stable value</t>
        </is>
      </c>
      <c r="E46" s="114" t="inlineStr">
        <is>
          <t>yes</t>
        </is>
      </c>
      <c r="F46" s="114" t="inlineStr">
        <is>
          <t>no</t>
        </is>
      </c>
      <c r="G46" s="112" t="inlineStr">
        <is>
          <t>pending manual test</t>
        </is>
      </c>
      <c r="H46" s="108" t="inlineStr">
        <is>
          <t>untested</t>
        </is>
      </c>
      <c r="I46" s="113" t="inlineStr">
        <is>
          <t>MultiSelect playground and draft manual protocol.</t>
        </is>
      </c>
      <c r="J46" s="113" t="inlineStr">
        <is>
          <t>Run playground/.manual-tests/multi-select.md.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Item</t>
        </is>
      </c>
      <c r="D47" s="113" t="inlineStr">
        <is>
          <t>aria-selected tracks every selected value</t>
        </is>
      </c>
      <c r="E47" s="114" t="inlineStr">
        <is>
          <t>yes</t>
        </is>
      </c>
      <c r="F47" s="114" t="inlineStr">
        <is>
          <t>no</t>
        </is>
      </c>
      <c r="G47" s="112" t="inlineStr">
        <is>
          <t>pending manual test</t>
        </is>
      </c>
      <c r="H47" s="108" t="inlineStr">
        <is>
          <t>untested</t>
        </is>
      </c>
      <c r="I47" s="113" t="inlineStr">
        <is>
          <t>MultiSelect playground and draft manual protocol.</t>
        </is>
      </c>
      <c r="J47" s="113" t="inlineStr">
        <is>
          <t>Run playground/.manual-tests/multi-select.md.</t>
        </is>
      </c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Item</t>
        </is>
      </c>
      <c r="D48" s="113" t="inlineStr">
        <is>
          <t>checked and highlighted states remain independent</t>
        </is>
      </c>
      <c r="E48" s="114" t="inlineStr">
        <is>
          <t>yes</t>
        </is>
      </c>
      <c r="F48" s="114" t="inlineStr">
        <is>
          <t>no</t>
        </is>
      </c>
      <c r="G48" s="112" t="inlineStr">
        <is>
          <t>pending manual test</t>
        </is>
      </c>
      <c r="H48" s="108" t="inlineStr">
        <is>
          <t>untested</t>
        </is>
      </c>
      <c r="I48" s="113" t="inlineStr">
        <is>
          <t>MultiSelect playground and draft manual protocol.</t>
        </is>
      </c>
      <c r="J48" s="113" t="inlineStr">
        <is>
          <t>Run playground/.manual-tests/multi-select.md.</t>
        </is>
      </c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disabled Research is skipped and cannot toggle</t>
        </is>
      </c>
      <c r="E49" s="114" t="inlineStr">
        <is>
          <t>yes</t>
        </is>
      </c>
      <c r="F49" s="114" t="inlineStr">
        <is>
          <t>no</t>
        </is>
      </c>
      <c r="G49" s="112" t="inlineStr">
        <is>
          <t>pending manual test</t>
        </is>
      </c>
      <c r="H49" s="108" t="inlineStr">
        <is>
          <t>untested</t>
        </is>
      </c>
      <c r="I49" s="113" t="inlineStr">
        <is>
          <t>MultiSelect playground and draft manual protocol.</t>
        </is>
      </c>
      <c r="J49" s="113" t="inlineStr">
        <is>
          <t>Run playground/.manual-tests/multi-select.md.</t>
        </is>
      </c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ItemText</t>
        </is>
      </c>
      <c r="D50" s="113" t="inlineStr">
        <is>
          <t>provides the collected visible label</t>
        </is>
      </c>
      <c r="E50" s="114" t="inlineStr">
        <is>
          <t>yes</t>
        </is>
      </c>
      <c r="F50" s="114" t="inlineStr">
        <is>
          <t>no</t>
        </is>
      </c>
      <c r="G50" s="112" t="inlineStr">
        <is>
          <t>pending manual test</t>
        </is>
      </c>
      <c r="H50" s="108" t="inlineStr">
        <is>
          <t>untested</t>
        </is>
      </c>
      <c r="I50" s="113" t="inlineStr">
        <is>
          <t>MultiSelect playground and draft manual protocol.</t>
        </is>
      </c>
      <c r="J50" s="113" t="inlineStr">
        <is>
          <t>Run playground/.manual-tests/multi-select.md.</t>
        </is>
      </c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ItemIndicator</t>
        </is>
      </c>
      <c r="D51" s="113" t="inlineStr">
        <is>
          <t>appears for every selected Item</t>
        </is>
      </c>
      <c r="E51" s="114" t="inlineStr">
        <is>
          <t>yes</t>
        </is>
      </c>
      <c r="F51" s="114" t="inlineStr">
        <is>
          <t>no</t>
        </is>
      </c>
      <c r="G51" s="112" t="inlineStr">
        <is>
          <t>pending manual test</t>
        </is>
      </c>
      <c r="H51" s="108" t="inlineStr">
        <is>
          <t>untested</t>
        </is>
      </c>
      <c r="I51" s="113" t="inlineStr">
        <is>
          <t>MultiSelect playground and draft manual protocol.</t>
        </is>
      </c>
      <c r="J51" s="113" t="inlineStr">
        <is>
          <t>Run playground/.manual-tests/multi-select.md.</t>
        </is>
      </c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Arrow</t>
        </is>
      </c>
      <c r="D52" s="113" t="inlineStr">
        <is>
          <t>shares resolved side and alignment with Content</t>
        </is>
      </c>
      <c r="E52" s="114" t="inlineStr">
        <is>
          <t>yes</t>
        </is>
      </c>
      <c r="F52" s="114" t="inlineStr">
        <is>
          <t>no</t>
        </is>
      </c>
      <c r="G52" s="112" t="inlineStr">
        <is>
          <t>pending manual test</t>
        </is>
      </c>
      <c r="H52" s="108" t="inlineStr">
        <is>
          <t>untested</t>
        </is>
      </c>
      <c r="I52" s="113" t="inlineStr">
        <is>
          <t>MultiSelect playground and draft manual protocol.</t>
        </is>
      </c>
      <c r="J52" s="113" t="inlineStr">
        <is>
          <t>Run playground/.manual-tests/multi-select.md.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Content</t>
        </is>
      </c>
      <c r="D53" s="113" t="inlineStr">
        <is>
          <t>Arrow keys move highlight and wrap enabled options</t>
        </is>
      </c>
      <c r="E53" s="114" t="inlineStr">
        <is>
          <t>yes</t>
        </is>
      </c>
      <c r="F53" s="114" t="inlineStr">
        <is>
          <t>no</t>
        </is>
      </c>
      <c r="G53" s="112" t="inlineStr">
        <is>
          <t>pending manual test</t>
        </is>
      </c>
      <c r="H53" s="108" t="inlineStr">
        <is>
          <t>untested</t>
        </is>
      </c>
      <c r="I53" s="113" t="inlineStr">
        <is>
          <t>MultiSelect playground and draft manual protocol.</t>
        </is>
      </c>
      <c r="J53" s="113" t="inlineStr">
        <is>
          <t>Run playground/.manual-tests/multi-select.md.</t>
        </is>
      </c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Content</t>
        </is>
      </c>
      <c r="D54" s="113" t="inlineStr">
        <is>
          <t>Home and End move to first and last enabled options</t>
        </is>
      </c>
      <c r="E54" s="114" t="inlineStr">
        <is>
          <t>yes</t>
        </is>
      </c>
      <c r="F54" s="114" t="inlineStr">
        <is>
          <t>no</t>
        </is>
      </c>
      <c r="G54" s="112" t="inlineStr">
        <is>
          <t>pending manual test</t>
        </is>
      </c>
      <c r="H54" s="108" t="inlineStr">
        <is>
          <t>untested</t>
        </is>
      </c>
      <c r="I54" s="113" t="inlineStr">
        <is>
          <t>MultiSelect playground and draft manual protocol.</t>
        </is>
      </c>
      <c r="J54" s="113" t="inlineStr">
        <is>
          <t>Run playground/.manual-tests/multi-select.md.</t>
        </is>
      </c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Content</t>
        </is>
      </c>
      <c r="D55" s="113" t="inlineStr">
        <is>
          <t>Space and Enter toggle without closing</t>
        </is>
      </c>
      <c r="E55" s="114" t="inlineStr">
        <is>
          <t>yes</t>
        </is>
      </c>
      <c r="F55" s="114" t="inlineStr">
        <is>
          <t>no</t>
        </is>
      </c>
      <c r="G55" s="112" t="inlineStr">
        <is>
          <t>pending manual test</t>
        </is>
      </c>
      <c r="H55" s="108" t="inlineStr">
        <is>
          <t>untested</t>
        </is>
      </c>
      <c r="I55" s="113" t="inlineStr">
        <is>
          <t>MultiSelect playground and draft manual protocol.</t>
        </is>
      </c>
      <c r="J55" s="113" t="inlineStr">
        <is>
          <t>Run playground/.manual-tests/multi-select.md.</t>
        </is>
      </c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Keyboard</t>
        </is>
      </c>
      <c r="C56" s="113" t="inlineStr">
        <is>
          <t>Content</t>
        </is>
      </c>
      <c r="D56" s="113" t="inlineStr">
        <is>
          <t>buffered typeahead matches Item labels</t>
        </is>
      </c>
      <c r="E56" s="114" t="inlineStr">
        <is>
          <t>yes</t>
        </is>
      </c>
      <c r="F56" s="114" t="inlineStr">
        <is>
          <t>no</t>
        </is>
      </c>
      <c r="G56" s="112" t="inlineStr">
        <is>
          <t>pending manual test</t>
        </is>
      </c>
      <c r="H56" s="108" t="inlineStr">
        <is>
          <t>untested</t>
        </is>
      </c>
      <c r="I56" s="113" t="inlineStr">
        <is>
          <t>MultiSelect playground and draft manual protocol.</t>
        </is>
      </c>
      <c r="J56" s="113" t="inlineStr">
        <is>
          <t>Run playground/.manual-tests/multi-select.md.</t>
        </is>
      </c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Keyboard</t>
        </is>
      </c>
      <c r="C57" s="113" t="inlineStr">
        <is>
          <t>Content</t>
        </is>
      </c>
      <c r="D57" s="113" t="inlineStr">
        <is>
          <t>Escape closes and restores Trigger focus</t>
        </is>
      </c>
      <c r="E57" s="114" t="inlineStr">
        <is>
          <t>yes</t>
        </is>
      </c>
      <c r="F57" s="114" t="inlineStr">
        <is>
          <t>no</t>
        </is>
      </c>
      <c r="G57" s="112" t="inlineStr">
        <is>
          <t>pending manual test</t>
        </is>
      </c>
      <c r="H57" s="108" t="inlineStr">
        <is>
          <t>untested</t>
        </is>
      </c>
      <c r="I57" s="113" t="inlineStr">
        <is>
          <t>MultiSelect playground and draft manual protocol.</t>
        </is>
      </c>
      <c r="J57" s="113" t="inlineStr">
        <is>
          <t>Run playground/.manual-tests/multi-select.md.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Keyboard</t>
        </is>
      </c>
      <c r="C58" s="113" t="inlineStr">
        <is>
          <t>Content</t>
        </is>
      </c>
      <c r="D58" s="113" t="inlineStr">
        <is>
          <t>Tab closes and continues normal focus order</t>
        </is>
      </c>
      <c r="E58" s="114" t="inlineStr">
        <is>
          <t>yes</t>
        </is>
      </c>
      <c r="F58" s="114" t="inlineStr">
        <is>
          <t>no</t>
        </is>
      </c>
      <c r="G58" s="112" t="inlineStr">
        <is>
          <t>pending manual test</t>
        </is>
      </c>
      <c r="H58" s="108" t="inlineStr">
        <is>
          <t>untested</t>
        </is>
      </c>
      <c r="I58" s="113" t="inlineStr">
        <is>
          <t>MultiSelect playground and draft manual protocol.</t>
        </is>
      </c>
      <c r="J58" s="113" t="inlineStr">
        <is>
          <t>Run playground/.manual-tests/multi-select.md.</t>
        </is>
      </c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Pointer</t>
        </is>
      </c>
      <c r="C59" s="113" t="inlineStr">
        <is>
          <t>Item</t>
        </is>
      </c>
      <c r="D59" s="113" t="inlineStr">
        <is>
          <t>pointer activation toggles without closing</t>
        </is>
      </c>
      <c r="E59" s="114" t="inlineStr">
        <is>
          <t>yes</t>
        </is>
      </c>
      <c r="F59" s="114" t="inlineStr">
        <is>
          <t>no</t>
        </is>
      </c>
      <c r="G59" s="112" t="inlineStr">
        <is>
          <t>pending manual test</t>
        </is>
      </c>
      <c r="H59" s="108" t="inlineStr">
        <is>
          <t>untested</t>
        </is>
      </c>
      <c r="I59" s="113" t="inlineStr">
        <is>
          <t>MultiSelect playground and draft manual protocol.</t>
        </is>
      </c>
      <c r="J59" s="113" t="inlineStr">
        <is>
          <t>Run playground/.manual-tests/multi-select.md.</t>
        </is>
      </c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Pointer</t>
        </is>
      </c>
      <c r="C60" s="113" t="inlineStr">
        <is>
          <t>Content</t>
        </is>
      </c>
      <c r="D60" s="113" t="inlineStr">
        <is>
          <t>outside click closes without swallowing activation</t>
        </is>
      </c>
      <c r="E60" s="114" t="inlineStr">
        <is>
          <t>yes</t>
        </is>
      </c>
      <c r="F60" s="114" t="inlineStr">
        <is>
          <t>no</t>
        </is>
      </c>
      <c r="G60" s="112" t="inlineStr">
        <is>
          <t>pending manual test</t>
        </is>
      </c>
      <c r="H60" s="108" t="inlineStr">
        <is>
          <t>untested</t>
        </is>
      </c>
      <c r="I60" s="113" t="inlineStr">
        <is>
          <t>MultiSelect playground and draft manual protocol.</t>
        </is>
      </c>
      <c r="J60" s="113" t="inlineStr">
        <is>
          <t>Run playground/.manual-tests/multi-select.md.</t>
        </is>
      </c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Touch</t>
        </is>
      </c>
      <c r="C61" s="113" t="inlineStr">
        <is>
          <t>Content</t>
        </is>
      </c>
      <c r="D61" s="113" t="inlineStr">
        <is>
          <t>plain outside tap dismisses after release</t>
        </is>
      </c>
      <c r="E61" s="114" t="inlineStr">
        <is>
          <t>yes</t>
        </is>
      </c>
      <c r="F61" s="114" t="inlineStr">
        <is>
          <t>no</t>
        </is>
      </c>
      <c r="G61" s="112" t="inlineStr">
        <is>
          <t>pending manual test</t>
        </is>
      </c>
      <c r="H61" s="108" t="inlineStr">
        <is>
          <t>untested</t>
        </is>
      </c>
      <c r="I61" s="113" t="inlineStr">
        <is>
          <t>MultiSelect playground and draft manual protocol.</t>
        </is>
      </c>
      <c r="J61" s="113" t="inlineStr">
        <is>
          <t>Run playground/.manual-tests/multi-select.md.</t>
        </is>
      </c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Touch</t>
        </is>
      </c>
      <c r="C62" s="113" t="inlineStr">
        <is>
          <t>Content</t>
        </is>
      </c>
      <c r="D62" s="113" t="inlineStr">
        <is>
          <t>drag, scroll, and cancellation do not become taps</t>
        </is>
      </c>
      <c r="E62" s="114" t="inlineStr">
        <is>
          <t>yes</t>
        </is>
      </c>
      <c r="F62" s="114" t="inlineStr">
        <is>
          <t>no</t>
        </is>
      </c>
      <c r="G62" s="112" t="inlineStr">
        <is>
          <t>pending manual test</t>
        </is>
      </c>
      <c r="H62" s="108" t="inlineStr">
        <is>
          <t>untested</t>
        </is>
      </c>
      <c r="I62" s="113" t="inlineStr">
        <is>
          <t>MultiSelect playground and draft manual protocol.</t>
        </is>
      </c>
      <c r="J62" s="113" t="inlineStr">
        <is>
          <t>Run playground/.manual-tests/multi-select.md.</t>
        </is>
      </c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Trigger</t>
        </is>
      </c>
      <c r="D63" s="113" t="inlineStr">
        <is>
          <t>native props and ref reach Trigger</t>
        </is>
      </c>
      <c r="E63" s="114" t="inlineStr">
        <is>
          <t>yes</t>
        </is>
      </c>
      <c r="F63" s="114" t="inlineStr">
        <is>
          <t>no</t>
        </is>
      </c>
      <c r="G63" s="112" t="inlineStr">
        <is>
          <t>pending manual test</t>
        </is>
      </c>
      <c r="H63" s="108" t="inlineStr">
        <is>
          <t>untested</t>
        </is>
      </c>
      <c r="I63" s="113" t="inlineStr">
        <is>
          <t>MultiSelect playground and draft manual protocol.</t>
        </is>
      </c>
      <c r="J63" s="113" t="inlineStr">
        <is>
          <t>Run playground/.manual-tests/multi-select.md.</t>
        </is>
      </c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Props</t>
        </is>
      </c>
      <c r="C64" s="113" t="inlineStr">
        <is>
          <t>Content</t>
        </is>
      </c>
      <c r="D64" s="113" t="inlineStr">
        <is>
          <t>native props and ref reach Content</t>
        </is>
      </c>
      <c r="E64" s="114" t="inlineStr">
        <is>
          <t>yes</t>
        </is>
      </c>
      <c r="F64" s="114" t="inlineStr">
        <is>
          <t>no</t>
        </is>
      </c>
      <c r="G64" s="112" t="inlineStr">
        <is>
          <t>pending manual test</t>
        </is>
      </c>
      <c r="H64" s="108" t="inlineStr">
        <is>
          <t>untested</t>
        </is>
      </c>
      <c r="I64" s="113" t="inlineStr">
        <is>
          <t>MultiSelect playground and draft manual protocol.</t>
        </is>
      </c>
      <c r="J64" s="113" t="inlineStr">
        <is>
          <t>Run playground/.manual-tests/multi-select.md.</t>
        </is>
      </c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Props</t>
        </is>
      </c>
      <c r="C65" s="113" t="inlineStr">
        <is>
          <t>Item</t>
        </is>
      </c>
      <c r="D65" s="113" t="inlineStr">
        <is>
          <t>native props and ref reach every Item</t>
        </is>
      </c>
      <c r="E65" s="114" t="inlineStr">
        <is>
          <t>yes</t>
        </is>
      </c>
      <c r="F65" s="114" t="inlineStr">
        <is>
          <t>no</t>
        </is>
      </c>
      <c r="G65" s="112" t="inlineStr">
        <is>
          <t>pending manual test</t>
        </is>
      </c>
      <c r="H65" s="108" t="inlineStr">
        <is>
          <t>untested</t>
        </is>
      </c>
      <c r="I65" s="113" t="inlineStr">
        <is>
          <t>MultiSelect playground and draft manual protocol.</t>
        </is>
      </c>
      <c r="J65" s="113" t="inlineStr">
        <is>
          <t>Run playground/.manual-tests/multi-select.md.</t>
        </is>
      </c>
      <c r="K65" s="117">
        <f>IF(AND(E65="yes",F65="yes",H65="covered"),1,IF(H65="partial",0.5,0))</f>
        <v/>
      </c>
    </row>
    <row r="66" ht="45" customHeight="1" s="58">
      <c r="A66" s="112" t="n">
        <v>58</v>
      </c>
      <c r="B66" s="113" t="inlineStr">
        <is>
          <t>Slots</t>
        </is>
      </c>
      <c r="C66" s="113" t="inlineStr">
        <is>
          <t>Trigger</t>
        </is>
      </c>
      <c r="D66" s="113" t="inlineStr">
        <is>
          <t>custom data-slot override is observable</t>
        </is>
      </c>
      <c r="E66" s="114" t="inlineStr">
        <is>
          <t>yes</t>
        </is>
      </c>
      <c r="F66" s="114" t="inlineStr">
        <is>
          <t>no</t>
        </is>
      </c>
      <c r="G66" s="112" t="inlineStr">
        <is>
          <t>pending manual test</t>
        </is>
      </c>
      <c r="H66" s="108" t="inlineStr">
        <is>
          <t>untested</t>
        </is>
      </c>
      <c r="I66" s="113" t="inlineStr">
        <is>
          <t>MultiSelect playground and draft manual protocol.</t>
        </is>
      </c>
      <c r="J66" s="113" t="inlineStr">
        <is>
          <t>Run playground/.manual-tests/multi-select.md.</t>
        </is>
      </c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Slots</t>
        </is>
      </c>
      <c r="C67" s="113" t="inlineStr">
        <is>
          <t>Content</t>
        </is>
      </c>
      <c r="D67" s="113" t="inlineStr">
        <is>
          <t>custom data-slot override is observable</t>
        </is>
      </c>
      <c r="E67" s="114" t="inlineStr">
        <is>
          <t>yes</t>
        </is>
      </c>
      <c r="F67" s="114" t="inlineStr">
        <is>
          <t>no</t>
        </is>
      </c>
      <c r="G67" s="112" t="inlineStr">
        <is>
          <t>pending manual test</t>
        </is>
      </c>
      <c r="H67" s="108" t="inlineStr">
        <is>
          <t>untested</t>
        </is>
      </c>
      <c r="I67" s="113" t="inlineStr">
        <is>
          <t>MultiSelect playground and draft manual protocol.</t>
        </is>
      </c>
      <c r="J67" s="113" t="inlineStr">
        <is>
          <t>Run playground/.manual-tests/multi-select.md.</t>
        </is>
      </c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Slots</t>
        </is>
      </c>
      <c r="C68" s="113" t="inlineStr">
        <is>
          <t>Item</t>
        </is>
      </c>
      <c r="D68" s="113" t="inlineStr">
        <is>
          <t>custom data-slot override is observable</t>
        </is>
      </c>
      <c r="E68" s="114" t="inlineStr">
        <is>
          <t>yes</t>
        </is>
      </c>
      <c r="F68" s="114" t="inlineStr">
        <is>
          <t>no</t>
        </is>
      </c>
      <c r="G68" s="112" t="inlineStr">
        <is>
          <t>pending manual test</t>
        </is>
      </c>
      <c r="H68" s="108" t="inlineStr">
        <is>
          <t>untested</t>
        </is>
      </c>
      <c r="I68" s="113" t="inlineStr">
        <is>
          <t>MultiSelect playground and draft manual protocol.</t>
        </is>
      </c>
      <c r="J68" s="113" t="inlineStr">
        <is>
          <t>Run playground/.manual-tests/multi-select.md.</t>
        </is>
      </c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Parts</t>
        </is>
      </c>
      <c r="D69" s="113" t="inlineStr">
        <is>
          <t>asChild and render preserve Atom props and behavior</t>
        </is>
      </c>
      <c r="E69" s="114" t="inlineStr">
        <is>
          <t>yes</t>
        </is>
      </c>
      <c r="F69" s="114" t="inlineStr">
        <is>
          <t>no</t>
        </is>
      </c>
      <c r="G69" s="112" t="inlineStr">
        <is>
          <t>pending manual test</t>
        </is>
      </c>
      <c r="H69" s="108" t="inlineStr">
        <is>
          <t>untested</t>
        </is>
      </c>
      <c r="I69" s="113" t="inlineStr">
        <is>
          <t>MultiSelect playground and draft manual protocol.</t>
        </is>
      </c>
      <c r="J69" s="113" t="inlineStr">
        <is>
          <t>Run playground/.manual-tests/multi-select.md.</t>
        </is>
      </c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Field integration</t>
        </is>
      </c>
      <c r="C70" s="113" t="inlineStr">
        <is>
          <t>Trigger</t>
        </is>
      </c>
      <c r="D70" s="113" t="inlineStr">
        <is>
          <t>inherits label, description, disabled, required, and invalid relationships</t>
        </is>
      </c>
      <c r="E70" s="114" t="inlineStr">
        <is>
          <t>yes</t>
        </is>
      </c>
      <c r="F70" s="114" t="inlineStr">
        <is>
          <t>no</t>
        </is>
      </c>
      <c r="G70" s="112" t="inlineStr">
        <is>
          <t>pending manual test</t>
        </is>
      </c>
      <c r="H70" s="108" t="inlineStr">
        <is>
          <t>untested</t>
        </is>
      </c>
      <c r="I70" s="113" t="inlineStr">
        <is>
          <t>MultiSelect playground and draft manual protocol.</t>
        </is>
      </c>
      <c r="J70" s="113" t="inlineStr">
        <is>
          <t>Run playground/.manual-tests/multi-select.md.</t>
        </is>
      </c>
      <c r="K70" s="117">
        <f>IF(AND(E70="yes",F70="yes",H70="covered"),1,IF(H70="partial",0.5,0))</f>
        <v/>
      </c>
    </row>
    <row r="71" ht="4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45" customHeight="1" s="58"/>
    <row r="95" ht="15" customHeight="1" s="58"/>
    <row r="96" ht="15" customHeight="1" s="58"/>
    <row r="97" ht="15" customHeight="1" s="58"/>
    <row r="98" ht="15" customHeight="1" s="58"/>
    <row r="99" ht="45" customHeight="1" s="58"/>
    <row r="100" ht="15" customHeight="1" s="58"/>
    <row r="101" ht="15" customHeight="1" s="58"/>
    <row r="102" ht="15" customHeight="1" s="58"/>
    <row r="103" ht="15" customHeight="1" s="58"/>
    <row r="104" ht="45" customHeight="1" s="58"/>
    <row r="105" ht="15" customHeight="1" s="58"/>
    <row r="106" ht="15" customHeight="1" s="58"/>
    <row r="107" ht="15" customHeight="1" s="58"/>
    <row r="108" ht="15" customHeight="1" s="58"/>
    <row r="109" ht="4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4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4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45" customHeight="1" s="58"/>
    <row r="145" ht="15" customHeight="1" s="58"/>
    <row r="146" ht="15" customHeight="1" s="58"/>
    <row r="147" ht="15" customHeight="1" s="58"/>
    <row r="148" ht="15" customHeight="1" s="58"/>
    <row r="149" ht="4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45" customHeight="1" s="58"/>
    <row r="158" ht="15" customHeight="1" s="58"/>
    <row r="159" ht="15" customHeight="1" s="58"/>
    <row r="160" ht="15" customHeight="1" s="58"/>
    <row r="161" ht="15" customHeight="1" s="58"/>
    <row r="162" ht="4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30" customHeight="1" s="58"/>
    <row r="170" ht="15" customHeight="1" s="58"/>
    <row r="171" ht="30" customHeight="1" s="58"/>
    <row r="172" ht="30" customHeight="1" s="58"/>
    <row r="173" ht="30" customHeight="1" s="58"/>
  </sheetData>
  <autoFilter ref="A8:K70"/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2026-07-27T03:39:04Z</dcterms:modified>
  <cp:lastModifiedBy>Will Donin</cp:lastModifiedBy>
  <cp:revision>0</cp:revision>
</cp:coreProperties>
</file>